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codeName="{F4499BBC-C50B-8ECA-441A-04C5B9BE7170}"/>
  <workbookPr date1904="1" codeName="ThisWorkbook"/>
  <mc:AlternateContent xmlns:mc="http://schemas.openxmlformats.org/markup-compatibility/2006">
    <mc:Choice Requires="x15">
      <x15ac:absPath xmlns:x15ac="http://schemas.microsoft.com/office/spreadsheetml/2010/11/ac" url="https://northeastern-my.sharepoint.com/personal/lakhani_nir_northeastern_edu/Documents/Financial Modeling/3) Retirement Planning/Project 3/"/>
    </mc:Choice>
  </mc:AlternateContent>
  <xr:revisionPtr revIDLastSave="7834" documentId="8_{1A9465B6-6301-F24F-9656-546291AC6F63}" xr6:coauthVersionLast="47" xr6:coauthVersionMax="47" xr10:uidLastSave="{99DD0C3D-7252-5448-AAA0-AE57662758CF}"/>
  <bookViews>
    <workbookView xWindow="0" yWindow="780" windowWidth="34200" windowHeight="19320" activeTab="2" xr2:uid="{35BC4095-6790-964A-8A89-B2E51009205D}"/>
  </bookViews>
  <sheets>
    <sheet name="Explanations and FAQ" sheetId="17" state="hidden" r:id="rId1"/>
    <sheet name="Returns by year" sheetId="1" state="hidden" r:id="rId2"/>
    <sheet name="Dashboard" sheetId="23" r:id="rId3"/>
    <sheet name="Equity and Bond Returns" sheetId="16" r:id="rId4"/>
    <sheet name="Portfolio Returns and Values" sheetId="24" r:id="rId5"/>
    <sheet name="Portfolio Returns Stress Test" sheetId="25" r:id="rId6"/>
  </sheets>
  <definedNames>
    <definedName name="_xleta.NOW" hidden="1" xlm="1">#NAME?</definedName>
    <definedName name="HTML_CodePage" hidden="1">1252</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solver_adj" localSheetId="3" hidden="1">'Equity and Bond Returns'!$B$103</definedName>
    <definedName name="solver_cvg" localSheetId="3" hidden="1">0.0001</definedName>
    <definedName name="solver_drv" localSheetId="3" hidden="1">1</definedName>
    <definedName name="solver_eng" localSheetId="3" hidden="1">1</definedName>
    <definedName name="solver_itr" localSheetId="3" hidden="1">2147483647</definedName>
    <definedName name="solver_lin" localSheetId="3"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0</definedName>
    <definedName name="solver_opt" localSheetId="3" hidden="1">'Equity and Bond Returns'!$D$102</definedName>
    <definedName name="solver_pre" localSheetId="3" hidden="1">0.000001</definedName>
    <definedName name="solver_rbv" localSheetId="3" hidden="1">1</definedName>
    <definedName name="solver_rlx" localSheetId="3" hidden="1">1</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1</definedName>
    <definedName name="solver_val" localSheetId="3" hidden="1">0</definedName>
    <definedName name="solver_ver" localSheetId="3" hidden="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W2" i="25" l="1"/>
  <c r="GW3" i="25" s="1"/>
  <c r="GW4" i="25" s="1"/>
  <c r="GW5" i="25" s="1"/>
  <c r="GW6" i="25" s="1"/>
  <c r="GW7" i="25" s="1"/>
  <c r="GW8" i="25" s="1"/>
  <c r="GW9" i="25" s="1"/>
  <c r="GW10" i="25" s="1"/>
  <c r="GW11" i="25" s="1"/>
  <c r="GW12" i="25" s="1"/>
  <c r="GW13" i="25" s="1"/>
  <c r="GW14" i="25" s="1"/>
  <c r="GW15" i="25" s="1"/>
  <c r="GW16" i="25" s="1"/>
  <c r="GW17" i="25" s="1"/>
  <c r="GW18" i="25" s="1"/>
  <c r="GW19" i="25" s="1"/>
  <c r="GW20" i="25" s="1"/>
  <c r="GW21" i="25" s="1"/>
  <c r="GW22" i="25" s="1"/>
  <c r="GW23" i="25" s="1"/>
  <c r="GW24" i="25" s="1"/>
  <c r="GW25" i="25" s="1"/>
  <c r="GW26" i="25" s="1"/>
  <c r="GW27" i="25" s="1"/>
  <c r="GW28" i="25" s="1"/>
  <c r="GW29" i="25" s="1"/>
  <c r="GW30" i="25" s="1"/>
  <c r="GW31" i="25" s="1"/>
  <c r="GW32" i="25" s="1"/>
  <c r="GW33" i="25" s="1"/>
  <c r="GW34" i="25" s="1"/>
  <c r="GW35" i="25" s="1"/>
  <c r="GW36" i="25" s="1"/>
  <c r="GW37" i="25" s="1"/>
  <c r="GW38" i="25" s="1"/>
  <c r="GW39" i="25" s="1"/>
  <c r="GW40" i="25" s="1"/>
  <c r="GW41" i="25" s="1"/>
  <c r="GW42" i="25" s="1"/>
  <c r="GW43" i="25" s="1"/>
  <c r="GW44" i="25" s="1"/>
  <c r="GW45" i="25" s="1"/>
  <c r="GW46" i="25" s="1"/>
  <c r="GW47" i="25" s="1"/>
  <c r="GW48" i="25" s="1"/>
  <c r="GW49" i="25" s="1"/>
  <c r="GW50" i="25" s="1"/>
  <c r="GW51" i="25" s="1"/>
  <c r="HC51" i="25" s="1"/>
  <c r="DB1" i="25"/>
  <c r="DC1" i="25"/>
  <c r="DD1" i="25"/>
  <c r="DE1" i="25"/>
  <c r="DF1" i="25"/>
  <c r="DG1" i="25"/>
  <c r="DH1" i="25"/>
  <c r="DI1" i="25"/>
  <c r="DJ1" i="25"/>
  <c r="DK1" i="25"/>
  <c r="DL1" i="25"/>
  <c r="DM1" i="25"/>
  <c r="DN1" i="25"/>
  <c r="DO1" i="25"/>
  <c r="DP1" i="25"/>
  <c r="DQ1" i="25"/>
  <c r="DR1" i="25"/>
  <c r="DS1" i="25"/>
  <c r="DT1" i="25"/>
  <c r="DU1" i="25"/>
  <c r="DV1" i="25"/>
  <c r="DW1" i="25"/>
  <c r="DX1" i="25"/>
  <c r="DY1" i="25"/>
  <c r="DZ1" i="25"/>
  <c r="EA1" i="25"/>
  <c r="EB1" i="25"/>
  <c r="EC1" i="25"/>
  <c r="ED1" i="25"/>
  <c r="EE1" i="25"/>
  <c r="EF1" i="25"/>
  <c r="EG1" i="25"/>
  <c r="EH1" i="25"/>
  <c r="EI1" i="25"/>
  <c r="EJ1" i="25"/>
  <c r="EK1" i="25"/>
  <c r="EL1" i="25"/>
  <c r="EM1" i="25"/>
  <c r="EN1" i="25"/>
  <c r="EO1" i="25"/>
  <c r="EP1" i="25"/>
  <c r="EQ1" i="25"/>
  <c r="ER1" i="25"/>
  <c r="ES1" i="25"/>
  <c r="ET1" i="25"/>
  <c r="EU1" i="25"/>
  <c r="EV1" i="25"/>
  <c r="EW1" i="25"/>
  <c r="EX1" i="25"/>
  <c r="EY1" i="25"/>
  <c r="EZ1" i="25"/>
  <c r="FA1" i="25"/>
  <c r="FB1" i="25"/>
  <c r="FC1" i="25"/>
  <c r="FD1" i="25"/>
  <c r="FE1" i="25"/>
  <c r="FF1" i="25"/>
  <c r="FG1" i="25"/>
  <c r="FH1" i="25"/>
  <c r="FI1" i="25"/>
  <c r="FJ1" i="25"/>
  <c r="FK1" i="25"/>
  <c r="FL1" i="25"/>
  <c r="FM1" i="25"/>
  <c r="FN1" i="25"/>
  <c r="FO1" i="25"/>
  <c r="FP1" i="25"/>
  <c r="FQ1" i="25"/>
  <c r="FR1" i="25"/>
  <c r="FS1" i="25"/>
  <c r="FT1" i="25"/>
  <c r="FU1" i="25"/>
  <c r="FV1" i="25"/>
  <c r="FW1" i="25"/>
  <c r="FX1" i="25"/>
  <c r="FY1" i="25"/>
  <c r="FZ1" i="25"/>
  <c r="GA1" i="25"/>
  <c r="GB1" i="25"/>
  <c r="GC1" i="25"/>
  <c r="GD1" i="25"/>
  <c r="GE1" i="25"/>
  <c r="GF1" i="25"/>
  <c r="GG1" i="25"/>
  <c r="GH1" i="25"/>
  <c r="GI1" i="25"/>
  <c r="GJ1" i="25"/>
  <c r="GK1" i="25"/>
  <c r="GL1" i="25"/>
  <c r="GM1" i="25"/>
  <c r="GN1" i="25"/>
  <c r="GO1" i="25"/>
  <c r="GP1" i="25"/>
  <c r="GQ1" i="25"/>
  <c r="GR1" i="25"/>
  <c r="GS1" i="25"/>
  <c r="GT1" i="25"/>
  <c r="GU1" i="25"/>
  <c r="GV1" i="25"/>
  <c r="DB1" i="24"/>
  <c r="DC1" i="24"/>
  <c r="DD1" i="24"/>
  <c r="DE1" i="24"/>
  <c r="DF1" i="24"/>
  <c r="DG1" i="24"/>
  <c r="DH1" i="24"/>
  <c r="DI1" i="24"/>
  <c r="DJ1" i="24"/>
  <c r="DK1" i="24"/>
  <c r="DL1" i="24"/>
  <c r="DM1" i="24"/>
  <c r="DN1" i="24"/>
  <c r="DO1" i="24"/>
  <c r="DP1" i="24"/>
  <c r="DQ1" i="24"/>
  <c r="DR1" i="24"/>
  <c r="DS1" i="24"/>
  <c r="DT1" i="24"/>
  <c r="DU1" i="24"/>
  <c r="DV1" i="24"/>
  <c r="DW1" i="24"/>
  <c r="DX1" i="24"/>
  <c r="DY1" i="24"/>
  <c r="DZ1" i="24"/>
  <c r="EA1" i="24"/>
  <c r="EB1" i="24"/>
  <c r="EC1" i="24"/>
  <c r="ED1" i="24"/>
  <c r="EE1" i="24"/>
  <c r="EF1" i="24"/>
  <c r="EG1" i="24"/>
  <c r="EH1" i="24"/>
  <c r="EI1" i="24"/>
  <c r="EJ1" i="24"/>
  <c r="EK1" i="24"/>
  <c r="EL1" i="24"/>
  <c r="EM1" i="24"/>
  <c r="EN1" i="24"/>
  <c r="EO1" i="24"/>
  <c r="EP1" i="24"/>
  <c r="EQ1" i="24"/>
  <c r="ER1" i="24"/>
  <c r="ES1" i="24"/>
  <c r="ET1" i="24"/>
  <c r="EU1" i="24"/>
  <c r="EV1" i="24"/>
  <c r="EW1" i="24"/>
  <c r="EX1" i="24"/>
  <c r="EY1" i="24"/>
  <c r="EZ1" i="24"/>
  <c r="FA1" i="24"/>
  <c r="FB1" i="24"/>
  <c r="FC1" i="24"/>
  <c r="FD1" i="24"/>
  <c r="FE1" i="24"/>
  <c r="FF1" i="24"/>
  <c r="FG1" i="24"/>
  <c r="FH1" i="24"/>
  <c r="FI1" i="24"/>
  <c r="FJ1" i="24"/>
  <c r="FK1" i="24"/>
  <c r="FL1" i="24"/>
  <c r="FM1" i="24"/>
  <c r="FN1" i="24"/>
  <c r="FO1" i="24"/>
  <c r="FP1" i="24"/>
  <c r="FQ1" i="24"/>
  <c r="FR1" i="24"/>
  <c r="FS1" i="24"/>
  <c r="FT1" i="24"/>
  <c r="FU1" i="24"/>
  <c r="FV1" i="24"/>
  <c r="FW1" i="24"/>
  <c r="FX1" i="24"/>
  <c r="FY1" i="24"/>
  <c r="FZ1" i="24"/>
  <c r="GA1" i="24"/>
  <c r="GB1" i="24"/>
  <c r="GC1" i="24"/>
  <c r="GD1" i="24"/>
  <c r="GE1" i="24"/>
  <c r="GF1" i="24"/>
  <c r="GG1" i="24"/>
  <c r="GH1" i="24"/>
  <c r="GI1" i="24"/>
  <c r="GJ1" i="24"/>
  <c r="GK1" i="24"/>
  <c r="GL1" i="24"/>
  <c r="GM1" i="24"/>
  <c r="GN1" i="24"/>
  <c r="GO1" i="24"/>
  <c r="GP1" i="24"/>
  <c r="GQ1" i="24"/>
  <c r="GR1" i="24"/>
  <c r="GS1" i="24"/>
  <c r="GT1" i="24"/>
  <c r="GU1" i="24"/>
  <c r="GV1" i="24"/>
  <c r="GW2" i="24"/>
  <c r="GW3" i="24" s="1"/>
  <c r="GW4" i="24" s="1"/>
  <c r="GW5" i="24" s="1"/>
  <c r="GW6" i="24" s="1"/>
  <c r="GW7" i="24" s="1"/>
  <c r="GW8" i="24" s="1"/>
  <c r="GW9" i="24" s="1"/>
  <c r="GW10" i="24" s="1"/>
  <c r="GW11" i="24" s="1"/>
  <c r="GW12" i="24" s="1"/>
  <c r="GW13" i="24" s="1"/>
  <c r="GW14" i="24" s="1"/>
  <c r="GW15" i="24" s="1"/>
  <c r="GW16" i="24" s="1"/>
  <c r="GW17" i="24" s="1"/>
  <c r="GW18" i="24" s="1"/>
  <c r="GW19" i="24" s="1"/>
  <c r="GW20" i="24" s="1"/>
  <c r="GW21" i="24" s="1"/>
  <c r="GW22" i="24" s="1"/>
  <c r="GW23" i="24" s="1"/>
  <c r="GW24" i="24" s="1"/>
  <c r="GW25" i="24" s="1"/>
  <c r="GW26" i="24" s="1"/>
  <c r="GW27" i="24" s="1"/>
  <c r="GW28" i="24" s="1"/>
  <c r="GW29" i="24" s="1"/>
  <c r="GW30" i="24" s="1"/>
  <c r="GW31" i="24" s="1"/>
  <c r="GW32" i="24" s="1"/>
  <c r="GW33" i="24" s="1"/>
  <c r="GW34" i="24" s="1"/>
  <c r="GW35" i="24" s="1"/>
  <c r="GW36" i="24" s="1"/>
  <c r="GW37" i="24" s="1"/>
  <c r="GW38" i="24" s="1"/>
  <c r="GW39" i="24" s="1"/>
  <c r="GW40" i="24" s="1"/>
  <c r="GW41" i="24" s="1"/>
  <c r="GW42" i="24" s="1"/>
  <c r="GW43" i="24" s="1"/>
  <c r="GW44" i="24" s="1"/>
  <c r="GW45" i="24" s="1"/>
  <c r="GW46" i="24" s="1"/>
  <c r="GW47" i="24" s="1"/>
  <c r="GW48" i="24" s="1"/>
  <c r="GW49" i="24" s="1"/>
  <c r="GW50" i="24" s="1"/>
  <c r="GW51" i="24" s="1"/>
  <c r="HC51" i="24" s="1"/>
  <c r="M2" i="16"/>
  <c r="M3" i="16" s="1"/>
  <c r="M4" i="16" s="1"/>
  <c r="M5" i="16" s="1"/>
  <c r="M6" i="16" s="1"/>
  <c r="M7" i="16" s="1"/>
  <c r="M8" i="16" s="1"/>
  <c r="M9" i="16" s="1"/>
  <c r="M10" i="16" s="1"/>
  <c r="M11" i="16" s="1"/>
  <c r="M12" i="16" s="1"/>
  <c r="M13" i="16" s="1"/>
  <c r="M14" i="16" s="1"/>
  <c r="M15" i="16" s="1"/>
  <c r="M16" i="16" s="1"/>
  <c r="M17" i="16" s="1"/>
  <c r="M18" i="16" s="1"/>
  <c r="M19" i="16" s="1"/>
  <c r="M20" i="16" s="1"/>
  <c r="M21" i="16" s="1"/>
  <c r="M22" i="16" s="1"/>
  <c r="M23" i="16" s="1"/>
  <c r="M24" i="16" s="1"/>
  <c r="M25" i="16" s="1"/>
  <c r="M26" i="16" s="1"/>
  <c r="M27" i="16" s="1"/>
  <c r="M28" i="16" s="1"/>
  <c r="M29" i="16" s="1"/>
  <c r="M30" i="16" s="1"/>
  <c r="M31" i="16" s="1"/>
  <c r="M32" i="16" s="1"/>
  <c r="M33" i="16" s="1"/>
  <c r="M34" i="16" s="1"/>
  <c r="M35" i="16" s="1"/>
  <c r="M36" i="16" s="1"/>
  <c r="M37" i="16" s="1"/>
  <c r="M38" i="16" s="1"/>
  <c r="M39" i="16" s="1"/>
  <c r="M40" i="16" s="1"/>
  <c r="M41" i="16" s="1"/>
  <c r="M42" i="16" s="1"/>
  <c r="M43" i="16" s="1"/>
  <c r="M44" i="16" s="1"/>
  <c r="M45" i="16" s="1"/>
  <c r="M46" i="16" s="1"/>
  <c r="M47" i="16" s="1"/>
  <c r="M48" i="16" s="1"/>
  <c r="M49" i="16" s="1"/>
  <c r="M50" i="16" s="1"/>
  <c r="M51" i="16" s="1"/>
  <c r="A2" i="25"/>
  <c r="A3" i="25" s="1"/>
  <c r="A4" i="25" s="1"/>
  <c r="A5" i="25" s="1"/>
  <c r="A6" i="25" s="1"/>
  <c r="A7" i="25" s="1"/>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2" i="24"/>
  <c r="A3" i="24" s="1"/>
  <c r="A4" i="24" s="1"/>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DK2" i="16"/>
  <c r="DK3" i="16" s="1"/>
  <c r="DK4" i="16" s="1"/>
  <c r="DK5" i="16" s="1"/>
  <c r="DK6" i="16" s="1"/>
  <c r="DK7" i="16" s="1"/>
  <c r="DK8" i="16" s="1"/>
  <c r="DK9" i="16" s="1"/>
  <c r="DK10" i="16" s="1"/>
  <c r="DK11" i="16" s="1"/>
  <c r="DK12" i="16" s="1"/>
  <c r="DK13" i="16" s="1"/>
  <c r="DK14" i="16" s="1"/>
  <c r="DK15" i="16" s="1"/>
  <c r="DK16" i="16" s="1"/>
  <c r="DK17" i="16" s="1"/>
  <c r="DK18" i="16" s="1"/>
  <c r="DK19" i="16" s="1"/>
  <c r="DK20" i="16" s="1"/>
  <c r="DK21" i="16" s="1"/>
  <c r="DK22" i="16" s="1"/>
  <c r="DK23" i="16" s="1"/>
  <c r="DK24" i="16" s="1"/>
  <c r="DK25" i="16" s="1"/>
  <c r="DK26" i="16" s="1"/>
  <c r="DK27" i="16" s="1"/>
  <c r="DK28" i="16" s="1"/>
  <c r="DK29" i="16" s="1"/>
  <c r="DK30" i="16" s="1"/>
  <c r="DK31" i="16" s="1"/>
  <c r="DK32" i="16" s="1"/>
  <c r="DK33" i="16" s="1"/>
  <c r="DK34" i="16" s="1"/>
  <c r="DK35" i="16" s="1"/>
  <c r="DK36" i="16" s="1"/>
  <c r="DK37" i="16" s="1"/>
  <c r="DK38" i="16" s="1"/>
  <c r="DK39" i="16" s="1"/>
  <c r="DK40" i="16" s="1"/>
  <c r="DK41" i="16" s="1"/>
  <c r="DK42" i="16" s="1"/>
  <c r="DK43" i="16" s="1"/>
  <c r="DK44" i="16" s="1"/>
  <c r="DK45" i="16" s="1"/>
  <c r="DK46" i="16" s="1"/>
  <c r="DK47" i="16" s="1"/>
  <c r="DK48" i="16" s="1"/>
  <c r="DK49" i="16" s="1"/>
  <c r="DK50" i="16" s="1"/>
  <c r="DK51" i="16" s="1"/>
  <c r="CY2" i="25"/>
  <c r="CY3" i="25" s="1"/>
  <c r="DA1" i="25"/>
  <c r="C11" i="23"/>
  <c r="CY2" i="24"/>
  <c r="CY3" i="24" s="1"/>
  <c r="CY4" i="24" s="1"/>
  <c r="CY5" i="24" s="1"/>
  <c r="CY6" i="24" s="1"/>
  <c r="CY7" i="24" s="1"/>
  <c r="CY8" i="24" s="1"/>
  <c r="CY9" i="24" s="1"/>
  <c r="CY10" i="24" s="1"/>
  <c r="CY11" i="24" s="1"/>
  <c r="CY12" i="24" s="1"/>
  <c r="CY13" i="24" s="1"/>
  <c r="CY14" i="24" s="1"/>
  <c r="CY15" i="24" s="1"/>
  <c r="CY16" i="24" s="1"/>
  <c r="CY17" i="24" s="1"/>
  <c r="CY18" i="24" s="1"/>
  <c r="CY19" i="24" s="1"/>
  <c r="CY20" i="24" s="1"/>
  <c r="CY21" i="24" s="1"/>
  <c r="CY22" i="24" s="1"/>
  <c r="CY23" i="24" s="1"/>
  <c r="CY24" i="24" s="1"/>
  <c r="CY25" i="24" s="1"/>
  <c r="CY26" i="24" s="1"/>
  <c r="CY27" i="24" s="1"/>
  <c r="CY28" i="24" s="1"/>
  <c r="CY29" i="24" s="1"/>
  <c r="CY30" i="24" s="1"/>
  <c r="CY31" i="24" s="1"/>
  <c r="CY32" i="24" s="1"/>
  <c r="CY33" i="24" s="1"/>
  <c r="CY34" i="24" s="1"/>
  <c r="CY35" i="24" s="1"/>
  <c r="CY36" i="24" s="1"/>
  <c r="CY37" i="24" s="1"/>
  <c r="CY38" i="24" s="1"/>
  <c r="CY39" i="24" s="1"/>
  <c r="CY40" i="24" s="1"/>
  <c r="CY41" i="24" s="1"/>
  <c r="CY42" i="24" s="1"/>
  <c r="CY43" i="24" s="1"/>
  <c r="CY44" i="24" s="1"/>
  <c r="CY45" i="24" s="1"/>
  <c r="CY46" i="24" s="1"/>
  <c r="CY47" i="24" s="1"/>
  <c r="CY48" i="24" s="1"/>
  <c r="CY49" i="24" s="1"/>
  <c r="CY50" i="24" s="1"/>
  <c r="CY51" i="24" s="1"/>
  <c r="DA1" i="24"/>
  <c r="H101" i="16"/>
  <c r="B117" i="16" s="1"/>
  <c r="H104" i="16"/>
  <c r="I101" i="16"/>
  <c r="I100" i="16"/>
  <c r="H100" i="16"/>
  <c r="B116" i="16" s="1"/>
  <c r="C103" i="16"/>
  <c r="D6" i="16" s="1"/>
  <c r="B104" i="16"/>
  <c r="C101" i="16"/>
  <c r="C100" i="16"/>
  <c r="B100" i="16"/>
  <c r="B101" i="16"/>
  <c r="C117" i="1"/>
  <c r="H117" i="1"/>
  <c r="U117" i="1"/>
  <c r="B117" i="1"/>
  <c r="D117" i="1"/>
  <c r="E117" i="1"/>
  <c r="G117" i="1"/>
  <c r="W120" i="1"/>
  <c r="C116" i="1"/>
  <c r="C115" i="1"/>
  <c r="C114" i="1"/>
  <c r="C113" i="1"/>
  <c r="C112"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8" i="1"/>
  <c r="C37" i="1"/>
  <c r="C36" i="1"/>
  <c r="C35" i="1"/>
  <c r="C34" i="1"/>
  <c r="C33" i="1"/>
  <c r="C32" i="1"/>
  <c r="C31" i="1"/>
  <c r="C30" i="1"/>
  <c r="C29" i="1"/>
  <c r="C28" i="1"/>
  <c r="C27" i="1"/>
  <c r="C26" i="1"/>
  <c r="C25" i="1"/>
  <c r="C24" i="1"/>
  <c r="C23" i="1"/>
  <c r="C22" i="1"/>
  <c r="J22" i="1" s="1"/>
  <c r="C21" i="1"/>
  <c r="C39" i="1"/>
  <c r="C111" i="1"/>
  <c r="H116" i="1"/>
  <c r="D116" i="1"/>
  <c r="B116" i="1"/>
  <c r="E116" i="1"/>
  <c r="U115" i="1"/>
  <c r="U114" i="1"/>
  <c r="U113" i="1"/>
  <c r="U112" i="1"/>
  <c r="U111" i="1"/>
  <c r="U110" i="1"/>
  <c r="U109" i="1"/>
  <c r="U108" i="1"/>
  <c r="U107" i="1"/>
  <c r="U116" i="1"/>
  <c r="G116" i="1"/>
  <c r="F116" i="1"/>
  <c r="D115" i="1"/>
  <c r="D114" i="1"/>
  <c r="H115" i="1"/>
  <c r="B115" i="1"/>
  <c r="E115" i="1"/>
  <c r="H114" i="1"/>
  <c r="H113" i="1"/>
  <c r="AB113" i="1" s="1"/>
  <c r="H112" i="1"/>
  <c r="AB112" i="1" s="1"/>
  <c r="H111" i="1"/>
  <c r="H110" i="1"/>
  <c r="AB110" i="1" s="1"/>
  <c r="H109" i="1"/>
  <c r="AB109" i="1" s="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121" i="1" s="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AB36" i="1" s="1"/>
  <c r="H35" i="1"/>
  <c r="H34" i="1"/>
  <c r="H33" i="1"/>
  <c r="H32" i="1"/>
  <c r="H31" i="1"/>
  <c r="H30" i="1"/>
  <c r="H29" i="1"/>
  <c r="H28" i="1"/>
  <c r="AB28" i="1" s="1"/>
  <c r="H27" i="1"/>
  <c r="H26" i="1"/>
  <c r="H25" i="1"/>
  <c r="H24" i="1"/>
  <c r="H23" i="1"/>
  <c r="H22" i="1"/>
  <c r="H21" i="1"/>
  <c r="O21" i="1" s="1"/>
  <c r="G115" i="1"/>
  <c r="B114" i="1"/>
  <c r="G114" i="1"/>
  <c r="E114" i="1"/>
  <c r="G21" i="1"/>
  <c r="N21" i="1" s="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121" i="1" s="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B113" i="1"/>
  <c r="E113" i="1"/>
  <c r="F99" i="1"/>
  <c r="F97" i="1"/>
  <c r="F96" i="1"/>
  <c r="F92" i="1"/>
  <c r="F91" i="1"/>
  <c r="F83" i="1"/>
  <c r="F75" i="1"/>
  <c r="F68" i="1"/>
  <c r="F66" i="1"/>
  <c r="F64" i="1"/>
  <c r="F58" i="1"/>
  <c r="F57" i="1"/>
  <c r="F56" i="1"/>
  <c r="F52" i="1"/>
  <c r="F50" i="1"/>
  <c r="F49" i="1"/>
  <c r="F47" i="1"/>
  <c r="F42" i="1"/>
  <c r="F35" i="1"/>
  <c r="F28" i="1"/>
  <c r="F27" i="1"/>
  <c r="D113" i="1"/>
  <c r="D112" i="1"/>
  <c r="B112" i="1"/>
  <c r="E112" i="1"/>
  <c r="U106" i="1"/>
  <c r="U105" i="1"/>
  <c r="U104" i="1"/>
  <c r="U103" i="1"/>
  <c r="U102" i="1"/>
  <c r="U101" i="1"/>
  <c r="U99" i="1"/>
  <c r="U98" i="1"/>
  <c r="U97" i="1"/>
  <c r="U96" i="1"/>
  <c r="U95" i="1"/>
  <c r="U94" i="1"/>
  <c r="U93" i="1"/>
  <c r="AB93" i="1" s="1"/>
  <c r="U92" i="1"/>
  <c r="U91" i="1"/>
  <c r="U90" i="1"/>
  <c r="U89" i="1"/>
  <c r="U87" i="1"/>
  <c r="U86" i="1"/>
  <c r="U85" i="1"/>
  <c r="U84" i="1"/>
  <c r="U83" i="1"/>
  <c r="U82" i="1"/>
  <c r="U81" i="1"/>
  <c r="U80" i="1"/>
  <c r="U79" i="1"/>
  <c r="U78" i="1"/>
  <c r="U77" i="1"/>
  <c r="U76" i="1"/>
  <c r="U75" i="1"/>
  <c r="U74" i="1"/>
  <c r="U73" i="1"/>
  <c r="U72" i="1"/>
  <c r="AB72" i="1" s="1"/>
  <c r="U71" i="1"/>
  <c r="U70" i="1"/>
  <c r="U69" i="1"/>
  <c r="U68" i="1"/>
  <c r="U67" i="1"/>
  <c r="U66" i="1"/>
  <c r="AB66" i="1" s="1"/>
  <c r="U65" i="1"/>
  <c r="AB65" i="1" s="1"/>
  <c r="U64" i="1"/>
  <c r="U63" i="1"/>
  <c r="U62" i="1"/>
  <c r="U61" i="1"/>
  <c r="U60" i="1"/>
  <c r="U59" i="1"/>
  <c r="U58" i="1"/>
  <c r="U57" i="1"/>
  <c r="U56" i="1"/>
  <c r="U55" i="1"/>
  <c r="U54" i="1"/>
  <c r="U53" i="1"/>
  <c r="U52" i="1"/>
  <c r="U51" i="1"/>
  <c r="U50" i="1"/>
  <c r="U49" i="1"/>
  <c r="U48" i="1"/>
  <c r="AB48" i="1" s="1"/>
  <c r="U47" i="1"/>
  <c r="U46" i="1"/>
  <c r="U45" i="1"/>
  <c r="U44" i="1"/>
  <c r="U43" i="1"/>
  <c r="U42" i="1"/>
  <c r="U41" i="1"/>
  <c r="U39" i="1"/>
  <c r="U38" i="1"/>
  <c r="U37" i="1"/>
  <c r="U36" i="1"/>
  <c r="U35" i="1"/>
  <c r="U34" i="1"/>
  <c r="U33" i="1"/>
  <c r="U32" i="1"/>
  <c r="U31" i="1"/>
  <c r="U30" i="1"/>
  <c r="U29" i="1"/>
  <c r="U28" i="1"/>
  <c r="U27" i="1"/>
  <c r="U26" i="1"/>
  <c r="X26" i="1" s="1"/>
  <c r="U24" i="1"/>
  <c r="U21" i="1"/>
  <c r="X21" i="1" s="1"/>
  <c r="AE21" i="1" s="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X37" i="1" s="1"/>
  <c r="D36" i="1"/>
  <c r="X36" i="1" s="1"/>
  <c r="D35" i="1"/>
  <c r="D34" i="1"/>
  <c r="X34" i="1" s="1"/>
  <c r="D33" i="1"/>
  <c r="D32" i="1"/>
  <c r="D31" i="1"/>
  <c r="D30" i="1"/>
  <c r="X30" i="1" s="1"/>
  <c r="D29" i="1"/>
  <c r="X29" i="1" s="1"/>
  <c r="D28" i="1"/>
  <c r="X28" i="1" s="1"/>
  <c r="D27" i="1"/>
  <c r="P27" i="1" s="1"/>
  <c r="B29" i="1"/>
  <c r="B53" i="1"/>
  <c r="B54" i="1"/>
  <c r="B55" i="1"/>
  <c r="B56" i="1"/>
  <c r="B57" i="1"/>
  <c r="B58" i="1"/>
  <c r="B59" i="1"/>
  <c r="B60" i="1"/>
  <c r="B61" i="1"/>
  <c r="B62" i="1"/>
  <c r="B63" i="1"/>
  <c r="B64" i="1"/>
  <c r="B65" i="1"/>
  <c r="B66" i="1"/>
  <c r="B67" i="1"/>
  <c r="B68" i="1"/>
  <c r="B69" i="1"/>
  <c r="B70" i="1"/>
  <c r="B71" i="1"/>
  <c r="B72" i="1"/>
  <c r="B73" i="1"/>
  <c r="K21" i="1"/>
  <c r="K22" i="1" s="1"/>
  <c r="K23" i="1" s="1"/>
  <c r="K24" i="1" s="1"/>
  <c r="K25" i="1" s="1"/>
  <c r="K26" i="1" s="1"/>
  <c r="B74" i="1"/>
  <c r="B75" i="1"/>
  <c r="V75" i="1" s="1"/>
  <c r="B76" i="1"/>
  <c r="B77" i="1"/>
  <c r="B78" i="1"/>
  <c r="B79" i="1"/>
  <c r="B80" i="1"/>
  <c r="B81" i="1"/>
  <c r="B82" i="1"/>
  <c r="B83" i="1"/>
  <c r="V83" i="1" s="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E111" i="1"/>
  <c r="E102" i="1"/>
  <c r="E103" i="1"/>
  <c r="E104" i="1"/>
  <c r="E105" i="1"/>
  <c r="E106" i="1"/>
  <c r="E107" i="1"/>
  <c r="E108" i="1"/>
  <c r="E109" i="1"/>
  <c r="E110" i="1"/>
  <c r="E21" i="1"/>
  <c r="E22" i="1"/>
  <c r="E23" i="1"/>
  <c r="E24" i="1"/>
  <c r="E25" i="1"/>
  <c r="E26" i="1"/>
  <c r="E27" i="1"/>
  <c r="E28" i="1"/>
  <c r="E29" i="1"/>
  <c r="E30" i="1"/>
  <c r="E31" i="1"/>
  <c r="E32" i="1"/>
  <c r="Y32" i="1" s="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Y77" i="1" s="1"/>
  <c r="E78" i="1"/>
  <c r="E79" i="1"/>
  <c r="E80" i="1"/>
  <c r="E81" i="1"/>
  <c r="E82" i="1"/>
  <c r="E83" i="1"/>
  <c r="E84" i="1"/>
  <c r="E85" i="1"/>
  <c r="E86" i="1"/>
  <c r="E87" i="1"/>
  <c r="E88" i="1"/>
  <c r="E89" i="1"/>
  <c r="Y89" i="1" s="1"/>
  <c r="E90" i="1"/>
  <c r="E91" i="1"/>
  <c r="E92" i="1"/>
  <c r="E93" i="1"/>
  <c r="E94" i="1"/>
  <c r="E95" i="1"/>
  <c r="E96" i="1"/>
  <c r="E97" i="1"/>
  <c r="E98" i="1"/>
  <c r="E99" i="1"/>
  <c r="E100" i="1"/>
  <c r="E101" i="1"/>
  <c r="B21" i="1"/>
  <c r="B22" i="1"/>
  <c r="B23" i="1"/>
  <c r="B24" i="1"/>
  <c r="P24" i="1" s="1"/>
  <c r="B25" i="1"/>
  <c r="B26" i="1"/>
  <c r="B27" i="1"/>
  <c r="B28" i="1"/>
  <c r="B30" i="1"/>
  <c r="B31" i="1"/>
  <c r="B32" i="1"/>
  <c r="B33" i="1"/>
  <c r="B34" i="1"/>
  <c r="B35" i="1"/>
  <c r="B36" i="1"/>
  <c r="B37" i="1"/>
  <c r="B38" i="1"/>
  <c r="B39" i="1"/>
  <c r="B40" i="1"/>
  <c r="B41" i="1"/>
  <c r="B42" i="1"/>
  <c r="B43" i="1"/>
  <c r="B44" i="1"/>
  <c r="B45" i="1"/>
  <c r="B46" i="1"/>
  <c r="B47" i="1"/>
  <c r="B48" i="1"/>
  <c r="B49" i="1"/>
  <c r="B50" i="1"/>
  <c r="B51" i="1"/>
  <c r="B52" i="1"/>
  <c r="U40" i="1"/>
  <c r="U88" i="1"/>
  <c r="U100" i="1"/>
  <c r="U22" i="1"/>
  <c r="X22" i="1" s="1"/>
  <c r="U23" i="1"/>
  <c r="X23" i="1" s="1"/>
  <c r="F85" i="1"/>
  <c r="U25" i="1"/>
  <c r="X25" i="1" s="1"/>
  <c r="F102" i="1"/>
  <c r="F89" i="1"/>
  <c r="F101" i="1"/>
  <c r="F94" i="1"/>
  <c r="F86" i="1"/>
  <c r="F88" i="1"/>
  <c r="F100" i="1"/>
  <c r="F80" i="1"/>
  <c r="F45" i="1"/>
  <c r="F21" i="1"/>
  <c r="M21" i="1" s="1"/>
  <c r="F69" i="1"/>
  <c r="F81" i="1"/>
  <c r="F93" i="1"/>
  <c r="F105" i="1"/>
  <c r="F30" i="1"/>
  <c r="F54" i="1"/>
  <c r="F78" i="1"/>
  <c r="F110" i="1"/>
  <c r="F63" i="1"/>
  <c r="F53" i="1"/>
  <c r="F70" i="1"/>
  <c r="F46" i="1"/>
  <c r="F22" i="1"/>
  <c r="F33" i="1"/>
  <c r="F87" i="1"/>
  <c r="F95" i="1"/>
  <c r="F48" i="1"/>
  <c r="F61" i="1"/>
  <c r="F38" i="1"/>
  <c r="F62" i="1"/>
  <c r="F25" i="1"/>
  <c r="F37" i="1"/>
  <c r="F36" i="1"/>
  <c r="F73" i="1"/>
  <c r="F109" i="1"/>
  <c r="F108" i="1"/>
  <c r="F74" i="1"/>
  <c r="F60" i="1"/>
  <c r="F77" i="1"/>
  <c r="AB107" i="1" l="1"/>
  <c r="HC21" i="24"/>
  <c r="HC8" i="25"/>
  <c r="HC35" i="25"/>
  <c r="HC19" i="25"/>
  <c r="HC3" i="25"/>
  <c r="HC22" i="24"/>
  <c r="HC50" i="25"/>
  <c r="HC34" i="25"/>
  <c r="HC18" i="25"/>
  <c r="HC4" i="24"/>
  <c r="HC29" i="24"/>
  <c r="HC40" i="25"/>
  <c r="HC49" i="25"/>
  <c r="HC33" i="25"/>
  <c r="HC17" i="25"/>
  <c r="HC5" i="24"/>
  <c r="HC31" i="24"/>
  <c r="HC48" i="25"/>
  <c r="HC32" i="25"/>
  <c r="HC16" i="25"/>
  <c r="HC6" i="24"/>
  <c r="HC36" i="24"/>
  <c r="HC43" i="25"/>
  <c r="HC27" i="25"/>
  <c r="HC11" i="25"/>
  <c r="HC13" i="24"/>
  <c r="HC37" i="24"/>
  <c r="HC24" i="25"/>
  <c r="HC42" i="25"/>
  <c r="HC26" i="25"/>
  <c r="HC10" i="25"/>
  <c r="HC15" i="24"/>
  <c r="HC38" i="24"/>
  <c r="HC41" i="25"/>
  <c r="HC25" i="25"/>
  <c r="HC9" i="25"/>
  <c r="HC20" i="24"/>
  <c r="HC45" i="24"/>
  <c r="HC47" i="25"/>
  <c r="HC39" i="25"/>
  <c r="HC31" i="25"/>
  <c r="HC23" i="25"/>
  <c r="HC15" i="25"/>
  <c r="HC7" i="25"/>
  <c r="HC7" i="24"/>
  <c r="HC23" i="24"/>
  <c r="HC39" i="24"/>
  <c r="HC46" i="25"/>
  <c r="HC38" i="25"/>
  <c r="HC30" i="25"/>
  <c r="HC22" i="25"/>
  <c r="HC14" i="25"/>
  <c r="HC6" i="25"/>
  <c r="HC12" i="24"/>
  <c r="HC28" i="24"/>
  <c r="HC44" i="24"/>
  <c r="HC45" i="25"/>
  <c r="HC37" i="25"/>
  <c r="HC29" i="25"/>
  <c r="HC21" i="25"/>
  <c r="HC13" i="25"/>
  <c r="HC5" i="25"/>
  <c r="HC2" i="25"/>
  <c r="HC44" i="25"/>
  <c r="HC36" i="25"/>
  <c r="HC28" i="25"/>
  <c r="HC20" i="25"/>
  <c r="HC12" i="25"/>
  <c r="HC4" i="25"/>
  <c r="HC14" i="24"/>
  <c r="HC30" i="24"/>
  <c r="HC46" i="24"/>
  <c r="HC8" i="24"/>
  <c r="HC16" i="24"/>
  <c r="HC24" i="24"/>
  <c r="HC48" i="24"/>
  <c r="HC49" i="24"/>
  <c r="HC47" i="24"/>
  <c r="HC32" i="24"/>
  <c r="HC9" i="24"/>
  <c r="HC17" i="24"/>
  <c r="HC25" i="24"/>
  <c r="HC33" i="24"/>
  <c r="HC41" i="24"/>
  <c r="HC2" i="24"/>
  <c r="HC10" i="24"/>
  <c r="HC18" i="24"/>
  <c r="HC26" i="24"/>
  <c r="HC34" i="24"/>
  <c r="HC42" i="24"/>
  <c r="HC50" i="24"/>
  <c r="HC40" i="24"/>
  <c r="HC3" i="24"/>
  <c r="HC11" i="24"/>
  <c r="HC19" i="24"/>
  <c r="HC27" i="24"/>
  <c r="HC35" i="24"/>
  <c r="HC43" i="24"/>
  <c r="D77" i="16"/>
  <c r="AB32" i="1"/>
  <c r="X82" i="1"/>
  <c r="V113" i="1"/>
  <c r="DL6" i="16"/>
  <c r="FS2" i="25"/>
  <c r="FS3" i="25" s="1"/>
  <c r="GP2" i="25"/>
  <c r="GP3" i="25" s="1"/>
  <c r="GH2" i="25"/>
  <c r="GH3" i="25" s="1"/>
  <c r="FZ2" i="25"/>
  <c r="FZ3" i="25" s="1"/>
  <c r="FR2" i="25"/>
  <c r="FR3" i="25" s="1"/>
  <c r="FJ2" i="25"/>
  <c r="FJ3" i="25" s="1"/>
  <c r="FB2" i="25"/>
  <c r="FB3" i="25" s="1"/>
  <c r="ET2" i="25"/>
  <c r="ET3" i="25" s="1"/>
  <c r="EL2" i="25"/>
  <c r="EL3" i="25" s="1"/>
  <c r="ED2" i="25"/>
  <c r="ED3" i="25" s="1"/>
  <c r="DV2" i="25"/>
  <c r="DV3" i="25" s="1"/>
  <c r="DN2" i="25"/>
  <c r="DN3" i="25" s="1"/>
  <c r="DF2" i="25"/>
  <c r="DF3" i="25" s="1"/>
  <c r="FK2" i="25"/>
  <c r="FK3" i="25" s="1"/>
  <c r="R22" i="1"/>
  <c r="AA58" i="1"/>
  <c r="AA82" i="1"/>
  <c r="AA107" i="1"/>
  <c r="GO2" i="25"/>
  <c r="GO3" i="25" s="1"/>
  <c r="GG2" i="25"/>
  <c r="GG3" i="25" s="1"/>
  <c r="FY2" i="25"/>
  <c r="FY3" i="25" s="1"/>
  <c r="FQ2" i="25"/>
  <c r="FQ3" i="25" s="1"/>
  <c r="FI2" i="25"/>
  <c r="FI3" i="25" s="1"/>
  <c r="FA2" i="25"/>
  <c r="FA3" i="25" s="1"/>
  <c r="ES2" i="25"/>
  <c r="ES3" i="25" s="1"/>
  <c r="EK2" i="25"/>
  <c r="EK3" i="25" s="1"/>
  <c r="EC2" i="25"/>
  <c r="EC3" i="25" s="1"/>
  <c r="DU2" i="25"/>
  <c r="DU3" i="25" s="1"/>
  <c r="DM2" i="25"/>
  <c r="DM3" i="25" s="1"/>
  <c r="DE2" i="25"/>
  <c r="DE3" i="25" s="1"/>
  <c r="GV2" i="25"/>
  <c r="GV3" i="25" s="1"/>
  <c r="GN2" i="25"/>
  <c r="GN3" i="25" s="1"/>
  <c r="GF2" i="25"/>
  <c r="GF3" i="25" s="1"/>
  <c r="FX2" i="25"/>
  <c r="FX3" i="25" s="1"/>
  <c r="FP2" i="25"/>
  <c r="FP3" i="25" s="1"/>
  <c r="FH2" i="25"/>
  <c r="FH3" i="25" s="1"/>
  <c r="EZ2" i="25"/>
  <c r="EZ3" i="25" s="1"/>
  <c r="ER2" i="25"/>
  <c r="ER3" i="25" s="1"/>
  <c r="EJ2" i="25"/>
  <c r="EJ3" i="25" s="1"/>
  <c r="EB2" i="25"/>
  <c r="EB3" i="25" s="1"/>
  <c r="DT2" i="25"/>
  <c r="DT3" i="25" s="1"/>
  <c r="DL2" i="25"/>
  <c r="DL3" i="25" s="1"/>
  <c r="DD2" i="25"/>
  <c r="DD3" i="25" s="1"/>
  <c r="GU2" i="25"/>
  <c r="GU3" i="25" s="1"/>
  <c r="GM2" i="25"/>
  <c r="GM3" i="25" s="1"/>
  <c r="GE2" i="25"/>
  <c r="GE3" i="25" s="1"/>
  <c r="FW2" i="25"/>
  <c r="FW3" i="25" s="1"/>
  <c r="FO2" i="25"/>
  <c r="FO3" i="25" s="1"/>
  <c r="FG2" i="25"/>
  <c r="FG3" i="25" s="1"/>
  <c r="EY2" i="25"/>
  <c r="EY3" i="25" s="1"/>
  <c r="EQ2" i="25"/>
  <c r="EQ3" i="25" s="1"/>
  <c r="EI2" i="25"/>
  <c r="EI3" i="25" s="1"/>
  <c r="EA2" i="25"/>
  <c r="EA3" i="25" s="1"/>
  <c r="DS2" i="25"/>
  <c r="DS3" i="25" s="1"/>
  <c r="DK2" i="25"/>
  <c r="DK3" i="25" s="1"/>
  <c r="DC2" i="25"/>
  <c r="DC3" i="25" s="1"/>
  <c r="GT2" i="25"/>
  <c r="GT3" i="25" s="1"/>
  <c r="GL2" i="25"/>
  <c r="GL3" i="25" s="1"/>
  <c r="GD2" i="25"/>
  <c r="GD3" i="25" s="1"/>
  <c r="FV2" i="25"/>
  <c r="FV3" i="25" s="1"/>
  <c r="FN2" i="25"/>
  <c r="FN3" i="25" s="1"/>
  <c r="FF2" i="25"/>
  <c r="FF3" i="25" s="1"/>
  <c r="EX2" i="25"/>
  <c r="EX3" i="25" s="1"/>
  <c r="EP2" i="25"/>
  <c r="EP3" i="25" s="1"/>
  <c r="EH2" i="25"/>
  <c r="EH3" i="25" s="1"/>
  <c r="DZ2" i="25"/>
  <c r="DZ3" i="25" s="1"/>
  <c r="DR2" i="25"/>
  <c r="DR3" i="25" s="1"/>
  <c r="DJ2" i="25"/>
  <c r="DJ3" i="25" s="1"/>
  <c r="DB2" i="25"/>
  <c r="DB3" i="25" s="1"/>
  <c r="AA111" i="1"/>
  <c r="GS2" i="25"/>
  <c r="GS3" i="25" s="1"/>
  <c r="GK2" i="25"/>
  <c r="GK3" i="25" s="1"/>
  <c r="GC2" i="25"/>
  <c r="GC3" i="25" s="1"/>
  <c r="FU2" i="25"/>
  <c r="FU3" i="25" s="1"/>
  <c r="FM2" i="25"/>
  <c r="FM3" i="25" s="1"/>
  <c r="FE2" i="25"/>
  <c r="FE3" i="25" s="1"/>
  <c r="EW2" i="25"/>
  <c r="EW3" i="25" s="1"/>
  <c r="EO2" i="25"/>
  <c r="EO3" i="25" s="1"/>
  <c r="EG2" i="25"/>
  <c r="EG3" i="25" s="1"/>
  <c r="DY2" i="25"/>
  <c r="DY3" i="25" s="1"/>
  <c r="DQ2" i="25"/>
  <c r="DQ3" i="25" s="1"/>
  <c r="DI2" i="25"/>
  <c r="DI3" i="25" s="1"/>
  <c r="GR2" i="25"/>
  <c r="GR3" i="25" s="1"/>
  <c r="GJ2" i="25"/>
  <c r="GJ3" i="25" s="1"/>
  <c r="GB2" i="25"/>
  <c r="GB3" i="25" s="1"/>
  <c r="FT2" i="25"/>
  <c r="FT3" i="25" s="1"/>
  <c r="FL2" i="25"/>
  <c r="FL3" i="25" s="1"/>
  <c r="FD2" i="25"/>
  <c r="FD3" i="25" s="1"/>
  <c r="EV2" i="25"/>
  <c r="EV3" i="25" s="1"/>
  <c r="EN2" i="25"/>
  <c r="EN3" i="25" s="1"/>
  <c r="EF2" i="25"/>
  <c r="EF3" i="25" s="1"/>
  <c r="DX2" i="25"/>
  <c r="DX3" i="25" s="1"/>
  <c r="DP2" i="25"/>
  <c r="DP3" i="25" s="1"/>
  <c r="DH2" i="25"/>
  <c r="DH3" i="25" s="1"/>
  <c r="GQ2" i="25"/>
  <c r="GQ3" i="25" s="1"/>
  <c r="GI2" i="25"/>
  <c r="GI3" i="25" s="1"/>
  <c r="GA2" i="25"/>
  <c r="GA3" i="25" s="1"/>
  <c r="FC2" i="25"/>
  <c r="FC3" i="25" s="1"/>
  <c r="EU2" i="25"/>
  <c r="EU3" i="25" s="1"/>
  <c r="EM2" i="25"/>
  <c r="EM3" i="25" s="1"/>
  <c r="EE2" i="25"/>
  <c r="EE3" i="25" s="1"/>
  <c r="DW2" i="25"/>
  <c r="DW3" i="25" s="1"/>
  <c r="DO2" i="25"/>
  <c r="DO3" i="25" s="1"/>
  <c r="DG2" i="25"/>
  <c r="DG3" i="25" s="1"/>
  <c r="D81" i="16"/>
  <c r="D58" i="16"/>
  <c r="D51" i="16"/>
  <c r="D33" i="16"/>
  <c r="D98" i="16"/>
  <c r="D25" i="16"/>
  <c r="D28" i="16"/>
  <c r="D82" i="16"/>
  <c r="D3" i="16"/>
  <c r="DL40" i="16"/>
  <c r="DL48" i="16"/>
  <c r="DL32" i="16"/>
  <c r="DL16" i="16"/>
  <c r="DL8" i="16"/>
  <c r="DL3" i="16"/>
  <c r="DL50" i="16"/>
  <c r="DL34" i="16"/>
  <c r="DL18" i="16"/>
  <c r="DL17" i="16"/>
  <c r="DL43" i="16"/>
  <c r="DL27" i="16"/>
  <c r="DL11" i="16"/>
  <c r="DL24" i="16"/>
  <c r="DL19" i="16"/>
  <c r="DL49" i="16"/>
  <c r="DL7" i="16"/>
  <c r="DL42" i="16"/>
  <c r="DL26" i="16"/>
  <c r="DL10" i="16"/>
  <c r="DL51" i="16"/>
  <c r="DL35" i="16"/>
  <c r="DL33" i="16"/>
  <c r="DL41" i="16"/>
  <c r="DL25" i="16"/>
  <c r="DL9" i="16"/>
  <c r="C102" i="16"/>
  <c r="DL44" i="16"/>
  <c r="DL36" i="16"/>
  <c r="DL28" i="16"/>
  <c r="DL20" i="16"/>
  <c r="DL12" i="16"/>
  <c r="DL4" i="16"/>
  <c r="DL47" i="16"/>
  <c r="DL39" i="16"/>
  <c r="DL31" i="16"/>
  <c r="DL23" i="16"/>
  <c r="DL15" i="16"/>
  <c r="DL46" i="16"/>
  <c r="DL38" i="16"/>
  <c r="DL30" i="16"/>
  <c r="DL22" i="16"/>
  <c r="DL14" i="16"/>
  <c r="D52" i="16"/>
  <c r="DS2" i="16"/>
  <c r="EA2" i="16"/>
  <c r="EI2" i="16"/>
  <c r="EQ2" i="16"/>
  <c r="EY2" i="16"/>
  <c r="FG2" i="16"/>
  <c r="FO2" i="16"/>
  <c r="FW2" i="16"/>
  <c r="GE2" i="16"/>
  <c r="GM2" i="16"/>
  <c r="GU2" i="16"/>
  <c r="HC2" i="16"/>
  <c r="DP3" i="16"/>
  <c r="DX3" i="16"/>
  <c r="EF3" i="16"/>
  <c r="EN3" i="16"/>
  <c r="EV3" i="16"/>
  <c r="FD3" i="16"/>
  <c r="FL3" i="16"/>
  <c r="FT3" i="16"/>
  <c r="GB3" i="16"/>
  <c r="GJ3" i="16"/>
  <c r="GR3" i="16"/>
  <c r="GZ3" i="16"/>
  <c r="DM4" i="16"/>
  <c r="DU4" i="16"/>
  <c r="EC4" i="16"/>
  <c r="EK4" i="16"/>
  <c r="ES4" i="16"/>
  <c r="FA4" i="16"/>
  <c r="FI4" i="16"/>
  <c r="FQ4" i="16"/>
  <c r="FY4" i="16"/>
  <c r="GG4" i="16"/>
  <c r="GO4" i="16"/>
  <c r="GW4" i="16"/>
  <c r="HE4" i="16"/>
  <c r="DR5" i="16"/>
  <c r="DZ5" i="16"/>
  <c r="EH5" i="16"/>
  <c r="EP5" i="16"/>
  <c r="EX5" i="16"/>
  <c r="FF5" i="16"/>
  <c r="FN5" i="16"/>
  <c r="FV5" i="16"/>
  <c r="GD5" i="16"/>
  <c r="GL5" i="16"/>
  <c r="GT5" i="16"/>
  <c r="HB5" i="16"/>
  <c r="DO6" i="16"/>
  <c r="DW6" i="16"/>
  <c r="EE6" i="16"/>
  <c r="EM6" i="16"/>
  <c r="EU6" i="16"/>
  <c r="FC6" i="16"/>
  <c r="FK6" i="16"/>
  <c r="FS6" i="16"/>
  <c r="GA6" i="16"/>
  <c r="GI6" i="16"/>
  <c r="GQ6" i="16"/>
  <c r="GY6" i="16"/>
  <c r="HG6" i="16"/>
  <c r="DT7" i="16"/>
  <c r="EB7" i="16"/>
  <c r="EJ7" i="16"/>
  <c r="ER7" i="16"/>
  <c r="EZ7" i="16"/>
  <c r="FH7" i="16"/>
  <c r="FP7" i="16"/>
  <c r="FX7" i="16"/>
  <c r="GF7" i="16"/>
  <c r="GN7" i="16"/>
  <c r="GV7" i="16"/>
  <c r="HD7" i="16"/>
  <c r="DQ8" i="16"/>
  <c r="DY8" i="16"/>
  <c r="EG8" i="16"/>
  <c r="EO8" i="16"/>
  <c r="EW8" i="16"/>
  <c r="FE8" i="16"/>
  <c r="FM8" i="16"/>
  <c r="FU8" i="16"/>
  <c r="GC8" i="16"/>
  <c r="GK8" i="16"/>
  <c r="GS8" i="16"/>
  <c r="DT2" i="16"/>
  <c r="EB2" i="16"/>
  <c r="EJ2" i="16"/>
  <c r="ER2" i="16"/>
  <c r="EZ2" i="16"/>
  <c r="FH2" i="16"/>
  <c r="FP2" i="16"/>
  <c r="FX2" i="16"/>
  <c r="GF2" i="16"/>
  <c r="GN2" i="16"/>
  <c r="GV2" i="16"/>
  <c r="HD2" i="16"/>
  <c r="DQ3" i="16"/>
  <c r="DY3" i="16"/>
  <c r="EG3" i="16"/>
  <c r="EO3" i="16"/>
  <c r="EW3" i="16"/>
  <c r="FE3" i="16"/>
  <c r="FM3" i="16"/>
  <c r="FU3" i="16"/>
  <c r="GC3" i="16"/>
  <c r="GK3" i="16"/>
  <c r="GS3" i="16"/>
  <c r="HA3" i="16"/>
  <c r="DN4" i="16"/>
  <c r="DV4" i="16"/>
  <c r="ED4" i="16"/>
  <c r="EL4" i="16"/>
  <c r="ET4" i="16"/>
  <c r="FB4" i="16"/>
  <c r="FJ4" i="16"/>
  <c r="FR4" i="16"/>
  <c r="FZ4" i="16"/>
  <c r="GH4" i="16"/>
  <c r="GP4" i="16"/>
  <c r="GX4" i="16"/>
  <c r="HF4" i="16"/>
  <c r="DS5" i="16"/>
  <c r="EA5" i="16"/>
  <c r="EI5" i="16"/>
  <c r="EQ5" i="16"/>
  <c r="EY5" i="16"/>
  <c r="FG5" i="16"/>
  <c r="FO5" i="16"/>
  <c r="FW5" i="16"/>
  <c r="GE5" i="16"/>
  <c r="GM5" i="16"/>
  <c r="GU5" i="16"/>
  <c r="HC5" i="16"/>
  <c r="DP6" i="16"/>
  <c r="DU2" i="16"/>
  <c r="EE2" i="16"/>
  <c r="EO2" i="16"/>
  <c r="FA2" i="16"/>
  <c r="FK2" i="16"/>
  <c r="FU2" i="16"/>
  <c r="GG2" i="16"/>
  <c r="GQ2" i="16"/>
  <c r="HA2" i="16"/>
  <c r="DR3" i="16"/>
  <c r="EB3" i="16"/>
  <c r="EL3" i="16"/>
  <c r="EX3" i="16"/>
  <c r="FH3" i="16"/>
  <c r="FR3" i="16"/>
  <c r="GD3" i="16"/>
  <c r="GN3" i="16"/>
  <c r="GX3" i="16"/>
  <c r="DO4" i="16"/>
  <c r="DY4" i="16"/>
  <c r="EI4" i="16"/>
  <c r="EU4" i="16"/>
  <c r="FE4" i="16"/>
  <c r="FO4" i="16"/>
  <c r="GA4" i="16"/>
  <c r="GK4" i="16"/>
  <c r="GU4" i="16"/>
  <c r="HG4" i="16"/>
  <c r="DV5" i="16"/>
  <c r="EF5" i="16"/>
  <c r="ER5" i="16"/>
  <c r="FB5" i="16"/>
  <c r="FL5" i="16"/>
  <c r="FX5" i="16"/>
  <c r="GH5" i="16"/>
  <c r="GR5" i="16"/>
  <c r="HD5" i="16"/>
  <c r="DS6" i="16"/>
  <c r="EB6" i="16"/>
  <c r="EK6" i="16"/>
  <c r="ET6" i="16"/>
  <c r="FD6" i="16"/>
  <c r="FM6" i="16"/>
  <c r="FV6" i="16"/>
  <c r="GE6" i="16"/>
  <c r="GN6" i="16"/>
  <c r="GW6" i="16"/>
  <c r="HF6" i="16"/>
  <c r="DU7" i="16"/>
  <c r="ED7" i="16"/>
  <c r="EM7" i="16"/>
  <c r="EV7" i="16"/>
  <c r="FE7" i="16"/>
  <c r="FN7" i="16"/>
  <c r="FW7" i="16"/>
  <c r="GG7" i="16"/>
  <c r="GP7" i="16"/>
  <c r="GY7" i="16"/>
  <c r="DM8" i="16"/>
  <c r="DV8" i="16"/>
  <c r="EE8" i="16"/>
  <c r="EN8" i="16"/>
  <c r="EX8" i="16"/>
  <c r="FG8" i="16"/>
  <c r="FP8" i="16"/>
  <c r="FY8" i="16"/>
  <c r="GH8" i="16"/>
  <c r="GQ8" i="16"/>
  <c r="GZ8" i="16"/>
  <c r="DM9" i="16"/>
  <c r="DU9" i="16"/>
  <c r="EC9" i="16"/>
  <c r="EK9" i="16"/>
  <c r="ES9" i="16"/>
  <c r="FA9" i="16"/>
  <c r="FI9" i="16"/>
  <c r="FQ9" i="16"/>
  <c r="FY9" i="16"/>
  <c r="GG9" i="16"/>
  <c r="GO9" i="16"/>
  <c r="GW9" i="16"/>
  <c r="HE9" i="16"/>
  <c r="DR10" i="16"/>
  <c r="DZ10" i="16"/>
  <c r="EH10" i="16"/>
  <c r="EP10" i="16"/>
  <c r="EX10" i="16"/>
  <c r="FF10" i="16"/>
  <c r="FN10" i="16"/>
  <c r="FV10" i="16"/>
  <c r="GD10" i="16"/>
  <c r="GL10" i="16"/>
  <c r="GT10" i="16"/>
  <c r="HB10" i="16"/>
  <c r="DO11" i="16"/>
  <c r="DW11" i="16"/>
  <c r="EE11" i="16"/>
  <c r="EM11" i="16"/>
  <c r="EU11" i="16"/>
  <c r="FC11" i="16"/>
  <c r="FK11" i="16"/>
  <c r="FS11" i="16"/>
  <c r="GA11" i="16"/>
  <c r="GI11" i="16"/>
  <c r="GQ11" i="16"/>
  <c r="GY11" i="16"/>
  <c r="HG11" i="16"/>
  <c r="DT12" i="16"/>
  <c r="EB12" i="16"/>
  <c r="EJ12" i="16"/>
  <c r="ER12" i="16"/>
  <c r="EZ12" i="16"/>
  <c r="FH12" i="16"/>
  <c r="FP12" i="16"/>
  <c r="FX12" i="16"/>
  <c r="DV2" i="16"/>
  <c r="EF2" i="16"/>
  <c r="EP2" i="16"/>
  <c r="FB2" i="16"/>
  <c r="FL2" i="16"/>
  <c r="FV2" i="16"/>
  <c r="GH2" i="16"/>
  <c r="GR2" i="16"/>
  <c r="HB2" i="16"/>
  <c r="DS3" i="16"/>
  <c r="EC3" i="16"/>
  <c r="EM3" i="16"/>
  <c r="EY3" i="16"/>
  <c r="FI3" i="16"/>
  <c r="FS3" i="16"/>
  <c r="GE3" i="16"/>
  <c r="GO3" i="16"/>
  <c r="GY3" i="16"/>
  <c r="DP4" i="16"/>
  <c r="DZ4" i="16"/>
  <c r="EJ4" i="16"/>
  <c r="EV4" i="16"/>
  <c r="FF4" i="16"/>
  <c r="FP4" i="16"/>
  <c r="GB4" i="16"/>
  <c r="GL4" i="16"/>
  <c r="GV4" i="16"/>
  <c r="DM5" i="16"/>
  <c r="DW5" i="16"/>
  <c r="EG5" i="16"/>
  <c r="ES5" i="16"/>
  <c r="FC5" i="16"/>
  <c r="FM5" i="16"/>
  <c r="FY5" i="16"/>
  <c r="GI5" i="16"/>
  <c r="GS5" i="16"/>
  <c r="HE5" i="16"/>
  <c r="DT6" i="16"/>
  <c r="EC6" i="16"/>
  <c r="EL6" i="16"/>
  <c r="EV6" i="16"/>
  <c r="FE6" i="16"/>
  <c r="FN6" i="16"/>
  <c r="FW6" i="16"/>
  <c r="GF6" i="16"/>
  <c r="GO6" i="16"/>
  <c r="GX6" i="16"/>
  <c r="DM7" i="16"/>
  <c r="DV7" i="16"/>
  <c r="EE7" i="16"/>
  <c r="EN7" i="16"/>
  <c r="EW7" i="16"/>
  <c r="FF7" i="16"/>
  <c r="FO7" i="16"/>
  <c r="FY7" i="16"/>
  <c r="GH7" i="16"/>
  <c r="GQ7" i="16"/>
  <c r="GZ7" i="16"/>
  <c r="DN8" i="16"/>
  <c r="DW8" i="16"/>
  <c r="EF8" i="16"/>
  <c r="EP8" i="16"/>
  <c r="EY8" i="16"/>
  <c r="FH8" i="16"/>
  <c r="FQ8" i="16"/>
  <c r="FZ8" i="16"/>
  <c r="GI8" i="16"/>
  <c r="GR8" i="16"/>
  <c r="HA8" i="16"/>
  <c r="DN9" i="16"/>
  <c r="DV9" i="16"/>
  <c r="ED9" i="16"/>
  <c r="EL9" i="16"/>
  <c r="ET9" i="16"/>
  <c r="FB9" i="16"/>
  <c r="FJ9" i="16"/>
  <c r="FR9" i="16"/>
  <c r="FZ9" i="16"/>
  <c r="GH9" i="16"/>
  <c r="GP9" i="16"/>
  <c r="GX9" i="16"/>
  <c r="HF9" i="16"/>
  <c r="DS10" i="16"/>
  <c r="EA10" i="16"/>
  <c r="EI10" i="16"/>
  <c r="DM2" i="16"/>
  <c r="DW2" i="16"/>
  <c r="EG2" i="16"/>
  <c r="ES2" i="16"/>
  <c r="FC2" i="16"/>
  <c r="FM2" i="16"/>
  <c r="FY2" i="16"/>
  <c r="GI2" i="16"/>
  <c r="GS2" i="16"/>
  <c r="HE2" i="16"/>
  <c r="DT3" i="16"/>
  <c r="ED3" i="16"/>
  <c r="EP3" i="16"/>
  <c r="EZ3" i="16"/>
  <c r="FJ3" i="16"/>
  <c r="FV3" i="16"/>
  <c r="GF3" i="16"/>
  <c r="GP3" i="16"/>
  <c r="HB3" i="16"/>
  <c r="DQ4" i="16"/>
  <c r="EA4" i="16"/>
  <c r="EM4" i="16"/>
  <c r="EW4" i="16"/>
  <c r="FG4" i="16"/>
  <c r="FS4" i="16"/>
  <c r="GC4" i="16"/>
  <c r="GM4" i="16"/>
  <c r="GY4" i="16"/>
  <c r="DN5" i="16"/>
  <c r="DX5" i="16"/>
  <c r="EJ5" i="16"/>
  <c r="ET5" i="16"/>
  <c r="FD5" i="16"/>
  <c r="FP5" i="16"/>
  <c r="FZ5" i="16"/>
  <c r="GJ5" i="16"/>
  <c r="GV5" i="16"/>
  <c r="HF5" i="16"/>
  <c r="DU6" i="16"/>
  <c r="ED6" i="16"/>
  <c r="EN6" i="16"/>
  <c r="EW6" i="16"/>
  <c r="FF6" i="16"/>
  <c r="FO6" i="16"/>
  <c r="FX6" i="16"/>
  <c r="GG6" i="16"/>
  <c r="GP6" i="16"/>
  <c r="GZ6" i="16"/>
  <c r="DN7" i="16"/>
  <c r="DW7" i="16"/>
  <c r="EF7" i="16"/>
  <c r="EO7" i="16"/>
  <c r="EX7" i="16"/>
  <c r="FG7" i="16"/>
  <c r="FQ7" i="16"/>
  <c r="FZ7" i="16"/>
  <c r="GI7" i="16"/>
  <c r="GR7" i="16"/>
  <c r="DR2" i="16"/>
  <c r="ED2" i="16"/>
  <c r="EN2" i="16"/>
  <c r="EX2" i="16"/>
  <c r="FJ2" i="16"/>
  <c r="FT2" i="16"/>
  <c r="GD2" i="16"/>
  <c r="GP2" i="16"/>
  <c r="GZ2" i="16"/>
  <c r="DO3" i="16"/>
  <c r="EA3" i="16"/>
  <c r="EK3" i="16"/>
  <c r="EU3" i="16"/>
  <c r="FG3" i="16"/>
  <c r="FQ3" i="16"/>
  <c r="GA3" i="16"/>
  <c r="GM3" i="16"/>
  <c r="GW3" i="16"/>
  <c r="HG3" i="16"/>
  <c r="DX4" i="16"/>
  <c r="EH4" i="16"/>
  <c r="ER4" i="16"/>
  <c r="FD4" i="16"/>
  <c r="FN4" i="16"/>
  <c r="FX4" i="16"/>
  <c r="GJ4" i="16"/>
  <c r="GT4" i="16"/>
  <c r="HD4" i="16"/>
  <c r="DU5" i="16"/>
  <c r="EE5" i="16"/>
  <c r="EO5" i="16"/>
  <c r="FA5" i="16"/>
  <c r="FK5" i="16"/>
  <c r="FU5" i="16"/>
  <c r="GG5" i="16"/>
  <c r="GQ5" i="16"/>
  <c r="HA5" i="16"/>
  <c r="DR6" i="16"/>
  <c r="EA6" i="16"/>
  <c r="EJ6" i="16"/>
  <c r="ES6" i="16"/>
  <c r="FB6" i="16"/>
  <c r="FL6" i="16"/>
  <c r="FU6" i="16"/>
  <c r="GD6" i="16"/>
  <c r="GM6" i="16"/>
  <c r="GV6" i="16"/>
  <c r="HE6" i="16"/>
  <c r="DS7" i="16"/>
  <c r="EC7" i="16"/>
  <c r="EL7" i="16"/>
  <c r="EU7" i="16"/>
  <c r="FD7" i="16"/>
  <c r="FM7" i="16"/>
  <c r="FV7" i="16"/>
  <c r="GE7" i="16"/>
  <c r="GO7" i="16"/>
  <c r="GX7" i="16"/>
  <c r="HG7" i="16"/>
  <c r="DU8" i="16"/>
  <c r="ED8" i="16"/>
  <c r="EM8" i="16"/>
  <c r="EV8" i="16"/>
  <c r="FF8" i="16"/>
  <c r="FO8" i="16"/>
  <c r="FX8" i="16"/>
  <c r="GG8" i="16"/>
  <c r="GP8" i="16"/>
  <c r="GY8" i="16"/>
  <c r="HG8" i="16"/>
  <c r="DT9" i="16"/>
  <c r="EB9" i="16"/>
  <c r="EJ9" i="16"/>
  <c r="ER9" i="16"/>
  <c r="EZ9" i="16"/>
  <c r="FH9" i="16"/>
  <c r="DZ2" i="16"/>
  <c r="EV2" i="16"/>
  <c r="FR2" i="16"/>
  <c r="GL2" i="16"/>
  <c r="DM3" i="16"/>
  <c r="EI3" i="16"/>
  <c r="FC3" i="16"/>
  <c r="FY3" i="16"/>
  <c r="GU3" i="16"/>
  <c r="DT4" i="16"/>
  <c r="EP4" i="16"/>
  <c r="FL4" i="16"/>
  <c r="GF4" i="16"/>
  <c r="HB4" i="16"/>
  <c r="EC5" i="16"/>
  <c r="EW5" i="16"/>
  <c r="FS5" i="16"/>
  <c r="GO5" i="16"/>
  <c r="DN6" i="16"/>
  <c r="EH6" i="16"/>
  <c r="EZ6" i="16"/>
  <c r="FR6" i="16"/>
  <c r="GK6" i="16"/>
  <c r="HC6" i="16"/>
  <c r="DZ7" i="16"/>
  <c r="ES7" i="16"/>
  <c r="FK7" i="16"/>
  <c r="GC7" i="16"/>
  <c r="GU7" i="16"/>
  <c r="DP8" i="16"/>
  <c r="EC8" i="16"/>
  <c r="ES8" i="16"/>
  <c r="FI8" i="16"/>
  <c r="FV8" i="16"/>
  <c r="GL8" i="16"/>
  <c r="GX8" i="16"/>
  <c r="DQ9" i="16"/>
  <c r="EE9" i="16"/>
  <c r="EP9" i="16"/>
  <c r="FD9" i="16"/>
  <c r="FO9" i="16"/>
  <c r="GA9" i="16"/>
  <c r="GK9" i="16"/>
  <c r="GU9" i="16"/>
  <c r="HG9" i="16"/>
  <c r="DV10" i="16"/>
  <c r="EF10" i="16"/>
  <c r="EQ10" i="16"/>
  <c r="EZ10" i="16"/>
  <c r="FI10" i="16"/>
  <c r="FR10" i="16"/>
  <c r="GA10" i="16"/>
  <c r="GJ10" i="16"/>
  <c r="GS10" i="16"/>
  <c r="HC10" i="16"/>
  <c r="DQ11" i="16"/>
  <c r="DZ11" i="16"/>
  <c r="EI11" i="16"/>
  <c r="ER11" i="16"/>
  <c r="FA11" i="16"/>
  <c r="FJ11" i="16"/>
  <c r="FT11" i="16"/>
  <c r="GC11" i="16"/>
  <c r="GL11" i="16"/>
  <c r="GU11" i="16"/>
  <c r="HD11" i="16"/>
  <c r="DR12" i="16"/>
  <c r="EA12" i="16"/>
  <c r="EK12" i="16"/>
  <c r="ET12" i="16"/>
  <c r="FC12" i="16"/>
  <c r="FL12" i="16"/>
  <c r="FU12" i="16"/>
  <c r="GD12" i="16"/>
  <c r="GL12" i="16"/>
  <c r="GT12" i="16"/>
  <c r="HB12" i="16"/>
  <c r="DO13" i="16"/>
  <c r="DW13" i="16"/>
  <c r="EE13" i="16"/>
  <c r="EM13" i="16"/>
  <c r="EU13" i="16"/>
  <c r="FC13" i="16"/>
  <c r="FK13" i="16"/>
  <c r="FS13" i="16"/>
  <c r="GA13" i="16"/>
  <c r="GI13" i="16"/>
  <c r="GQ13" i="16"/>
  <c r="GY13" i="16"/>
  <c r="HG13" i="16"/>
  <c r="DT14" i="16"/>
  <c r="EB14" i="16"/>
  <c r="EJ14" i="16"/>
  <c r="ER14" i="16"/>
  <c r="EZ14" i="16"/>
  <c r="FH14" i="16"/>
  <c r="FP14" i="16"/>
  <c r="FX14" i="16"/>
  <c r="GF14" i="16"/>
  <c r="GN14" i="16"/>
  <c r="GV14" i="16"/>
  <c r="HD14" i="16"/>
  <c r="DQ15" i="16"/>
  <c r="DY15" i="16"/>
  <c r="EG15" i="16"/>
  <c r="EO15" i="16"/>
  <c r="EW15" i="16"/>
  <c r="FE15" i="16"/>
  <c r="FM15" i="16"/>
  <c r="FU15" i="16"/>
  <c r="GC15" i="16"/>
  <c r="EC2" i="16"/>
  <c r="EW2" i="16"/>
  <c r="FS2" i="16"/>
  <c r="GO2" i="16"/>
  <c r="DN3" i="16"/>
  <c r="EJ3" i="16"/>
  <c r="FF3" i="16"/>
  <c r="FZ3" i="16"/>
  <c r="GV3" i="16"/>
  <c r="DW4" i="16"/>
  <c r="EQ4" i="16"/>
  <c r="FM4" i="16"/>
  <c r="GI4" i="16"/>
  <c r="HC4" i="16"/>
  <c r="ED5" i="16"/>
  <c r="EZ5" i="16"/>
  <c r="FT5" i="16"/>
  <c r="GP5" i="16"/>
  <c r="DQ6" i="16"/>
  <c r="EI6" i="16"/>
  <c r="FA6" i="16"/>
  <c r="FT6" i="16"/>
  <c r="GL6" i="16"/>
  <c r="HD6" i="16"/>
  <c r="EA7" i="16"/>
  <c r="ET7" i="16"/>
  <c r="FL7" i="16"/>
  <c r="GD7" i="16"/>
  <c r="GW7" i="16"/>
  <c r="DR8" i="16"/>
  <c r="EH8" i="16"/>
  <c r="ET8" i="16"/>
  <c r="FJ8" i="16"/>
  <c r="FW8" i="16"/>
  <c r="GM8" i="16"/>
  <c r="HB8" i="16"/>
  <c r="DR9" i="16"/>
  <c r="EF9" i="16"/>
  <c r="EQ9" i="16"/>
  <c r="FE9" i="16"/>
  <c r="FP9" i="16"/>
  <c r="GB9" i="16"/>
  <c r="GL9" i="16"/>
  <c r="GV9" i="16"/>
  <c r="DM10" i="16"/>
  <c r="DW10" i="16"/>
  <c r="EG10" i="16"/>
  <c r="ER10" i="16"/>
  <c r="FA10" i="16"/>
  <c r="FJ10" i="16"/>
  <c r="FS10" i="16"/>
  <c r="GB10" i="16"/>
  <c r="GK10" i="16"/>
  <c r="GU10" i="16"/>
  <c r="HD10" i="16"/>
  <c r="DR11" i="16"/>
  <c r="EA11" i="16"/>
  <c r="EJ11" i="16"/>
  <c r="ES11" i="16"/>
  <c r="FB11" i="16"/>
  <c r="FL11" i="16"/>
  <c r="FU11" i="16"/>
  <c r="GD11" i="16"/>
  <c r="GM11" i="16"/>
  <c r="GV11" i="16"/>
  <c r="HE11" i="16"/>
  <c r="DS12" i="16"/>
  <c r="EC12" i="16"/>
  <c r="EL12" i="16"/>
  <c r="EU12" i="16"/>
  <c r="FD12" i="16"/>
  <c r="FM12" i="16"/>
  <c r="FV12" i="16"/>
  <c r="GE12" i="16"/>
  <c r="GM12" i="16"/>
  <c r="GU12" i="16"/>
  <c r="HC12" i="16"/>
  <c r="DP13" i="16"/>
  <c r="DX13" i="16"/>
  <c r="EF13" i="16"/>
  <c r="EN13" i="16"/>
  <c r="EV13" i="16"/>
  <c r="FD13" i="16"/>
  <c r="FL13" i="16"/>
  <c r="FT13" i="16"/>
  <c r="GB13" i="16"/>
  <c r="GJ13" i="16"/>
  <c r="GR13" i="16"/>
  <c r="GZ13" i="16"/>
  <c r="DM14" i="16"/>
  <c r="DN2" i="16"/>
  <c r="EH2" i="16"/>
  <c r="FD2" i="16"/>
  <c r="FZ2" i="16"/>
  <c r="GT2" i="16"/>
  <c r="DU3" i="16"/>
  <c r="EQ3" i="16"/>
  <c r="FK3" i="16"/>
  <c r="GG3" i="16"/>
  <c r="HC3" i="16"/>
  <c r="EB4" i="16"/>
  <c r="EX4" i="16"/>
  <c r="FT4" i="16"/>
  <c r="GN4" i="16"/>
  <c r="DO5" i="16"/>
  <c r="EK5" i="16"/>
  <c r="FE5" i="16"/>
  <c r="GA5" i="16"/>
  <c r="GW5" i="16"/>
  <c r="DV6" i="16"/>
  <c r="EO6" i="16"/>
  <c r="FG6" i="16"/>
  <c r="FY6" i="16"/>
  <c r="GR6" i="16"/>
  <c r="DO7" i="16"/>
  <c r="EG7" i="16"/>
  <c r="EY7" i="16"/>
  <c r="FR7" i="16"/>
  <c r="GJ7" i="16"/>
  <c r="HA7" i="16"/>
  <c r="DS8" i="16"/>
  <c r="EI8" i="16"/>
  <c r="EU8" i="16"/>
  <c r="FK8" i="16"/>
  <c r="GA8" i="16"/>
  <c r="GN8" i="16"/>
  <c r="HC8" i="16"/>
  <c r="DS9" i="16"/>
  <c r="EG9" i="16"/>
  <c r="EU9" i="16"/>
  <c r="FF9" i="16"/>
  <c r="FS9" i="16"/>
  <c r="GC9" i="16"/>
  <c r="GM9" i="16"/>
  <c r="GY9" i="16"/>
  <c r="DN10" i="16"/>
  <c r="DX10" i="16"/>
  <c r="EJ10" i="16"/>
  <c r="ES10" i="16"/>
  <c r="FB10" i="16"/>
  <c r="FK10" i="16"/>
  <c r="FT10" i="16"/>
  <c r="GC10" i="16"/>
  <c r="GM10" i="16"/>
  <c r="GV10" i="16"/>
  <c r="HE10" i="16"/>
  <c r="DS11" i="16"/>
  <c r="EB11" i="16"/>
  <c r="EK11" i="16"/>
  <c r="ET11" i="16"/>
  <c r="FD11" i="16"/>
  <c r="FM11" i="16"/>
  <c r="FV11" i="16"/>
  <c r="GE11" i="16"/>
  <c r="GN11" i="16"/>
  <c r="GW11" i="16"/>
  <c r="HF11" i="16"/>
  <c r="DU12" i="16"/>
  <c r="ED12" i="16"/>
  <c r="EM12" i="16"/>
  <c r="EV12" i="16"/>
  <c r="FE12" i="16"/>
  <c r="FN12" i="16"/>
  <c r="FW12" i="16"/>
  <c r="GF12" i="16"/>
  <c r="GN12" i="16"/>
  <c r="GV12" i="16"/>
  <c r="HD12" i="16"/>
  <c r="DQ13" i="16"/>
  <c r="DY13" i="16"/>
  <c r="EG13" i="16"/>
  <c r="EO13" i="16"/>
  <c r="EW13" i="16"/>
  <c r="FE13" i="16"/>
  <c r="DY2" i="16"/>
  <c r="EU2" i="16"/>
  <c r="FQ2" i="16"/>
  <c r="GK2" i="16"/>
  <c r="HG2" i="16"/>
  <c r="EH3" i="16"/>
  <c r="FB3" i="16"/>
  <c r="FX3" i="16"/>
  <c r="GT3" i="16"/>
  <c r="DS4" i="16"/>
  <c r="EO4" i="16"/>
  <c r="FK4" i="16"/>
  <c r="GE4" i="16"/>
  <c r="HA4" i="16"/>
  <c r="EB5" i="16"/>
  <c r="EV5" i="16"/>
  <c r="FR5" i="16"/>
  <c r="GN5" i="16"/>
  <c r="DM6" i="16"/>
  <c r="EG6" i="16"/>
  <c r="EY6" i="16"/>
  <c r="FQ6" i="16"/>
  <c r="GJ6" i="16"/>
  <c r="HB6" i="16"/>
  <c r="DY7" i="16"/>
  <c r="EQ7" i="16"/>
  <c r="FJ7" i="16"/>
  <c r="GB7" i="16"/>
  <c r="GT7" i="16"/>
  <c r="DO8" i="16"/>
  <c r="EB8" i="16"/>
  <c r="ER8" i="16"/>
  <c r="FD8" i="16"/>
  <c r="FT8" i="16"/>
  <c r="GJ8" i="16"/>
  <c r="GW8" i="16"/>
  <c r="DP9" i="16"/>
  <c r="EA9" i="16"/>
  <c r="EO9" i="16"/>
  <c r="FC9" i="16"/>
  <c r="FN9" i="16"/>
  <c r="FX9" i="16"/>
  <c r="GJ9" i="16"/>
  <c r="GT9" i="16"/>
  <c r="HD9" i="16"/>
  <c r="DU10" i="16"/>
  <c r="EE10" i="16"/>
  <c r="EO10" i="16"/>
  <c r="EY10" i="16"/>
  <c r="FH10" i="16"/>
  <c r="FQ10" i="16"/>
  <c r="FZ10" i="16"/>
  <c r="GI10" i="16"/>
  <c r="GR10" i="16"/>
  <c r="HA10" i="16"/>
  <c r="DP11" i="16"/>
  <c r="DY11" i="16"/>
  <c r="EH11" i="16"/>
  <c r="EQ11" i="16"/>
  <c r="EZ11" i="16"/>
  <c r="FI11" i="16"/>
  <c r="FR11" i="16"/>
  <c r="GB11" i="16"/>
  <c r="GK11" i="16"/>
  <c r="GT11" i="16"/>
  <c r="HC11" i="16"/>
  <c r="DQ12" i="16"/>
  <c r="DZ12" i="16"/>
  <c r="EI12" i="16"/>
  <c r="ES12" i="16"/>
  <c r="FB12" i="16"/>
  <c r="FK12" i="16"/>
  <c r="FT12" i="16"/>
  <c r="GC12" i="16"/>
  <c r="GK12" i="16"/>
  <c r="GS12" i="16"/>
  <c r="HA12" i="16"/>
  <c r="DN13" i="16"/>
  <c r="DV13" i="16"/>
  <c r="ED13" i="16"/>
  <c r="EL13" i="16"/>
  <c r="ET13" i="16"/>
  <c r="FB13" i="16"/>
  <c r="FJ13" i="16"/>
  <c r="FR13" i="16"/>
  <c r="EM2" i="16"/>
  <c r="GC2" i="16"/>
  <c r="DZ3" i="16"/>
  <c r="FP3" i="16"/>
  <c r="HF3" i="16"/>
  <c r="FC4" i="16"/>
  <c r="GS4" i="16"/>
  <c r="EN5" i="16"/>
  <c r="GF5" i="16"/>
  <c r="DZ6" i="16"/>
  <c r="FJ6" i="16"/>
  <c r="GU6" i="16"/>
  <c r="EK7" i="16"/>
  <c r="FU7" i="16"/>
  <c r="HE7" i="16"/>
  <c r="EL8" i="16"/>
  <c r="FR8" i="16"/>
  <c r="GU8" i="16"/>
  <c r="DY9" i="16"/>
  <c r="EX9" i="16"/>
  <c r="FV9" i="16"/>
  <c r="GR9" i="16"/>
  <c r="DQ10" i="16"/>
  <c r="EM10" i="16"/>
  <c r="FE10" i="16"/>
  <c r="FX10" i="16"/>
  <c r="GP10" i="16"/>
  <c r="DM11" i="16"/>
  <c r="EF11" i="16"/>
  <c r="EX11" i="16"/>
  <c r="FP11" i="16"/>
  <c r="GH11" i="16"/>
  <c r="HA11" i="16"/>
  <c r="DX12" i="16"/>
  <c r="EP12" i="16"/>
  <c r="FI12" i="16"/>
  <c r="GA12" i="16"/>
  <c r="GQ12" i="16"/>
  <c r="HG12" i="16"/>
  <c r="EB13" i="16"/>
  <c r="ER13" i="16"/>
  <c r="FH13" i="16"/>
  <c r="FV13" i="16"/>
  <c r="GF13" i="16"/>
  <c r="GP13" i="16"/>
  <c r="HB13" i="16"/>
  <c r="DQ14" i="16"/>
  <c r="DZ14" i="16"/>
  <c r="EI14" i="16"/>
  <c r="ES14" i="16"/>
  <c r="FB14" i="16"/>
  <c r="FK14" i="16"/>
  <c r="FT14" i="16"/>
  <c r="GC14" i="16"/>
  <c r="GL14" i="16"/>
  <c r="GU14" i="16"/>
  <c r="HE14" i="16"/>
  <c r="DS15" i="16"/>
  <c r="EB15" i="16"/>
  <c r="EK15" i="16"/>
  <c r="ET15" i="16"/>
  <c r="FC15" i="16"/>
  <c r="FL15" i="16"/>
  <c r="FV15" i="16"/>
  <c r="GE15" i="16"/>
  <c r="GM15" i="16"/>
  <c r="GU15" i="16"/>
  <c r="HC15" i="16"/>
  <c r="DP16" i="16"/>
  <c r="DX16" i="16"/>
  <c r="EF16" i="16"/>
  <c r="EN16" i="16"/>
  <c r="EV16" i="16"/>
  <c r="FD16" i="16"/>
  <c r="FL16" i="16"/>
  <c r="FT16" i="16"/>
  <c r="GB16" i="16"/>
  <c r="GJ16" i="16"/>
  <c r="GR16" i="16"/>
  <c r="GZ16" i="16"/>
  <c r="DM17" i="16"/>
  <c r="DU17" i="16"/>
  <c r="EC17" i="16"/>
  <c r="EK17" i="16"/>
  <c r="ES17" i="16"/>
  <c r="FA17" i="16"/>
  <c r="FI17" i="16"/>
  <c r="FQ17" i="16"/>
  <c r="FY17" i="16"/>
  <c r="GG17" i="16"/>
  <c r="GO17" i="16"/>
  <c r="GW17" i="16"/>
  <c r="HE17" i="16"/>
  <c r="DR18" i="16"/>
  <c r="DZ18" i="16"/>
  <c r="EH18" i="16"/>
  <c r="EP18" i="16"/>
  <c r="EX18" i="16"/>
  <c r="FF18" i="16"/>
  <c r="FN18" i="16"/>
  <c r="FV18" i="16"/>
  <c r="GD18" i="16"/>
  <c r="GL18" i="16"/>
  <c r="GT18" i="16"/>
  <c r="HB18" i="16"/>
  <c r="DO19" i="16"/>
  <c r="DW19" i="16"/>
  <c r="EE19" i="16"/>
  <c r="EM19" i="16"/>
  <c r="EU19" i="16"/>
  <c r="FC19" i="16"/>
  <c r="FK19" i="16"/>
  <c r="FS19" i="16"/>
  <c r="GA19" i="16"/>
  <c r="GI19" i="16"/>
  <c r="GQ19" i="16"/>
  <c r="ET2" i="16"/>
  <c r="GJ2" i="16"/>
  <c r="EE3" i="16"/>
  <c r="FW3" i="16"/>
  <c r="DR4" i="16"/>
  <c r="FH4" i="16"/>
  <c r="GZ4" i="16"/>
  <c r="EU5" i="16"/>
  <c r="GK5" i="16"/>
  <c r="EF6" i="16"/>
  <c r="FP6" i="16"/>
  <c r="HA6" i="16"/>
  <c r="EP7" i="16"/>
  <c r="GA7" i="16"/>
  <c r="HF7" i="16"/>
  <c r="EQ8" i="16"/>
  <c r="FS8" i="16"/>
  <c r="GV8" i="16"/>
  <c r="DZ9" i="16"/>
  <c r="EY9" i="16"/>
  <c r="FW9" i="16"/>
  <c r="GS9" i="16"/>
  <c r="DT10" i="16"/>
  <c r="EN10" i="16"/>
  <c r="FG10" i="16"/>
  <c r="FY10" i="16"/>
  <c r="GQ10" i="16"/>
  <c r="DN11" i="16"/>
  <c r="EG11" i="16"/>
  <c r="EY11" i="16"/>
  <c r="FQ11" i="16"/>
  <c r="GJ11" i="16"/>
  <c r="HB11" i="16"/>
  <c r="DY12" i="16"/>
  <c r="EQ12" i="16"/>
  <c r="FJ12" i="16"/>
  <c r="GB12" i="16"/>
  <c r="GR12" i="16"/>
  <c r="DM13" i="16"/>
  <c r="EC13" i="16"/>
  <c r="ES13" i="16"/>
  <c r="FI13" i="16"/>
  <c r="FW13" i="16"/>
  <c r="GG13" i="16"/>
  <c r="GS13" i="16"/>
  <c r="HC13" i="16"/>
  <c r="DR14" i="16"/>
  <c r="EA14" i="16"/>
  <c r="EK14" i="16"/>
  <c r="ET14" i="16"/>
  <c r="FC14" i="16"/>
  <c r="FL14" i="16"/>
  <c r="FU14" i="16"/>
  <c r="GD14" i="16"/>
  <c r="GM14" i="16"/>
  <c r="GW14" i="16"/>
  <c r="HF14" i="16"/>
  <c r="DT15" i="16"/>
  <c r="EC15" i="16"/>
  <c r="EL15" i="16"/>
  <c r="EU15" i="16"/>
  <c r="FD15" i="16"/>
  <c r="FN15" i="16"/>
  <c r="FW15" i="16"/>
  <c r="GF15" i="16"/>
  <c r="GN15" i="16"/>
  <c r="GV15" i="16"/>
  <c r="HD15" i="16"/>
  <c r="DQ16" i="16"/>
  <c r="DY16" i="16"/>
  <c r="EG16" i="16"/>
  <c r="EO16" i="16"/>
  <c r="EW16" i="16"/>
  <c r="FE16" i="16"/>
  <c r="FM16" i="16"/>
  <c r="FU16" i="16"/>
  <c r="GC16" i="16"/>
  <c r="GK16" i="16"/>
  <c r="GS16" i="16"/>
  <c r="HA16" i="16"/>
  <c r="DN17" i="16"/>
  <c r="DV17" i="16"/>
  <c r="ED17" i="16"/>
  <c r="EL17" i="16"/>
  <c r="ET17" i="16"/>
  <c r="FB17" i="16"/>
  <c r="FJ17" i="16"/>
  <c r="FR17" i="16"/>
  <c r="FZ17" i="16"/>
  <c r="GH17" i="16"/>
  <c r="GP17" i="16"/>
  <c r="GX17" i="16"/>
  <c r="DO2" i="16"/>
  <c r="FE2" i="16"/>
  <c r="GW2" i="16"/>
  <c r="ER3" i="16"/>
  <c r="GH3" i="16"/>
  <c r="EE4" i="16"/>
  <c r="FU4" i="16"/>
  <c r="DP5" i="16"/>
  <c r="FH5" i="16"/>
  <c r="GX5" i="16"/>
  <c r="EP6" i="16"/>
  <c r="FZ6" i="16"/>
  <c r="DP7" i="16"/>
  <c r="FA7" i="16"/>
  <c r="GK7" i="16"/>
  <c r="DT8" i="16"/>
  <c r="EZ8" i="16"/>
  <c r="GB8" i="16"/>
  <c r="HD8" i="16"/>
  <c r="EH9" i="16"/>
  <c r="FG9" i="16"/>
  <c r="GD9" i="16"/>
  <c r="GZ9" i="16"/>
  <c r="DY10" i="16"/>
  <c r="ET10" i="16"/>
  <c r="FL10" i="16"/>
  <c r="GE10" i="16"/>
  <c r="GW10" i="16"/>
  <c r="DT11" i="16"/>
  <c r="EL11" i="16"/>
  <c r="FE11" i="16"/>
  <c r="FW11" i="16"/>
  <c r="GO11" i="16"/>
  <c r="DM12" i="16"/>
  <c r="EE12" i="16"/>
  <c r="EW12" i="16"/>
  <c r="FO12" i="16"/>
  <c r="GG12" i="16"/>
  <c r="GW12" i="16"/>
  <c r="DR13" i="16"/>
  <c r="EH13" i="16"/>
  <c r="EX13" i="16"/>
  <c r="FM13" i="16"/>
  <c r="FX13" i="16"/>
  <c r="GH13" i="16"/>
  <c r="GT13" i="16"/>
  <c r="HD13" i="16"/>
  <c r="DS14" i="16"/>
  <c r="EC14" i="16"/>
  <c r="EL14" i="16"/>
  <c r="EU14" i="16"/>
  <c r="FD14" i="16"/>
  <c r="FM14" i="16"/>
  <c r="FV14" i="16"/>
  <c r="GE14" i="16"/>
  <c r="GO14" i="16"/>
  <c r="GX14" i="16"/>
  <c r="HG14" i="16"/>
  <c r="DU15" i="16"/>
  <c r="ED15" i="16"/>
  <c r="EM15" i="16"/>
  <c r="EV15" i="16"/>
  <c r="FF15" i="16"/>
  <c r="FO15" i="16"/>
  <c r="FX15" i="16"/>
  <c r="GG15" i="16"/>
  <c r="GO15" i="16"/>
  <c r="GW15" i="16"/>
  <c r="HE15" i="16"/>
  <c r="DR16" i="16"/>
  <c r="DZ16" i="16"/>
  <c r="EH16" i="16"/>
  <c r="EP16" i="16"/>
  <c r="EX16" i="16"/>
  <c r="FF16" i="16"/>
  <c r="FN16" i="16"/>
  <c r="FV16" i="16"/>
  <c r="GD16" i="16"/>
  <c r="GL16" i="16"/>
  <c r="GT16" i="16"/>
  <c r="HB16" i="16"/>
  <c r="DO17" i="16"/>
  <c r="DW17" i="16"/>
  <c r="EE17" i="16"/>
  <c r="EM17" i="16"/>
  <c r="DP2" i="16"/>
  <c r="DQ2" i="16"/>
  <c r="DX2" i="16"/>
  <c r="EK2" i="16"/>
  <c r="EL2" i="16"/>
  <c r="GB2" i="16"/>
  <c r="DW3" i="16"/>
  <c r="FO3" i="16"/>
  <c r="HE3" i="16"/>
  <c r="EZ4" i="16"/>
  <c r="GR4" i="16"/>
  <c r="EM5" i="16"/>
  <c r="GC5" i="16"/>
  <c r="DY6" i="16"/>
  <c r="FI6" i="16"/>
  <c r="GT6" i="16"/>
  <c r="EI7" i="16"/>
  <c r="FT7" i="16"/>
  <c r="HC7" i="16"/>
  <c r="EK8" i="16"/>
  <c r="FN8" i="16"/>
  <c r="GT8" i="16"/>
  <c r="DX9" i="16"/>
  <c r="EW9" i="16"/>
  <c r="FU9" i="16"/>
  <c r="GQ9" i="16"/>
  <c r="DP10" i="16"/>
  <c r="EL10" i="16"/>
  <c r="FD10" i="16"/>
  <c r="FW10" i="16"/>
  <c r="GO10" i="16"/>
  <c r="HG10" i="16"/>
  <c r="ED11" i="16"/>
  <c r="EW11" i="16"/>
  <c r="FO11" i="16"/>
  <c r="GG11" i="16"/>
  <c r="GZ11" i="16"/>
  <c r="DW12" i="16"/>
  <c r="EO12" i="16"/>
  <c r="FG12" i="16"/>
  <c r="FZ12" i="16"/>
  <c r="GP12" i="16"/>
  <c r="HF12" i="16"/>
  <c r="EA13" i="16"/>
  <c r="EQ13" i="16"/>
  <c r="FG13" i="16"/>
  <c r="FU13" i="16"/>
  <c r="GE13" i="16"/>
  <c r="GO13" i="16"/>
  <c r="HA13" i="16"/>
  <c r="DP14" i="16"/>
  <c r="DY14" i="16"/>
  <c r="EH14" i="16"/>
  <c r="EQ14" i="16"/>
  <c r="FA14" i="16"/>
  <c r="FJ14" i="16"/>
  <c r="FS14" i="16"/>
  <c r="GB14" i="16"/>
  <c r="GK14" i="16"/>
  <c r="GT14" i="16"/>
  <c r="HC14" i="16"/>
  <c r="DR15" i="16"/>
  <c r="EA15" i="16"/>
  <c r="EJ15" i="16"/>
  <c r="ES15" i="16"/>
  <c r="FB15" i="16"/>
  <c r="FK15" i="16"/>
  <c r="FT15" i="16"/>
  <c r="GD15" i="16"/>
  <c r="GL15" i="16"/>
  <c r="GT15" i="16"/>
  <c r="HB15" i="16"/>
  <c r="DO16" i="16"/>
  <c r="DW16" i="16"/>
  <c r="EE16" i="16"/>
  <c r="EM16" i="16"/>
  <c r="EU16" i="16"/>
  <c r="FC16" i="16"/>
  <c r="FK16" i="16"/>
  <c r="FS16" i="16"/>
  <c r="GA16" i="16"/>
  <c r="GI16" i="16"/>
  <c r="GQ16" i="16"/>
  <c r="GY16" i="16"/>
  <c r="HG16" i="16"/>
  <c r="DT17" i="16"/>
  <c r="EB17" i="16"/>
  <c r="EJ17" i="16"/>
  <c r="ER17" i="16"/>
  <c r="EZ17" i="16"/>
  <c r="FH17" i="16"/>
  <c r="FP17" i="16"/>
  <c r="FX17" i="16"/>
  <c r="GF17" i="16"/>
  <c r="GN17" i="16"/>
  <c r="GV17" i="16"/>
  <c r="HD17" i="16"/>
  <c r="DQ18" i="16"/>
  <c r="DY18" i="16"/>
  <c r="EG18" i="16"/>
  <c r="EO18" i="16"/>
  <c r="HF2" i="16"/>
  <c r="GQ3" i="16"/>
  <c r="GD4" i="16"/>
  <c r="FQ5" i="16"/>
  <c r="EX6" i="16"/>
  <c r="DX7" i="16"/>
  <c r="GS7" i="16"/>
  <c r="FC8" i="16"/>
  <c r="DO9" i="16"/>
  <c r="FM9" i="16"/>
  <c r="HC9" i="16"/>
  <c r="EW10" i="16"/>
  <c r="GH10" i="16"/>
  <c r="DX11" i="16"/>
  <c r="FH11" i="16"/>
  <c r="GS11" i="16"/>
  <c r="EH12" i="16"/>
  <c r="FS12" i="16"/>
  <c r="GZ12" i="16"/>
  <c r="EK13" i="16"/>
  <c r="FP13" i="16"/>
  <c r="GM13" i="16"/>
  <c r="DN14" i="16"/>
  <c r="EF14" i="16"/>
  <c r="EX14" i="16"/>
  <c r="FQ14" i="16"/>
  <c r="GI14" i="16"/>
  <c r="HA14" i="16"/>
  <c r="DX15" i="16"/>
  <c r="EQ15" i="16"/>
  <c r="FI15" i="16"/>
  <c r="GA15" i="16"/>
  <c r="GR15" i="16"/>
  <c r="DM16" i="16"/>
  <c r="EC16" i="16"/>
  <c r="ES16" i="16"/>
  <c r="FI16" i="16"/>
  <c r="FY16" i="16"/>
  <c r="GO16" i="16"/>
  <c r="HE16" i="16"/>
  <c r="DZ17" i="16"/>
  <c r="EP17" i="16"/>
  <c r="FD17" i="16"/>
  <c r="FO17" i="16"/>
  <c r="GC17" i="16"/>
  <c r="GQ17" i="16"/>
  <c r="HB17" i="16"/>
  <c r="DS18" i="16"/>
  <c r="EC18" i="16"/>
  <c r="EM18" i="16"/>
  <c r="EW18" i="16"/>
  <c r="FG18" i="16"/>
  <c r="FP18" i="16"/>
  <c r="FY18" i="16"/>
  <c r="GH18" i="16"/>
  <c r="GQ18" i="16"/>
  <c r="GZ18" i="16"/>
  <c r="DN19" i="16"/>
  <c r="DX19" i="16"/>
  <c r="EG19" i="16"/>
  <c r="EP19" i="16"/>
  <c r="EY19" i="16"/>
  <c r="FH19" i="16"/>
  <c r="FQ19" i="16"/>
  <c r="FZ19" i="16"/>
  <c r="GJ19" i="16"/>
  <c r="GS19" i="16"/>
  <c r="HA19" i="16"/>
  <c r="DN20" i="16"/>
  <c r="DV20" i="16"/>
  <c r="ED20" i="16"/>
  <c r="EL20" i="16"/>
  <c r="ET20" i="16"/>
  <c r="FB20" i="16"/>
  <c r="FJ20" i="16"/>
  <c r="FR20" i="16"/>
  <c r="FZ20" i="16"/>
  <c r="GH20" i="16"/>
  <c r="GP20" i="16"/>
  <c r="GX20" i="16"/>
  <c r="HF20" i="16"/>
  <c r="DS21" i="16"/>
  <c r="EA21" i="16"/>
  <c r="EI21" i="16"/>
  <c r="EQ21" i="16"/>
  <c r="EY21" i="16"/>
  <c r="FG21" i="16"/>
  <c r="FO21" i="16"/>
  <c r="FW21" i="16"/>
  <c r="GE21" i="16"/>
  <c r="GM21" i="16"/>
  <c r="GU21" i="16"/>
  <c r="HC21" i="16"/>
  <c r="DP22" i="16"/>
  <c r="DX22" i="16"/>
  <c r="EF22" i="16"/>
  <c r="EN22" i="16"/>
  <c r="EV22" i="16"/>
  <c r="FD22" i="16"/>
  <c r="FL22" i="16"/>
  <c r="FT22" i="16"/>
  <c r="GB22" i="16"/>
  <c r="GJ22" i="16"/>
  <c r="GR22" i="16"/>
  <c r="GZ22" i="16"/>
  <c r="DM23" i="16"/>
  <c r="DU23" i="16"/>
  <c r="EC23" i="16"/>
  <c r="EK23" i="16"/>
  <c r="ES23" i="16"/>
  <c r="FA23" i="16"/>
  <c r="FI23" i="16"/>
  <c r="FQ23" i="16"/>
  <c r="FY23" i="16"/>
  <c r="GG23" i="16"/>
  <c r="GO23" i="16"/>
  <c r="GW23" i="16"/>
  <c r="HE23" i="16"/>
  <c r="DR24" i="16"/>
  <c r="DZ24" i="16"/>
  <c r="EH24" i="16"/>
  <c r="EP24" i="16"/>
  <c r="EX24" i="16"/>
  <c r="FF24" i="16"/>
  <c r="FN24" i="16"/>
  <c r="FV24" i="16"/>
  <c r="GD24" i="16"/>
  <c r="GL24" i="16"/>
  <c r="GT24" i="16"/>
  <c r="HB24" i="16"/>
  <c r="DO25" i="16"/>
  <c r="DW25" i="16"/>
  <c r="EE25" i="16"/>
  <c r="EM25" i="16"/>
  <c r="EU25" i="16"/>
  <c r="FC25" i="16"/>
  <c r="FK25" i="16"/>
  <c r="FS25" i="16"/>
  <c r="GA25" i="16"/>
  <c r="GI25" i="16"/>
  <c r="GQ25" i="16"/>
  <c r="GY25" i="16"/>
  <c r="HG25" i="16"/>
  <c r="DT26" i="16"/>
  <c r="EB26" i="16"/>
  <c r="EJ26" i="16"/>
  <c r="ER26" i="16"/>
  <c r="EZ26" i="16"/>
  <c r="FH26" i="16"/>
  <c r="FP26" i="16"/>
  <c r="FX26" i="16"/>
  <c r="GF26" i="16"/>
  <c r="GN26" i="16"/>
  <c r="GV26" i="16"/>
  <c r="HD26" i="16"/>
  <c r="DQ27" i="16"/>
  <c r="DY27" i="16"/>
  <c r="EG27" i="16"/>
  <c r="EO27" i="16"/>
  <c r="EW27" i="16"/>
  <c r="FE27" i="16"/>
  <c r="FM27" i="16"/>
  <c r="FU27" i="16"/>
  <c r="GC27" i="16"/>
  <c r="GK27" i="16"/>
  <c r="GS27" i="16"/>
  <c r="HA27" i="16"/>
  <c r="DN28" i="16"/>
  <c r="DV28" i="16"/>
  <c r="ED28" i="16"/>
  <c r="DV3" i="16"/>
  <c r="HD3" i="16"/>
  <c r="GQ4" i="16"/>
  <c r="GB5" i="16"/>
  <c r="FH6" i="16"/>
  <c r="EH7" i="16"/>
  <c r="HB7" i="16"/>
  <c r="FL8" i="16"/>
  <c r="DW9" i="16"/>
  <c r="FT9" i="16"/>
  <c r="DO10" i="16"/>
  <c r="FC10" i="16"/>
  <c r="GN10" i="16"/>
  <c r="EC11" i="16"/>
  <c r="FN11" i="16"/>
  <c r="GX11" i="16"/>
  <c r="EN12" i="16"/>
  <c r="FY12" i="16"/>
  <c r="HE12" i="16"/>
  <c r="EP13" i="16"/>
  <c r="FQ13" i="16"/>
  <c r="GN13" i="16"/>
  <c r="DO14" i="16"/>
  <c r="EG14" i="16"/>
  <c r="EY14" i="16"/>
  <c r="FR14" i="16"/>
  <c r="GJ14" i="16"/>
  <c r="HB14" i="16"/>
  <c r="DZ15" i="16"/>
  <c r="ER15" i="16"/>
  <c r="FJ15" i="16"/>
  <c r="GB15" i="16"/>
  <c r="GS15" i="16"/>
  <c r="DN16" i="16"/>
  <c r="ED16" i="16"/>
  <c r="ET16" i="16"/>
  <c r="FJ16" i="16"/>
  <c r="FZ16" i="16"/>
  <c r="GP16" i="16"/>
  <c r="HF16" i="16"/>
  <c r="EA17" i="16"/>
  <c r="EQ17" i="16"/>
  <c r="FE17" i="16"/>
  <c r="FS17" i="16"/>
  <c r="GD17" i="16"/>
  <c r="GR17" i="16"/>
  <c r="HC17" i="16"/>
  <c r="DT18" i="16"/>
  <c r="ED18" i="16"/>
  <c r="EN18" i="16"/>
  <c r="EY18" i="16"/>
  <c r="FH18" i="16"/>
  <c r="FQ18" i="16"/>
  <c r="FZ18" i="16"/>
  <c r="GI18" i="16"/>
  <c r="GR18" i="16"/>
  <c r="HA18" i="16"/>
  <c r="DP19" i="16"/>
  <c r="DY19" i="16"/>
  <c r="EH19" i="16"/>
  <c r="EQ19" i="16"/>
  <c r="EZ19" i="16"/>
  <c r="FI19" i="16"/>
  <c r="FR19" i="16"/>
  <c r="GB19" i="16"/>
  <c r="GK19" i="16"/>
  <c r="GT19" i="16"/>
  <c r="HB19" i="16"/>
  <c r="DO20" i="16"/>
  <c r="DW20" i="16"/>
  <c r="EE20" i="16"/>
  <c r="EM20" i="16"/>
  <c r="EU20" i="16"/>
  <c r="FC20" i="16"/>
  <c r="FK20" i="16"/>
  <c r="FS20" i="16"/>
  <c r="GA20" i="16"/>
  <c r="GI20" i="16"/>
  <c r="GQ20" i="16"/>
  <c r="GY20" i="16"/>
  <c r="HG20" i="16"/>
  <c r="DT21" i="16"/>
  <c r="EB21" i="16"/>
  <c r="EJ21" i="16"/>
  <c r="ER21" i="16"/>
  <c r="EZ21" i="16"/>
  <c r="FH21" i="16"/>
  <c r="FP21" i="16"/>
  <c r="FX21" i="16"/>
  <c r="GF21" i="16"/>
  <c r="GN21" i="16"/>
  <c r="GV21" i="16"/>
  <c r="HD21" i="16"/>
  <c r="DQ22" i="16"/>
  <c r="DY22" i="16"/>
  <c r="EG22" i="16"/>
  <c r="EO22" i="16"/>
  <c r="EW22" i="16"/>
  <c r="FE22" i="16"/>
  <c r="FM22" i="16"/>
  <c r="FU22" i="16"/>
  <c r="GC22" i="16"/>
  <c r="GK22" i="16"/>
  <c r="GS22" i="16"/>
  <c r="HA22" i="16"/>
  <c r="DN23" i="16"/>
  <c r="DV23" i="16"/>
  <c r="ED23" i="16"/>
  <c r="EL23" i="16"/>
  <c r="ET23" i="16"/>
  <c r="FB23" i="16"/>
  <c r="FJ23" i="16"/>
  <c r="FR23" i="16"/>
  <c r="FZ23" i="16"/>
  <c r="GH23" i="16"/>
  <c r="GP23" i="16"/>
  <c r="GX23" i="16"/>
  <c r="HF23" i="16"/>
  <c r="DS24" i="16"/>
  <c r="EA24" i="16"/>
  <c r="EI24" i="16"/>
  <c r="EQ24" i="16"/>
  <c r="EY24" i="16"/>
  <c r="FG24" i="16"/>
  <c r="FO24" i="16"/>
  <c r="FW24" i="16"/>
  <c r="GE24" i="16"/>
  <c r="GM24" i="16"/>
  <c r="GU24" i="16"/>
  <c r="HC24" i="16"/>
  <c r="DP25" i="16"/>
  <c r="DX25" i="16"/>
  <c r="EF25" i="16"/>
  <c r="EN25" i="16"/>
  <c r="EV25" i="16"/>
  <c r="FD25" i="16"/>
  <c r="FL25" i="16"/>
  <c r="FT25" i="16"/>
  <c r="FF2" i="16"/>
  <c r="ES3" i="16"/>
  <c r="EF4" i="16"/>
  <c r="DQ5" i="16"/>
  <c r="GY5" i="16"/>
  <c r="GB6" i="16"/>
  <c r="FB7" i="16"/>
  <c r="DX8" i="16"/>
  <c r="GD8" i="16"/>
  <c r="EI9" i="16"/>
  <c r="GE9" i="16"/>
  <c r="EB10" i="16"/>
  <c r="FM10" i="16"/>
  <c r="GX10" i="16"/>
  <c r="EN11" i="16"/>
  <c r="FX11" i="16"/>
  <c r="DN12" i="16"/>
  <c r="EX12" i="16"/>
  <c r="GH12" i="16"/>
  <c r="DS13" i="16"/>
  <c r="EY13" i="16"/>
  <c r="FY13" i="16"/>
  <c r="GU13" i="16"/>
  <c r="DU14" i="16"/>
  <c r="EM14" i="16"/>
  <c r="FE14" i="16"/>
  <c r="FW14" i="16"/>
  <c r="GP14" i="16"/>
  <c r="DM15" i="16"/>
  <c r="EE15" i="16"/>
  <c r="EX15" i="16"/>
  <c r="FP15" i="16"/>
  <c r="GH15" i="16"/>
  <c r="GX15" i="16"/>
  <c r="DS16" i="16"/>
  <c r="EI16" i="16"/>
  <c r="EY16" i="16"/>
  <c r="FO16" i="16"/>
  <c r="GE16" i="16"/>
  <c r="GU16" i="16"/>
  <c r="DP17" i="16"/>
  <c r="EF17" i="16"/>
  <c r="EU17" i="16"/>
  <c r="FF17" i="16"/>
  <c r="FT17" i="16"/>
  <c r="GE17" i="16"/>
  <c r="GS17" i="16"/>
  <c r="HF17" i="16"/>
  <c r="DU18" i="16"/>
  <c r="EE18" i="16"/>
  <c r="EQ18" i="16"/>
  <c r="EZ18" i="16"/>
  <c r="FI18" i="16"/>
  <c r="FR18" i="16"/>
  <c r="GA18" i="16"/>
  <c r="GJ18" i="16"/>
  <c r="GS18" i="16"/>
  <c r="HC18" i="16"/>
  <c r="DQ19" i="16"/>
  <c r="DZ19" i="16"/>
  <c r="EI19" i="16"/>
  <c r="ER19" i="16"/>
  <c r="FA19" i="16"/>
  <c r="FJ19" i="16"/>
  <c r="FT19" i="16"/>
  <c r="GC19" i="16"/>
  <c r="GL19" i="16"/>
  <c r="GU19" i="16"/>
  <c r="HC19" i="16"/>
  <c r="DP20" i="16"/>
  <c r="DX20" i="16"/>
  <c r="EF20" i="16"/>
  <c r="EN20" i="16"/>
  <c r="EV20" i="16"/>
  <c r="FD20" i="16"/>
  <c r="FL20" i="16"/>
  <c r="FT20" i="16"/>
  <c r="GB20" i="16"/>
  <c r="GJ20" i="16"/>
  <c r="GR20" i="16"/>
  <c r="GZ20" i="16"/>
  <c r="DM21" i="16"/>
  <c r="DU21" i="16"/>
  <c r="EC21" i="16"/>
  <c r="EK21" i="16"/>
  <c r="ES21" i="16"/>
  <c r="FA21" i="16"/>
  <c r="FI21" i="16"/>
  <c r="FQ21" i="16"/>
  <c r="FY21" i="16"/>
  <c r="GG21" i="16"/>
  <c r="GO21" i="16"/>
  <c r="GW21" i="16"/>
  <c r="HE21" i="16"/>
  <c r="DR22" i="16"/>
  <c r="DZ22" i="16"/>
  <c r="EH22" i="16"/>
  <c r="EP22" i="16"/>
  <c r="EX22" i="16"/>
  <c r="FF22" i="16"/>
  <c r="FN22" i="16"/>
  <c r="FV22" i="16"/>
  <c r="GD22" i="16"/>
  <c r="GL22" i="16"/>
  <c r="GT22" i="16"/>
  <c r="HB22" i="16"/>
  <c r="DO23" i="16"/>
  <c r="DW23" i="16"/>
  <c r="EE23" i="16"/>
  <c r="EM23" i="16"/>
  <c r="EU23" i="16"/>
  <c r="FC23" i="16"/>
  <c r="FK23" i="16"/>
  <c r="FS23" i="16"/>
  <c r="GA23" i="16"/>
  <c r="GI23" i="16"/>
  <c r="GQ23" i="16"/>
  <c r="GY23" i="16"/>
  <c r="HG23" i="16"/>
  <c r="DT24" i="16"/>
  <c r="EB24" i="16"/>
  <c r="EJ24" i="16"/>
  <c r="ER24" i="16"/>
  <c r="EZ24" i="16"/>
  <c r="FH24" i="16"/>
  <c r="FP24" i="16"/>
  <c r="FX24" i="16"/>
  <c r="GF24" i="16"/>
  <c r="GN24" i="16"/>
  <c r="GV24" i="16"/>
  <c r="GY2" i="16"/>
  <c r="GL3" i="16"/>
  <c r="FW4" i="16"/>
  <c r="FJ5" i="16"/>
  <c r="ER6" i="16"/>
  <c r="DR7" i="16"/>
  <c r="GM7" i="16"/>
  <c r="FB8" i="16"/>
  <c r="HF8" i="16"/>
  <c r="FL9" i="16"/>
  <c r="HB9" i="16"/>
  <c r="EV10" i="16"/>
  <c r="GG10" i="16"/>
  <c r="DV11" i="16"/>
  <c r="FG11" i="16"/>
  <c r="GR11" i="16"/>
  <c r="EG12" i="16"/>
  <c r="FR12" i="16"/>
  <c r="GY12" i="16"/>
  <c r="EJ13" i="16"/>
  <c r="FO13" i="16"/>
  <c r="GL13" i="16"/>
  <c r="HF13" i="16"/>
  <c r="EE14" i="16"/>
  <c r="EW14" i="16"/>
  <c r="FO14" i="16"/>
  <c r="GH14" i="16"/>
  <c r="GZ14" i="16"/>
  <c r="DW15" i="16"/>
  <c r="EP15" i="16"/>
  <c r="FH15" i="16"/>
  <c r="FZ15" i="16"/>
  <c r="GQ15" i="16"/>
  <c r="HG15" i="16"/>
  <c r="EB16" i="16"/>
  <c r="ER16" i="16"/>
  <c r="FH16" i="16"/>
  <c r="FX16" i="16"/>
  <c r="GN16" i="16"/>
  <c r="HD16" i="16"/>
  <c r="DY17" i="16"/>
  <c r="EO17" i="16"/>
  <c r="FC17" i="16"/>
  <c r="FN17" i="16"/>
  <c r="GB17" i="16"/>
  <c r="GM17" i="16"/>
  <c r="HA17" i="16"/>
  <c r="DP18" i="16"/>
  <c r="EB18" i="16"/>
  <c r="EL18" i="16"/>
  <c r="EV18" i="16"/>
  <c r="FE18" i="16"/>
  <c r="FO18" i="16"/>
  <c r="FX18" i="16"/>
  <c r="GG18" i="16"/>
  <c r="GP18" i="16"/>
  <c r="GY18" i="16"/>
  <c r="DM19" i="16"/>
  <c r="DV19" i="16"/>
  <c r="EF19" i="16"/>
  <c r="EO19" i="16"/>
  <c r="EX19" i="16"/>
  <c r="FG19" i="16"/>
  <c r="FP19" i="16"/>
  <c r="FY19" i="16"/>
  <c r="GH19" i="16"/>
  <c r="GR19" i="16"/>
  <c r="GZ19" i="16"/>
  <c r="DM20" i="16"/>
  <c r="DU20" i="16"/>
  <c r="EC20" i="16"/>
  <c r="EK20" i="16"/>
  <c r="ES20" i="16"/>
  <c r="FA20" i="16"/>
  <c r="FI20" i="16"/>
  <c r="FQ20" i="16"/>
  <c r="FY20" i="16"/>
  <c r="GG20" i="16"/>
  <c r="GO20" i="16"/>
  <c r="GW20" i="16"/>
  <c r="HE20" i="16"/>
  <c r="DR21" i="16"/>
  <c r="DZ21" i="16"/>
  <c r="EH21" i="16"/>
  <c r="EP21" i="16"/>
  <c r="EX21" i="16"/>
  <c r="FF21" i="16"/>
  <c r="FN21" i="16"/>
  <c r="FV21" i="16"/>
  <c r="GD21" i="16"/>
  <c r="GL21" i="16"/>
  <c r="GT21" i="16"/>
  <c r="HB21" i="16"/>
  <c r="DO22" i="16"/>
  <c r="DW22" i="16"/>
  <c r="EE22" i="16"/>
  <c r="EM22" i="16"/>
  <c r="EU22" i="16"/>
  <c r="FC22" i="16"/>
  <c r="FK22" i="16"/>
  <c r="FS22" i="16"/>
  <c r="GA22" i="16"/>
  <c r="GI22" i="16"/>
  <c r="GQ22" i="16"/>
  <c r="GY22" i="16"/>
  <c r="HG22" i="16"/>
  <c r="DT23" i="16"/>
  <c r="EB23" i="16"/>
  <c r="EJ23" i="16"/>
  <c r="ER23" i="16"/>
  <c r="EZ23" i="16"/>
  <c r="FH23" i="16"/>
  <c r="FP23" i="16"/>
  <c r="FX23" i="16"/>
  <c r="GF23" i="16"/>
  <c r="GN23" i="16"/>
  <c r="GV23" i="16"/>
  <c r="HD23" i="16"/>
  <c r="DQ24" i="16"/>
  <c r="DY24" i="16"/>
  <c r="EG24" i="16"/>
  <c r="EO24" i="16"/>
  <c r="EW24" i="16"/>
  <c r="FE24" i="16"/>
  <c r="FM24" i="16"/>
  <c r="FU24" i="16"/>
  <c r="GC24" i="16"/>
  <c r="GK24" i="16"/>
  <c r="GS24" i="16"/>
  <c r="HA24" i="16"/>
  <c r="DN25" i="16"/>
  <c r="DV25" i="16"/>
  <c r="ED25" i="16"/>
  <c r="FN3" i="16"/>
  <c r="EL5" i="16"/>
  <c r="GS6" i="16"/>
  <c r="EJ8" i="16"/>
  <c r="EV9" i="16"/>
  <c r="EK10" i="16"/>
  <c r="HF10" i="16"/>
  <c r="GF11" i="16"/>
  <c r="FF12" i="16"/>
  <c r="DZ13" i="16"/>
  <c r="GD13" i="16"/>
  <c r="DX14" i="16"/>
  <c r="FI14" i="16"/>
  <c r="GS14" i="16"/>
  <c r="EI15" i="16"/>
  <c r="FS15" i="16"/>
  <c r="HA15" i="16"/>
  <c r="EL16" i="16"/>
  <c r="FR16" i="16"/>
  <c r="GX16" i="16"/>
  <c r="EI17" i="16"/>
  <c r="FL17" i="16"/>
  <c r="GK17" i="16"/>
  <c r="DN18" i="16"/>
  <c r="EJ18" i="16"/>
  <c r="FC18" i="16"/>
  <c r="FU18" i="16"/>
  <c r="GN18" i="16"/>
  <c r="HF18" i="16"/>
  <c r="EC19" i="16"/>
  <c r="EV19" i="16"/>
  <c r="FN19" i="16"/>
  <c r="GF19" i="16"/>
  <c r="GX19" i="16"/>
  <c r="DS20" i="16"/>
  <c r="EI20" i="16"/>
  <c r="EY20" i="16"/>
  <c r="FO20" i="16"/>
  <c r="GE20" i="16"/>
  <c r="GU20" i="16"/>
  <c r="DP21" i="16"/>
  <c r="EF21" i="16"/>
  <c r="EV21" i="16"/>
  <c r="FL21" i="16"/>
  <c r="GB21" i="16"/>
  <c r="GR21" i="16"/>
  <c r="DM22" i="16"/>
  <c r="EC22" i="16"/>
  <c r="ES22" i="16"/>
  <c r="FI22" i="16"/>
  <c r="FY22" i="16"/>
  <c r="GO22" i="16"/>
  <c r="HE22" i="16"/>
  <c r="DZ23" i="16"/>
  <c r="EP23" i="16"/>
  <c r="FF23" i="16"/>
  <c r="FV23" i="16"/>
  <c r="GL23" i="16"/>
  <c r="HB23" i="16"/>
  <c r="DW24" i="16"/>
  <c r="EM24" i="16"/>
  <c r="FC24" i="16"/>
  <c r="FS24" i="16"/>
  <c r="GI24" i="16"/>
  <c r="GY24" i="16"/>
  <c r="DR25" i="16"/>
  <c r="EC25" i="16"/>
  <c r="EP25" i="16"/>
  <c r="EZ25" i="16"/>
  <c r="FJ25" i="16"/>
  <c r="FV25" i="16"/>
  <c r="GE25" i="16"/>
  <c r="GN25" i="16"/>
  <c r="GW25" i="16"/>
  <c r="HF25" i="16"/>
  <c r="DU26" i="16"/>
  <c r="ED26" i="16"/>
  <c r="EM26" i="16"/>
  <c r="EV26" i="16"/>
  <c r="FE26" i="16"/>
  <c r="FN26" i="16"/>
  <c r="FW26" i="16"/>
  <c r="GG26" i="16"/>
  <c r="GP26" i="16"/>
  <c r="GY26" i="16"/>
  <c r="DM27" i="16"/>
  <c r="DV27" i="16"/>
  <c r="EE27" i="16"/>
  <c r="EN27" i="16"/>
  <c r="EX27" i="16"/>
  <c r="FG27" i="16"/>
  <c r="FP27" i="16"/>
  <c r="FY27" i="16"/>
  <c r="GH27" i="16"/>
  <c r="GQ27" i="16"/>
  <c r="GZ27" i="16"/>
  <c r="DO28" i="16"/>
  <c r="DX28" i="16"/>
  <c r="EG28" i="16"/>
  <c r="EO28" i="16"/>
  <c r="EW28" i="16"/>
  <c r="FE28" i="16"/>
  <c r="FM28" i="16"/>
  <c r="FU28" i="16"/>
  <c r="GC28" i="16"/>
  <c r="GK28" i="16"/>
  <c r="GS28" i="16"/>
  <c r="HA28" i="16"/>
  <c r="DN29" i="16"/>
  <c r="DV29" i="16"/>
  <c r="ED29" i="16"/>
  <c r="EL29" i="16"/>
  <c r="ET29" i="16"/>
  <c r="FB29" i="16"/>
  <c r="FJ29" i="16"/>
  <c r="FR29" i="16"/>
  <c r="FZ29" i="16"/>
  <c r="GH29" i="16"/>
  <c r="GP29" i="16"/>
  <c r="GX29" i="16"/>
  <c r="HF29" i="16"/>
  <c r="DS30" i="16"/>
  <c r="EA30" i="16"/>
  <c r="EI30" i="16"/>
  <c r="EQ30" i="16"/>
  <c r="EY30" i="16"/>
  <c r="FG30" i="16"/>
  <c r="FO30" i="16"/>
  <c r="FW30" i="16"/>
  <c r="GE30" i="16"/>
  <c r="GM30" i="16"/>
  <c r="GU30" i="16"/>
  <c r="HC30" i="16"/>
  <c r="DP31" i="16"/>
  <c r="DX31" i="16"/>
  <c r="EF31" i="16"/>
  <c r="EN31" i="16"/>
  <c r="EV31" i="16"/>
  <c r="FD31" i="16"/>
  <c r="FL31" i="16"/>
  <c r="FT31" i="16"/>
  <c r="GB31" i="16"/>
  <c r="GJ31" i="16"/>
  <c r="GR31" i="16"/>
  <c r="GZ31" i="16"/>
  <c r="DM32" i="16"/>
  <c r="DU32" i="16"/>
  <c r="EC32" i="16"/>
  <c r="EK32" i="16"/>
  <c r="ES32" i="16"/>
  <c r="FA32" i="16"/>
  <c r="FI32" i="16"/>
  <c r="FQ32" i="16"/>
  <c r="FY32" i="16"/>
  <c r="GG32" i="16"/>
  <c r="GO32" i="16"/>
  <c r="GW32" i="16"/>
  <c r="HE32" i="16"/>
  <c r="DR33" i="16"/>
  <c r="DZ33" i="16"/>
  <c r="EH33" i="16"/>
  <c r="EP33" i="16"/>
  <c r="EX33" i="16"/>
  <c r="FF33" i="16"/>
  <c r="FN33" i="16"/>
  <c r="FV33" i="16"/>
  <c r="GD33" i="16"/>
  <c r="GL33" i="16"/>
  <c r="GT33" i="16"/>
  <c r="HB33" i="16"/>
  <c r="DO34" i="16"/>
  <c r="DW34" i="16"/>
  <c r="EE34" i="16"/>
  <c r="EM34" i="16"/>
  <c r="EU34" i="16"/>
  <c r="FC34" i="16"/>
  <c r="FK34" i="16"/>
  <c r="FS34" i="16"/>
  <c r="GA34" i="16"/>
  <c r="GI34" i="16"/>
  <c r="GQ34" i="16"/>
  <c r="GY34" i="16"/>
  <c r="HG34" i="16"/>
  <c r="DT35" i="16"/>
  <c r="EB35" i="16"/>
  <c r="EJ35" i="16"/>
  <c r="ER35" i="16"/>
  <c r="EZ35" i="16"/>
  <c r="FH35" i="16"/>
  <c r="FP35" i="16"/>
  <c r="FX35" i="16"/>
  <c r="GF35" i="16"/>
  <c r="GN35" i="16"/>
  <c r="GV35" i="16"/>
  <c r="HD35" i="16"/>
  <c r="DQ36" i="16"/>
  <c r="DY36" i="16"/>
  <c r="EG36" i="16"/>
  <c r="EO36" i="16"/>
  <c r="EW36" i="16"/>
  <c r="FE36" i="16"/>
  <c r="FM36" i="16"/>
  <c r="FU36" i="16"/>
  <c r="GC36" i="16"/>
  <c r="GK36" i="16"/>
  <c r="GS36" i="16"/>
  <c r="HA36" i="16"/>
  <c r="DN37" i="16"/>
  <c r="DV37" i="16"/>
  <c r="ED37" i="16"/>
  <c r="EL37" i="16"/>
  <c r="ET37" i="16"/>
  <c r="FB37" i="16"/>
  <c r="FJ37" i="16"/>
  <c r="FR37" i="16"/>
  <c r="FZ37" i="16"/>
  <c r="GH37" i="16"/>
  <c r="GP37" i="16"/>
  <c r="GX37" i="16"/>
  <c r="HF37" i="16"/>
  <c r="DS38" i="16"/>
  <c r="EA38" i="16"/>
  <c r="EI38" i="16"/>
  <c r="EQ38" i="16"/>
  <c r="EY38" i="16"/>
  <c r="FG38" i="16"/>
  <c r="FO38" i="16"/>
  <c r="FW38" i="16"/>
  <c r="GE38" i="16"/>
  <c r="GM38" i="16"/>
  <c r="GU38" i="16"/>
  <c r="HC38" i="16"/>
  <c r="DP39" i="16"/>
  <c r="DX39" i="16"/>
  <c r="EF39" i="16"/>
  <c r="EN39" i="16"/>
  <c r="EV39" i="16"/>
  <c r="FD39" i="16"/>
  <c r="FL39" i="16"/>
  <c r="FT39" i="16"/>
  <c r="GB39" i="16"/>
  <c r="GI3" i="16"/>
  <c r="FI5" i="16"/>
  <c r="DQ7" i="16"/>
  <c r="FA8" i="16"/>
  <c r="FK9" i="16"/>
  <c r="EU10" i="16"/>
  <c r="DU11" i="16"/>
  <c r="GP11" i="16"/>
  <c r="FQ12" i="16"/>
  <c r="EI13" i="16"/>
  <c r="GK13" i="16"/>
  <c r="ED14" i="16"/>
  <c r="FN14" i="16"/>
  <c r="GY14" i="16"/>
  <c r="EN15" i="16"/>
  <c r="FY15" i="16"/>
  <c r="HF15" i="16"/>
  <c r="EQ16" i="16"/>
  <c r="FW16" i="16"/>
  <c r="HC16" i="16"/>
  <c r="EN17" i="16"/>
  <c r="FM17" i="16"/>
  <c r="GL17" i="16"/>
  <c r="DO18" i="16"/>
  <c r="EK18" i="16"/>
  <c r="FD18" i="16"/>
  <c r="FW18" i="16"/>
  <c r="GO18" i="16"/>
  <c r="HG18" i="16"/>
  <c r="ED19" i="16"/>
  <c r="EW19" i="16"/>
  <c r="FO19" i="16"/>
  <c r="GG19" i="16"/>
  <c r="GY19" i="16"/>
  <c r="DT20" i="16"/>
  <c r="EJ20" i="16"/>
  <c r="EZ20" i="16"/>
  <c r="FP20" i="16"/>
  <c r="GF20" i="16"/>
  <c r="GV20" i="16"/>
  <c r="DQ21" i="16"/>
  <c r="EG21" i="16"/>
  <c r="EW21" i="16"/>
  <c r="FM21" i="16"/>
  <c r="GC21" i="16"/>
  <c r="GS21" i="16"/>
  <c r="DN22" i="16"/>
  <c r="ED22" i="16"/>
  <c r="ET22" i="16"/>
  <c r="FJ22" i="16"/>
  <c r="FZ22" i="16"/>
  <c r="GP22" i="16"/>
  <c r="HF22" i="16"/>
  <c r="EA23" i="16"/>
  <c r="EQ23" i="16"/>
  <c r="FG23" i="16"/>
  <c r="FW23" i="16"/>
  <c r="GM23" i="16"/>
  <c r="HC23" i="16"/>
  <c r="DX24" i="16"/>
  <c r="EN24" i="16"/>
  <c r="FD24" i="16"/>
  <c r="FT24" i="16"/>
  <c r="GJ24" i="16"/>
  <c r="GZ24" i="16"/>
  <c r="DS25" i="16"/>
  <c r="EG25" i="16"/>
  <c r="EQ25" i="16"/>
  <c r="FA25" i="16"/>
  <c r="FM25" i="16"/>
  <c r="FW25" i="16"/>
  <c r="GF25" i="16"/>
  <c r="GO25" i="16"/>
  <c r="GX25" i="16"/>
  <c r="DM26" i="16"/>
  <c r="DV26" i="16"/>
  <c r="EE26" i="16"/>
  <c r="EN26" i="16"/>
  <c r="EW26" i="16"/>
  <c r="FF26" i="16"/>
  <c r="FO26" i="16"/>
  <c r="FY26" i="16"/>
  <c r="GH26" i="16"/>
  <c r="GQ26" i="16"/>
  <c r="GZ26" i="16"/>
  <c r="DN27" i="16"/>
  <c r="DW27" i="16"/>
  <c r="EF27" i="16"/>
  <c r="EP27" i="16"/>
  <c r="EY27" i="16"/>
  <c r="FH27" i="16"/>
  <c r="FQ27" i="16"/>
  <c r="FZ27" i="16"/>
  <c r="GI27" i="16"/>
  <c r="GR27" i="16"/>
  <c r="HB27" i="16"/>
  <c r="DP28" i="16"/>
  <c r="DY28" i="16"/>
  <c r="EH28" i="16"/>
  <c r="EP28" i="16"/>
  <c r="EX28" i="16"/>
  <c r="FF28" i="16"/>
  <c r="FN28" i="16"/>
  <c r="FV28" i="16"/>
  <c r="GD28" i="16"/>
  <c r="GL28" i="16"/>
  <c r="GT28" i="16"/>
  <c r="HB28" i="16"/>
  <c r="DO29" i="16"/>
  <c r="DW29" i="16"/>
  <c r="EE29" i="16"/>
  <c r="EM29" i="16"/>
  <c r="EU29" i="16"/>
  <c r="FC29" i="16"/>
  <c r="FK29" i="16"/>
  <c r="FS29" i="16"/>
  <c r="GA29" i="16"/>
  <c r="GI29" i="16"/>
  <c r="GQ29" i="16"/>
  <c r="GY29" i="16"/>
  <c r="HG29" i="16"/>
  <c r="DT30" i="16"/>
  <c r="EB30" i="16"/>
  <c r="EJ30" i="16"/>
  <c r="ER30" i="16"/>
  <c r="EZ30" i="16"/>
  <c r="FH30" i="16"/>
  <c r="FP30" i="16"/>
  <c r="FX30" i="16"/>
  <c r="GF30" i="16"/>
  <c r="GN30" i="16"/>
  <c r="GV30" i="16"/>
  <c r="HD30" i="16"/>
  <c r="DQ31" i="16"/>
  <c r="DY31" i="16"/>
  <c r="EG31" i="16"/>
  <c r="EO31" i="16"/>
  <c r="EW31" i="16"/>
  <c r="FE31" i="16"/>
  <c r="FM31" i="16"/>
  <c r="FU31" i="16"/>
  <c r="GC31" i="16"/>
  <c r="GK31" i="16"/>
  <c r="GS31" i="16"/>
  <c r="HA31" i="16"/>
  <c r="DN32" i="16"/>
  <c r="DV32" i="16"/>
  <c r="ED32" i="16"/>
  <c r="EL32" i="16"/>
  <c r="ET32" i="16"/>
  <c r="FB32" i="16"/>
  <c r="FJ32" i="16"/>
  <c r="FR32" i="16"/>
  <c r="FZ32" i="16"/>
  <c r="GH32" i="16"/>
  <c r="GP32" i="16"/>
  <c r="GX32" i="16"/>
  <c r="HF32" i="16"/>
  <c r="DS33" i="16"/>
  <c r="EA33" i="16"/>
  <c r="EI33" i="16"/>
  <c r="EQ33" i="16"/>
  <c r="EY33" i="16"/>
  <c r="FG33" i="16"/>
  <c r="FO33" i="16"/>
  <c r="FW33" i="16"/>
  <c r="GE33" i="16"/>
  <c r="GM33" i="16"/>
  <c r="GU33" i="16"/>
  <c r="FI2" i="16"/>
  <c r="EG4" i="16"/>
  <c r="GZ5" i="16"/>
  <c r="FC7" i="16"/>
  <c r="GE8" i="16"/>
  <c r="GF9" i="16"/>
  <c r="FO10" i="16"/>
  <c r="EO11" i="16"/>
  <c r="DO12" i="16"/>
  <c r="GI12" i="16"/>
  <c r="EZ13" i="16"/>
  <c r="GV13" i="16"/>
  <c r="EN14" i="16"/>
  <c r="FY14" i="16"/>
  <c r="DN15" i="16"/>
  <c r="EY15" i="16"/>
  <c r="GI15" i="16"/>
  <c r="DT16" i="16"/>
  <c r="EZ16" i="16"/>
  <c r="GF16" i="16"/>
  <c r="DQ17" i="16"/>
  <c r="EV17" i="16"/>
  <c r="FU17" i="16"/>
  <c r="GT17" i="16"/>
  <c r="DV18" i="16"/>
  <c r="ER18" i="16"/>
  <c r="FJ18" i="16"/>
  <c r="GB18" i="16"/>
  <c r="GU18" i="16"/>
  <c r="DR19" i="16"/>
  <c r="EJ19" i="16"/>
  <c r="FB19" i="16"/>
  <c r="FU19" i="16"/>
  <c r="GM19" i="16"/>
  <c r="HD19" i="16"/>
  <c r="DY20" i="16"/>
  <c r="EO20" i="16"/>
  <c r="FE20" i="16"/>
  <c r="FU20" i="16"/>
  <c r="GK20" i="16"/>
  <c r="HA20" i="16"/>
  <c r="DV21" i="16"/>
  <c r="EL21" i="16"/>
  <c r="FB21" i="16"/>
  <c r="FR21" i="16"/>
  <c r="GH21" i="16"/>
  <c r="GX21" i="16"/>
  <c r="DS22" i="16"/>
  <c r="EI22" i="16"/>
  <c r="EY22" i="16"/>
  <c r="FO22" i="16"/>
  <c r="GE22" i="16"/>
  <c r="GU22" i="16"/>
  <c r="DP23" i="16"/>
  <c r="EF23" i="16"/>
  <c r="EV23" i="16"/>
  <c r="FL23" i="16"/>
  <c r="GB23" i="16"/>
  <c r="GR23" i="16"/>
  <c r="DM24" i="16"/>
  <c r="EC24" i="16"/>
  <c r="ES24" i="16"/>
  <c r="FI24" i="16"/>
  <c r="FY24" i="16"/>
  <c r="GO24" i="16"/>
  <c r="HD24" i="16"/>
  <c r="DT25" i="16"/>
  <c r="EH25" i="16"/>
  <c r="ER25" i="16"/>
  <c r="FB25" i="16"/>
  <c r="FN25" i="16"/>
  <c r="FX25" i="16"/>
  <c r="GG25" i="16"/>
  <c r="GP25" i="16"/>
  <c r="GZ25" i="16"/>
  <c r="DN26" i="16"/>
  <c r="DW26" i="16"/>
  <c r="EF26" i="16"/>
  <c r="EO26" i="16"/>
  <c r="EX26" i="16"/>
  <c r="FG26" i="16"/>
  <c r="FQ26" i="16"/>
  <c r="FZ26" i="16"/>
  <c r="GI26" i="16"/>
  <c r="GR26" i="16"/>
  <c r="HA26" i="16"/>
  <c r="DO27" i="16"/>
  <c r="DX27" i="16"/>
  <c r="EH27" i="16"/>
  <c r="EQ27" i="16"/>
  <c r="EZ27" i="16"/>
  <c r="FI27" i="16"/>
  <c r="FR27" i="16"/>
  <c r="GA27" i="16"/>
  <c r="GJ27" i="16"/>
  <c r="GT27" i="16"/>
  <c r="HC27" i="16"/>
  <c r="DQ28" i="16"/>
  <c r="DZ28" i="16"/>
  <c r="EI28" i="16"/>
  <c r="EQ28" i="16"/>
  <c r="EY28" i="16"/>
  <c r="FG28" i="16"/>
  <c r="FO28" i="16"/>
  <c r="FW28" i="16"/>
  <c r="GE28" i="16"/>
  <c r="GM28" i="16"/>
  <c r="GU28" i="16"/>
  <c r="HC28" i="16"/>
  <c r="DP29" i="16"/>
  <c r="DX29" i="16"/>
  <c r="EF29" i="16"/>
  <c r="EN29" i="16"/>
  <c r="EV29" i="16"/>
  <c r="FD29" i="16"/>
  <c r="FL29" i="16"/>
  <c r="FT29" i="16"/>
  <c r="GB29" i="16"/>
  <c r="GJ29" i="16"/>
  <c r="GR29" i="16"/>
  <c r="GZ29" i="16"/>
  <c r="DM30" i="16"/>
  <c r="DU30" i="16"/>
  <c r="EC30" i="16"/>
  <c r="EK30" i="16"/>
  <c r="ES30" i="16"/>
  <c r="FA30" i="16"/>
  <c r="FI30" i="16"/>
  <c r="FQ30" i="16"/>
  <c r="FY30" i="16"/>
  <c r="GG30" i="16"/>
  <c r="GO30" i="16"/>
  <c r="GW30" i="16"/>
  <c r="HE30" i="16"/>
  <c r="DR31" i="16"/>
  <c r="DZ31" i="16"/>
  <c r="EH31" i="16"/>
  <c r="EP31" i="16"/>
  <c r="EX31" i="16"/>
  <c r="FF31" i="16"/>
  <c r="FN31" i="16"/>
  <c r="FV31" i="16"/>
  <c r="GD31" i="16"/>
  <c r="GL31" i="16"/>
  <c r="GT31" i="16"/>
  <c r="HB31" i="16"/>
  <c r="DO32" i="16"/>
  <c r="DW32" i="16"/>
  <c r="EE32" i="16"/>
  <c r="EM32" i="16"/>
  <c r="EU32" i="16"/>
  <c r="FC32" i="16"/>
  <c r="FK32" i="16"/>
  <c r="FS32" i="16"/>
  <c r="GA32" i="16"/>
  <c r="GI32" i="16"/>
  <c r="GQ32" i="16"/>
  <c r="GY32" i="16"/>
  <c r="HG32" i="16"/>
  <c r="DT33" i="16"/>
  <c r="EB33" i="16"/>
  <c r="EJ33" i="16"/>
  <c r="ER33" i="16"/>
  <c r="EZ33" i="16"/>
  <c r="FH33" i="16"/>
  <c r="FP33" i="16"/>
  <c r="FX33" i="16"/>
  <c r="GF33" i="16"/>
  <c r="GN33" i="16"/>
  <c r="GV33" i="16"/>
  <c r="FA3" i="16"/>
  <c r="DY5" i="16"/>
  <c r="GH6" i="16"/>
  <c r="EA8" i="16"/>
  <c r="EN9" i="16"/>
  <c r="ED10" i="16"/>
  <c r="GZ10" i="16"/>
  <c r="FZ11" i="16"/>
  <c r="FA12" i="16"/>
  <c r="DU13" i="16"/>
  <c r="GC13" i="16"/>
  <c r="DW14" i="16"/>
  <c r="FG14" i="16"/>
  <c r="GR14" i="16"/>
  <c r="EH15" i="16"/>
  <c r="FR15" i="16"/>
  <c r="GZ15" i="16"/>
  <c r="EK16" i="16"/>
  <c r="FQ16" i="16"/>
  <c r="GW16" i="16"/>
  <c r="EH17" i="16"/>
  <c r="FK17" i="16"/>
  <c r="GJ17" i="16"/>
  <c r="DM18" i="16"/>
  <c r="EI18" i="16"/>
  <c r="FB18" i="16"/>
  <c r="FT18" i="16"/>
  <c r="GM18" i="16"/>
  <c r="HE18" i="16"/>
  <c r="EB19" i="16"/>
  <c r="ET19" i="16"/>
  <c r="FM19" i="16"/>
  <c r="GE19" i="16"/>
  <c r="GW19" i="16"/>
  <c r="DR20" i="16"/>
  <c r="EH20" i="16"/>
  <c r="EX20" i="16"/>
  <c r="FN20" i="16"/>
  <c r="GD20" i="16"/>
  <c r="GT20" i="16"/>
  <c r="DO21" i="16"/>
  <c r="EE21" i="16"/>
  <c r="EU21" i="16"/>
  <c r="FK21" i="16"/>
  <c r="GA21" i="16"/>
  <c r="GQ21" i="16"/>
  <c r="HG21" i="16"/>
  <c r="EB22" i="16"/>
  <c r="ER22" i="16"/>
  <c r="FH22" i="16"/>
  <c r="FX22" i="16"/>
  <c r="GN22" i="16"/>
  <c r="HD22" i="16"/>
  <c r="DY23" i="16"/>
  <c r="EO23" i="16"/>
  <c r="FE23" i="16"/>
  <c r="FU23" i="16"/>
  <c r="GK23" i="16"/>
  <c r="HA23" i="16"/>
  <c r="DV24" i="16"/>
  <c r="EL24" i="16"/>
  <c r="FB24" i="16"/>
  <c r="FR24" i="16"/>
  <c r="GH24" i="16"/>
  <c r="GX24" i="16"/>
  <c r="DQ25" i="16"/>
  <c r="EB25" i="16"/>
  <c r="EO25" i="16"/>
  <c r="EY25" i="16"/>
  <c r="FI25" i="16"/>
  <c r="FU25" i="16"/>
  <c r="GD25" i="16"/>
  <c r="GM25" i="16"/>
  <c r="GV25" i="16"/>
  <c r="HE25" i="16"/>
  <c r="DS26" i="16"/>
  <c r="EC26" i="16"/>
  <c r="EL26" i="16"/>
  <c r="EU26" i="16"/>
  <c r="FD26" i="16"/>
  <c r="FM26" i="16"/>
  <c r="FV26" i="16"/>
  <c r="GE26" i="16"/>
  <c r="GO26" i="16"/>
  <c r="GX26" i="16"/>
  <c r="HG26" i="16"/>
  <c r="DU27" i="16"/>
  <c r="ED27" i="16"/>
  <c r="EM27" i="16"/>
  <c r="EV27" i="16"/>
  <c r="FF27" i="16"/>
  <c r="FO27" i="16"/>
  <c r="FX27" i="16"/>
  <c r="GG27" i="16"/>
  <c r="GP27" i="16"/>
  <c r="GY27" i="16"/>
  <c r="DM28" i="16"/>
  <c r="DW28" i="16"/>
  <c r="EF28" i="16"/>
  <c r="EN28" i="16"/>
  <c r="EV28" i="16"/>
  <c r="FD28" i="16"/>
  <c r="FL28" i="16"/>
  <c r="FT28" i="16"/>
  <c r="GB28" i="16"/>
  <c r="GJ28" i="16"/>
  <c r="GR28" i="16"/>
  <c r="GZ28" i="16"/>
  <c r="DM29" i="16"/>
  <c r="DU29" i="16"/>
  <c r="EC29" i="16"/>
  <c r="EK29" i="16"/>
  <c r="ES29" i="16"/>
  <c r="FA29" i="16"/>
  <c r="FI29" i="16"/>
  <c r="FQ29" i="16"/>
  <c r="FY29" i="16"/>
  <c r="GG29" i="16"/>
  <c r="GO29" i="16"/>
  <c r="GW29" i="16"/>
  <c r="HE29" i="16"/>
  <c r="DR30" i="16"/>
  <c r="DZ30" i="16"/>
  <c r="EH30" i="16"/>
  <c r="EP30" i="16"/>
  <c r="EX30" i="16"/>
  <c r="FF30" i="16"/>
  <c r="FN30" i="16"/>
  <c r="FV30" i="16"/>
  <c r="GD30" i="16"/>
  <c r="GL30" i="16"/>
  <c r="GT30" i="16"/>
  <c r="HB30" i="16"/>
  <c r="DO31" i="16"/>
  <c r="DW31" i="16"/>
  <c r="EE31" i="16"/>
  <c r="EM31" i="16"/>
  <c r="EU31" i="16"/>
  <c r="FC31" i="16"/>
  <c r="FK31" i="16"/>
  <c r="FS31" i="16"/>
  <c r="GA31" i="16"/>
  <c r="GI31" i="16"/>
  <c r="GQ31" i="16"/>
  <c r="GY31" i="16"/>
  <c r="HG31" i="16"/>
  <c r="DT32" i="16"/>
  <c r="EB32" i="16"/>
  <c r="EJ32" i="16"/>
  <c r="ER32" i="16"/>
  <c r="EZ32" i="16"/>
  <c r="FH32" i="16"/>
  <c r="FP32" i="16"/>
  <c r="FX32" i="16"/>
  <c r="GF32" i="16"/>
  <c r="GN32" i="16"/>
  <c r="GV32" i="16"/>
  <c r="HD32" i="16"/>
  <c r="DQ33" i="16"/>
  <c r="DY33" i="16"/>
  <c r="EG33" i="16"/>
  <c r="EO33" i="16"/>
  <c r="EW33" i="16"/>
  <c r="FE33" i="16"/>
  <c r="FM33" i="16"/>
  <c r="FU33" i="16"/>
  <c r="GC33" i="16"/>
  <c r="GK33" i="16"/>
  <c r="GS33" i="16"/>
  <c r="FV4" i="16"/>
  <c r="GL7" i="16"/>
  <c r="HA9" i="16"/>
  <c r="FF11" i="16"/>
  <c r="GX12" i="16"/>
  <c r="HE13" i="16"/>
  <c r="GG14" i="16"/>
  <c r="FG15" i="16"/>
  <c r="EA16" i="16"/>
  <c r="GM16" i="16"/>
  <c r="EY17" i="16"/>
  <c r="GZ17" i="16"/>
  <c r="EU18" i="16"/>
  <c r="GF18" i="16"/>
  <c r="DU19" i="16"/>
  <c r="FF19" i="16"/>
  <c r="GP19" i="16"/>
  <c r="EB20" i="16"/>
  <c r="FH20" i="16"/>
  <c r="GN20" i="16"/>
  <c r="DY21" i="16"/>
  <c r="FE21" i="16"/>
  <c r="GK21" i="16"/>
  <c r="DV22" i="16"/>
  <c r="FB22" i="16"/>
  <c r="GH22" i="16"/>
  <c r="DS23" i="16"/>
  <c r="EY23" i="16"/>
  <c r="GE23" i="16"/>
  <c r="DP24" i="16"/>
  <c r="EV24" i="16"/>
  <c r="GB24" i="16"/>
  <c r="HG24" i="16"/>
  <c r="EK25" i="16"/>
  <c r="FG25" i="16"/>
  <c r="GB25" i="16"/>
  <c r="GT25" i="16"/>
  <c r="DQ26" i="16"/>
  <c r="EI26" i="16"/>
  <c r="FB26" i="16"/>
  <c r="FT26" i="16"/>
  <c r="GL26" i="16"/>
  <c r="HE26" i="16"/>
  <c r="EB27" i="16"/>
  <c r="ET27" i="16"/>
  <c r="FL27" i="16"/>
  <c r="GE27" i="16"/>
  <c r="GW27" i="16"/>
  <c r="DT28" i="16"/>
  <c r="EL28" i="16"/>
  <c r="FB28" i="16"/>
  <c r="FR28" i="16"/>
  <c r="GH28" i="16"/>
  <c r="GX28" i="16"/>
  <c r="DS29" i="16"/>
  <c r="EI29" i="16"/>
  <c r="EY29" i="16"/>
  <c r="FO29" i="16"/>
  <c r="GE29" i="16"/>
  <c r="GU29" i="16"/>
  <c r="DP30" i="16"/>
  <c r="EF30" i="16"/>
  <c r="EV30" i="16"/>
  <c r="FL30" i="16"/>
  <c r="GB30" i="16"/>
  <c r="GR30" i="16"/>
  <c r="DM31" i="16"/>
  <c r="EC31" i="16"/>
  <c r="ES31" i="16"/>
  <c r="FI31" i="16"/>
  <c r="FY31" i="16"/>
  <c r="GO31" i="16"/>
  <c r="HE31" i="16"/>
  <c r="DZ32" i="16"/>
  <c r="EP32" i="16"/>
  <c r="FF32" i="16"/>
  <c r="FV32" i="16"/>
  <c r="GL32" i="16"/>
  <c r="HB32" i="16"/>
  <c r="DW33" i="16"/>
  <c r="EM33" i="16"/>
  <c r="FC33" i="16"/>
  <c r="FS33" i="16"/>
  <c r="GI33" i="16"/>
  <c r="GY33" i="16"/>
  <c r="DM34" i="16"/>
  <c r="DV34" i="16"/>
  <c r="EF34" i="16"/>
  <c r="EO34" i="16"/>
  <c r="EX34" i="16"/>
  <c r="FG34" i="16"/>
  <c r="FP34" i="16"/>
  <c r="FY34" i="16"/>
  <c r="GH34" i="16"/>
  <c r="GR34" i="16"/>
  <c r="HA34" i="16"/>
  <c r="DO35" i="16"/>
  <c r="DX35" i="16"/>
  <c r="EG35" i="16"/>
  <c r="EP35" i="16"/>
  <c r="EY35" i="16"/>
  <c r="FI35" i="16"/>
  <c r="FR35" i="16"/>
  <c r="GA35" i="16"/>
  <c r="GJ35" i="16"/>
  <c r="GS35" i="16"/>
  <c r="HB35" i="16"/>
  <c r="DP36" i="16"/>
  <c r="DZ36" i="16"/>
  <c r="EI36" i="16"/>
  <c r="ER36" i="16"/>
  <c r="FA36" i="16"/>
  <c r="FJ36" i="16"/>
  <c r="FS36" i="16"/>
  <c r="GB36" i="16"/>
  <c r="GL36" i="16"/>
  <c r="GU36" i="16"/>
  <c r="HD36" i="16"/>
  <c r="DR37" i="16"/>
  <c r="EA37" i="16"/>
  <c r="EJ37" i="16"/>
  <c r="ES37" i="16"/>
  <c r="FC37" i="16"/>
  <c r="FL37" i="16"/>
  <c r="FU37" i="16"/>
  <c r="GD37" i="16"/>
  <c r="GM37" i="16"/>
  <c r="GV37" i="16"/>
  <c r="HE37" i="16"/>
  <c r="DT38" i="16"/>
  <c r="EC38" i="16"/>
  <c r="EL38" i="16"/>
  <c r="EU38" i="16"/>
  <c r="FD38" i="16"/>
  <c r="FM38" i="16"/>
  <c r="FV38" i="16"/>
  <c r="GF38" i="16"/>
  <c r="GO38" i="16"/>
  <c r="GX38" i="16"/>
  <c r="HG38" i="16"/>
  <c r="DU39" i="16"/>
  <c r="ED39" i="16"/>
  <c r="EM39" i="16"/>
  <c r="EW39" i="16"/>
  <c r="FF39" i="16"/>
  <c r="FO39" i="16"/>
  <c r="FX39" i="16"/>
  <c r="GG39" i="16"/>
  <c r="GO39" i="16"/>
  <c r="GW39" i="16"/>
  <c r="HE39" i="16"/>
  <c r="DR40" i="16"/>
  <c r="DZ40" i="16"/>
  <c r="EH40" i="16"/>
  <c r="EP40" i="16"/>
  <c r="EX40" i="16"/>
  <c r="FF40" i="16"/>
  <c r="FN40" i="16"/>
  <c r="FV40" i="16"/>
  <c r="GD40" i="16"/>
  <c r="GL40" i="16"/>
  <c r="GT40" i="16"/>
  <c r="HB40" i="16"/>
  <c r="DO41" i="16"/>
  <c r="DW41" i="16"/>
  <c r="EE41" i="16"/>
  <c r="EM41" i="16"/>
  <c r="EU41" i="16"/>
  <c r="FC41" i="16"/>
  <c r="FK41" i="16"/>
  <c r="FS41" i="16"/>
  <c r="GA41" i="16"/>
  <c r="GI41" i="16"/>
  <c r="GQ41" i="16"/>
  <c r="GY41" i="16"/>
  <c r="HG41" i="16"/>
  <c r="DT42" i="16"/>
  <c r="EB42" i="16"/>
  <c r="EJ42" i="16"/>
  <c r="ER42" i="16"/>
  <c r="EZ42" i="16"/>
  <c r="FH42" i="16"/>
  <c r="FP42" i="16"/>
  <c r="FX42" i="16"/>
  <c r="GF42" i="16"/>
  <c r="GN42" i="16"/>
  <c r="GV42" i="16"/>
  <c r="HD42" i="16"/>
  <c r="DQ43" i="16"/>
  <c r="DY43" i="16"/>
  <c r="EG43" i="16"/>
  <c r="EO43" i="16"/>
  <c r="EW43" i="16"/>
  <c r="FE43" i="16"/>
  <c r="FM43" i="16"/>
  <c r="FU43" i="16"/>
  <c r="GC43" i="16"/>
  <c r="GK43" i="16"/>
  <c r="GS43" i="16"/>
  <c r="HA43" i="16"/>
  <c r="DN44" i="16"/>
  <c r="DV44" i="16"/>
  <c r="ED44" i="16"/>
  <c r="EL44" i="16"/>
  <c r="ET44" i="16"/>
  <c r="FB44" i="16"/>
  <c r="FJ44" i="16"/>
  <c r="FR44" i="16"/>
  <c r="FZ44" i="16"/>
  <c r="GH44" i="16"/>
  <c r="GP44" i="16"/>
  <c r="GX44" i="16"/>
  <c r="HF44" i="16"/>
  <c r="DS45" i="16"/>
  <c r="EA45" i="16"/>
  <c r="EI45" i="16"/>
  <c r="EQ45" i="16"/>
  <c r="EY45" i="16"/>
  <c r="FG45" i="16"/>
  <c r="FO45" i="16"/>
  <c r="FW45" i="16"/>
  <c r="GE45" i="16"/>
  <c r="GM45" i="16"/>
  <c r="GU45" i="16"/>
  <c r="HC45" i="16"/>
  <c r="DP46" i="16"/>
  <c r="DX46" i="16"/>
  <c r="EF46" i="16"/>
  <c r="EN46" i="16"/>
  <c r="EV46" i="16"/>
  <c r="FD46" i="16"/>
  <c r="FL46" i="16"/>
  <c r="FT46" i="16"/>
  <c r="GB46" i="16"/>
  <c r="GJ46" i="16"/>
  <c r="GR46" i="16"/>
  <c r="GZ46" i="16"/>
  <c r="DM47" i="16"/>
  <c r="DU47" i="16"/>
  <c r="EC47" i="16"/>
  <c r="EK47" i="16"/>
  <c r="ES47" i="16"/>
  <c r="FA47" i="16"/>
  <c r="FI47" i="16"/>
  <c r="FQ47" i="16"/>
  <c r="FY47" i="16"/>
  <c r="GG47" i="16"/>
  <c r="GO47" i="16"/>
  <c r="GW47" i="16"/>
  <c r="HE47" i="16"/>
  <c r="DR48" i="16"/>
  <c r="DZ48" i="16"/>
  <c r="EH48" i="16"/>
  <c r="EP48" i="16"/>
  <c r="EX48" i="16"/>
  <c r="FF48" i="16"/>
  <c r="FN48" i="16"/>
  <c r="FV48" i="16"/>
  <c r="GD48" i="16"/>
  <c r="DT5" i="16"/>
  <c r="DZ8" i="16"/>
  <c r="EC10" i="16"/>
  <c r="FY11" i="16"/>
  <c r="DT13" i="16"/>
  <c r="DV14" i="16"/>
  <c r="GQ14" i="16"/>
  <c r="FQ15" i="16"/>
  <c r="EJ16" i="16"/>
  <c r="GV16" i="16"/>
  <c r="FG17" i="16"/>
  <c r="HG17" i="16"/>
  <c r="FA18" i="16"/>
  <c r="GK18" i="16"/>
  <c r="EA19" i="16"/>
  <c r="FL19" i="16"/>
  <c r="GV19" i="16"/>
  <c r="EG20" i="16"/>
  <c r="FM20" i="16"/>
  <c r="GS20" i="16"/>
  <c r="ED21" i="16"/>
  <c r="FJ21" i="16"/>
  <c r="GP21" i="16"/>
  <c r="EA22" i="16"/>
  <c r="FG22" i="16"/>
  <c r="GM22" i="16"/>
  <c r="DX23" i="16"/>
  <c r="FD23" i="16"/>
  <c r="GJ23" i="16"/>
  <c r="DU24" i="16"/>
  <c r="FA24" i="16"/>
  <c r="GG24" i="16"/>
  <c r="DM25" i="16"/>
  <c r="EL25" i="16"/>
  <c r="FH25" i="16"/>
  <c r="GC25" i="16"/>
  <c r="GU25" i="16"/>
  <c r="DR26" i="16"/>
  <c r="EK26" i="16"/>
  <c r="FC26" i="16"/>
  <c r="FU26" i="16"/>
  <c r="GM26" i="16"/>
  <c r="HF26" i="16"/>
  <c r="EC27" i="16"/>
  <c r="EU27" i="16"/>
  <c r="FN27" i="16"/>
  <c r="GF27" i="16"/>
  <c r="GX27" i="16"/>
  <c r="DU28" i="16"/>
  <c r="EM28" i="16"/>
  <c r="FC28" i="16"/>
  <c r="FS28" i="16"/>
  <c r="GI28" i="16"/>
  <c r="GY28" i="16"/>
  <c r="DT29" i="16"/>
  <c r="EJ29" i="16"/>
  <c r="EZ29" i="16"/>
  <c r="FP29" i="16"/>
  <c r="GF29" i="16"/>
  <c r="GV29" i="16"/>
  <c r="DQ30" i="16"/>
  <c r="EG30" i="16"/>
  <c r="EW30" i="16"/>
  <c r="FM30" i="16"/>
  <c r="GC30" i="16"/>
  <c r="GS30" i="16"/>
  <c r="DN31" i="16"/>
  <c r="ED31" i="16"/>
  <c r="ET31" i="16"/>
  <c r="FJ31" i="16"/>
  <c r="FZ31" i="16"/>
  <c r="GP31" i="16"/>
  <c r="HF31" i="16"/>
  <c r="EA32" i="16"/>
  <c r="EQ32" i="16"/>
  <c r="FG32" i="16"/>
  <c r="FW32" i="16"/>
  <c r="GM32" i="16"/>
  <c r="HC32" i="16"/>
  <c r="DX33" i="16"/>
  <c r="EN33" i="16"/>
  <c r="FD33" i="16"/>
  <c r="FT33" i="16"/>
  <c r="GJ33" i="16"/>
  <c r="GZ33" i="16"/>
  <c r="DN34" i="16"/>
  <c r="DX34" i="16"/>
  <c r="EG34" i="16"/>
  <c r="EP34" i="16"/>
  <c r="EY34" i="16"/>
  <c r="FH34" i="16"/>
  <c r="FQ34" i="16"/>
  <c r="FZ34" i="16"/>
  <c r="GJ34" i="16"/>
  <c r="GS34" i="16"/>
  <c r="HB34" i="16"/>
  <c r="DP35" i="16"/>
  <c r="DY35" i="16"/>
  <c r="EH35" i="16"/>
  <c r="EQ35" i="16"/>
  <c r="FA35" i="16"/>
  <c r="FJ35" i="16"/>
  <c r="FS35" i="16"/>
  <c r="GB35" i="16"/>
  <c r="GK35" i="16"/>
  <c r="GT35" i="16"/>
  <c r="HC35" i="16"/>
  <c r="DR36" i="16"/>
  <c r="EA36" i="16"/>
  <c r="EJ36" i="16"/>
  <c r="ES36" i="16"/>
  <c r="FB36" i="16"/>
  <c r="FK36" i="16"/>
  <c r="FT36" i="16"/>
  <c r="GD36" i="16"/>
  <c r="GM36" i="16"/>
  <c r="GV36" i="16"/>
  <c r="HE36" i="16"/>
  <c r="DS37" i="16"/>
  <c r="EB37" i="16"/>
  <c r="EK37" i="16"/>
  <c r="EU37" i="16"/>
  <c r="FD37" i="16"/>
  <c r="FM37" i="16"/>
  <c r="FV37" i="16"/>
  <c r="GE37" i="16"/>
  <c r="GN37" i="16"/>
  <c r="GW37" i="16"/>
  <c r="HG37" i="16"/>
  <c r="DU38" i="16"/>
  <c r="ED38" i="16"/>
  <c r="EM38" i="16"/>
  <c r="EV38" i="16"/>
  <c r="FE38" i="16"/>
  <c r="FN38" i="16"/>
  <c r="FX38" i="16"/>
  <c r="GG38" i="16"/>
  <c r="GP38" i="16"/>
  <c r="GY38" i="16"/>
  <c r="DM39" i="16"/>
  <c r="DV39" i="16"/>
  <c r="EE39" i="16"/>
  <c r="EO39" i="16"/>
  <c r="EX39" i="16"/>
  <c r="FG39" i="16"/>
  <c r="FP39" i="16"/>
  <c r="FY39" i="16"/>
  <c r="GH39" i="16"/>
  <c r="GP39" i="16"/>
  <c r="GX39" i="16"/>
  <c r="HF39" i="16"/>
  <c r="DS40" i="16"/>
  <c r="EA40" i="16"/>
  <c r="EI40" i="16"/>
  <c r="EQ40" i="16"/>
  <c r="EY40" i="16"/>
  <c r="FG40" i="16"/>
  <c r="FO40" i="16"/>
  <c r="FW40" i="16"/>
  <c r="GE40" i="16"/>
  <c r="GM40" i="16"/>
  <c r="GU40" i="16"/>
  <c r="HC40" i="16"/>
  <c r="DP41" i="16"/>
  <c r="DX41" i="16"/>
  <c r="EF41" i="16"/>
  <c r="EN41" i="16"/>
  <c r="EV41" i="16"/>
  <c r="FD41" i="16"/>
  <c r="FN2" i="16"/>
  <c r="HG5" i="16"/>
  <c r="GF8" i="16"/>
  <c r="FP10" i="16"/>
  <c r="DP12" i="16"/>
  <c r="FA13" i="16"/>
  <c r="EO14" i="16"/>
  <c r="DO15" i="16"/>
  <c r="GJ15" i="16"/>
  <c r="FA16" i="16"/>
  <c r="DR17" i="16"/>
  <c r="FV17" i="16"/>
  <c r="DW18" i="16"/>
  <c r="FK18" i="16"/>
  <c r="GV18" i="16"/>
  <c r="EK19" i="16"/>
  <c r="FV19" i="16"/>
  <c r="HE19" i="16"/>
  <c r="EP20" i="16"/>
  <c r="FV20" i="16"/>
  <c r="HB20" i="16"/>
  <c r="EM21" i="16"/>
  <c r="FS21" i="16"/>
  <c r="GY21" i="16"/>
  <c r="EJ22" i="16"/>
  <c r="FP22" i="16"/>
  <c r="GV22" i="16"/>
  <c r="EG23" i="16"/>
  <c r="FM23" i="16"/>
  <c r="GS23" i="16"/>
  <c r="ED24" i="16"/>
  <c r="FJ24" i="16"/>
  <c r="GP24" i="16"/>
  <c r="DU25" i="16"/>
  <c r="ES25" i="16"/>
  <c r="FO25" i="16"/>
  <c r="GH25" i="16"/>
  <c r="HA25" i="16"/>
  <c r="DX26" i="16"/>
  <c r="EP26" i="16"/>
  <c r="FI26" i="16"/>
  <c r="GA26" i="16"/>
  <c r="GS26" i="16"/>
  <c r="DP27" i="16"/>
  <c r="EI27" i="16"/>
  <c r="FA27" i="16"/>
  <c r="FS27" i="16"/>
  <c r="GL27" i="16"/>
  <c r="HD27" i="16"/>
  <c r="EA28" i="16"/>
  <c r="ER28" i="16"/>
  <c r="FH28" i="16"/>
  <c r="FX28" i="16"/>
  <c r="GN28" i="16"/>
  <c r="HD28" i="16"/>
  <c r="DY29" i="16"/>
  <c r="EO29" i="16"/>
  <c r="FE29" i="16"/>
  <c r="FU29" i="16"/>
  <c r="GK29" i="16"/>
  <c r="HA29" i="16"/>
  <c r="DV30" i="16"/>
  <c r="EL30" i="16"/>
  <c r="FB30" i="16"/>
  <c r="FR30" i="16"/>
  <c r="GH30" i="16"/>
  <c r="GX30" i="16"/>
  <c r="DS31" i="16"/>
  <c r="EI31" i="16"/>
  <c r="EY31" i="16"/>
  <c r="FO31" i="16"/>
  <c r="GE31" i="16"/>
  <c r="GU31" i="16"/>
  <c r="DP32" i="16"/>
  <c r="EF32" i="16"/>
  <c r="EV32" i="16"/>
  <c r="FL32" i="16"/>
  <c r="GB32" i="16"/>
  <c r="GR32" i="16"/>
  <c r="DM33" i="16"/>
  <c r="EC33" i="16"/>
  <c r="ES33" i="16"/>
  <c r="FI33" i="16"/>
  <c r="FY33" i="16"/>
  <c r="GO33" i="16"/>
  <c r="HA33" i="16"/>
  <c r="DP34" i="16"/>
  <c r="DY34" i="16"/>
  <c r="EH34" i="16"/>
  <c r="EQ34" i="16"/>
  <c r="EZ34" i="16"/>
  <c r="FI34" i="16"/>
  <c r="FR34" i="16"/>
  <c r="GB34" i="16"/>
  <c r="GK34" i="16"/>
  <c r="GT34" i="16"/>
  <c r="HC34" i="16"/>
  <c r="DQ35" i="16"/>
  <c r="DZ35" i="16"/>
  <c r="EI35" i="16"/>
  <c r="ES35" i="16"/>
  <c r="FB35" i="16"/>
  <c r="FK35" i="16"/>
  <c r="FT35" i="16"/>
  <c r="GC35" i="16"/>
  <c r="GL35" i="16"/>
  <c r="GU35" i="16"/>
  <c r="HE35" i="16"/>
  <c r="DS36" i="16"/>
  <c r="EB36" i="16"/>
  <c r="EK36" i="16"/>
  <c r="ET36" i="16"/>
  <c r="FC36" i="16"/>
  <c r="FL36" i="16"/>
  <c r="FV36" i="16"/>
  <c r="GE36" i="16"/>
  <c r="GN36" i="16"/>
  <c r="GW36" i="16"/>
  <c r="HF36" i="16"/>
  <c r="DT37" i="16"/>
  <c r="EC37" i="16"/>
  <c r="EM37" i="16"/>
  <c r="EV37" i="16"/>
  <c r="FE37" i="16"/>
  <c r="FN37" i="16"/>
  <c r="FW37" i="16"/>
  <c r="GF37" i="16"/>
  <c r="GO37" i="16"/>
  <c r="GY37" i="16"/>
  <c r="DM38" i="16"/>
  <c r="DV38" i="16"/>
  <c r="EE38" i="16"/>
  <c r="EN38" i="16"/>
  <c r="EW38" i="16"/>
  <c r="FF38" i="16"/>
  <c r="FP38" i="16"/>
  <c r="FY38" i="16"/>
  <c r="GH38" i="16"/>
  <c r="GQ38" i="16"/>
  <c r="GZ38" i="16"/>
  <c r="DN39" i="16"/>
  <c r="DW39" i="16"/>
  <c r="EG39" i="16"/>
  <c r="EP39" i="16"/>
  <c r="EY39" i="16"/>
  <c r="FH39" i="16"/>
  <c r="FQ39" i="16"/>
  <c r="FZ39" i="16"/>
  <c r="GI39" i="16"/>
  <c r="GQ39" i="16"/>
  <c r="GY39" i="16"/>
  <c r="HG39" i="16"/>
  <c r="DT40" i="16"/>
  <c r="EB40" i="16"/>
  <c r="EJ40" i="16"/>
  <c r="ER40" i="16"/>
  <c r="EZ40" i="16"/>
  <c r="FH40" i="16"/>
  <c r="FP40" i="16"/>
  <c r="FX40" i="16"/>
  <c r="GF40" i="16"/>
  <c r="GN40" i="16"/>
  <c r="GV40" i="16"/>
  <c r="HD40" i="16"/>
  <c r="DQ41" i="16"/>
  <c r="DY41" i="16"/>
  <c r="EG41" i="16"/>
  <c r="EO41" i="16"/>
  <c r="EW41" i="16"/>
  <c r="FE41" i="16"/>
  <c r="EY4" i="16"/>
  <c r="FS7" i="16"/>
  <c r="GN9" i="16"/>
  <c r="EV11" i="16"/>
  <c r="GO12" i="16"/>
  <c r="GX13" i="16"/>
  <c r="GA14" i="16"/>
  <c r="FA15" i="16"/>
  <c r="DV16" i="16"/>
  <c r="GH16" i="16"/>
  <c r="EX17" i="16"/>
  <c r="GY17" i="16"/>
  <c r="ET18" i="16"/>
  <c r="GE18" i="16"/>
  <c r="DT19" i="16"/>
  <c r="FE19" i="16"/>
  <c r="GO19" i="16"/>
  <c r="EA20" i="16"/>
  <c r="FG20" i="16"/>
  <c r="GM20" i="16"/>
  <c r="DX21" i="16"/>
  <c r="FD21" i="16"/>
  <c r="GJ21" i="16"/>
  <c r="DU22" i="16"/>
  <c r="FA22" i="16"/>
  <c r="GG22" i="16"/>
  <c r="DR23" i="16"/>
  <c r="EX23" i="16"/>
  <c r="GD23" i="16"/>
  <c r="DO24" i="16"/>
  <c r="EU24" i="16"/>
  <c r="GA24" i="16"/>
  <c r="HF24" i="16"/>
  <c r="EJ25" i="16"/>
  <c r="FF25" i="16"/>
  <c r="FZ25" i="16"/>
  <c r="GS25" i="16"/>
  <c r="DP26" i="16"/>
  <c r="EH26" i="16"/>
  <c r="FA26" i="16"/>
  <c r="FS26" i="16"/>
  <c r="GK26" i="16"/>
  <c r="HC26" i="16"/>
  <c r="EA27" i="16"/>
  <c r="ES27" i="16"/>
  <c r="FK27" i="16"/>
  <c r="GD27" i="16"/>
  <c r="GV27" i="16"/>
  <c r="DS28" i="16"/>
  <c r="EK28" i="16"/>
  <c r="FA28" i="16"/>
  <c r="FQ28" i="16"/>
  <c r="GG28" i="16"/>
  <c r="GW28" i="16"/>
  <c r="DR29" i="16"/>
  <c r="EH29" i="16"/>
  <c r="EX29" i="16"/>
  <c r="FN29" i="16"/>
  <c r="GD29" i="16"/>
  <c r="GT29" i="16"/>
  <c r="DO30" i="16"/>
  <c r="EE30" i="16"/>
  <c r="EU30" i="16"/>
  <c r="FK30" i="16"/>
  <c r="GA30" i="16"/>
  <c r="GQ30" i="16"/>
  <c r="HG30" i="16"/>
  <c r="EB31" i="16"/>
  <c r="ER31" i="16"/>
  <c r="FH31" i="16"/>
  <c r="FX31" i="16"/>
  <c r="GN31" i="16"/>
  <c r="HD31" i="16"/>
  <c r="DY32" i="16"/>
  <c r="EO32" i="16"/>
  <c r="FE32" i="16"/>
  <c r="FU32" i="16"/>
  <c r="GK32" i="16"/>
  <c r="HA32" i="16"/>
  <c r="DV33" i="16"/>
  <c r="EL33" i="16"/>
  <c r="FB33" i="16"/>
  <c r="FR33" i="16"/>
  <c r="GH33" i="16"/>
  <c r="GX33" i="16"/>
  <c r="HG33" i="16"/>
  <c r="DU34" i="16"/>
  <c r="ED34" i="16"/>
  <c r="EN34" i="16"/>
  <c r="EW34" i="16"/>
  <c r="FF34" i="16"/>
  <c r="FO34" i="16"/>
  <c r="FX34" i="16"/>
  <c r="GG34" i="16"/>
  <c r="GP34" i="16"/>
  <c r="GZ34" i="16"/>
  <c r="DN35" i="16"/>
  <c r="DW35" i="16"/>
  <c r="EF35" i="16"/>
  <c r="EO35" i="16"/>
  <c r="EX35" i="16"/>
  <c r="FG35" i="16"/>
  <c r="FQ35" i="16"/>
  <c r="FZ35" i="16"/>
  <c r="GI35" i="16"/>
  <c r="GR35" i="16"/>
  <c r="HA35" i="16"/>
  <c r="DO36" i="16"/>
  <c r="DX36" i="16"/>
  <c r="EH36" i="16"/>
  <c r="EQ36" i="16"/>
  <c r="EZ36" i="16"/>
  <c r="FI36" i="16"/>
  <c r="FR36" i="16"/>
  <c r="GA36" i="16"/>
  <c r="GJ36" i="16"/>
  <c r="GT36" i="16"/>
  <c r="HC36" i="16"/>
  <c r="DQ37" i="16"/>
  <c r="DZ37" i="16"/>
  <c r="EI37" i="16"/>
  <c r="ER37" i="16"/>
  <c r="FA37" i="16"/>
  <c r="FK37" i="16"/>
  <c r="FT37" i="16"/>
  <c r="GC37" i="16"/>
  <c r="GL37" i="16"/>
  <c r="GU37" i="16"/>
  <c r="HD37" i="16"/>
  <c r="DR38" i="16"/>
  <c r="EB38" i="16"/>
  <c r="EK38" i="16"/>
  <c r="ET38" i="16"/>
  <c r="FC38" i="16"/>
  <c r="FL38" i="16"/>
  <c r="FU38" i="16"/>
  <c r="GD38" i="16"/>
  <c r="GN38" i="16"/>
  <c r="GW38" i="16"/>
  <c r="HF38" i="16"/>
  <c r="DT39" i="16"/>
  <c r="EC39" i="16"/>
  <c r="EL39" i="16"/>
  <c r="EU39" i="16"/>
  <c r="FE39" i="16"/>
  <c r="FN39" i="16"/>
  <c r="FW39" i="16"/>
  <c r="GF39" i="16"/>
  <c r="GN39" i="16"/>
  <c r="GV39" i="16"/>
  <c r="HD39" i="16"/>
  <c r="DQ40" i="16"/>
  <c r="DY40" i="16"/>
  <c r="EG40" i="16"/>
  <c r="EO40" i="16"/>
  <c r="EW40" i="16"/>
  <c r="FE40" i="16"/>
  <c r="FM40" i="16"/>
  <c r="FU40" i="16"/>
  <c r="GC40" i="16"/>
  <c r="GK40" i="16"/>
  <c r="GS40" i="16"/>
  <c r="HA40" i="16"/>
  <c r="DN41" i="16"/>
  <c r="DV41" i="16"/>
  <c r="ED41" i="16"/>
  <c r="EL41" i="16"/>
  <c r="ET41" i="16"/>
  <c r="FB41" i="16"/>
  <c r="FJ41" i="16"/>
  <c r="GC6" i="16"/>
  <c r="GY10" i="16"/>
  <c r="FZ13" i="16"/>
  <c r="EF15" i="16"/>
  <c r="FP16" i="16"/>
  <c r="GI17" i="16"/>
  <c r="FS18" i="16"/>
  <c r="ES19" i="16"/>
  <c r="DQ20" i="16"/>
  <c r="GC20" i="16"/>
  <c r="ET21" i="16"/>
  <c r="HF21" i="16"/>
  <c r="FW22" i="16"/>
  <c r="EN23" i="16"/>
  <c r="GZ23" i="16"/>
  <c r="FQ24" i="16"/>
  <c r="EA25" i="16"/>
  <c r="FR25" i="16"/>
  <c r="HD25" i="16"/>
  <c r="ET26" i="16"/>
  <c r="GD26" i="16"/>
  <c r="DT27" i="16"/>
  <c r="FD27" i="16"/>
  <c r="GO27" i="16"/>
  <c r="EE28" i="16"/>
  <c r="FK28" i="16"/>
  <c r="GQ28" i="16"/>
  <c r="EB29" i="16"/>
  <c r="FH29" i="16"/>
  <c r="GN29" i="16"/>
  <c r="DY30" i="16"/>
  <c r="FE30" i="16"/>
  <c r="GK30" i="16"/>
  <c r="DV31" i="16"/>
  <c r="FB31" i="16"/>
  <c r="GH31" i="16"/>
  <c r="DS32" i="16"/>
  <c r="EY32" i="16"/>
  <c r="GE32" i="16"/>
  <c r="DP33" i="16"/>
  <c r="EV33" i="16"/>
  <c r="GB33" i="16"/>
  <c r="HE33" i="16"/>
  <c r="EB34" i="16"/>
  <c r="ET34" i="16"/>
  <c r="FM34" i="16"/>
  <c r="GE34" i="16"/>
  <c r="GW34" i="16"/>
  <c r="DU35" i="16"/>
  <c r="EM35" i="16"/>
  <c r="FE35" i="16"/>
  <c r="FW35" i="16"/>
  <c r="GP35" i="16"/>
  <c r="DM36" i="16"/>
  <c r="EE36" i="16"/>
  <c r="EX36" i="16"/>
  <c r="FP36" i="16"/>
  <c r="GH36" i="16"/>
  <c r="GZ36" i="16"/>
  <c r="DX37" i="16"/>
  <c r="EP37" i="16"/>
  <c r="FH37" i="16"/>
  <c r="GA37" i="16"/>
  <c r="GS37" i="16"/>
  <c r="DP38" i="16"/>
  <c r="EH38" i="16"/>
  <c r="FA38" i="16"/>
  <c r="FS38" i="16"/>
  <c r="GK38" i="16"/>
  <c r="HD38" i="16"/>
  <c r="EA39" i="16"/>
  <c r="ES39" i="16"/>
  <c r="FK39" i="16"/>
  <c r="GD39" i="16"/>
  <c r="GT39" i="16"/>
  <c r="DO40" i="16"/>
  <c r="EE40" i="16"/>
  <c r="EU40" i="16"/>
  <c r="FK40" i="16"/>
  <c r="GA40" i="16"/>
  <c r="GQ40" i="16"/>
  <c r="HG40" i="16"/>
  <c r="EB41" i="16"/>
  <c r="ER41" i="16"/>
  <c r="FH41" i="16"/>
  <c r="FR41" i="16"/>
  <c r="GB41" i="16"/>
  <c r="GK41" i="16"/>
  <c r="GT41" i="16"/>
  <c r="HC41" i="16"/>
  <c r="DQ42" i="16"/>
  <c r="DZ42" i="16"/>
  <c r="EI42" i="16"/>
  <c r="ES42" i="16"/>
  <c r="FB42" i="16"/>
  <c r="FK42" i="16"/>
  <c r="FT42" i="16"/>
  <c r="GC42" i="16"/>
  <c r="GL42" i="16"/>
  <c r="GU42" i="16"/>
  <c r="HE42" i="16"/>
  <c r="DS43" i="16"/>
  <c r="FI7" i="16"/>
  <c r="EP11" i="16"/>
  <c r="GW13" i="16"/>
  <c r="EZ15" i="16"/>
  <c r="GG16" i="16"/>
  <c r="GU17" i="16"/>
  <c r="GC18" i="16"/>
  <c r="FD19" i="16"/>
  <c r="DZ20" i="16"/>
  <c r="GL20" i="16"/>
  <c r="FC21" i="16"/>
  <c r="DT22" i="16"/>
  <c r="GF22" i="16"/>
  <c r="EW23" i="16"/>
  <c r="DN24" i="16"/>
  <c r="FZ24" i="16"/>
  <c r="EI25" i="16"/>
  <c r="FY25" i="16"/>
  <c r="DO26" i="16"/>
  <c r="EY26" i="16"/>
  <c r="GJ26" i="16"/>
  <c r="DZ27" i="16"/>
  <c r="FJ27" i="16"/>
  <c r="GU27" i="16"/>
  <c r="EJ28" i="16"/>
  <c r="FP28" i="16"/>
  <c r="GV28" i="16"/>
  <c r="EG29" i="16"/>
  <c r="FM29" i="16"/>
  <c r="GS29" i="16"/>
  <c r="ED30" i="16"/>
  <c r="FJ30" i="16"/>
  <c r="GP30" i="16"/>
  <c r="EA31" i="16"/>
  <c r="FG31" i="16"/>
  <c r="GM31" i="16"/>
  <c r="DX32" i="16"/>
  <c r="FD32" i="16"/>
  <c r="GJ32" i="16"/>
  <c r="DU33" i="16"/>
  <c r="FA33" i="16"/>
  <c r="GG33" i="16"/>
  <c r="HF33" i="16"/>
  <c r="EC34" i="16"/>
  <c r="EV34" i="16"/>
  <c r="FN34" i="16"/>
  <c r="GF34" i="16"/>
  <c r="GX34" i="16"/>
  <c r="DV35" i="16"/>
  <c r="EN35" i="16"/>
  <c r="FF35" i="16"/>
  <c r="FY35" i="16"/>
  <c r="GQ35" i="16"/>
  <c r="DN36" i="16"/>
  <c r="EF36" i="16"/>
  <c r="EY36" i="16"/>
  <c r="FQ36" i="16"/>
  <c r="GI36" i="16"/>
  <c r="HB36" i="16"/>
  <c r="DY37" i="16"/>
  <c r="EQ37" i="16"/>
  <c r="FI37" i="16"/>
  <c r="GB37" i="16"/>
  <c r="GT37" i="16"/>
  <c r="DQ38" i="16"/>
  <c r="EJ38" i="16"/>
  <c r="FB38" i="16"/>
  <c r="FT38" i="16"/>
  <c r="GL38" i="16"/>
  <c r="HE38" i="16"/>
  <c r="EB39" i="16"/>
  <c r="ET39" i="16"/>
  <c r="FM39" i="16"/>
  <c r="GE39" i="16"/>
  <c r="GU39" i="16"/>
  <c r="DP40" i="16"/>
  <c r="EF40" i="16"/>
  <c r="EV40" i="16"/>
  <c r="FL40" i="16"/>
  <c r="GB40" i="16"/>
  <c r="GR40" i="16"/>
  <c r="DM41" i="16"/>
  <c r="EC41" i="16"/>
  <c r="ES41" i="16"/>
  <c r="FI41" i="16"/>
  <c r="FT41" i="16"/>
  <c r="GC41" i="16"/>
  <c r="GL41" i="16"/>
  <c r="GU41" i="16"/>
  <c r="HD41" i="16"/>
  <c r="DR42" i="16"/>
  <c r="EA42" i="16"/>
  <c r="EK42" i="16"/>
  <c r="ET42" i="16"/>
  <c r="FC42" i="16"/>
  <c r="FL42" i="16"/>
  <c r="FU42" i="16"/>
  <c r="GD42" i="16"/>
  <c r="GM42" i="16"/>
  <c r="GW42" i="16"/>
  <c r="HF42" i="16"/>
  <c r="DT43" i="16"/>
  <c r="EC43" i="16"/>
  <c r="EL43" i="16"/>
  <c r="EU43" i="16"/>
  <c r="FD43" i="16"/>
  <c r="FN43" i="16"/>
  <c r="FW43" i="16"/>
  <c r="GF43" i="16"/>
  <c r="GO43" i="16"/>
  <c r="GX43" i="16"/>
  <c r="HG43" i="16"/>
  <c r="DU44" i="16"/>
  <c r="EE44" i="16"/>
  <c r="EN44" i="16"/>
  <c r="EW44" i="16"/>
  <c r="FF44" i="16"/>
  <c r="FO44" i="16"/>
  <c r="FX44" i="16"/>
  <c r="GG44" i="16"/>
  <c r="GQ44" i="16"/>
  <c r="GZ44" i="16"/>
  <c r="DN45" i="16"/>
  <c r="DW45" i="16"/>
  <c r="EF45" i="16"/>
  <c r="EO45" i="16"/>
  <c r="EX45" i="16"/>
  <c r="FH45" i="16"/>
  <c r="FQ45" i="16"/>
  <c r="FZ45" i="16"/>
  <c r="GI45" i="16"/>
  <c r="GR45" i="16"/>
  <c r="HA45" i="16"/>
  <c r="DO46" i="16"/>
  <c r="DY46" i="16"/>
  <c r="EH46" i="16"/>
  <c r="EQ46" i="16"/>
  <c r="EZ46" i="16"/>
  <c r="FI46" i="16"/>
  <c r="FR46" i="16"/>
  <c r="GA46" i="16"/>
  <c r="GK46" i="16"/>
  <c r="GT46" i="16"/>
  <c r="HC46" i="16"/>
  <c r="DQ47" i="16"/>
  <c r="DZ47" i="16"/>
  <c r="EI47" i="16"/>
  <c r="ER47" i="16"/>
  <c r="FB47" i="16"/>
  <c r="FK47" i="16"/>
  <c r="FT47" i="16"/>
  <c r="GC47" i="16"/>
  <c r="GL47" i="16"/>
  <c r="GU47" i="16"/>
  <c r="HD47" i="16"/>
  <c r="DS48" i="16"/>
  <c r="EB48" i="16"/>
  <c r="EK48" i="16"/>
  <c r="ET48" i="16"/>
  <c r="FC48" i="16"/>
  <c r="FL48" i="16"/>
  <c r="FU48" i="16"/>
  <c r="GE48" i="16"/>
  <c r="GM48" i="16"/>
  <c r="GU48" i="16"/>
  <c r="HC48" i="16"/>
  <c r="DP49" i="16"/>
  <c r="DX49" i="16"/>
  <c r="EF49" i="16"/>
  <c r="EN49" i="16"/>
  <c r="GA2" i="16"/>
  <c r="GO8" i="16"/>
  <c r="DV12" i="16"/>
  <c r="EP14" i="16"/>
  <c r="GK15" i="16"/>
  <c r="DS17" i="16"/>
  <c r="DX18" i="16"/>
  <c r="GW18" i="16"/>
  <c r="FW19" i="16"/>
  <c r="EQ20" i="16"/>
  <c r="HC20" i="16"/>
  <c r="FT21" i="16"/>
  <c r="EK22" i="16"/>
  <c r="GW22" i="16"/>
  <c r="FN23" i="16"/>
  <c r="EE24" i="16"/>
  <c r="GQ24" i="16"/>
  <c r="ET25" i="16"/>
  <c r="GJ25" i="16"/>
  <c r="DY26" i="16"/>
  <c r="FJ26" i="16"/>
  <c r="GT26" i="16"/>
  <c r="EJ27" i="16"/>
  <c r="FT27" i="16"/>
  <c r="HE27" i="16"/>
  <c r="ES28" i="16"/>
  <c r="FY28" i="16"/>
  <c r="HE28" i="16"/>
  <c r="EP29" i="16"/>
  <c r="FV29" i="16"/>
  <c r="HB29" i="16"/>
  <c r="EM30" i="16"/>
  <c r="FS30" i="16"/>
  <c r="GY30" i="16"/>
  <c r="EJ31" i="16"/>
  <c r="FP31" i="16"/>
  <c r="GV31" i="16"/>
  <c r="EG32" i="16"/>
  <c r="FM32" i="16"/>
  <c r="GS32" i="16"/>
  <c r="ED33" i="16"/>
  <c r="FJ33" i="16"/>
  <c r="GP33" i="16"/>
  <c r="DQ34" i="16"/>
  <c r="EI34" i="16"/>
  <c r="FA34" i="16"/>
  <c r="FT34" i="16"/>
  <c r="GL34" i="16"/>
  <c r="HD34" i="16"/>
  <c r="EA35" i="16"/>
  <c r="ET35" i="16"/>
  <c r="FL35" i="16"/>
  <c r="GD35" i="16"/>
  <c r="GW35" i="16"/>
  <c r="DT36" i="16"/>
  <c r="EL36" i="16"/>
  <c r="FD36" i="16"/>
  <c r="FW36" i="16"/>
  <c r="GO36" i="16"/>
  <c r="HG36" i="16"/>
  <c r="EE37" i="16"/>
  <c r="EW37" i="16"/>
  <c r="FO37" i="16"/>
  <c r="GG37" i="16"/>
  <c r="GZ37" i="16"/>
  <c r="DW38" i="16"/>
  <c r="EO38" i="16"/>
  <c r="FH38" i="16"/>
  <c r="FZ38" i="16"/>
  <c r="GR38" i="16"/>
  <c r="DO39" i="16"/>
  <c r="EH39" i="16"/>
  <c r="EZ39" i="16"/>
  <c r="FR39" i="16"/>
  <c r="GJ39" i="16"/>
  <c r="GZ39" i="16"/>
  <c r="DU40" i="16"/>
  <c r="EK40" i="16"/>
  <c r="FA40" i="16"/>
  <c r="FQ40" i="16"/>
  <c r="GG40" i="16"/>
  <c r="GW40" i="16"/>
  <c r="DR41" i="16"/>
  <c r="EH41" i="16"/>
  <c r="EX41" i="16"/>
  <c r="FL41" i="16"/>
  <c r="FU41" i="16"/>
  <c r="GD41" i="16"/>
  <c r="GM41" i="16"/>
  <c r="GV41" i="16"/>
  <c r="HE41" i="16"/>
  <c r="DS42" i="16"/>
  <c r="EC42" i="16"/>
  <c r="EL42" i="16"/>
  <c r="EU42" i="16"/>
  <c r="FD42" i="16"/>
  <c r="FM42" i="16"/>
  <c r="FV42" i="16"/>
  <c r="GE42" i="16"/>
  <c r="GO42" i="16"/>
  <c r="GX42" i="16"/>
  <c r="HG42" i="16"/>
  <c r="DU43" i="16"/>
  <c r="GX2" i="16"/>
  <c r="HE8" i="16"/>
  <c r="EF12" i="16"/>
  <c r="EV14" i="16"/>
  <c r="EQ6" i="16"/>
  <c r="GF10" i="16"/>
  <c r="FN13" i="16"/>
  <c r="DV15" i="16"/>
  <c r="FG16" i="16"/>
  <c r="GA17" i="16"/>
  <c r="FM18" i="16"/>
  <c r="EN19" i="16"/>
  <c r="HG19" i="16"/>
  <c r="FX20" i="16"/>
  <c r="EO21" i="16"/>
  <c r="HA21" i="16"/>
  <c r="FR22" i="16"/>
  <c r="EI23" i="16"/>
  <c r="GU23" i="16"/>
  <c r="FL24" i="16"/>
  <c r="DZ25" i="16"/>
  <c r="FQ25" i="16"/>
  <c r="HC25" i="16"/>
  <c r="ES26" i="16"/>
  <c r="GC26" i="16"/>
  <c r="DS27" i="16"/>
  <c r="FC27" i="16"/>
  <c r="GN27" i="16"/>
  <c r="EC28" i="16"/>
  <c r="FJ28" i="16"/>
  <c r="GP28" i="16"/>
  <c r="EA29" i="16"/>
  <c r="FG29" i="16"/>
  <c r="GM29" i="16"/>
  <c r="DX30" i="16"/>
  <c r="FD30" i="16"/>
  <c r="GJ30" i="16"/>
  <c r="DU31" i="16"/>
  <c r="FA31" i="16"/>
  <c r="GG31" i="16"/>
  <c r="DR32" i="16"/>
  <c r="EX32" i="16"/>
  <c r="GD32" i="16"/>
  <c r="DO33" i="16"/>
  <c r="EU33" i="16"/>
  <c r="GA33" i="16"/>
  <c r="HD33" i="16"/>
  <c r="EA34" i="16"/>
  <c r="ES34" i="16"/>
  <c r="FL34" i="16"/>
  <c r="GD34" i="16"/>
  <c r="GV34" i="16"/>
  <c r="DS35" i="16"/>
  <c r="EL35" i="16"/>
  <c r="FD35" i="16"/>
  <c r="FV35" i="16"/>
  <c r="GO35" i="16"/>
  <c r="HG35" i="16"/>
  <c r="ED36" i="16"/>
  <c r="EV36" i="16"/>
  <c r="FO36" i="16"/>
  <c r="GG36" i="16"/>
  <c r="GY36" i="16"/>
  <c r="DW37" i="16"/>
  <c r="EO37" i="16"/>
  <c r="FG37" i="16"/>
  <c r="FY37" i="16"/>
  <c r="GR37" i="16"/>
  <c r="DO38" i="16"/>
  <c r="EG38" i="16"/>
  <c r="EZ38" i="16"/>
  <c r="FR38" i="16"/>
  <c r="GJ38" i="16"/>
  <c r="HB38" i="16"/>
  <c r="DZ39" i="16"/>
  <c r="ER39" i="16"/>
  <c r="FJ39" i="16"/>
  <c r="GC39" i="16"/>
  <c r="GS39" i="16"/>
  <c r="DN40" i="16"/>
  <c r="ED40" i="16"/>
  <c r="ET40" i="16"/>
  <c r="FJ40" i="16"/>
  <c r="FZ40" i="16"/>
  <c r="GP40" i="16"/>
  <c r="HF40" i="16"/>
  <c r="EA41" i="16"/>
  <c r="EQ41" i="16"/>
  <c r="FG41" i="16"/>
  <c r="FQ41" i="16"/>
  <c r="FZ41" i="16"/>
  <c r="GJ41" i="16"/>
  <c r="GS41" i="16"/>
  <c r="HB41" i="16"/>
  <c r="DP42" i="16"/>
  <c r="DY42" i="16"/>
  <c r="EH42" i="16"/>
  <c r="EQ42" i="16"/>
  <c r="FA42" i="16"/>
  <c r="FJ42" i="16"/>
  <c r="FS42" i="16"/>
  <c r="GB42" i="16"/>
  <c r="GK42" i="16"/>
  <c r="GT42" i="16"/>
  <c r="HC42" i="16"/>
  <c r="DR43" i="16"/>
  <c r="EA43" i="16"/>
  <c r="EJ43" i="16"/>
  <c r="ES43" i="16"/>
  <c r="FB43" i="16"/>
  <c r="EY12" i="16"/>
  <c r="DU16" i="16"/>
  <c r="ES18" i="16"/>
  <c r="GN19" i="16"/>
  <c r="DW21" i="16"/>
  <c r="EZ22" i="16"/>
  <c r="GC23" i="16"/>
  <c r="HE24" i="16"/>
  <c r="GR25" i="16"/>
  <c r="FR26" i="16"/>
  <c r="ER27" i="16"/>
  <c r="DR28" i="16"/>
  <c r="GF28" i="16"/>
  <c r="EW29" i="16"/>
  <c r="DN30" i="16"/>
  <c r="FZ30" i="16"/>
  <c r="EQ31" i="16"/>
  <c r="HC31" i="16"/>
  <c r="FT32" i="16"/>
  <c r="EK33" i="16"/>
  <c r="GW33" i="16"/>
  <c r="EL34" i="16"/>
  <c r="FW34" i="16"/>
  <c r="DM35" i="16"/>
  <c r="EW35" i="16"/>
  <c r="GH35" i="16"/>
  <c r="DW36" i="16"/>
  <c r="FH36" i="16"/>
  <c r="GR36" i="16"/>
  <c r="EH37" i="16"/>
  <c r="FS37" i="16"/>
  <c r="HC37" i="16"/>
  <c r="ES38" i="16"/>
  <c r="GC38" i="16"/>
  <c r="DS39" i="16"/>
  <c r="FC39" i="16"/>
  <c r="GM39" i="16"/>
  <c r="DX40" i="16"/>
  <c r="FD40" i="16"/>
  <c r="GJ40" i="16"/>
  <c r="DU41" i="16"/>
  <c r="FA41" i="16"/>
  <c r="FX41" i="16"/>
  <c r="GP41" i="16"/>
  <c r="DN42" i="16"/>
  <c r="EF42" i="16"/>
  <c r="EX42" i="16"/>
  <c r="FQ42" i="16"/>
  <c r="GI42" i="16"/>
  <c r="HA42" i="16"/>
  <c r="DX43" i="16"/>
  <c r="EK43" i="16"/>
  <c r="EX43" i="16"/>
  <c r="FI43" i="16"/>
  <c r="FS43" i="16"/>
  <c r="GD43" i="16"/>
  <c r="GN43" i="16"/>
  <c r="GY43" i="16"/>
  <c r="DO44" i="16"/>
  <c r="DY44" i="16"/>
  <c r="EI44" i="16"/>
  <c r="ES44" i="16"/>
  <c r="FD44" i="16"/>
  <c r="FN44" i="16"/>
  <c r="FY44" i="16"/>
  <c r="GJ44" i="16"/>
  <c r="GT44" i="16"/>
  <c r="HD44" i="16"/>
  <c r="DT45" i="16"/>
  <c r="ED45" i="16"/>
  <c r="EN45" i="16"/>
  <c r="EZ45" i="16"/>
  <c r="FJ45" i="16"/>
  <c r="FT45" i="16"/>
  <c r="GD45" i="16"/>
  <c r="GO45" i="16"/>
  <c r="GY45" i="16"/>
  <c r="DN46" i="16"/>
  <c r="DZ46" i="16"/>
  <c r="EJ46" i="16"/>
  <c r="ET46" i="16"/>
  <c r="FE46" i="16"/>
  <c r="FO46" i="16"/>
  <c r="FY46" i="16"/>
  <c r="GI46" i="16"/>
  <c r="GU46" i="16"/>
  <c r="HE46" i="16"/>
  <c r="DT47" i="16"/>
  <c r="EE47" i="16"/>
  <c r="EO47" i="16"/>
  <c r="EY47" i="16"/>
  <c r="FJ47" i="16"/>
  <c r="FU47" i="16"/>
  <c r="GE47" i="16"/>
  <c r="GP47" i="16"/>
  <c r="GZ47" i="16"/>
  <c r="DO48" i="16"/>
  <c r="DY48" i="16"/>
  <c r="EJ48" i="16"/>
  <c r="EU48" i="16"/>
  <c r="FE48" i="16"/>
  <c r="FP48" i="16"/>
  <c r="FZ48" i="16"/>
  <c r="GJ48" i="16"/>
  <c r="GS48" i="16"/>
  <c r="HB48" i="16"/>
  <c r="DQ49" i="16"/>
  <c r="DZ49" i="16"/>
  <c r="EI49" i="16"/>
  <c r="ER49" i="16"/>
  <c r="EZ49" i="16"/>
  <c r="FH49" i="16"/>
  <c r="FP49" i="16"/>
  <c r="FX49" i="16"/>
  <c r="GF49" i="16"/>
  <c r="GN49" i="16"/>
  <c r="GV49" i="16"/>
  <c r="HD49" i="16"/>
  <c r="DQ50" i="16"/>
  <c r="DY50" i="16"/>
  <c r="EG50" i="16"/>
  <c r="EO50" i="16"/>
  <c r="EW50" i="16"/>
  <c r="FE50" i="16"/>
  <c r="FM50" i="16"/>
  <c r="FU50" i="16"/>
  <c r="GC50" i="16"/>
  <c r="GK50" i="16"/>
  <c r="GS50" i="16"/>
  <c r="HA50" i="16"/>
  <c r="DN51" i="16"/>
  <c r="DV51" i="16"/>
  <c r="ED51" i="16"/>
  <c r="EL51" i="16"/>
  <c r="ET51" i="16"/>
  <c r="FB51" i="16"/>
  <c r="FJ51" i="16"/>
  <c r="FR51" i="16"/>
  <c r="FZ51" i="16"/>
  <c r="GH51" i="16"/>
  <c r="GP51" i="16"/>
  <c r="GX51" i="16"/>
  <c r="HF51" i="16"/>
  <c r="GJ12" i="16"/>
  <c r="FB16" i="16"/>
  <c r="FL18" i="16"/>
  <c r="HF19" i="16"/>
  <c r="EN21" i="16"/>
  <c r="FQ22" i="16"/>
  <c r="GT23" i="16"/>
  <c r="DY25" i="16"/>
  <c r="HB25" i="16"/>
  <c r="GB26" i="16"/>
  <c r="FB27" i="16"/>
  <c r="EB28" i="16"/>
  <c r="GO28" i="16"/>
  <c r="FF29" i="16"/>
  <c r="DW30" i="16"/>
  <c r="GI30" i="16"/>
  <c r="EZ31" i="16"/>
  <c r="DQ32" i="16"/>
  <c r="GC32" i="16"/>
  <c r="ET33" i="16"/>
  <c r="HC33" i="16"/>
  <c r="ER34" i="16"/>
  <c r="GC34" i="16"/>
  <c r="DR35" i="16"/>
  <c r="FC35" i="16"/>
  <c r="GM35" i="16"/>
  <c r="EC36" i="16"/>
  <c r="FN36" i="16"/>
  <c r="GX36" i="16"/>
  <c r="EN37" i="16"/>
  <c r="FX37" i="16"/>
  <c r="DN38" i="16"/>
  <c r="EX38" i="16"/>
  <c r="GI38" i="16"/>
  <c r="DY39" i="16"/>
  <c r="FI39" i="16"/>
  <c r="GR39" i="16"/>
  <c r="EC40" i="16"/>
  <c r="FI40" i="16"/>
  <c r="GO40" i="16"/>
  <c r="DZ41" i="16"/>
  <c r="FF41" i="16"/>
  <c r="FY41" i="16"/>
  <c r="GR41" i="16"/>
  <c r="DO42" i="16"/>
  <c r="EG42" i="16"/>
  <c r="EY42" i="16"/>
  <c r="FR42" i="16"/>
  <c r="GJ42" i="16"/>
  <c r="HB42" i="16"/>
  <c r="DZ43" i="16"/>
  <c r="EM43" i="16"/>
  <c r="EY43" i="16"/>
  <c r="FJ43" i="16"/>
  <c r="FT43" i="16"/>
  <c r="GE43" i="16"/>
  <c r="GP43" i="16"/>
  <c r="GZ43" i="16"/>
  <c r="DP44" i="16"/>
  <c r="DZ44" i="16"/>
  <c r="EJ44" i="16"/>
  <c r="EU44" i="16"/>
  <c r="FE44" i="16"/>
  <c r="FP44" i="16"/>
  <c r="GA44" i="16"/>
  <c r="GK44" i="16"/>
  <c r="GU44" i="16"/>
  <c r="HE44" i="16"/>
  <c r="DU45" i="16"/>
  <c r="EE45" i="16"/>
  <c r="EP45" i="16"/>
  <c r="FA45" i="16"/>
  <c r="FK45" i="16"/>
  <c r="FU45" i="16"/>
  <c r="GF45" i="16"/>
  <c r="GP45" i="16"/>
  <c r="GZ45" i="16"/>
  <c r="DQ46" i="16"/>
  <c r="EA46" i="16"/>
  <c r="EK46" i="16"/>
  <c r="EU46" i="16"/>
  <c r="FF46" i="16"/>
  <c r="FP46" i="16"/>
  <c r="FZ46" i="16"/>
  <c r="GL46" i="16"/>
  <c r="GV46" i="16"/>
  <c r="HF46" i="16"/>
  <c r="DV47" i="16"/>
  <c r="EF47" i="16"/>
  <c r="EP47" i="16"/>
  <c r="EZ47" i="16"/>
  <c r="FL47" i="16"/>
  <c r="FV47" i="16"/>
  <c r="GF47" i="16"/>
  <c r="GQ47" i="16"/>
  <c r="HA47" i="16"/>
  <c r="DP48" i="16"/>
  <c r="EA48" i="16"/>
  <c r="EL48" i="16"/>
  <c r="EV48" i="16"/>
  <c r="FG48" i="16"/>
  <c r="FQ48" i="16"/>
  <c r="GA48" i="16"/>
  <c r="GK48" i="16"/>
  <c r="GT48" i="16"/>
  <c r="HD48" i="16"/>
  <c r="DR49" i="16"/>
  <c r="EA49" i="16"/>
  <c r="EJ49" i="16"/>
  <c r="ES49" i="16"/>
  <c r="FA49" i="16"/>
  <c r="FI49" i="16"/>
  <c r="FQ49" i="16"/>
  <c r="FY49" i="16"/>
  <c r="GG49" i="16"/>
  <c r="GO49" i="16"/>
  <c r="GW49" i="16"/>
  <c r="HE49" i="16"/>
  <c r="DR50" i="16"/>
  <c r="DZ50" i="16"/>
  <c r="EH50" i="16"/>
  <c r="EP50" i="16"/>
  <c r="EX50" i="16"/>
  <c r="FF50" i="16"/>
  <c r="FN50" i="16"/>
  <c r="FV50" i="16"/>
  <c r="GD50" i="16"/>
  <c r="GL50" i="16"/>
  <c r="GT50" i="16"/>
  <c r="HB50" i="16"/>
  <c r="DO51" i="16"/>
  <c r="DW51" i="16"/>
  <c r="EE51" i="16"/>
  <c r="EM51" i="16"/>
  <c r="EU51" i="16"/>
  <c r="FC51" i="16"/>
  <c r="FK51" i="16"/>
  <c r="FS51" i="16"/>
  <c r="GA51" i="16"/>
  <c r="GI51" i="16"/>
  <c r="GQ51" i="16"/>
  <c r="GY51" i="16"/>
  <c r="HG51" i="16"/>
  <c r="ET3" i="16"/>
  <c r="FF13" i="16"/>
  <c r="DX17" i="16"/>
  <c r="GX18" i="16"/>
  <c r="ER20" i="16"/>
  <c r="FU21" i="16"/>
  <c r="GX22" i="16"/>
  <c r="EF24" i="16"/>
  <c r="EW25" i="16"/>
  <c r="DZ26" i="16"/>
  <c r="GU26" i="16"/>
  <c r="FV27" i="16"/>
  <c r="ET28" i="16"/>
  <c r="HF28" i="16"/>
  <c r="FW29" i="16"/>
  <c r="EN30" i="16"/>
  <c r="GZ30" i="16"/>
  <c r="FQ31" i="16"/>
  <c r="EH32" i="16"/>
  <c r="GT32" i="16"/>
  <c r="FK33" i="16"/>
  <c r="DR34" i="16"/>
  <c r="FB34" i="16"/>
  <c r="GM34" i="16"/>
  <c r="EC35" i="16"/>
  <c r="FM35" i="16"/>
  <c r="GX35" i="16"/>
  <c r="EM36" i="16"/>
  <c r="FX36" i="16"/>
  <c r="DM37" i="16"/>
  <c r="EX37" i="16"/>
  <c r="GI37" i="16"/>
  <c r="DX38" i="16"/>
  <c r="FI38" i="16"/>
  <c r="GS38" i="16"/>
  <c r="EI39" i="16"/>
  <c r="FS39" i="16"/>
  <c r="HA39" i="16"/>
  <c r="EL40" i="16"/>
  <c r="FR40" i="16"/>
  <c r="GX40" i="16"/>
  <c r="EI41" i="16"/>
  <c r="FM41" i="16"/>
  <c r="GE41" i="16"/>
  <c r="GW41" i="16"/>
  <c r="DU42" i="16"/>
  <c r="EM42" i="16"/>
  <c r="FE42" i="16"/>
  <c r="FW42" i="16"/>
  <c r="GP42" i="16"/>
  <c r="DM43" i="16"/>
  <c r="EB43" i="16"/>
  <c r="EN43" i="16"/>
  <c r="EZ43" i="16"/>
  <c r="FK43" i="16"/>
  <c r="FV43" i="16"/>
  <c r="GG43" i="16"/>
  <c r="GQ43" i="16"/>
  <c r="HB43" i="16"/>
  <c r="DQ44" i="16"/>
  <c r="EA44" i="16"/>
  <c r="EK44" i="16"/>
  <c r="EV44" i="16"/>
  <c r="FG44" i="16"/>
  <c r="FQ44" i="16"/>
  <c r="GB44" i="16"/>
  <c r="GL44" i="16"/>
  <c r="GV44" i="16"/>
  <c r="HG44" i="16"/>
  <c r="DV45" i="16"/>
  <c r="EG45" i="16"/>
  <c r="ER45" i="16"/>
  <c r="FB45" i="16"/>
  <c r="FL45" i="16"/>
  <c r="FV45" i="16"/>
  <c r="GG45" i="16"/>
  <c r="GQ45" i="16"/>
  <c r="HB45" i="16"/>
  <c r="DR46" i="16"/>
  <c r="EB46" i="16"/>
  <c r="EL46" i="16"/>
  <c r="EW46" i="16"/>
  <c r="FG46" i="16"/>
  <c r="FQ46" i="16"/>
  <c r="GC46" i="16"/>
  <c r="GM46" i="16"/>
  <c r="GW46" i="16"/>
  <c r="HG46" i="16"/>
  <c r="DW47" i="16"/>
  <c r="EG47" i="16"/>
  <c r="EQ47" i="16"/>
  <c r="FC47" i="16"/>
  <c r="FM47" i="16"/>
  <c r="FW47" i="16"/>
  <c r="GH47" i="16"/>
  <c r="GR47" i="16"/>
  <c r="HB47" i="16"/>
  <c r="DQ48" i="16"/>
  <c r="EC48" i="16"/>
  <c r="EM48" i="16"/>
  <c r="EW48" i="16"/>
  <c r="FH48" i="16"/>
  <c r="FR48" i="16"/>
  <c r="GB48" i="16"/>
  <c r="GL48" i="16"/>
  <c r="GV48" i="16"/>
  <c r="HE48" i="16"/>
  <c r="DS49" i="16"/>
  <c r="EB49" i="16"/>
  <c r="EK49" i="16"/>
  <c r="ET49" i="16"/>
  <c r="FB49" i="16"/>
  <c r="FJ49" i="16"/>
  <c r="FR49" i="16"/>
  <c r="FZ49" i="16"/>
  <c r="GH49" i="16"/>
  <c r="GP49" i="16"/>
  <c r="GX49" i="16"/>
  <c r="HF49" i="16"/>
  <c r="DS50" i="16"/>
  <c r="EA50" i="16"/>
  <c r="EI50" i="16"/>
  <c r="EQ50" i="16"/>
  <c r="EY50" i="16"/>
  <c r="FG50" i="16"/>
  <c r="FO50" i="16"/>
  <c r="FW50" i="16"/>
  <c r="GE50" i="16"/>
  <c r="GM50" i="16"/>
  <c r="GU50" i="16"/>
  <c r="HC50" i="16"/>
  <c r="DP51" i="16"/>
  <c r="DX51" i="16"/>
  <c r="EF51" i="16"/>
  <c r="EN51" i="16"/>
  <c r="EV51" i="16"/>
  <c r="FD51" i="16"/>
  <c r="FL51" i="16"/>
  <c r="FT51" i="16"/>
  <c r="GB51" i="16"/>
  <c r="GJ51" i="16"/>
  <c r="GR51" i="16"/>
  <c r="GZ51" i="16"/>
  <c r="EN4" i="16"/>
  <c r="FF14" i="16"/>
  <c r="EG17" i="16"/>
  <c r="HD18" i="16"/>
  <c r="EW20" i="16"/>
  <c r="FZ21" i="16"/>
  <c r="HC22" i="16"/>
  <c r="EK24" i="16"/>
  <c r="EX25" i="16"/>
  <c r="EA26" i="16"/>
  <c r="GW26" i="16"/>
  <c r="FW27" i="16"/>
  <c r="EU28" i="16"/>
  <c r="HG28" i="16"/>
  <c r="FX29" i="16"/>
  <c r="EO30" i="16"/>
  <c r="HA30" i="16"/>
  <c r="FR31" i="16"/>
  <c r="FU10" i="16"/>
  <c r="GY15" i="16"/>
  <c r="EF18" i="16"/>
  <c r="GD19" i="16"/>
  <c r="DN21" i="16"/>
  <c r="EQ22" i="16"/>
  <c r="FT23" i="16"/>
  <c r="GW24" i="16"/>
  <c r="GL25" i="16"/>
  <c r="FL26" i="16"/>
  <c r="EL27" i="16"/>
  <c r="HG27" i="16"/>
  <c r="GA28" i="16"/>
  <c r="ER29" i="16"/>
  <c r="HD29" i="16"/>
  <c r="FU30" i="16"/>
  <c r="EL31" i="16"/>
  <c r="GX31" i="16"/>
  <c r="FO32" i="16"/>
  <c r="EF33" i="16"/>
  <c r="GR33" i="16"/>
  <c r="EK34" i="16"/>
  <c r="FV34" i="16"/>
  <c r="HF34" i="16"/>
  <c r="EV35" i="16"/>
  <c r="GG35" i="16"/>
  <c r="DV36" i="16"/>
  <c r="FG36" i="16"/>
  <c r="GQ36" i="16"/>
  <c r="EG37" i="16"/>
  <c r="FQ37" i="16"/>
  <c r="HB37" i="16"/>
  <c r="ER38" i="16"/>
  <c r="GB38" i="16"/>
  <c r="DR39" i="16"/>
  <c r="FB39" i="16"/>
  <c r="GL39" i="16"/>
  <c r="DW40" i="16"/>
  <c r="FC40" i="16"/>
  <c r="GI40" i="16"/>
  <c r="DT41" i="16"/>
  <c r="EZ41" i="16"/>
  <c r="FW41" i="16"/>
  <c r="GO41" i="16"/>
  <c r="DM42" i="16"/>
  <c r="EE42" i="16"/>
  <c r="EW42" i="16"/>
  <c r="FO42" i="16"/>
  <c r="GH42" i="16"/>
  <c r="GZ42" i="16"/>
  <c r="DW43" i="16"/>
  <c r="EI43" i="16"/>
  <c r="EV43" i="16"/>
  <c r="FH43" i="16"/>
  <c r="FR43" i="16"/>
  <c r="GB43" i="16"/>
  <c r="GM43" i="16"/>
  <c r="GW43" i="16"/>
  <c r="DM44" i="16"/>
  <c r="DX44" i="16"/>
  <c r="EH44" i="16"/>
  <c r="ER44" i="16"/>
  <c r="FC44" i="16"/>
  <c r="FM44" i="16"/>
  <c r="FW44" i="16"/>
  <c r="GI44" i="16"/>
  <c r="GS44" i="16"/>
  <c r="HC44" i="16"/>
  <c r="DR45" i="16"/>
  <c r="EC45" i="16"/>
  <c r="EM45" i="16"/>
  <c r="EW45" i="16"/>
  <c r="FI45" i="16"/>
  <c r="FS45" i="16"/>
  <c r="GC45" i="16"/>
  <c r="GN45" i="16"/>
  <c r="GX45" i="16"/>
  <c r="DM46" i="16"/>
  <c r="DW46" i="16"/>
  <c r="EI46" i="16"/>
  <c r="ES46" i="16"/>
  <c r="FC46" i="16"/>
  <c r="FN46" i="16"/>
  <c r="FX46" i="16"/>
  <c r="GH46" i="16"/>
  <c r="GS46" i="16"/>
  <c r="HD46" i="16"/>
  <c r="DS47" i="16"/>
  <c r="ED47" i="16"/>
  <c r="EN47" i="16"/>
  <c r="EX47" i="16"/>
  <c r="FH47" i="16"/>
  <c r="FS47" i="16"/>
  <c r="GD47" i="16"/>
  <c r="GN47" i="16"/>
  <c r="GY47" i="16"/>
  <c r="DN48" i="16"/>
  <c r="DX48" i="16"/>
  <c r="EI48" i="16"/>
  <c r="ES48" i="16"/>
  <c r="FD48" i="16"/>
  <c r="FO48" i="16"/>
  <c r="FY48" i="16"/>
  <c r="GI48" i="16"/>
  <c r="GR48" i="16"/>
  <c r="HA48" i="16"/>
  <c r="DO49" i="16"/>
  <c r="DY49" i="16"/>
  <c r="EH49" i="16"/>
  <c r="EQ49" i="16"/>
  <c r="EY49" i="16"/>
  <c r="FG49" i="16"/>
  <c r="FO49" i="16"/>
  <c r="FW49" i="16"/>
  <c r="GE49" i="16"/>
  <c r="GM49" i="16"/>
  <c r="GU49" i="16"/>
  <c r="HC49" i="16"/>
  <c r="DP50" i="16"/>
  <c r="DX50" i="16"/>
  <c r="EF50" i="16"/>
  <c r="EN50" i="16"/>
  <c r="EV50" i="16"/>
  <c r="FD50" i="16"/>
  <c r="FL50" i="16"/>
  <c r="FT50" i="16"/>
  <c r="GB50" i="16"/>
  <c r="GJ50" i="16"/>
  <c r="GR50" i="16"/>
  <c r="GZ50" i="16"/>
  <c r="DM51" i="16"/>
  <c r="DU51" i="16"/>
  <c r="EC51" i="16"/>
  <c r="EK51" i="16"/>
  <c r="ES51" i="16"/>
  <c r="FA51" i="16"/>
  <c r="FI51" i="16"/>
  <c r="FQ51" i="16"/>
  <c r="FY51" i="16"/>
  <c r="GG51" i="16"/>
  <c r="GO51" i="16"/>
  <c r="GW51" i="16"/>
  <c r="HE51" i="16"/>
  <c r="EW17" i="16"/>
  <c r="HD20" i="16"/>
  <c r="FK24" i="16"/>
  <c r="HB26" i="16"/>
  <c r="FZ28" i="16"/>
  <c r="FC30" i="16"/>
  <c r="EI32" i="16"/>
  <c r="FL33" i="16"/>
  <c r="FD34" i="16"/>
  <c r="ED35" i="16"/>
  <c r="GY35" i="16"/>
  <c r="FY36" i="16"/>
  <c r="EY37" i="16"/>
  <c r="DY38" i="16"/>
  <c r="GT38" i="16"/>
  <c r="FU39" i="16"/>
  <c r="EM40" i="16"/>
  <c r="GY40" i="16"/>
  <c r="FN41" i="16"/>
  <c r="GX41" i="16"/>
  <c r="EN42" i="16"/>
  <c r="FY42" i="16"/>
  <c r="DN43" i="16"/>
  <c r="EP43" i="16"/>
  <c r="FL43" i="16"/>
  <c r="GH43" i="16"/>
  <c r="HC43" i="16"/>
  <c r="EB44" i="16"/>
  <c r="EX44" i="16"/>
  <c r="FS44" i="16"/>
  <c r="GM44" i="16"/>
  <c r="DM45" i="16"/>
  <c r="EH45" i="16"/>
  <c r="FC45" i="16"/>
  <c r="FX45" i="16"/>
  <c r="GS45" i="16"/>
  <c r="DS46" i="16"/>
  <c r="EM46" i="16"/>
  <c r="FH46" i="16"/>
  <c r="GD46" i="16"/>
  <c r="GX46" i="16"/>
  <c r="DX47" i="16"/>
  <c r="ET47" i="16"/>
  <c r="FN47" i="16"/>
  <c r="GI47" i="16"/>
  <c r="HC47" i="16"/>
  <c r="ED48" i="16"/>
  <c r="EY48" i="16"/>
  <c r="FS48" i="16"/>
  <c r="GN48" i="16"/>
  <c r="HF48" i="16"/>
  <c r="EC49" i="16"/>
  <c r="EU49" i="16"/>
  <c r="FK49" i="16"/>
  <c r="GA49" i="16"/>
  <c r="GQ49" i="16"/>
  <c r="HG49" i="16"/>
  <c r="EB50" i="16"/>
  <c r="ER50" i="16"/>
  <c r="FH50" i="16"/>
  <c r="FX50" i="16"/>
  <c r="GN50" i="16"/>
  <c r="HD50" i="16"/>
  <c r="DY51" i="16"/>
  <c r="EO51" i="16"/>
  <c r="FE51" i="16"/>
  <c r="FU51" i="16"/>
  <c r="GK51" i="16"/>
  <c r="HA51" i="16"/>
  <c r="FW17" i="16"/>
  <c r="GI21" i="16"/>
  <c r="GR24" i="16"/>
  <c r="DR27" i="16"/>
  <c r="DQ29" i="16"/>
  <c r="FT30" i="16"/>
  <c r="EN32" i="16"/>
  <c r="FQ33" i="16"/>
  <c r="FE34" i="16"/>
  <c r="EE35" i="16"/>
  <c r="GZ35" i="16"/>
  <c r="FZ36" i="16"/>
  <c r="EZ37" i="16"/>
  <c r="DZ38" i="16"/>
  <c r="GV38" i="16"/>
  <c r="FV39" i="16"/>
  <c r="EN40" i="16"/>
  <c r="GZ40" i="16"/>
  <c r="FO41" i="16"/>
  <c r="GZ41" i="16"/>
  <c r="EO42" i="16"/>
  <c r="FZ42" i="16"/>
  <c r="DO43" i="16"/>
  <c r="EQ43" i="16"/>
  <c r="FO43" i="16"/>
  <c r="GI43" i="16"/>
  <c r="HD43" i="16"/>
  <c r="EC44" i="16"/>
  <c r="EY44" i="16"/>
  <c r="FT44" i="16"/>
  <c r="GN44" i="16"/>
  <c r="DO45" i="16"/>
  <c r="EJ45" i="16"/>
  <c r="FD45" i="16"/>
  <c r="FY45" i="16"/>
  <c r="GT45" i="16"/>
  <c r="DT46" i="16"/>
  <c r="EO46" i="16"/>
  <c r="FJ46" i="16"/>
  <c r="GE46" i="16"/>
  <c r="GY46" i="16"/>
  <c r="DY47" i="16"/>
  <c r="EU47" i="16"/>
  <c r="FO47" i="16"/>
  <c r="GJ47" i="16"/>
  <c r="HF47" i="16"/>
  <c r="EE48" i="16"/>
  <c r="EZ48" i="16"/>
  <c r="FT48" i="16"/>
  <c r="GO48" i="16"/>
  <c r="HG48" i="16"/>
  <c r="ED49" i="16"/>
  <c r="EV49" i="16"/>
  <c r="FL49" i="16"/>
  <c r="GB49" i="16"/>
  <c r="GR49" i="16"/>
  <c r="DM50" i="16"/>
  <c r="EC50" i="16"/>
  <c r="ES50" i="16"/>
  <c r="FI50" i="16"/>
  <c r="FY50" i="16"/>
  <c r="GO50" i="16"/>
  <c r="HE50" i="16"/>
  <c r="DZ51" i="16"/>
  <c r="EP51" i="16"/>
  <c r="FF51" i="16"/>
  <c r="FV51" i="16"/>
  <c r="GL51" i="16"/>
  <c r="HB51" i="16"/>
  <c r="DX6" i="16"/>
  <c r="EA18" i="16"/>
  <c r="GZ21" i="16"/>
  <c r="FE25" i="16"/>
  <c r="EK27" i="16"/>
  <c r="DZ29" i="16"/>
  <c r="HF30" i="16"/>
  <c r="EW32" i="16"/>
  <c r="FZ33" i="16"/>
  <c r="FJ34" i="16"/>
  <c r="EK35" i="16"/>
  <c r="HF35" i="16"/>
  <c r="GF36" i="16"/>
  <c r="FF37" i="16"/>
  <c r="EF38" i="16"/>
  <c r="HA38" i="16"/>
  <c r="GA39" i="16"/>
  <c r="ES40" i="16"/>
  <c r="HE40" i="16"/>
  <c r="FP41" i="16"/>
  <c r="HA41" i="16"/>
  <c r="EP42" i="16"/>
  <c r="GA42" i="16"/>
  <c r="DP43" i="16"/>
  <c r="ER43" i="16"/>
  <c r="FP43" i="16"/>
  <c r="GJ43" i="16"/>
  <c r="HE43" i="16"/>
  <c r="EF44" i="16"/>
  <c r="EZ44" i="16"/>
  <c r="FU44" i="16"/>
  <c r="GO44" i="16"/>
  <c r="DP45" i="16"/>
  <c r="EK45" i="16"/>
  <c r="FE45" i="16"/>
  <c r="GA45" i="16"/>
  <c r="GV45" i="16"/>
  <c r="DU46" i="16"/>
  <c r="EP46" i="16"/>
  <c r="FK46" i="16"/>
  <c r="GF46" i="16"/>
  <c r="HA46" i="16"/>
  <c r="EA47" i="16"/>
  <c r="EV47" i="16"/>
  <c r="FP47" i="16"/>
  <c r="GK47" i="16"/>
  <c r="HG47" i="16"/>
  <c r="EF48" i="16"/>
  <c r="FA48" i="16"/>
  <c r="FW48" i="16"/>
  <c r="GP48" i="16"/>
  <c r="DM49" i="16"/>
  <c r="EE49" i="16"/>
  <c r="EW49" i="16"/>
  <c r="FM49" i="16"/>
  <c r="GC49" i="16"/>
  <c r="GS49" i="16"/>
  <c r="DN50" i="16"/>
  <c r="ED50" i="16"/>
  <c r="ET50" i="16"/>
  <c r="FJ50" i="16"/>
  <c r="FZ50" i="16"/>
  <c r="GP50" i="16"/>
  <c r="HF50" i="16"/>
  <c r="EA51" i="16"/>
  <c r="EQ51" i="16"/>
  <c r="FG51" i="16"/>
  <c r="FW51" i="16"/>
  <c r="GM51" i="16"/>
  <c r="HC51" i="16"/>
  <c r="GP15" i="16"/>
  <c r="FW20" i="16"/>
  <c r="ET24" i="16"/>
  <c r="FK26" i="16"/>
  <c r="FI28" i="16"/>
  <c r="ET30" i="16"/>
  <c r="GW31" i="16"/>
  <c r="EE33" i="16"/>
  <c r="EJ34" i="16"/>
  <c r="HE34" i="16"/>
  <c r="GE35" i="16"/>
  <c r="FF36" i="16"/>
  <c r="EF37" i="16"/>
  <c r="HA37" i="16"/>
  <c r="GA38" i="16"/>
  <c r="FA39" i="16"/>
  <c r="DV40" i="16"/>
  <c r="GH40" i="16"/>
  <c r="EY41" i="16"/>
  <c r="GN41" i="16"/>
  <c r="ED42" i="16"/>
  <c r="FN42" i="16"/>
  <c r="GY42" i="16"/>
  <c r="EH43" i="16"/>
  <c r="FG43" i="16"/>
  <c r="GA43" i="16"/>
  <c r="GV43" i="16"/>
  <c r="DW44" i="16"/>
  <c r="EQ44" i="16"/>
  <c r="FL44" i="16"/>
  <c r="GF44" i="16"/>
  <c r="HB44" i="16"/>
  <c r="EB45" i="16"/>
  <c r="EV45" i="16"/>
  <c r="FR45" i="16"/>
  <c r="GL45" i="16"/>
  <c r="HG45" i="16"/>
  <c r="EG46" i="16"/>
  <c r="FB46" i="16"/>
  <c r="FW46" i="16"/>
  <c r="GQ46" i="16"/>
  <c r="DR47" i="16"/>
  <c r="EM47" i="16"/>
  <c r="FG47" i="16"/>
  <c r="GB47" i="16"/>
  <c r="GX47" i="16"/>
  <c r="DW48" i="16"/>
  <c r="ER48" i="16"/>
  <c r="FM48" i="16"/>
  <c r="GH48" i="16"/>
  <c r="GZ48" i="16"/>
  <c r="DW49" i="16"/>
  <c r="EP49" i="16"/>
  <c r="FF49" i="16"/>
  <c r="FV49" i="16"/>
  <c r="GL49" i="16"/>
  <c r="HB49" i="16"/>
  <c r="DW50" i="16"/>
  <c r="EM50" i="16"/>
  <c r="FC50" i="16"/>
  <c r="FS50" i="16"/>
  <c r="GI50" i="16"/>
  <c r="GY50" i="16"/>
  <c r="DT51" i="16"/>
  <c r="EJ51" i="16"/>
  <c r="EZ51" i="16"/>
  <c r="FP51" i="16"/>
  <c r="GF51" i="16"/>
  <c r="GV51" i="16"/>
  <c r="FX19" i="16"/>
  <c r="EG26" i="16"/>
  <c r="GL29" i="16"/>
  <c r="GZ32" i="16"/>
  <c r="GO34" i="16"/>
  <c r="EP36" i="16"/>
  <c r="GK37" i="16"/>
  <c r="EK39" i="16"/>
  <c r="FT40" i="16"/>
  <c r="GG41" i="16"/>
  <c r="FG42" i="16"/>
  <c r="EE43" i="16"/>
  <c r="FY43" i="16"/>
  <c r="DS44" i="16"/>
  <c r="FI44" i="16"/>
  <c r="GY44" i="16"/>
  <c r="ET45" i="16"/>
  <c r="GJ45" i="16"/>
  <c r="ED46" i="16"/>
  <c r="FU46" i="16"/>
  <c r="DO47" i="16"/>
  <c r="FE47" i="16"/>
  <c r="GT47" i="16"/>
  <c r="EO48" i="16"/>
  <c r="GF48" i="16"/>
  <c r="DU49" i="16"/>
  <c r="FD49" i="16"/>
  <c r="GJ49" i="16"/>
  <c r="DU50" i="16"/>
  <c r="FA50" i="16"/>
  <c r="GG50" i="16"/>
  <c r="DR51" i="16"/>
  <c r="EX51" i="16"/>
  <c r="GD51" i="16"/>
  <c r="FF20" i="16"/>
  <c r="EQ26" i="16"/>
  <c r="HC29" i="16"/>
  <c r="DN33" i="16"/>
  <c r="GU34" i="16"/>
  <c r="EU36" i="16"/>
  <c r="GQ37" i="16"/>
  <c r="EQ39" i="16"/>
  <c r="FY40" i="16"/>
  <c r="GH41" i="16"/>
  <c r="FI42" i="16"/>
  <c r="EF43" i="16"/>
  <c r="FZ43" i="16"/>
  <c r="DT44" i="16"/>
  <c r="FK44" i="16"/>
  <c r="HA44" i="16"/>
  <c r="EU45" i="16"/>
  <c r="GK45" i="16"/>
  <c r="EE46" i="16"/>
  <c r="FV46" i="16"/>
  <c r="DP47" i="16"/>
  <c r="FF47" i="16"/>
  <c r="GV47" i="16"/>
  <c r="EQ48" i="16"/>
  <c r="GG48" i="16"/>
  <c r="DV49" i="16"/>
  <c r="FE49" i="16"/>
  <c r="GK49" i="16"/>
  <c r="DV50" i="16"/>
  <c r="FB50" i="16"/>
  <c r="GH50" i="16"/>
  <c r="DS51" i="16"/>
  <c r="EY51" i="16"/>
  <c r="GE51" i="16"/>
  <c r="EM9" i="16"/>
  <c r="EL22" i="16"/>
  <c r="GB27" i="16"/>
  <c r="DT31" i="16"/>
  <c r="GQ33" i="16"/>
  <c r="EU35" i="16"/>
  <c r="GP36" i="16"/>
  <c r="EP38" i="16"/>
  <c r="GK39" i="16"/>
  <c r="DS41" i="16"/>
  <c r="HF41" i="16"/>
  <c r="GG42" i="16"/>
  <c r="ET43" i="16"/>
  <c r="GL43" i="16"/>
  <c r="EG44" i="16"/>
  <c r="FV44" i="16"/>
  <c r="DQ45" i="16"/>
  <c r="FF45" i="16"/>
  <c r="GW45" i="16"/>
  <c r="ER46" i="16"/>
  <c r="GG46" i="16"/>
  <c r="EB47" i="16"/>
  <c r="FR47" i="16"/>
  <c r="DM48" i="16"/>
  <c r="FB48" i="16"/>
  <c r="GQ48" i="16"/>
  <c r="EG49" i="16"/>
  <c r="FN49" i="16"/>
  <c r="GT49" i="16"/>
  <c r="EE50" i="16"/>
  <c r="FK50" i="16"/>
  <c r="GQ50" i="16"/>
  <c r="EB51" i="16"/>
  <c r="FH51" i="16"/>
  <c r="GN51" i="16"/>
  <c r="GI9" i="16"/>
  <c r="DQ23" i="16"/>
  <c r="GM27" i="16"/>
  <c r="EK31" i="16"/>
  <c r="DS34" i="16"/>
  <c r="FN35" i="16"/>
  <c r="DO37" i="16"/>
  <c r="FJ38" i="16"/>
  <c r="HB39" i="16"/>
  <c r="EJ41" i="16"/>
  <c r="DV42" i="16"/>
  <c r="GQ42" i="16"/>
  <c r="FA43" i="16"/>
  <c r="GR43" i="16"/>
  <c r="EM44" i="16"/>
  <c r="GC44" i="16"/>
  <c r="DX45" i="16"/>
  <c r="FM45" i="16"/>
  <c r="HD45" i="16"/>
  <c r="EX46" i="16"/>
  <c r="GN46" i="16"/>
  <c r="EH47" i="16"/>
  <c r="FX47" i="16"/>
  <c r="DT48" i="16"/>
  <c r="FI48" i="16"/>
  <c r="GW48" i="16"/>
  <c r="EL49" i="16"/>
  <c r="FS49" i="16"/>
  <c r="GY49" i="16"/>
  <c r="EJ50" i="16"/>
  <c r="FP50" i="16"/>
  <c r="GV50" i="16"/>
  <c r="EG51" i="16"/>
  <c r="FM51" i="16"/>
  <c r="GS51" i="16"/>
  <c r="FZ14" i="16"/>
  <c r="EH23" i="16"/>
  <c r="HF27" i="16"/>
  <c r="FW31" i="16"/>
  <c r="DT34" i="16"/>
  <c r="FO35" i="16"/>
  <c r="DP37" i="16"/>
  <c r="FK38" i="16"/>
  <c r="HC39" i="16"/>
  <c r="EK41" i="16"/>
  <c r="DW42" i="16"/>
  <c r="GR42" i="16"/>
  <c r="FC43" i="16"/>
  <c r="GT43" i="16"/>
  <c r="EO44" i="16"/>
  <c r="GD44" i="16"/>
  <c r="DY45" i="16"/>
  <c r="FN45" i="16"/>
  <c r="HE45" i="16"/>
  <c r="EY46" i="16"/>
  <c r="GO46" i="16"/>
  <c r="EJ47" i="16"/>
  <c r="FZ47" i="16"/>
  <c r="DU48" i="16"/>
  <c r="FJ48" i="16"/>
  <c r="GX48" i="16"/>
  <c r="EM49" i="16"/>
  <c r="FT49" i="16"/>
  <c r="GZ49" i="16"/>
  <c r="EK50" i="16"/>
  <c r="FQ50" i="16"/>
  <c r="GW50" i="16"/>
  <c r="EH51" i="16"/>
  <c r="FN51" i="16"/>
  <c r="GT51" i="16"/>
  <c r="DP15" i="16"/>
  <c r="FO23" i="16"/>
  <c r="EZ28" i="16"/>
  <c r="GF31" i="16"/>
  <c r="DZ34" i="16"/>
  <c r="FU35" i="16"/>
  <c r="DU37" i="16"/>
  <c r="FQ38" i="16"/>
  <c r="DM40" i="16"/>
  <c r="EP41" i="16"/>
  <c r="DX42" i="16"/>
  <c r="GS42" i="16"/>
  <c r="FF43" i="16"/>
  <c r="GU43" i="16"/>
  <c r="EP44" i="16"/>
  <c r="GE44" i="16"/>
  <c r="DZ45" i="16"/>
  <c r="FP45" i="16"/>
  <c r="HF45" i="16"/>
  <c r="FA46" i="16"/>
  <c r="GP46" i="16"/>
  <c r="EL47" i="16"/>
  <c r="GA47" i="16"/>
  <c r="DV48" i="16"/>
  <c r="FK48" i="16"/>
  <c r="GY48" i="16"/>
  <c r="EO49" i="16"/>
  <c r="FU49" i="16"/>
  <c r="HA49" i="16"/>
  <c r="EL50" i="16"/>
  <c r="FR50" i="16"/>
  <c r="GX50" i="16"/>
  <c r="EI51" i="16"/>
  <c r="FO51" i="16"/>
  <c r="GU51" i="16"/>
  <c r="DS19" i="16"/>
  <c r="FP25" i="16"/>
  <c r="EQ29" i="16"/>
  <c r="FN32" i="16"/>
  <c r="FU34" i="16"/>
  <c r="DU36" i="16"/>
  <c r="FP37" i="16"/>
  <c r="DQ39" i="16"/>
  <c r="FB40" i="16"/>
  <c r="FV41" i="16"/>
  <c r="EV42" i="16"/>
  <c r="DV43" i="16"/>
  <c r="FQ43" i="16"/>
  <c r="HF43" i="16"/>
  <c r="FA44" i="16"/>
  <c r="GR44" i="16"/>
  <c r="EL45" i="16"/>
  <c r="GB45" i="16"/>
  <c r="DV46" i="16"/>
  <c r="FM46" i="16"/>
  <c r="HB46" i="16"/>
  <c r="EW47" i="16"/>
  <c r="GM47" i="16"/>
  <c r="EG48" i="16"/>
  <c r="FX48" i="16"/>
  <c r="DN49" i="16"/>
  <c r="EX49" i="16"/>
  <c r="GD49" i="16"/>
  <c r="DO50" i="16"/>
  <c r="EU50" i="16"/>
  <c r="GA50" i="16"/>
  <c r="HG50" i="16"/>
  <c r="ER51" i="16"/>
  <c r="FX51" i="16"/>
  <c r="HD51" i="16"/>
  <c r="EL19" i="16"/>
  <c r="GK25" i="16"/>
  <c r="GC29" i="16"/>
  <c r="GU32" i="16"/>
  <c r="GN34" i="16"/>
  <c r="EN36" i="16"/>
  <c r="GJ37" i="16"/>
  <c r="EJ39" i="16"/>
  <c r="FS40" i="16"/>
  <c r="GF41" i="16"/>
  <c r="FF42" i="16"/>
  <c r="ED43" i="16"/>
  <c r="FX43" i="16"/>
  <c r="DR44" i="16"/>
  <c r="FH44" i="16"/>
  <c r="GW44" i="16"/>
  <c r="ES45" i="16"/>
  <c r="GH45" i="16"/>
  <c r="EC46" i="16"/>
  <c r="FS46" i="16"/>
  <c r="DN47" i="16"/>
  <c r="FD47" i="16"/>
  <c r="GS47" i="16"/>
  <c r="EN48" i="16"/>
  <c r="GC48" i="16"/>
  <c r="DT49" i="16"/>
  <c r="FC49" i="16"/>
  <c r="GI49" i="16"/>
  <c r="DT50" i="16"/>
  <c r="EZ50" i="16"/>
  <c r="GF50" i="16"/>
  <c r="DQ51" i="16"/>
  <c r="EW51" i="16"/>
  <c r="GC51" i="16"/>
  <c r="DL45" i="16"/>
  <c r="DL37" i="16"/>
  <c r="DL29" i="16"/>
  <c r="DL21" i="16"/>
  <c r="DL13" i="16"/>
  <c r="DL5" i="16"/>
  <c r="CY4" i="25"/>
  <c r="D75" i="16"/>
  <c r="D19" i="16"/>
  <c r="D93" i="16"/>
  <c r="D68" i="16"/>
  <c r="D44" i="16"/>
  <c r="D18" i="16"/>
  <c r="X33" i="1"/>
  <c r="D97" i="16"/>
  <c r="D91" i="16"/>
  <c r="D67" i="16"/>
  <c r="D41" i="16"/>
  <c r="D17" i="16"/>
  <c r="D89" i="16"/>
  <c r="D66" i="16"/>
  <c r="D11" i="16"/>
  <c r="D50" i="16"/>
  <c r="R27" i="1"/>
  <c r="D36" i="16"/>
  <c r="D83" i="16"/>
  <c r="D61" i="16"/>
  <c r="D34" i="16"/>
  <c r="D5" i="16"/>
  <c r="R44" i="1"/>
  <c r="Y29" i="1"/>
  <c r="W35" i="1"/>
  <c r="W76" i="1"/>
  <c r="R115" i="1"/>
  <c r="Y37" i="1"/>
  <c r="W27" i="1"/>
  <c r="X92" i="1"/>
  <c r="AA64" i="1"/>
  <c r="AA32" i="1"/>
  <c r="AB101" i="1"/>
  <c r="D65" i="16"/>
  <c r="D45" i="16"/>
  <c r="D29" i="16"/>
  <c r="D13" i="16"/>
  <c r="AA39" i="1"/>
  <c r="AB22" i="1"/>
  <c r="R111" i="1"/>
  <c r="P86" i="1"/>
  <c r="X79" i="1"/>
  <c r="AB96" i="1"/>
  <c r="AB39" i="1"/>
  <c r="D92" i="16"/>
  <c r="D76" i="16"/>
  <c r="D59" i="16"/>
  <c r="D43" i="16"/>
  <c r="D26" i="16"/>
  <c r="D9" i="16"/>
  <c r="D90" i="16"/>
  <c r="D73" i="16"/>
  <c r="D53" i="16"/>
  <c r="D37" i="16"/>
  <c r="D20" i="16"/>
  <c r="D4" i="16"/>
  <c r="Q57" i="1"/>
  <c r="P88" i="1"/>
  <c r="Z89" i="1"/>
  <c r="R108" i="1"/>
  <c r="R100" i="1"/>
  <c r="R92" i="1"/>
  <c r="R84" i="1"/>
  <c r="R76" i="1"/>
  <c r="V69" i="1"/>
  <c r="P53" i="1"/>
  <c r="X41" i="1"/>
  <c r="X65" i="1"/>
  <c r="X89" i="1"/>
  <c r="X97" i="1"/>
  <c r="P105" i="1"/>
  <c r="V91" i="1"/>
  <c r="V112" i="1"/>
  <c r="AB34" i="1"/>
  <c r="AB98" i="1"/>
  <c r="X54" i="1"/>
  <c r="X94" i="1"/>
  <c r="AB47" i="1"/>
  <c r="R43" i="1"/>
  <c r="Z78" i="1"/>
  <c r="Z22" i="1"/>
  <c r="Y112" i="1"/>
  <c r="AB40" i="1"/>
  <c r="Z70" i="1"/>
  <c r="G120" i="1"/>
  <c r="V37" i="1"/>
  <c r="AJ37" i="1" s="1"/>
  <c r="R60" i="1"/>
  <c r="X98" i="1"/>
  <c r="V43" i="1"/>
  <c r="W92" i="1"/>
  <c r="X112" i="1"/>
  <c r="Q114" i="1"/>
  <c r="D84" i="16"/>
  <c r="D69" i="16"/>
  <c r="D57" i="16"/>
  <c r="D42" i="16"/>
  <c r="D27" i="16"/>
  <c r="D12" i="16"/>
  <c r="Z74" i="1"/>
  <c r="P102" i="1"/>
  <c r="Y96" i="1"/>
  <c r="R70" i="1"/>
  <c r="R62" i="1"/>
  <c r="X40" i="1"/>
  <c r="P56" i="1"/>
  <c r="P72" i="1"/>
  <c r="X81" i="1"/>
  <c r="AA98" i="1"/>
  <c r="AA92" i="1"/>
  <c r="Y114" i="1"/>
  <c r="AB33" i="1"/>
  <c r="AB41" i="1"/>
  <c r="AB97" i="1"/>
  <c r="AB82" i="1"/>
  <c r="Q113" i="1"/>
  <c r="AA34" i="1"/>
  <c r="AB59" i="1"/>
  <c r="AB75" i="1"/>
  <c r="AB99" i="1"/>
  <c r="Y108" i="1"/>
  <c r="R56" i="1"/>
  <c r="W72" i="1"/>
  <c r="Y87" i="1"/>
  <c r="Y50" i="1"/>
  <c r="AA99" i="1"/>
  <c r="AB74" i="1"/>
  <c r="X58" i="1"/>
  <c r="Z88" i="1"/>
  <c r="Q103" i="1"/>
  <c r="X102" i="1"/>
  <c r="V89" i="1"/>
  <c r="AK89" i="1" s="1"/>
  <c r="Q58" i="1"/>
  <c r="AA45" i="1"/>
  <c r="AA77" i="1"/>
  <c r="AA112" i="1"/>
  <c r="R116" i="1"/>
  <c r="P30" i="1"/>
  <c r="Q79" i="1"/>
  <c r="Z105" i="1"/>
  <c r="R107" i="1"/>
  <c r="R91" i="1"/>
  <c r="R51" i="1"/>
  <c r="P65" i="1"/>
  <c r="S25" i="1"/>
  <c r="AA46" i="1"/>
  <c r="AA70" i="1"/>
  <c r="X57" i="1"/>
  <c r="X73" i="1"/>
  <c r="Y101" i="1"/>
  <c r="P74" i="1"/>
  <c r="X43" i="1"/>
  <c r="X83" i="1"/>
  <c r="AJ83" i="1" s="1"/>
  <c r="AA84" i="1"/>
  <c r="P113" i="1"/>
  <c r="AA113" i="1"/>
  <c r="AA65" i="1"/>
  <c r="AA33" i="1"/>
  <c r="AB92" i="1"/>
  <c r="W40" i="1"/>
  <c r="W25" i="1"/>
  <c r="Q112" i="1"/>
  <c r="AB26" i="1"/>
  <c r="Q69" i="1"/>
  <c r="P82" i="1"/>
  <c r="X51" i="1"/>
  <c r="X75" i="1"/>
  <c r="AJ75" i="1" s="1"/>
  <c r="P99" i="1"/>
  <c r="V60" i="1"/>
  <c r="AA73" i="1"/>
  <c r="X72" i="1"/>
  <c r="Y65" i="1"/>
  <c r="Q105" i="1"/>
  <c r="AA28" i="1"/>
  <c r="S53" i="1"/>
  <c r="V49" i="1"/>
  <c r="Y83" i="1"/>
  <c r="AK83" i="1" s="1"/>
  <c r="Y43" i="1"/>
  <c r="P96" i="1"/>
  <c r="R57" i="1"/>
  <c r="X69" i="1"/>
  <c r="X77" i="1"/>
  <c r="X85" i="1"/>
  <c r="X101" i="1"/>
  <c r="X109" i="1"/>
  <c r="V29" i="1"/>
  <c r="AJ29" i="1" s="1"/>
  <c r="V54" i="1"/>
  <c r="V62" i="1"/>
  <c r="W86" i="1"/>
  <c r="W95" i="1"/>
  <c r="Z92" i="1"/>
  <c r="AA79" i="1"/>
  <c r="AA47" i="1"/>
  <c r="AB30" i="1"/>
  <c r="P114" i="1"/>
  <c r="P58" i="1"/>
  <c r="V41" i="1"/>
  <c r="P64" i="1"/>
  <c r="P54" i="1"/>
  <c r="W55" i="1"/>
  <c r="X96" i="1"/>
  <c r="P112" i="1"/>
  <c r="P62" i="1"/>
  <c r="S85" i="1"/>
  <c r="X59" i="1"/>
  <c r="X91" i="1"/>
  <c r="X107" i="1"/>
  <c r="AA52" i="1"/>
  <c r="AA68" i="1"/>
  <c r="Z83" i="1"/>
  <c r="AA49" i="1"/>
  <c r="AA115" i="1"/>
  <c r="Z73" i="1"/>
  <c r="P89" i="1"/>
  <c r="P81" i="1"/>
  <c r="Z101" i="1"/>
  <c r="Y57" i="1"/>
  <c r="Y41" i="1"/>
  <c r="R63" i="1"/>
  <c r="P79" i="1"/>
  <c r="AB106" i="1"/>
  <c r="AA109" i="1"/>
  <c r="V51" i="1"/>
  <c r="X46" i="1"/>
  <c r="P37" i="1"/>
  <c r="Q65" i="1"/>
  <c r="X66" i="1"/>
  <c r="Q89" i="1"/>
  <c r="P115" i="1"/>
  <c r="Z110" i="1"/>
  <c r="Q88" i="1"/>
  <c r="Y48" i="1"/>
  <c r="Q106" i="1"/>
  <c r="Q109" i="1"/>
  <c r="S101" i="1"/>
  <c r="V85" i="1"/>
  <c r="P77" i="1"/>
  <c r="X48" i="1"/>
  <c r="Y113" i="1"/>
  <c r="AK113" i="1" s="1"/>
  <c r="W23" i="1"/>
  <c r="X113" i="1"/>
  <c r="AJ113" i="1" s="1"/>
  <c r="P29" i="1"/>
  <c r="P45" i="1"/>
  <c r="P61" i="1"/>
  <c r="AA22" i="1"/>
  <c r="Q87" i="1"/>
  <c r="Z46" i="1"/>
  <c r="S81" i="1"/>
  <c r="V52" i="1"/>
  <c r="Y94" i="1"/>
  <c r="Y70" i="1"/>
  <c r="Y46" i="1"/>
  <c r="Q75" i="1"/>
  <c r="Q68" i="1"/>
  <c r="X42" i="1"/>
  <c r="X50" i="1"/>
  <c r="X74" i="1"/>
  <c r="X90" i="1"/>
  <c r="W88" i="1"/>
  <c r="AB52" i="1"/>
  <c r="R80" i="1"/>
  <c r="P108" i="1"/>
  <c r="X60" i="1"/>
  <c r="X68" i="1"/>
  <c r="X76" i="1"/>
  <c r="X84" i="1"/>
  <c r="X108" i="1"/>
  <c r="V36" i="1"/>
  <c r="AJ36" i="1" s="1"/>
  <c r="V53" i="1"/>
  <c r="V94" i="1"/>
  <c r="AJ94" i="1" s="1"/>
  <c r="AA88" i="1"/>
  <c r="AB29" i="1"/>
  <c r="AB45" i="1"/>
  <c r="R58" i="1"/>
  <c r="P67" i="1"/>
  <c r="AB35" i="1"/>
  <c r="AA95" i="1"/>
  <c r="AB102" i="1"/>
  <c r="V110" i="1"/>
  <c r="S21" i="1"/>
  <c r="P51" i="1"/>
  <c r="X27" i="1"/>
  <c r="Z80" i="1"/>
  <c r="V88" i="1"/>
  <c r="V33" i="1"/>
  <c r="Y82" i="1"/>
  <c r="Y42" i="1"/>
  <c r="S56" i="1"/>
  <c r="X62" i="1"/>
  <c r="X70" i="1"/>
  <c r="V79" i="1"/>
  <c r="AJ79" i="1" s="1"/>
  <c r="S96" i="1"/>
  <c r="AB23" i="1"/>
  <c r="V111" i="1"/>
  <c r="R59" i="1"/>
  <c r="R67" i="1"/>
  <c r="AA101" i="1"/>
  <c r="Z52" i="1"/>
  <c r="AB60" i="1"/>
  <c r="AB76" i="1"/>
  <c r="AB84" i="1"/>
  <c r="R64" i="1"/>
  <c r="AB53" i="1"/>
  <c r="AB85" i="1"/>
  <c r="V28" i="1"/>
  <c r="AJ28" i="1" s="1"/>
  <c r="AB94" i="1"/>
  <c r="P107" i="1"/>
  <c r="P100" i="1"/>
  <c r="P36" i="1"/>
  <c r="S109" i="1"/>
  <c r="Q78" i="1"/>
  <c r="AB54" i="1"/>
  <c r="P76" i="1"/>
  <c r="Q63" i="1"/>
  <c r="Y93" i="1"/>
  <c r="Y53" i="1"/>
  <c r="AA105" i="1"/>
  <c r="AA110" i="1"/>
  <c r="AB87" i="1"/>
  <c r="P69" i="1"/>
  <c r="P70" i="1"/>
  <c r="V30" i="1"/>
  <c r="AJ30" i="1" s="1"/>
  <c r="Z36" i="1"/>
  <c r="Q94" i="1"/>
  <c r="Q29" i="1"/>
  <c r="V107" i="1"/>
  <c r="Z63" i="1"/>
  <c r="Z86" i="1"/>
  <c r="Y84" i="1"/>
  <c r="Q36" i="1"/>
  <c r="Y28" i="1"/>
  <c r="Y110" i="1"/>
  <c r="R105" i="1"/>
  <c r="R97" i="1"/>
  <c r="R81" i="1"/>
  <c r="P103" i="1"/>
  <c r="V64" i="1"/>
  <c r="AA72" i="1"/>
  <c r="AA80" i="1"/>
  <c r="AA89" i="1"/>
  <c r="W106" i="1"/>
  <c r="AA85" i="1"/>
  <c r="AA29" i="1"/>
  <c r="N22" i="1"/>
  <c r="N23" i="1" s="1"/>
  <c r="N24" i="1" s="1"/>
  <c r="N25" i="1" s="1"/>
  <c r="N26" i="1" s="1"/>
  <c r="N27" i="1" s="1"/>
  <c r="N28" i="1" s="1"/>
  <c r="N29" i="1" s="1"/>
  <c r="N30" i="1" s="1"/>
  <c r="N31" i="1" s="1"/>
  <c r="N32" i="1" s="1"/>
  <c r="N33" i="1" s="1"/>
  <c r="N34" i="1" s="1"/>
  <c r="N35" i="1" s="1"/>
  <c r="N36" i="1" s="1"/>
  <c r="N37" i="1" s="1"/>
  <c r="N38" i="1" s="1"/>
  <c r="N39" i="1" s="1"/>
  <c r="N40" i="1" s="1"/>
  <c r="N41" i="1" s="1"/>
  <c r="N42" i="1" s="1"/>
  <c r="N43" i="1" s="1"/>
  <c r="N44" i="1" s="1"/>
  <c r="N45" i="1" s="1"/>
  <c r="N46" i="1" s="1"/>
  <c r="N47" i="1" s="1"/>
  <c r="N48" i="1" s="1"/>
  <c r="N49" i="1" s="1"/>
  <c r="N50" i="1" s="1"/>
  <c r="N51" i="1" s="1"/>
  <c r="N52" i="1" s="1"/>
  <c r="N53" i="1" s="1"/>
  <c r="N54" i="1" s="1"/>
  <c r="N55" i="1" s="1"/>
  <c r="N56" i="1" s="1"/>
  <c r="N57" i="1" s="1"/>
  <c r="N58" i="1" s="1"/>
  <c r="N59" i="1" s="1"/>
  <c r="N60" i="1" s="1"/>
  <c r="N61" i="1" s="1"/>
  <c r="N62" i="1" s="1"/>
  <c r="N63" i="1" s="1"/>
  <c r="N64" i="1" s="1"/>
  <c r="N65" i="1" s="1"/>
  <c r="N66" i="1" s="1"/>
  <c r="N67" i="1" s="1"/>
  <c r="E15" i="1" s="1"/>
  <c r="AB64" i="1"/>
  <c r="AB88" i="1"/>
  <c r="Q70" i="1"/>
  <c r="AA102" i="1"/>
  <c r="Y22" i="1"/>
  <c r="AB62" i="1"/>
  <c r="AA62" i="1"/>
  <c r="P60" i="1"/>
  <c r="S77" i="1"/>
  <c r="P101" i="1"/>
  <c r="AB21" i="1"/>
  <c r="AI21" i="1" s="1"/>
  <c r="V58" i="1"/>
  <c r="S30" i="1"/>
  <c r="S69" i="1"/>
  <c r="R26" i="1"/>
  <c r="Q51" i="1"/>
  <c r="Y35" i="1"/>
  <c r="Y109" i="1"/>
  <c r="Q104" i="1"/>
  <c r="R88" i="1"/>
  <c r="K27" i="1"/>
  <c r="K28" i="1" s="1"/>
  <c r="K29" i="1" s="1"/>
  <c r="K30" i="1" s="1"/>
  <c r="K31" i="1" s="1"/>
  <c r="K32" i="1" s="1"/>
  <c r="K33" i="1" s="1"/>
  <c r="K34" i="1" s="1"/>
  <c r="K35" i="1" s="1"/>
  <c r="K36" i="1" s="1"/>
  <c r="K37" i="1" s="1"/>
  <c r="K38" i="1" s="1"/>
  <c r="K39" i="1" s="1"/>
  <c r="K40" i="1" s="1"/>
  <c r="K41" i="1" s="1"/>
  <c r="K42" i="1" s="1"/>
  <c r="K43" i="1" s="1"/>
  <c r="K44" i="1" s="1"/>
  <c r="K45" i="1" s="1"/>
  <c r="K46" i="1" s="1"/>
  <c r="K47" i="1" s="1"/>
  <c r="K48" i="1" s="1"/>
  <c r="K49" i="1" s="1"/>
  <c r="K50" i="1" s="1"/>
  <c r="K51" i="1" s="1"/>
  <c r="K52" i="1" s="1"/>
  <c r="K53" i="1" s="1"/>
  <c r="K54" i="1" s="1"/>
  <c r="K55" i="1" s="1"/>
  <c r="K56" i="1" s="1"/>
  <c r="K57" i="1" s="1"/>
  <c r="K58" i="1" s="1"/>
  <c r="K59" i="1" s="1"/>
  <c r="K60" i="1" s="1"/>
  <c r="K61" i="1" s="1"/>
  <c r="K62" i="1" s="1"/>
  <c r="K63" i="1" s="1"/>
  <c r="K64" i="1" s="1"/>
  <c r="K65" i="1" s="1"/>
  <c r="K66" i="1" s="1"/>
  <c r="K67" i="1" s="1"/>
  <c r="K68" i="1" s="1"/>
  <c r="K69" i="1" s="1"/>
  <c r="K70" i="1" s="1"/>
  <c r="K71" i="1" s="1"/>
  <c r="K72" i="1" s="1"/>
  <c r="K73" i="1" s="1"/>
  <c r="K74" i="1" s="1"/>
  <c r="K75" i="1" s="1"/>
  <c r="K76" i="1" s="1"/>
  <c r="K77" i="1" s="1"/>
  <c r="K78" i="1" s="1"/>
  <c r="K79" i="1" s="1"/>
  <c r="K80" i="1" s="1"/>
  <c r="K81" i="1" s="1"/>
  <c r="K82" i="1" s="1"/>
  <c r="K83" i="1" s="1"/>
  <c r="K84" i="1" s="1"/>
  <c r="K85" i="1" s="1"/>
  <c r="K86" i="1" s="1"/>
  <c r="K87" i="1" s="1"/>
  <c r="K88" i="1" s="1"/>
  <c r="K89" i="1" s="1"/>
  <c r="K90" i="1" s="1"/>
  <c r="K91" i="1" s="1"/>
  <c r="K92" i="1" s="1"/>
  <c r="K93" i="1" s="1"/>
  <c r="K94" i="1" s="1"/>
  <c r="K95" i="1" s="1"/>
  <c r="K96" i="1" s="1"/>
  <c r="K97" i="1" s="1"/>
  <c r="K98" i="1" s="1"/>
  <c r="K99" i="1" s="1"/>
  <c r="K100" i="1" s="1"/>
  <c r="K101" i="1" s="1"/>
  <c r="K102" i="1" s="1"/>
  <c r="K103" i="1" s="1"/>
  <c r="K104" i="1" s="1"/>
  <c r="K105" i="1" s="1"/>
  <c r="K106" i="1" s="1"/>
  <c r="K107" i="1" s="1"/>
  <c r="K108" i="1" s="1"/>
  <c r="K109" i="1" s="1"/>
  <c r="K110" i="1" s="1"/>
  <c r="K111" i="1" s="1"/>
  <c r="K112" i="1" s="1"/>
  <c r="K113" i="1" s="1"/>
  <c r="K114" i="1" s="1"/>
  <c r="K115" i="1" s="1"/>
  <c r="K116" i="1" s="1"/>
  <c r="K117" i="1" s="1"/>
  <c r="Q67" i="1"/>
  <c r="P80" i="1"/>
  <c r="X88" i="1"/>
  <c r="X104" i="1"/>
  <c r="W41" i="1"/>
  <c r="W57" i="1"/>
  <c r="V73" i="1"/>
  <c r="W81" i="1"/>
  <c r="W90" i="1"/>
  <c r="W98" i="1"/>
  <c r="AA108" i="1"/>
  <c r="AA36" i="1"/>
  <c r="V35" i="1"/>
  <c r="X45" i="1"/>
  <c r="AB27" i="1"/>
  <c r="X93" i="1"/>
  <c r="AB70" i="1"/>
  <c r="Z95" i="1"/>
  <c r="Z35" i="1"/>
  <c r="AA54" i="1"/>
  <c r="AB79" i="1"/>
  <c r="V76" i="1"/>
  <c r="V70" i="1"/>
  <c r="AA93" i="1"/>
  <c r="M22" i="1"/>
  <c r="AA40" i="1"/>
  <c r="V103" i="1"/>
  <c r="AA24" i="1"/>
  <c r="W33" i="1"/>
  <c r="W42" i="1"/>
  <c r="W50" i="1"/>
  <c r="W66" i="1"/>
  <c r="W74" i="1"/>
  <c r="W82" i="1"/>
  <c r="S49" i="1"/>
  <c r="Z68" i="1"/>
  <c r="AA91" i="1"/>
  <c r="AA83" i="1"/>
  <c r="AA75" i="1"/>
  <c r="AA59" i="1"/>
  <c r="AA43" i="1"/>
  <c r="AA35" i="1"/>
  <c r="AA27" i="1"/>
  <c r="V102" i="1"/>
  <c r="Y27" i="1"/>
  <c r="X53" i="1"/>
  <c r="Z28" i="1"/>
  <c r="AB46" i="1"/>
  <c r="P75" i="1"/>
  <c r="S62" i="1"/>
  <c r="V100" i="1"/>
  <c r="X38" i="1"/>
  <c r="AA87" i="1"/>
  <c r="AA30" i="1"/>
  <c r="P84" i="1"/>
  <c r="P57" i="1"/>
  <c r="AB68" i="1"/>
  <c r="Q77" i="1"/>
  <c r="S80" i="1"/>
  <c r="Z60" i="1"/>
  <c r="Q100" i="1"/>
  <c r="S61" i="1"/>
  <c r="S45" i="1"/>
  <c r="AA25" i="1"/>
  <c r="V115" i="1"/>
  <c r="R40" i="1"/>
  <c r="R32" i="1"/>
  <c r="Q86" i="1"/>
  <c r="P66" i="1"/>
  <c r="X106" i="1"/>
  <c r="W34" i="1"/>
  <c r="W43" i="1"/>
  <c r="W75" i="1"/>
  <c r="AA90" i="1"/>
  <c r="AA74" i="1"/>
  <c r="AA66" i="1"/>
  <c r="AA50" i="1"/>
  <c r="AA42" i="1"/>
  <c r="AA26" i="1"/>
  <c r="J23" i="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R55" i="1"/>
  <c r="R95" i="1"/>
  <c r="R103" i="1"/>
  <c r="S105" i="1"/>
  <c r="Y115" i="1"/>
  <c r="Q115" i="1"/>
  <c r="V114" i="1"/>
  <c r="AB114" i="1"/>
  <c r="AB55" i="1"/>
  <c r="X78" i="1"/>
  <c r="V78" i="1"/>
  <c r="W104" i="1"/>
  <c r="AA104" i="1"/>
  <c r="F24" i="1"/>
  <c r="Z24" i="1" s="1"/>
  <c r="F23" i="1"/>
  <c r="Z23" i="1" s="1"/>
  <c r="F32" i="1"/>
  <c r="Z32" i="1" s="1"/>
  <c r="F31" i="1"/>
  <c r="S31" i="1" s="1"/>
  <c r="F40" i="1"/>
  <c r="Z40" i="1" s="1"/>
  <c r="F39" i="1"/>
  <c r="Z39" i="1" s="1"/>
  <c r="Z47" i="1"/>
  <c r="F72" i="1"/>
  <c r="F71" i="1"/>
  <c r="Z71" i="1" s="1"/>
  <c r="F103" i="1"/>
  <c r="S103" i="1" s="1"/>
  <c r="F104" i="1"/>
  <c r="Z104" i="1" s="1"/>
  <c r="H122" i="1"/>
  <c r="AB108" i="1"/>
  <c r="W63" i="1"/>
  <c r="V63" i="1"/>
  <c r="AA63" i="1"/>
  <c r="AB63" i="1"/>
  <c r="W71" i="1"/>
  <c r="AA71" i="1"/>
  <c r="V71" i="1"/>
  <c r="X47" i="1"/>
  <c r="X87" i="1"/>
  <c r="P87" i="1"/>
  <c r="P95" i="1"/>
  <c r="X95" i="1"/>
  <c r="P111" i="1"/>
  <c r="X111" i="1"/>
  <c r="AB71" i="1"/>
  <c r="AB95" i="1"/>
  <c r="AB104" i="1"/>
  <c r="Z54" i="1"/>
  <c r="S54" i="1"/>
  <c r="S95" i="1"/>
  <c r="X86" i="1"/>
  <c r="AA86" i="1"/>
  <c r="V95" i="1"/>
  <c r="AA55" i="1"/>
  <c r="Y104" i="1"/>
  <c r="Y34" i="1"/>
  <c r="Q34" i="1"/>
  <c r="S93" i="1"/>
  <c r="Z93" i="1"/>
  <c r="W39" i="1"/>
  <c r="F65" i="1"/>
  <c r="F114" i="1"/>
  <c r="Z114" i="1" s="1"/>
  <c r="W21" i="1"/>
  <c r="AD21" i="1" s="1"/>
  <c r="Y63" i="1"/>
  <c r="AB38" i="1"/>
  <c r="AB78" i="1"/>
  <c r="AB86" i="1"/>
  <c r="Z116" i="1"/>
  <c r="Z50" i="1"/>
  <c r="F106" i="1"/>
  <c r="S106" i="1" s="1"/>
  <c r="Z42" i="1"/>
  <c r="Z58" i="1"/>
  <c r="S116" i="1"/>
  <c r="Y47" i="1"/>
  <c r="Y58" i="1"/>
  <c r="Q28" i="1"/>
  <c r="V72" i="1"/>
  <c r="P106" i="1"/>
  <c r="AB43" i="1"/>
  <c r="AB105" i="1"/>
  <c r="G122" i="1"/>
  <c r="R37" i="1"/>
  <c r="P31" i="1"/>
  <c r="Y86" i="1"/>
  <c r="Y74" i="1"/>
  <c r="Y66" i="1"/>
  <c r="R110" i="1"/>
  <c r="V87" i="1"/>
  <c r="V80" i="1"/>
  <c r="R73" i="1"/>
  <c r="V55" i="1"/>
  <c r="W115" i="1"/>
  <c r="AA57" i="1"/>
  <c r="AB42" i="1"/>
  <c r="AB89" i="1"/>
  <c r="AA81" i="1"/>
  <c r="Y55" i="1"/>
  <c r="AB115" i="1"/>
  <c r="W110" i="1"/>
  <c r="V26" i="1"/>
  <c r="AJ26" i="1" s="1"/>
  <c r="V74" i="1"/>
  <c r="P73" i="1"/>
  <c r="X99" i="1"/>
  <c r="X24" i="1"/>
  <c r="V21" i="1"/>
  <c r="AC21" i="1" s="1"/>
  <c r="AB81" i="1"/>
  <c r="X80" i="1"/>
  <c r="R36" i="1"/>
  <c r="R30" i="1"/>
  <c r="R24" i="1"/>
  <c r="Y24" i="1"/>
  <c r="R109" i="1"/>
  <c r="R102" i="1"/>
  <c r="R94" i="1"/>
  <c r="R79" i="1"/>
  <c r="R72" i="1"/>
  <c r="V59" i="1"/>
  <c r="R54" i="1"/>
  <c r="W36" i="1"/>
  <c r="W45" i="1"/>
  <c r="W93" i="1"/>
  <c r="W102" i="1"/>
  <c r="R112" i="1"/>
  <c r="H120" i="1"/>
  <c r="AB58" i="1"/>
  <c r="W112" i="1"/>
  <c r="AA41" i="1"/>
  <c r="Y33" i="1"/>
  <c r="P43" i="1"/>
  <c r="V105" i="1"/>
  <c r="W100" i="1"/>
  <c r="P59" i="1"/>
  <c r="AB90" i="1"/>
  <c r="W22" i="1"/>
  <c r="AB57" i="1"/>
  <c r="AA21" i="1"/>
  <c r="AH21" i="1" s="1"/>
  <c r="AB50" i="1"/>
  <c r="R49" i="1"/>
  <c r="Y97" i="1"/>
  <c r="Y91" i="1"/>
  <c r="Y23" i="1"/>
  <c r="Y105" i="1"/>
  <c r="V101" i="1"/>
  <c r="R71" i="1"/>
  <c r="X110" i="1"/>
  <c r="W46" i="1"/>
  <c r="W62" i="1"/>
  <c r="W70" i="1"/>
  <c r="W85" i="1"/>
  <c r="F55" i="1"/>
  <c r="S55" i="1" s="1"/>
  <c r="S66" i="1"/>
  <c r="Z66" i="1"/>
  <c r="Z91" i="1"/>
  <c r="S91" i="1"/>
  <c r="Z99" i="1"/>
  <c r="S99" i="1"/>
  <c r="F82" i="1"/>
  <c r="Z82" i="1" s="1"/>
  <c r="F90" i="1"/>
  <c r="S90" i="1" s="1"/>
  <c r="F115" i="1"/>
  <c r="F29" i="1"/>
  <c r="F44" i="1"/>
  <c r="Z44" i="1" s="1"/>
  <c r="F76" i="1"/>
  <c r="S76" i="1" s="1"/>
  <c r="S86" i="1"/>
  <c r="Z62" i="1"/>
  <c r="S88" i="1"/>
  <c r="Z21" i="1"/>
  <c r="AG21" i="1" s="1"/>
  <c r="F51" i="1"/>
  <c r="Z51" i="1" s="1"/>
  <c r="F43" i="1"/>
  <c r="Z43" i="1" s="1"/>
  <c r="F98" i="1"/>
  <c r="Z98" i="1" s="1"/>
  <c r="S89" i="1"/>
  <c r="F107" i="1"/>
  <c r="Y36" i="1"/>
  <c r="F67" i="1"/>
  <c r="S67" i="1" s="1"/>
  <c r="O22" i="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E16" i="1" s="1"/>
  <c r="F34" i="1"/>
  <c r="F59" i="1"/>
  <c r="Z59" i="1" s="1"/>
  <c r="F111" i="1"/>
  <c r="S111" i="1" s="1"/>
  <c r="AB111" i="1"/>
  <c r="AA51" i="1"/>
  <c r="F26" i="1"/>
  <c r="Z26" i="1" s="1"/>
  <c r="W61" i="1"/>
  <c r="X61" i="1"/>
  <c r="AA61" i="1"/>
  <c r="R48" i="1"/>
  <c r="V48" i="1"/>
  <c r="Q48" i="1"/>
  <c r="Y111" i="1"/>
  <c r="Q111" i="1"/>
  <c r="W44" i="1"/>
  <c r="V44" i="1"/>
  <c r="X44" i="1"/>
  <c r="AB44" i="1"/>
  <c r="AA44" i="1"/>
  <c r="Y44" i="1"/>
  <c r="W103" i="1"/>
  <c r="AB103" i="1"/>
  <c r="AA103" i="1"/>
  <c r="X103" i="1"/>
  <c r="X55" i="1"/>
  <c r="P55" i="1"/>
  <c r="AB67" i="1"/>
  <c r="W67" i="1"/>
  <c r="AA67" i="1"/>
  <c r="X67" i="1"/>
  <c r="R23" i="1"/>
  <c r="P23" i="1"/>
  <c r="V23" i="1"/>
  <c r="Q23" i="1"/>
  <c r="W56" i="1"/>
  <c r="X56" i="1"/>
  <c r="V56" i="1"/>
  <c r="AA56" i="1"/>
  <c r="AB56" i="1"/>
  <c r="Z64" i="1"/>
  <c r="S64" i="1"/>
  <c r="Q62" i="1"/>
  <c r="Y62" i="1"/>
  <c r="P49" i="1"/>
  <c r="X49" i="1"/>
  <c r="Q98" i="1"/>
  <c r="Y98" i="1"/>
  <c r="Q30" i="1"/>
  <c r="Y30" i="1"/>
  <c r="R90" i="1"/>
  <c r="V90" i="1"/>
  <c r="AJ90" i="1" s="1"/>
  <c r="W32" i="1"/>
  <c r="X32" i="1"/>
  <c r="W38" i="1"/>
  <c r="AA38" i="1"/>
  <c r="W69" i="1"/>
  <c r="Y69" i="1"/>
  <c r="AB69" i="1"/>
  <c r="W91" i="1"/>
  <c r="AB91" i="1"/>
  <c r="AA106" i="1"/>
  <c r="X105" i="1"/>
  <c r="W52" i="1"/>
  <c r="X52" i="1"/>
  <c r="W77" i="1"/>
  <c r="AB77" i="1"/>
  <c r="F84" i="1"/>
  <c r="Z84" i="1" s="1"/>
  <c r="Y61" i="1"/>
  <c r="S73" i="1"/>
  <c r="P110" i="1"/>
  <c r="P22" i="1"/>
  <c r="S48" i="1"/>
  <c r="R52" i="1"/>
  <c r="Q52" i="1"/>
  <c r="Q74" i="1"/>
  <c r="R61" i="1"/>
  <c r="V61" i="1"/>
  <c r="R45" i="1"/>
  <c r="Q45" i="1"/>
  <c r="R21" i="1"/>
  <c r="I21" i="1"/>
  <c r="I22" i="1" s="1"/>
  <c r="I23" i="1" s="1"/>
  <c r="I24" i="1" s="1"/>
  <c r="I25" i="1" s="1"/>
  <c r="I26" i="1" s="1"/>
  <c r="I27" i="1" s="1"/>
  <c r="I28" i="1" s="1"/>
  <c r="I29" i="1" s="1"/>
  <c r="I30" i="1" s="1"/>
  <c r="I31" i="1" s="1"/>
  <c r="I32" i="1" s="1"/>
  <c r="I33" i="1" s="1"/>
  <c r="I34" i="1" s="1"/>
  <c r="I35" i="1" s="1"/>
  <c r="I36" i="1" s="1"/>
  <c r="I37" i="1" s="1"/>
  <c r="I38" i="1" s="1"/>
  <c r="I39" i="1" s="1"/>
  <c r="I40" i="1" s="1"/>
  <c r="I41" i="1" s="1"/>
  <c r="I42" i="1" s="1"/>
  <c r="I43" i="1" s="1"/>
  <c r="I44" i="1" s="1"/>
  <c r="I45" i="1" s="1"/>
  <c r="I46" i="1" s="1"/>
  <c r="I47" i="1" s="1"/>
  <c r="I48" i="1" s="1"/>
  <c r="I49" i="1" s="1"/>
  <c r="I50" i="1" s="1"/>
  <c r="I51" i="1" s="1"/>
  <c r="I52" i="1" s="1"/>
  <c r="I53" i="1" s="1"/>
  <c r="I54" i="1" s="1"/>
  <c r="P21" i="1"/>
  <c r="W78" i="1"/>
  <c r="AA78" i="1"/>
  <c r="F41" i="1"/>
  <c r="S41" i="1" s="1"/>
  <c r="AA100" i="1"/>
  <c r="Y100" i="1"/>
  <c r="P109" i="1"/>
  <c r="Q96" i="1"/>
  <c r="V109" i="1"/>
  <c r="V68" i="1"/>
  <c r="Z100" i="1"/>
  <c r="R93" i="1"/>
  <c r="Q93" i="1"/>
  <c r="W60" i="1"/>
  <c r="AA60" i="1"/>
  <c r="W94" i="1"/>
  <c r="AA94" i="1"/>
  <c r="Z96" i="1"/>
  <c r="S83" i="1"/>
  <c r="S52" i="1"/>
  <c r="V22" i="1"/>
  <c r="P90" i="1"/>
  <c r="S68" i="1"/>
  <c r="Z56" i="1"/>
  <c r="Q50" i="1"/>
  <c r="S60" i="1"/>
  <c r="Z53" i="1"/>
  <c r="S70" i="1"/>
  <c r="Z45" i="1"/>
  <c r="P94" i="1"/>
  <c r="S108" i="1"/>
  <c r="Q44" i="1"/>
  <c r="V93" i="1"/>
  <c r="Q97" i="1"/>
  <c r="V97" i="1"/>
  <c r="Q22" i="1"/>
  <c r="AA69" i="1"/>
  <c r="V108" i="1"/>
  <c r="P28" i="1"/>
  <c r="Y38" i="1"/>
  <c r="V67" i="1"/>
  <c r="AA76" i="1"/>
  <c r="Z69" i="1"/>
  <c r="R85" i="1"/>
  <c r="P85" i="1"/>
  <c r="R65" i="1"/>
  <c r="V65" i="1"/>
  <c r="W48" i="1"/>
  <c r="AA48" i="1"/>
  <c r="W73" i="1"/>
  <c r="AB73" i="1"/>
  <c r="W80" i="1"/>
  <c r="AB80" i="1"/>
  <c r="R68" i="1"/>
  <c r="S28" i="1"/>
  <c r="Z61" i="1"/>
  <c r="Q55" i="1"/>
  <c r="S110" i="1"/>
  <c r="V104" i="1"/>
  <c r="Z77" i="1"/>
  <c r="Y78" i="1"/>
  <c r="V96" i="1"/>
  <c r="P40" i="1"/>
  <c r="P104" i="1"/>
  <c r="Q66" i="1"/>
  <c r="R99" i="1"/>
  <c r="V99" i="1"/>
  <c r="V92" i="1"/>
  <c r="P92" i="1"/>
  <c r="R78" i="1"/>
  <c r="P78" i="1"/>
  <c r="R53" i="1"/>
  <c r="Q53" i="1"/>
  <c r="W49" i="1"/>
  <c r="AB49" i="1"/>
  <c r="W96" i="1"/>
  <c r="AA96" i="1"/>
  <c r="R101" i="1"/>
  <c r="Q85" i="1"/>
  <c r="Y85" i="1"/>
  <c r="AB100" i="1"/>
  <c r="P68" i="1"/>
  <c r="Q61" i="1"/>
  <c r="Q43" i="1"/>
  <c r="P97" i="1"/>
  <c r="P83" i="1"/>
  <c r="P33" i="1"/>
  <c r="V32" i="1"/>
  <c r="V81" i="1"/>
  <c r="Y106" i="1"/>
  <c r="Q42" i="1"/>
  <c r="P42" i="1"/>
  <c r="R35" i="1"/>
  <c r="Q35" i="1"/>
  <c r="R28" i="1"/>
  <c r="Q80" i="1"/>
  <c r="Y80" i="1"/>
  <c r="Y67" i="1"/>
  <c r="Y49" i="1"/>
  <c r="Q49" i="1"/>
  <c r="Y107" i="1"/>
  <c r="Q107" i="1"/>
  <c r="R104" i="1"/>
  <c r="R98" i="1"/>
  <c r="V98" i="1"/>
  <c r="P98" i="1"/>
  <c r="R83" i="1"/>
  <c r="V77" i="1"/>
  <c r="W24" i="1"/>
  <c r="AB24" i="1"/>
  <c r="W37" i="1"/>
  <c r="AA37" i="1"/>
  <c r="AB37" i="1"/>
  <c r="R113" i="1"/>
  <c r="AB116" i="1"/>
  <c r="F79" i="1"/>
  <c r="S33" i="1"/>
  <c r="Z94" i="1"/>
  <c r="Q25" i="1"/>
  <c r="Y88" i="1"/>
  <c r="Y75" i="1"/>
  <c r="AK75" i="1" s="1"/>
  <c r="Y45" i="1"/>
  <c r="Q21" i="1"/>
  <c r="Y103" i="1"/>
  <c r="R69" i="1"/>
  <c r="R29" i="1"/>
  <c r="P39" i="1"/>
  <c r="W68" i="1"/>
  <c r="W79" i="1"/>
  <c r="W99" i="1"/>
  <c r="X115" i="1"/>
  <c r="W108" i="1"/>
  <c r="B102" i="16"/>
  <c r="S22" i="1"/>
  <c r="Q99" i="1"/>
  <c r="R75" i="1"/>
  <c r="X64" i="1"/>
  <c r="W28" i="1"/>
  <c r="W47" i="1"/>
  <c r="W87" i="1"/>
  <c r="F117" i="1"/>
  <c r="X71" i="1"/>
  <c r="D122" i="1"/>
  <c r="W54" i="1"/>
  <c r="W59" i="1"/>
  <c r="W101" i="1"/>
  <c r="W65" i="1"/>
  <c r="Z102" i="1"/>
  <c r="S102" i="1"/>
  <c r="Q95" i="1"/>
  <c r="Y95" i="1"/>
  <c r="P63" i="1"/>
  <c r="X63" i="1"/>
  <c r="S35" i="1"/>
  <c r="S84" i="1"/>
  <c r="Z37" i="1"/>
  <c r="S37" i="1"/>
  <c r="R47" i="1"/>
  <c r="S47" i="1"/>
  <c r="Q47" i="1"/>
  <c r="P47" i="1"/>
  <c r="Y73" i="1"/>
  <c r="Q73" i="1"/>
  <c r="W31" i="1"/>
  <c r="AB31" i="1"/>
  <c r="V31" i="1"/>
  <c r="X31" i="1"/>
  <c r="AA31" i="1"/>
  <c r="S58" i="1"/>
  <c r="P46" i="1"/>
  <c r="V46" i="1"/>
  <c r="Q46" i="1"/>
  <c r="R46" i="1"/>
  <c r="S46" i="1"/>
  <c r="Q90" i="1"/>
  <c r="Y90" i="1"/>
  <c r="Q54" i="1"/>
  <c r="Y54" i="1"/>
  <c r="S38" i="1"/>
  <c r="Z38" i="1"/>
  <c r="Q71" i="1"/>
  <c r="Y71" i="1"/>
  <c r="Y59" i="1"/>
  <c r="Q59" i="1"/>
  <c r="D121" i="1"/>
  <c r="P93" i="1"/>
  <c r="Z97" i="1"/>
  <c r="S97" i="1"/>
  <c r="Y21" i="1"/>
  <c r="L21" i="1"/>
  <c r="L22" i="1" s="1"/>
  <c r="L23" i="1" s="1"/>
  <c r="L24" i="1" s="1"/>
  <c r="L25" i="1" s="1"/>
  <c r="L26" i="1" s="1"/>
  <c r="L27" i="1" s="1"/>
  <c r="L28" i="1" s="1"/>
  <c r="L29" i="1" s="1"/>
  <c r="L30" i="1" s="1"/>
  <c r="L31" i="1" s="1"/>
  <c r="L32" i="1" s="1"/>
  <c r="L33" i="1" s="1"/>
  <c r="L34" i="1" s="1"/>
  <c r="L35" i="1" s="1"/>
  <c r="L36" i="1" s="1"/>
  <c r="L37" i="1" s="1"/>
  <c r="L38" i="1" s="1"/>
  <c r="L39" i="1" s="1"/>
  <c r="L40" i="1" s="1"/>
  <c r="L41" i="1" s="1"/>
  <c r="L42" i="1" s="1"/>
  <c r="L43" i="1" s="1"/>
  <c r="L44" i="1" s="1"/>
  <c r="L45" i="1" s="1"/>
  <c r="L46" i="1" s="1"/>
  <c r="L47" i="1" s="1"/>
  <c r="L48" i="1" s="1"/>
  <c r="L49" i="1" s="1"/>
  <c r="L50" i="1" s="1"/>
  <c r="L51" i="1" s="1"/>
  <c r="L52" i="1" s="1"/>
  <c r="L53" i="1" s="1"/>
  <c r="L54" i="1" s="1"/>
  <c r="L55" i="1" s="1"/>
  <c r="L56" i="1" s="1"/>
  <c r="L57" i="1" s="1"/>
  <c r="L58" i="1" s="1"/>
  <c r="L59" i="1" s="1"/>
  <c r="L60" i="1" s="1"/>
  <c r="L61" i="1" s="1"/>
  <c r="L62" i="1" s="1"/>
  <c r="L63" i="1" s="1"/>
  <c r="L64" i="1" s="1"/>
  <c r="L65" i="1" s="1"/>
  <c r="L66" i="1" s="1"/>
  <c r="L67" i="1" s="1"/>
  <c r="L68" i="1" s="1"/>
  <c r="L69" i="1" s="1"/>
  <c r="L70" i="1" s="1"/>
  <c r="L71" i="1" s="1"/>
  <c r="L72" i="1" s="1"/>
  <c r="L73" i="1" s="1"/>
  <c r="L74" i="1" s="1"/>
  <c r="L75" i="1" s="1"/>
  <c r="L76" i="1" s="1"/>
  <c r="L77" i="1" s="1"/>
  <c r="L78" i="1" s="1"/>
  <c r="L79" i="1" s="1"/>
  <c r="L80" i="1" s="1"/>
  <c r="L81" i="1" s="1"/>
  <c r="L82" i="1" s="1"/>
  <c r="L83" i="1" s="1"/>
  <c r="L84" i="1" s="1"/>
  <c r="L85" i="1" s="1"/>
  <c r="L86" i="1" s="1"/>
  <c r="L87" i="1" s="1"/>
  <c r="L88" i="1" s="1"/>
  <c r="L89" i="1" s="1"/>
  <c r="L90" i="1" s="1"/>
  <c r="L91" i="1" s="1"/>
  <c r="L92" i="1" s="1"/>
  <c r="L93" i="1" s="1"/>
  <c r="L94" i="1" s="1"/>
  <c r="L95" i="1" s="1"/>
  <c r="L96" i="1" s="1"/>
  <c r="L97" i="1" s="1"/>
  <c r="L98" i="1" s="1"/>
  <c r="L99" i="1" s="1"/>
  <c r="L100" i="1" s="1"/>
  <c r="L101" i="1" s="1"/>
  <c r="L102" i="1" s="1"/>
  <c r="L103" i="1" s="1"/>
  <c r="L104" i="1" s="1"/>
  <c r="L105" i="1" s="1"/>
  <c r="L106" i="1" s="1"/>
  <c r="L107" i="1" s="1"/>
  <c r="L108" i="1" s="1"/>
  <c r="L109" i="1" s="1"/>
  <c r="L110" i="1" s="1"/>
  <c r="L111" i="1" s="1"/>
  <c r="L112" i="1" s="1"/>
  <c r="L113" i="1" s="1"/>
  <c r="L114" i="1" s="1"/>
  <c r="L115" i="1" s="1"/>
  <c r="L116" i="1" s="1"/>
  <c r="L117" i="1" s="1"/>
  <c r="Y99" i="1"/>
  <c r="X39" i="1"/>
  <c r="Y26" i="1"/>
  <c r="Q26" i="1"/>
  <c r="R38" i="1"/>
  <c r="P38" i="1"/>
  <c r="V38" i="1"/>
  <c r="Q38" i="1"/>
  <c r="R50" i="1"/>
  <c r="P50" i="1"/>
  <c r="S50" i="1"/>
  <c r="Q81" i="1"/>
  <c r="Y81" i="1"/>
  <c r="Q39" i="1"/>
  <c r="Y39" i="1"/>
  <c r="Z48" i="1"/>
  <c r="S27" i="1"/>
  <c r="Z27" i="1"/>
  <c r="Y31" i="1"/>
  <c r="X35" i="1"/>
  <c r="P35" i="1"/>
  <c r="S100" i="1"/>
  <c r="R82" i="1"/>
  <c r="Q82" i="1"/>
  <c r="V82" i="1"/>
  <c r="V66" i="1"/>
  <c r="R66" i="1"/>
  <c r="W26" i="1"/>
  <c r="R87" i="1"/>
  <c r="AB83" i="1"/>
  <c r="W83" i="1"/>
  <c r="Z81" i="1"/>
  <c r="X100" i="1"/>
  <c r="W51" i="1"/>
  <c r="AB51" i="1"/>
  <c r="W84" i="1"/>
  <c r="V84" i="1"/>
  <c r="AA97" i="1"/>
  <c r="W97" i="1"/>
  <c r="R86" i="1"/>
  <c r="V86" i="1"/>
  <c r="B121" i="1"/>
  <c r="W89" i="1"/>
  <c r="R89" i="1"/>
  <c r="R34" i="1"/>
  <c r="V34" i="1"/>
  <c r="Z33" i="1"/>
  <c r="AA23" i="1"/>
  <c r="V40" i="1"/>
  <c r="V24" i="1"/>
  <c r="Z85" i="1"/>
  <c r="S74" i="1"/>
  <c r="Q33" i="1"/>
  <c r="P32" i="1"/>
  <c r="R33" i="1"/>
  <c r="R96" i="1"/>
  <c r="R106" i="1"/>
  <c r="V106" i="1"/>
  <c r="Q91" i="1"/>
  <c r="P91" i="1"/>
  <c r="W53" i="1"/>
  <c r="AA53" i="1"/>
  <c r="Q27" i="1"/>
  <c r="V27" i="1"/>
  <c r="Y40" i="1"/>
  <c r="Q101" i="1"/>
  <c r="W30" i="1"/>
  <c r="Z30" i="1"/>
  <c r="Y72" i="1"/>
  <c r="Q72" i="1"/>
  <c r="S94" i="1"/>
  <c r="Z49" i="1"/>
  <c r="Q37" i="1"/>
  <c r="Y79" i="1"/>
  <c r="Q83" i="1"/>
  <c r="P44" i="1"/>
  <c r="P34" i="1"/>
  <c r="P48" i="1"/>
  <c r="V45" i="1"/>
  <c r="P71" i="1"/>
  <c r="Q40" i="1"/>
  <c r="F112" i="1"/>
  <c r="F113" i="1"/>
  <c r="Q76" i="1"/>
  <c r="Y76" i="1"/>
  <c r="R77" i="1"/>
  <c r="Y51" i="1"/>
  <c r="Q24" i="1"/>
  <c r="D120" i="1"/>
  <c r="X116" i="1"/>
  <c r="W111" i="1"/>
  <c r="W107" i="1"/>
  <c r="AB61" i="1"/>
  <c r="E122" i="1"/>
  <c r="AA114" i="1"/>
  <c r="AA116" i="1"/>
  <c r="R114" i="1"/>
  <c r="X117" i="1"/>
  <c r="DL2" i="16"/>
  <c r="Q32" i="1"/>
  <c r="W64" i="1"/>
  <c r="W116" i="1"/>
  <c r="W117" i="1"/>
  <c r="Q84" i="1"/>
  <c r="Y52" i="1"/>
  <c r="Q110" i="1"/>
  <c r="Q102" i="1"/>
  <c r="X114" i="1"/>
  <c r="W114" i="1"/>
  <c r="W29" i="1"/>
  <c r="W58" i="1"/>
  <c r="Y116" i="1"/>
  <c r="AA117" i="1"/>
  <c r="D2" i="16"/>
  <c r="D85" i="16"/>
  <c r="D74" i="16"/>
  <c r="D60" i="16"/>
  <c r="D49" i="16"/>
  <c r="D35" i="16"/>
  <c r="D21" i="16"/>
  <c r="D10" i="16"/>
  <c r="H102" i="16"/>
  <c r="I102" i="16"/>
  <c r="D96" i="16"/>
  <c r="D88" i="16"/>
  <c r="D80" i="16"/>
  <c r="D72" i="16"/>
  <c r="D64" i="16"/>
  <c r="D56" i="16"/>
  <c r="D48" i="16"/>
  <c r="D40" i="16"/>
  <c r="D32" i="16"/>
  <c r="D24" i="16"/>
  <c r="D16" i="16"/>
  <c r="D8" i="16"/>
  <c r="D95" i="16"/>
  <c r="D87" i="16"/>
  <c r="D79" i="16"/>
  <c r="D71" i="16"/>
  <c r="D63" i="16"/>
  <c r="D55" i="16"/>
  <c r="D47" i="16"/>
  <c r="D39" i="16"/>
  <c r="D31" i="16"/>
  <c r="D23" i="16"/>
  <c r="D15" i="16"/>
  <c r="D7" i="16"/>
  <c r="D94" i="16"/>
  <c r="D86" i="16"/>
  <c r="D78" i="16"/>
  <c r="D70" i="16"/>
  <c r="D62" i="16"/>
  <c r="D54" i="16"/>
  <c r="D46" i="16"/>
  <c r="D38" i="16"/>
  <c r="D30" i="16"/>
  <c r="D22" i="16"/>
  <c r="D14" i="16"/>
  <c r="Z109" i="1"/>
  <c r="S36" i="1"/>
  <c r="S87" i="1"/>
  <c r="Z87" i="1"/>
  <c r="Z25" i="1"/>
  <c r="F121" i="1"/>
  <c r="Z108" i="1"/>
  <c r="F122" i="1"/>
  <c r="Z75" i="1"/>
  <c r="S75" i="1"/>
  <c r="F120" i="1"/>
  <c r="S92" i="1"/>
  <c r="Z57" i="1"/>
  <c r="S57" i="1"/>
  <c r="Y25" i="1"/>
  <c r="AB25" i="1"/>
  <c r="AE22" i="1"/>
  <c r="AE23" i="1" s="1"/>
  <c r="S63" i="1"/>
  <c r="V25" i="1"/>
  <c r="R41" i="1"/>
  <c r="Q41" i="1"/>
  <c r="R31" i="1"/>
  <c r="Q31" i="1"/>
  <c r="R25" i="1"/>
  <c r="P25" i="1"/>
  <c r="Q56" i="1"/>
  <c r="Y56" i="1"/>
  <c r="V39" i="1"/>
  <c r="R39" i="1"/>
  <c r="Q92" i="1"/>
  <c r="Y92" i="1"/>
  <c r="Y60" i="1"/>
  <c r="Q60" i="1"/>
  <c r="E120" i="1"/>
  <c r="Y64" i="1"/>
  <c r="Q64" i="1"/>
  <c r="E121" i="1"/>
  <c r="Y68" i="1"/>
  <c r="P41" i="1"/>
  <c r="Y102" i="1"/>
  <c r="P52" i="1"/>
  <c r="R42" i="1"/>
  <c r="S42" i="1"/>
  <c r="V42" i="1"/>
  <c r="Q108" i="1"/>
  <c r="V47" i="1"/>
  <c r="S78" i="1"/>
  <c r="V50" i="1"/>
  <c r="V57" i="1"/>
  <c r="B122" i="1"/>
  <c r="P26" i="1"/>
  <c r="B120" i="1"/>
  <c r="R74" i="1"/>
  <c r="W109" i="1"/>
  <c r="W105" i="1"/>
  <c r="Q116" i="1"/>
  <c r="P116" i="1"/>
  <c r="V116" i="1"/>
  <c r="C121" i="1"/>
  <c r="C122" i="1"/>
  <c r="W113" i="1"/>
  <c r="V117" i="1"/>
  <c r="Q117" i="1"/>
  <c r="P117" i="1"/>
  <c r="C120" i="1"/>
  <c r="AB117" i="1"/>
  <c r="Y117" i="1"/>
  <c r="R117" i="1"/>
  <c r="AK36" i="1" l="1"/>
  <c r="AJ33" i="1"/>
  <c r="AJ41" i="1"/>
  <c r="AI22" i="1"/>
  <c r="AK94" i="1"/>
  <c r="S98" i="1"/>
  <c r="AG22" i="1"/>
  <c r="AJ105" i="1"/>
  <c r="AK91" i="1"/>
  <c r="AK76" i="1"/>
  <c r="AJ77" i="1"/>
  <c r="AJ51" i="1"/>
  <c r="AJ92" i="1"/>
  <c r="R123" i="1"/>
  <c r="CY5" i="25"/>
  <c r="AJ112" i="1"/>
  <c r="AJ111" i="1"/>
  <c r="S43" i="1"/>
  <c r="AJ91" i="1"/>
  <c r="S104" i="1"/>
  <c r="AJ98" i="1"/>
  <c r="AJ81" i="1"/>
  <c r="AJ59" i="1"/>
  <c r="AK101" i="1"/>
  <c r="AK37" i="1"/>
  <c r="AK96" i="1"/>
  <c r="AK112" i="1"/>
  <c r="AK34" i="1"/>
  <c r="AK62" i="1"/>
  <c r="AJ69" i="1"/>
  <c r="AK51" i="1"/>
  <c r="AJ89" i="1"/>
  <c r="S71" i="1"/>
  <c r="AJ72" i="1"/>
  <c r="AK110" i="1"/>
  <c r="AJ73" i="1"/>
  <c r="AK53" i="1"/>
  <c r="AJ54" i="1"/>
  <c r="AJ80" i="1"/>
  <c r="AK41" i="1"/>
  <c r="AK43" i="1"/>
  <c r="AK107" i="1"/>
  <c r="AK87" i="1"/>
  <c r="AJ62" i="1"/>
  <c r="S32" i="1"/>
  <c r="AK69" i="1"/>
  <c r="AK23" i="1"/>
  <c r="AJ43" i="1"/>
  <c r="AK49" i="1"/>
  <c r="AK54" i="1"/>
  <c r="AJ52" i="1"/>
  <c r="AJ102" i="1"/>
  <c r="Y123" i="1"/>
  <c r="AJ60" i="1"/>
  <c r="AJ71" i="1"/>
  <c r="Z90" i="1"/>
  <c r="AJ107" i="1"/>
  <c r="AK81" i="1"/>
  <c r="AK109" i="1"/>
  <c r="AJ55" i="1"/>
  <c r="AK114" i="1"/>
  <c r="AK70" i="1"/>
  <c r="AJ68" i="1"/>
  <c r="S114" i="1"/>
  <c r="AK60" i="1"/>
  <c r="AJ108" i="1"/>
  <c r="AJ58" i="1"/>
  <c r="AJ115" i="1"/>
  <c r="Z76" i="1"/>
  <c r="AJ74" i="1"/>
  <c r="AK71" i="1"/>
  <c r="AJ110" i="1"/>
  <c r="AA122" i="1"/>
  <c r="AK52" i="1"/>
  <c r="AK73" i="1"/>
  <c r="AK33" i="1"/>
  <c r="AI23" i="1"/>
  <c r="AI24" i="1" s="1"/>
  <c r="AI25" i="1" s="1"/>
  <c r="AI26" i="1" s="1"/>
  <c r="AI27" i="1" s="1"/>
  <c r="AI28" i="1" s="1"/>
  <c r="AI29" i="1" s="1"/>
  <c r="AI30" i="1" s="1"/>
  <c r="AI31" i="1" s="1"/>
  <c r="AI32" i="1" s="1"/>
  <c r="AI33" i="1" s="1"/>
  <c r="AI34" i="1" s="1"/>
  <c r="AI35" i="1" s="1"/>
  <c r="AI36" i="1" s="1"/>
  <c r="AI37" i="1" s="1"/>
  <c r="AI38" i="1" s="1"/>
  <c r="AI39" i="1" s="1"/>
  <c r="AI40" i="1" s="1"/>
  <c r="AI41" i="1" s="1"/>
  <c r="AI42" i="1" s="1"/>
  <c r="AI43" i="1" s="1"/>
  <c r="AI44" i="1" s="1"/>
  <c r="AI45" i="1" s="1"/>
  <c r="AI46" i="1" s="1"/>
  <c r="AI47" i="1" s="1"/>
  <c r="AI48" i="1" s="1"/>
  <c r="AI49" i="1" s="1"/>
  <c r="AI50" i="1" s="1"/>
  <c r="AI51" i="1" s="1"/>
  <c r="AI52" i="1" s="1"/>
  <c r="AI53" i="1" s="1"/>
  <c r="AI54" i="1" s="1"/>
  <c r="AI55" i="1" s="1"/>
  <c r="AI56" i="1" s="1"/>
  <c r="AI57" i="1" s="1"/>
  <c r="AI58" i="1" s="1"/>
  <c r="AI59" i="1" s="1"/>
  <c r="AI60" i="1" s="1"/>
  <c r="AI61" i="1" s="1"/>
  <c r="AI62" i="1" s="1"/>
  <c r="AI63" i="1" s="1"/>
  <c r="AI64" i="1" s="1"/>
  <c r="AI65" i="1" s="1"/>
  <c r="AI66" i="1" s="1"/>
  <c r="AI67" i="1" s="1"/>
  <c r="AI68" i="1" s="1"/>
  <c r="AI69" i="1" s="1"/>
  <c r="AI70" i="1" s="1"/>
  <c r="AI71" i="1" s="1"/>
  <c r="AI72" i="1" s="1"/>
  <c r="AI73" i="1" s="1"/>
  <c r="AI74" i="1" s="1"/>
  <c r="AI75" i="1" s="1"/>
  <c r="AI76" i="1" s="1"/>
  <c r="AI77" i="1" s="1"/>
  <c r="AI78" i="1" s="1"/>
  <c r="AI79" i="1" s="1"/>
  <c r="AI80" i="1" s="1"/>
  <c r="AI81" i="1" s="1"/>
  <c r="AI82" i="1" s="1"/>
  <c r="AI83" i="1" s="1"/>
  <c r="AI84" i="1" s="1"/>
  <c r="AI85" i="1" s="1"/>
  <c r="AI86" i="1" s="1"/>
  <c r="AI87" i="1" s="1"/>
  <c r="AI88" i="1" s="1"/>
  <c r="AI89" i="1" s="1"/>
  <c r="AI90" i="1" s="1"/>
  <c r="AI91" i="1" s="1"/>
  <c r="AI92" i="1" s="1"/>
  <c r="AI93" i="1" s="1"/>
  <c r="AI94" i="1" s="1"/>
  <c r="AI95" i="1" s="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AI115" i="1" s="1"/>
  <c r="AI116" i="1" s="1"/>
  <c r="AI117" i="1" s="1"/>
  <c r="AJ88" i="1"/>
  <c r="AK29" i="1"/>
  <c r="Z31" i="1"/>
  <c r="AJ49" i="1"/>
  <c r="AK111" i="1"/>
  <c r="AK63" i="1"/>
  <c r="AK35" i="1"/>
  <c r="AJ46" i="1"/>
  <c r="AK55" i="1"/>
  <c r="AJ76" i="1"/>
  <c r="N123" i="1"/>
  <c r="S24" i="1"/>
  <c r="S51" i="1"/>
  <c r="AJ78" i="1"/>
  <c r="AK100" i="1"/>
  <c r="AJ85" i="1"/>
  <c r="AK103" i="1"/>
  <c r="AJ100" i="1"/>
  <c r="AK28" i="1"/>
  <c r="AK104" i="1"/>
  <c r="AK108" i="1"/>
  <c r="AJ103" i="1"/>
  <c r="AB123" i="1"/>
  <c r="Z111" i="1"/>
  <c r="S39" i="1"/>
  <c r="AJ70" i="1"/>
  <c r="AJ64" i="1"/>
  <c r="AJ23" i="1"/>
  <c r="AK85" i="1"/>
  <c r="AK93" i="1"/>
  <c r="S44" i="1"/>
  <c r="AK79" i="1"/>
  <c r="AK59" i="1"/>
  <c r="AK88" i="1"/>
  <c r="S40" i="1"/>
  <c r="AJ95" i="1"/>
  <c r="AJ53" i="1"/>
  <c r="AJ101" i="1"/>
  <c r="Z55" i="1"/>
  <c r="Z106" i="1"/>
  <c r="AK30" i="1"/>
  <c r="Q122" i="1"/>
  <c r="M122" i="1"/>
  <c r="AK72" i="1"/>
  <c r="AK64" i="1"/>
  <c r="AK78" i="1"/>
  <c r="AK84" i="1"/>
  <c r="AK26" i="1"/>
  <c r="AK95" i="1"/>
  <c r="AH22" i="1"/>
  <c r="AH23" i="1" s="1"/>
  <c r="AH24" i="1" s="1"/>
  <c r="AH25" i="1" s="1"/>
  <c r="AH26" i="1" s="1"/>
  <c r="AH27" i="1" s="1"/>
  <c r="AH28" i="1" s="1"/>
  <c r="AH29" i="1" s="1"/>
  <c r="AH30" i="1" s="1"/>
  <c r="AH31" i="1" s="1"/>
  <c r="AH32" i="1" s="1"/>
  <c r="AH33" i="1" s="1"/>
  <c r="AH34" i="1" s="1"/>
  <c r="AH35" i="1" s="1"/>
  <c r="AH36" i="1" s="1"/>
  <c r="AH37" i="1" s="1"/>
  <c r="AH38" i="1" s="1"/>
  <c r="AH39" i="1" s="1"/>
  <c r="AH40" i="1" s="1"/>
  <c r="AH41" i="1" s="1"/>
  <c r="AH42" i="1" s="1"/>
  <c r="AH43" i="1" s="1"/>
  <c r="AH44" i="1" s="1"/>
  <c r="AH45" i="1" s="1"/>
  <c r="AH46" i="1" s="1"/>
  <c r="AH47" i="1" s="1"/>
  <c r="AH48" i="1" s="1"/>
  <c r="AH49" i="1" s="1"/>
  <c r="AH50" i="1" s="1"/>
  <c r="AH51" i="1" s="1"/>
  <c r="AH52" i="1" s="1"/>
  <c r="AH53" i="1" s="1"/>
  <c r="AH54" i="1" s="1"/>
  <c r="AH55" i="1" s="1"/>
  <c r="AH56" i="1" s="1"/>
  <c r="AH57" i="1" s="1"/>
  <c r="AH58" i="1" s="1"/>
  <c r="AH59" i="1" s="1"/>
  <c r="AH60" i="1" s="1"/>
  <c r="AH61" i="1" s="1"/>
  <c r="AH62" i="1" s="1"/>
  <c r="AH63" i="1" s="1"/>
  <c r="AH64" i="1" s="1"/>
  <c r="AH65" i="1" s="1"/>
  <c r="AH66" i="1" s="1"/>
  <c r="AH67" i="1" s="1"/>
  <c r="AH68" i="1" s="1"/>
  <c r="AH69" i="1" s="1"/>
  <c r="AH70" i="1" s="1"/>
  <c r="AH71" i="1" s="1"/>
  <c r="AH72" i="1" s="1"/>
  <c r="AH73" i="1" s="1"/>
  <c r="AH74" i="1" s="1"/>
  <c r="AH75" i="1" s="1"/>
  <c r="AH76" i="1" s="1"/>
  <c r="AH77" i="1" s="1"/>
  <c r="AH78" i="1" s="1"/>
  <c r="AH79" i="1" s="1"/>
  <c r="AH80" i="1" s="1"/>
  <c r="AH81" i="1" s="1"/>
  <c r="AH82" i="1" s="1"/>
  <c r="AH83" i="1" s="1"/>
  <c r="AH84" i="1" s="1"/>
  <c r="AH85" i="1" s="1"/>
  <c r="AH86" i="1" s="1"/>
  <c r="AH87" i="1" s="1"/>
  <c r="AH88" i="1" s="1"/>
  <c r="AH89" i="1" s="1"/>
  <c r="AH90" i="1" s="1"/>
  <c r="AH91" i="1" s="1"/>
  <c r="AH92" i="1" s="1"/>
  <c r="AH93" i="1" s="1"/>
  <c r="AH94" i="1" s="1"/>
  <c r="AH95" i="1" s="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AH115" i="1" s="1"/>
  <c r="AH116" i="1" s="1"/>
  <c r="AH117" i="1" s="1"/>
  <c r="AK115" i="1"/>
  <c r="AE24" i="1"/>
  <c r="AE25" i="1" s="1"/>
  <c r="AE26" i="1" s="1"/>
  <c r="AE27" i="1" s="1"/>
  <c r="AE28" i="1" s="1"/>
  <c r="AE29" i="1" s="1"/>
  <c r="AE30" i="1" s="1"/>
  <c r="AE31" i="1" s="1"/>
  <c r="AE32" i="1" s="1"/>
  <c r="AE33" i="1" s="1"/>
  <c r="AE34" i="1" s="1"/>
  <c r="AE35" i="1" s="1"/>
  <c r="AE36" i="1" s="1"/>
  <c r="AE37" i="1" s="1"/>
  <c r="AE38" i="1" s="1"/>
  <c r="AE39" i="1" s="1"/>
  <c r="AE40" i="1" s="1"/>
  <c r="AE41" i="1" s="1"/>
  <c r="AE42" i="1" s="1"/>
  <c r="AE43" i="1" s="1"/>
  <c r="AE44" i="1" s="1"/>
  <c r="AE45" i="1" s="1"/>
  <c r="AE46" i="1" s="1"/>
  <c r="AE47" i="1" s="1"/>
  <c r="AE48" i="1" s="1"/>
  <c r="AE49" i="1" s="1"/>
  <c r="AE50" i="1" s="1"/>
  <c r="AE51" i="1" s="1"/>
  <c r="AE52" i="1" s="1"/>
  <c r="AE53" i="1" s="1"/>
  <c r="AE54" i="1" s="1"/>
  <c r="AE55" i="1" s="1"/>
  <c r="AE56" i="1" s="1"/>
  <c r="AE57" i="1" s="1"/>
  <c r="AE58" i="1" s="1"/>
  <c r="AE59" i="1" s="1"/>
  <c r="AE60" i="1" s="1"/>
  <c r="AE61" i="1" s="1"/>
  <c r="AE62" i="1" s="1"/>
  <c r="AE63" i="1" s="1"/>
  <c r="AE64" i="1" s="1"/>
  <c r="AE65" i="1" s="1"/>
  <c r="AE66" i="1" s="1"/>
  <c r="AE67" i="1" s="1"/>
  <c r="AE68" i="1" s="1"/>
  <c r="AE69" i="1" s="1"/>
  <c r="AE70" i="1" s="1"/>
  <c r="AE71" i="1" s="1"/>
  <c r="AE72" i="1" s="1"/>
  <c r="AE73" i="1" s="1"/>
  <c r="AE74" i="1" s="1"/>
  <c r="AE75" i="1" s="1"/>
  <c r="AE76" i="1" s="1"/>
  <c r="AE77" i="1" s="1"/>
  <c r="AE78" i="1" s="1"/>
  <c r="AE79" i="1" s="1"/>
  <c r="AE80" i="1" s="1"/>
  <c r="AE81" i="1" s="1"/>
  <c r="AE82" i="1" s="1"/>
  <c r="AE83" i="1" s="1"/>
  <c r="AE84" i="1" s="1"/>
  <c r="AE85" i="1" s="1"/>
  <c r="AE86" i="1" s="1"/>
  <c r="AE87" i="1" s="1"/>
  <c r="AE88" i="1" s="1"/>
  <c r="AE89" i="1" s="1"/>
  <c r="AE90" i="1" s="1"/>
  <c r="AE91" i="1" s="1"/>
  <c r="AE92" i="1" s="1"/>
  <c r="AE93" i="1" s="1"/>
  <c r="AE94" i="1" s="1"/>
  <c r="AE95" i="1" s="1"/>
  <c r="AE96" i="1" s="1"/>
  <c r="AE97" i="1" s="1"/>
  <c r="AE98" i="1" s="1"/>
  <c r="AE99" i="1" s="1"/>
  <c r="AE100" i="1" s="1"/>
  <c r="AE101" i="1" s="1"/>
  <c r="AE102" i="1" s="1"/>
  <c r="AE103" i="1" s="1"/>
  <c r="AE104" i="1" s="1"/>
  <c r="AE105" i="1" s="1"/>
  <c r="AE106" i="1" s="1"/>
  <c r="AE107" i="1" s="1"/>
  <c r="AE108" i="1" s="1"/>
  <c r="AE109" i="1" s="1"/>
  <c r="AE110" i="1" s="1"/>
  <c r="AE111" i="1" s="1"/>
  <c r="AE112" i="1" s="1"/>
  <c r="AE113" i="1" s="1"/>
  <c r="AE114" i="1" s="1"/>
  <c r="AE115" i="1" s="1"/>
  <c r="AE116" i="1" s="1"/>
  <c r="AE117" i="1" s="1"/>
  <c r="X125" i="1" s="1"/>
  <c r="AJ24" i="1"/>
  <c r="AJ21" i="1"/>
  <c r="AK77" i="1"/>
  <c r="AJ114" i="1"/>
  <c r="AJ104" i="1"/>
  <c r="AJ35" i="1"/>
  <c r="Z103" i="1"/>
  <c r="AK58" i="1"/>
  <c r="E13" i="1"/>
  <c r="AJ63" i="1"/>
  <c r="AD22" i="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D44" i="1" s="1"/>
  <c r="AD45" i="1" s="1"/>
  <c r="AD46" i="1" s="1"/>
  <c r="AD47" i="1" s="1"/>
  <c r="AD48" i="1" s="1"/>
  <c r="AD49" i="1" s="1"/>
  <c r="AD50" i="1" s="1"/>
  <c r="AD51" i="1" s="1"/>
  <c r="AD52" i="1" s="1"/>
  <c r="AD53" i="1" s="1"/>
  <c r="AD54" i="1" s="1"/>
  <c r="AD55" i="1" s="1"/>
  <c r="AD56" i="1" s="1"/>
  <c r="AD57" i="1" s="1"/>
  <c r="AD58" i="1" s="1"/>
  <c r="AD59" i="1" s="1"/>
  <c r="AD60" i="1" s="1"/>
  <c r="AD61" i="1" s="1"/>
  <c r="AD62" i="1" s="1"/>
  <c r="AD63" i="1" s="1"/>
  <c r="AD64" i="1" s="1"/>
  <c r="AD65" i="1" s="1"/>
  <c r="AD66" i="1" s="1"/>
  <c r="AD67" i="1" s="1"/>
  <c r="AD68" i="1" s="1"/>
  <c r="AD69" i="1" s="1"/>
  <c r="AD70" i="1" s="1"/>
  <c r="AD71" i="1" s="1"/>
  <c r="AD72" i="1" s="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D102" i="1" s="1"/>
  <c r="AD103" i="1" s="1"/>
  <c r="AD104" i="1" s="1"/>
  <c r="AD105" i="1" s="1"/>
  <c r="AD106" i="1" s="1"/>
  <c r="AD107" i="1" s="1"/>
  <c r="AD108" i="1" s="1"/>
  <c r="AD109" i="1" s="1"/>
  <c r="AD110" i="1" s="1"/>
  <c r="AD111" i="1" s="1"/>
  <c r="AD112" i="1" s="1"/>
  <c r="AD113" i="1" s="1"/>
  <c r="AD114" i="1" s="1"/>
  <c r="AD115" i="1" s="1"/>
  <c r="AD116" i="1" s="1"/>
  <c r="AD117" i="1" s="1"/>
  <c r="AJ96" i="1"/>
  <c r="AK80" i="1"/>
  <c r="AJ99" i="1"/>
  <c r="S23" i="1"/>
  <c r="AK22" i="1"/>
  <c r="AK56" i="1"/>
  <c r="O68" i="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H126" i="1" s="1"/>
  <c r="S82" i="1"/>
  <c r="AK102" i="1"/>
  <c r="AJ87" i="1"/>
  <c r="M23" i="1"/>
  <c r="M24" i="1" s="1"/>
  <c r="M25" i="1" s="1"/>
  <c r="M26" i="1" s="1"/>
  <c r="M27" i="1" s="1"/>
  <c r="M28" i="1" s="1"/>
  <c r="M29" i="1" s="1"/>
  <c r="M30" i="1" s="1"/>
  <c r="M31" i="1" s="1"/>
  <c r="M32" i="1" s="1"/>
  <c r="M33" i="1" s="1"/>
  <c r="M34" i="1" s="1"/>
  <c r="M35" i="1" s="1"/>
  <c r="M36" i="1" s="1"/>
  <c r="M37" i="1" s="1"/>
  <c r="M38" i="1" s="1"/>
  <c r="M39" i="1" s="1"/>
  <c r="M40" i="1" s="1"/>
  <c r="M41" i="1" s="1"/>
  <c r="M42" i="1" s="1"/>
  <c r="M43" i="1" s="1"/>
  <c r="M44" i="1" s="1"/>
  <c r="M45" i="1" s="1"/>
  <c r="M46" i="1" s="1"/>
  <c r="M47" i="1" s="1"/>
  <c r="M48" i="1" s="1"/>
  <c r="M49" i="1" s="1"/>
  <c r="M50" i="1" s="1"/>
  <c r="M51" i="1" s="1"/>
  <c r="M52" i="1" s="1"/>
  <c r="M53" i="1" s="1"/>
  <c r="M54" i="1" s="1"/>
  <c r="M55" i="1" s="1"/>
  <c r="M56" i="1" s="1"/>
  <c r="M57" i="1" s="1"/>
  <c r="M58" i="1" s="1"/>
  <c r="M59" i="1" s="1"/>
  <c r="M60" i="1" s="1"/>
  <c r="M61" i="1" s="1"/>
  <c r="M62" i="1" s="1"/>
  <c r="M63" i="1" s="1"/>
  <c r="M64" i="1" s="1"/>
  <c r="M65" i="1" s="1"/>
  <c r="M66" i="1" s="1"/>
  <c r="M67" i="1" s="1"/>
  <c r="M68" i="1" s="1"/>
  <c r="M69" i="1" s="1"/>
  <c r="M70" i="1" s="1"/>
  <c r="M71" i="1" s="1"/>
  <c r="M72" i="1" s="1"/>
  <c r="M73" i="1" s="1"/>
  <c r="M74" i="1" s="1"/>
  <c r="M75" i="1" s="1"/>
  <c r="M76" i="1" s="1"/>
  <c r="M77" i="1" s="1"/>
  <c r="M78" i="1" s="1"/>
  <c r="M79" i="1" s="1"/>
  <c r="M80" i="1" s="1"/>
  <c r="M81" i="1" s="1"/>
  <c r="M82" i="1" s="1"/>
  <c r="M83" i="1" s="1"/>
  <c r="M84" i="1" s="1"/>
  <c r="M85" i="1" s="1"/>
  <c r="M86" i="1" s="1"/>
  <c r="M87" i="1" s="1"/>
  <c r="M88" i="1" s="1"/>
  <c r="M89" i="1" s="1"/>
  <c r="M90" i="1" s="1"/>
  <c r="M91" i="1" s="1"/>
  <c r="M92" i="1" s="1"/>
  <c r="M93" i="1" s="1"/>
  <c r="M94" i="1" s="1"/>
  <c r="M95" i="1" s="1"/>
  <c r="M96" i="1" s="1"/>
  <c r="M97" i="1" s="1"/>
  <c r="M98" i="1" s="1"/>
  <c r="M99" i="1" s="1"/>
  <c r="M100" i="1" s="1"/>
  <c r="M101" i="1" s="1"/>
  <c r="M102" i="1" s="1"/>
  <c r="M103" i="1" s="1"/>
  <c r="M104" i="1" s="1"/>
  <c r="M105" i="1" s="1"/>
  <c r="M106" i="1" s="1"/>
  <c r="M107" i="1" s="1"/>
  <c r="M108" i="1" s="1"/>
  <c r="M109" i="1" s="1"/>
  <c r="M110" i="1" s="1"/>
  <c r="M111" i="1" s="1"/>
  <c r="M112" i="1" s="1"/>
  <c r="M113" i="1" s="1"/>
  <c r="M114" i="1" s="1"/>
  <c r="M115" i="1" s="1"/>
  <c r="M116" i="1" s="1"/>
  <c r="M117" i="1" s="1"/>
  <c r="F125" i="1" s="1"/>
  <c r="AK99" i="1"/>
  <c r="AK74" i="1"/>
  <c r="Z65" i="1"/>
  <c r="S65" i="1"/>
  <c r="AJ84" i="1"/>
  <c r="AK90" i="1"/>
  <c r="N68" i="1"/>
  <c r="N69" i="1" s="1"/>
  <c r="N70" i="1" s="1"/>
  <c r="N71" i="1" s="1"/>
  <c r="N72" i="1" s="1"/>
  <c r="N73" i="1" s="1"/>
  <c r="N74" i="1" s="1"/>
  <c r="N75" i="1" s="1"/>
  <c r="N76" i="1" s="1"/>
  <c r="N77" i="1" s="1"/>
  <c r="N78" i="1" s="1"/>
  <c r="N79" i="1" s="1"/>
  <c r="N80" i="1" s="1"/>
  <c r="N81" i="1" s="1"/>
  <c r="N82" i="1" s="1"/>
  <c r="N83" i="1" s="1"/>
  <c r="N84" i="1" s="1"/>
  <c r="N85" i="1" s="1"/>
  <c r="N86" i="1" s="1"/>
  <c r="N87" i="1" s="1"/>
  <c r="N88" i="1" s="1"/>
  <c r="N89" i="1" s="1"/>
  <c r="N90" i="1" s="1"/>
  <c r="N91" i="1" s="1"/>
  <c r="N92" i="1" s="1"/>
  <c r="N93" i="1" s="1"/>
  <c r="N94" i="1" s="1"/>
  <c r="N95" i="1" s="1"/>
  <c r="N96" i="1" s="1"/>
  <c r="N97" i="1" s="1"/>
  <c r="N98" i="1" s="1"/>
  <c r="N99" i="1" s="1"/>
  <c r="N100" i="1" s="1"/>
  <c r="N101" i="1" s="1"/>
  <c r="N102" i="1" s="1"/>
  <c r="N103" i="1" s="1"/>
  <c r="N104" i="1" s="1"/>
  <c r="N105" i="1" s="1"/>
  <c r="N106" i="1" s="1"/>
  <c r="N107" i="1" s="1"/>
  <c r="N108" i="1" s="1"/>
  <c r="N109" i="1" s="1"/>
  <c r="N110" i="1" s="1"/>
  <c r="N111" i="1" s="1"/>
  <c r="N112" i="1" s="1"/>
  <c r="N113" i="1" s="1"/>
  <c r="N114" i="1" s="1"/>
  <c r="N115" i="1" s="1"/>
  <c r="N116" i="1" s="1"/>
  <c r="N117" i="1" s="1"/>
  <c r="AJ22" i="1"/>
  <c r="AK106" i="1"/>
  <c r="AK86" i="1"/>
  <c r="AJ56" i="1"/>
  <c r="AG23" i="1"/>
  <c r="AG24" i="1" s="1"/>
  <c r="AG25" i="1" s="1"/>
  <c r="AG26" i="1" s="1"/>
  <c r="AG27" i="1" s="1"/>
  <c r="AG28" i="1" s="1"/>
  <c r="Z72" i="1"/>
  <c r="S72" i="1"/>
  <c r="R121" i="1"/>
  <c r="S59" i="1"/>
  <c r="AK92" i="1"/>
  <c r="AK105" i="1"/>
  <c r="S26" i="1"/>
  <c r="Z115" i="1"/>
  <c r="S115" i="1"/>
  <c r="T53" i="1"/>
  <c r="S107" i="1"/>
  <c r="Z107" i="1"/>
  <c r="Z29" i="1"/>
  <c r="S29" i="1"/>
  <c r="E14" i="1"/>
  <c r="Z34" i="1"/>
  <c r="S34" i="1"/>
  <c r="Z41" i="1"/>
  <c r="Z67" i="1"/>
  <c r="AK97" i="1"/>
  <c r="AJ97" i="1"/>
  <c r="X121" i="1"/>
  <c r="S117" i="1"/>
  <c r="Z117" i="1"/>
  <c r="AK67" i="1"/>
  <c r="AJ67" i="1"/>
  <c r="AJ48" i="1"/>
  <c r="AK48" i="1"/>
  <c r="Z79" i="1"/>
  <c r="Z121" i="1" s="1"/>
  <c r="S79" i="1"/>
  <c r="AJ32" i="1"/>
  <c r="AK32" i="1"/>
  <c r="AK65" i="1"/>
  <c r="AJ65" i="1"/>
  <c r="AJ93" i="1"/>
  <c r="AK61" i="1"/>
  <c r="AJ61" i="1"/>
  <c r="AC22" i="1"/>
  <c r="AC23" i="1" s="1"/>
  <c r="AC24" i="1" s="1"/>
  <c r="AC25" i="1" s="1"/>
  <c r="AC26" i="1" s="1"/>
  <c r="AC27" i="1" s="1"/>
  <c r="AC28" i="1" s="1"/>
  <c r="AC29" i="1" s="1"/>
  <c r="AC30" i="1" s="1"/>
  <c r="AC31" i="1" s="1"/>
  <c r="AC32" i="1" s="1"/>
  <c r="AC33" i="1" s="1"/>
  <c r="AC34" i="1" s="1"/>
  <c r="AC35" i="1" s="1"/>
  <c r="AC36" i="1" s="1"/>
  <c r="AC37" i="1" s="1"/>
  <c r="AC38" i="1" s="1"/>
  <c r="AC39" i="1" s="1"/>
  <c r="AC40" i="1" s="1"/>
  <c r="AC41" i="1" s="1"/>
  <c r="AC42" i="1" s="1"/>
  <c r="AC43" i="1" s="1"/>
  <c r="AC44" i="1" s="1"/>
  <c r="AC45" i="1" s="1"/>
  <c r="AC46" i="1" s="1"/>
  <c r="AC47" i="1" s="1"/>
  <c r="AC48" i="1" s="1"/>
  <c r="AC49" i="1" s="1"/>
  <c r="AC50" i="1" s="1"/>
  <c r="AC51" i="1" s="1"/>
  <c r="AC52" i="1" s="1"/>
  <c r="AC53" i="1" s="1"/>
  <c r="AC54" i="1" s="1"/>
  <c r="AC55" i="1" s="1"/>
  <c r="AC56" i="1" s="1"/>
  <c r="AC57" i="1" s="1"/>
  <c r="AC58" i="1" s="1"/>
  <c r="AC59" i="1" s="1"/>
  <c r="AC60" i="1" s="1"/>
  <c r="AC61" i="1" s="1"/>
  <c r="AC62" i="1" s="1"/>
  <c r="AC63" i="1" s="1"/>
  <c r="AC64" i="1" s="1"/>
  <c r="AC65" i="1" s="1"/>
  <c r="AC66" i="1" s="1"/>
  <c r="AC67" i="1" s="1"/>
  <c r="AC68" i="1" s="1"/>
  <c r="AC69" i="1" s="1"/>
  <c r="AC70" i="1" s="1"/>
  <c r="AC71" i="1" s="1"/>
  <c r="AC72" i="1" s="1"/>
  <c r="AC73" i="1" s="1"/>
  <c r="AC74" i="1" s="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C102" i="1" s="1"/>
  <c r="AC103" i="1" s="1"/>
  <c r="AC104" i="1" s="1"/>
  <c r="AC105" i="1" s="1"/>
  <c r="AC106" i="1" s="1"/>
  <c r="AC107" i="1" s="1"/>
  <c r="AC108" i="1" s="1"/>
  <c r="AC109" i="1" s="1"/>
  <c r="AC110" i="1" s="1"/>
  <c r="AC111" i="1" s="1"/>
  <c r="AC112" i="1" s="1"/>
  <c r="AC113" i="1" s="1"/>
  <c r="AC114" i="1" s="1"/>
  <c r="AC115" i="1" s="1"/>
  <c r="AC116" i="1" s="1"/>
  <c r="AC117" i="1" s="1"/>
  <c r="D100" i="16"/>
  <c r="B112" i="16" s="1"/>
  <c r="AJ106" i="1"/>
  <c r="AJ109" i="1"/>
  <c r="AK44" i="1"/>
  <c r="AJ44" i="1"/>
  <c r="N122" i="1"/>
  <c r="AK98" i="1"/>
  <c r="AB121" i="1"/>
  <c r="AB122" i="1"/>
  <c r="AA123" i="1"/>
  <c r="W123" i="1"/>
  <c r="D101" i="16"/>
  <c r="O121" i="1"/>
  <c r="Q123" i="1"/>
  <c r="R122" i="1"/>
  <c r="N121" i="1"/>
  <c r="X122" i="1"/>
  <c r="AA121" i="1"/>
  <c r="L122" i="1"/>
  <c r="H108" i="16"/>
  <c r="I108" i="16"/>
  <c r="AJ45" i="1"/>
  <c r="AK45" i="1"/>
  <c r="AJ38" i="1"/>
  <c r="AK38" i="1"/>
  <c r="AK21" i="1"/>
  <c r="AF21" i="1"/>
  <c r="AF22" i="1" s="1"/>
  <c r="AF23" i="1" s="1"/>
  <c r="AF24" i="1" s="1"/>
  <c r="AF25" i="1" s="1"/>
  <c r="AF26" i="1" s="1"/>
  <c r="AF27" i="1" s="1"/>
  <c r="AF28" i="1" s="1"/>
  <c r="AF29" i="1" s="1"/>
  <c r="AF30" i="1" s="1"/>
  <c r="AF31" i="1" s="1"/>
  <c r="AF32" i="1" s="1"/>
  <c r="AF33" i="1" s="1"/>
  <c r="AF34" i="1" s="1"/>
  <c r="AF35" i="1" s="1"/>
  <c r="AF36" i="1" s="1"/>
  <c r="AF37" i="1" s="1"/>
  <c r="AF38" i="1" s="1"/>
  <c r="AF39" i="1" s="1"/>
  <c r="AF40" i="1" s="1"/>
  <c r="AF41" i="1" s="1"/>
  <c r="AF42" i="1" s="1"/>
  <c r="AF43" i="1" s="1"/>
  <c r="AF44" i="1" s="1"/>
  <c r="AF45" i="1" s="1"/>
  <c r="AF46" i="1" s="1"/>
  <c r="AF47" i="1" s="1"/>
  <c r="AF48" i="1" s="1"/>
  <c r="AF49" i="1" s="1"/>
  <c r="AF50" i="1" s="1"/>
  <c r="AF51" i="1" s="1"/>
  <c r="AF52" i="1" s="1"/>
  <c r="AF53" i="1" s="1"/>
  <c r="AF54" i="1" s="1"/>
  <c r="AF55" i="1" s="1"/>
  <c r="AF56" i="1" s="1"/>
  <c r="AF57" i="1" s="1"/>
  <c r="AF58" i="1" s="1"/>
  <c r="AF59" i="1" s="1"/>
  <c r="AF60" i="1" s="1"/>
  <c r="AF61" i="1" s="1"/>
  <c r="AF62" i="1" s="1"/>
  <c r="AF63" i="1" s="1"/>
  <c r="AF64" i="1" s="1"/>
  <c r="AF65" i="1" s="1"/>
  <c r="AF66" i="1" s="1"/>
  <c r="AF67" i="1" s="1"/>
  <c r="AF68" i="1" s="1"/>
  <c r="AF69" i="1" s="1"/>
  <c r="AF70" i="1" s="1"/>
  <c r="AF71" i="1" s="1"/>
  <c r="AF72" i="1" s="1"/>
  <c r="AF73" i="1" s="1"/>
  <c r="AF74" i="1" s="1"/>
  <c r="AF75" i="1" s="1"/>
  <c r="AF76" i="1" s="1"/>
  <c r="AF77" i="1" s="1"/>
  <c r="AF78" i="1" s="1"/>
  <c r="AF79" i="1" s="1"/>
  <c r="AF80" i="1" s="1"/>
  <c r="AF81" i="1" s="1"/>
  <c r="AF82" i="1" s="1"/>
  <c r="AF83" i="1" s="1"/>
  <c r="AF84" i="1" s="1"/>
  <c r="AF85" i="1" s="1"/>
  <c r="AF86" i="1" s="1"/>
  <c r="AF87" i="1" s="1"/>
  <c r="AF88" i="1" s="1"/>
  <c r="AF89" i="1" s="1"/>
  <c r="AF90" i="1" s="1"/>
  <c r="AF91" i="1" s="1"/>
  <c r="AF92" i="1" s="1"/>
  <c r="AF93" i="1" s="1"/>
  <c r="AF94" i="1" s="1"/>
  <c r="AF95" i="1" s="1"/>
  <c r="AF96" i="1" s="1"/>
  <c r="AF97" i="1" s="1"/>
  <c r="AF98" i="1" s="1"/>
  <c r="AF99" i="1" s="1"/>
  <c r="AF100" i="1" s="1"/>
  <c r="AF101" i="1" s="1"/>
  <c r="AF102" i="1" s="1"/>
  <c r="AF103" i="1" s="1"/>
  <c r="AF104" i="1" s="1"/>
  <c r="AF105" i="1" s="1"/>
  <c r="AF106" i="1" s="1"/>
  <c r="AF107" i="1" s="1"/>
  <c r="AF108" i="1" s="1"/>
  <c r="AF109" i="1" s="1"/>
  <c r="AF110" i="1" s="1"/>
  <c r="AF111" i="1" s="1"/>
  <c r="AF112" i="1" s="1"/>
  <c r="AF113" i="1" s="1"/>
  <c r="AF114" i="1" s="1"/>
  <c r="AF115" i="1" s="1"/>
  <c r="AF116" i="1" s="1"/>
  <c r="AF117" i="1" s="1"/>
  <c r="AK24" i="1"/>
  <c r="O122" i="1"/>
  <c r="Y121" i="1"/>
  <c r="X123" i="1"/>
  <c r="AJ34" i="1"/>
  <c r="AJ86" i="1"/>
  <c r="AK66" i="1"/>
  <c r="AJ66" i="1"/>
  <c r="AK40" i="1"/>
  <c r="AJ40" i="1"/>
  <c r="AK82" i="1"/>
  <c r="AJ82" i="1"/>
  <c r="S113" i="1"/>
  <c r="Z113" i="1"/>
  <c r="AJ27" i="1"/>
  <c r="AK27" i="1"/>
  <c r="AK31" i="1"/>
  <c r="AJ31" i="1"/>
  <c r="S112" i="1"/>
  <c r="Z112" i="1"/>
  <c r="AK46" i="1"/>
  <c r="T54" i="1"/>
  <c r="I55" i="1"/>
  <c r="W121" i="1"/>
  <c r="D125" i="1"/>
  <c r="D126" i="1"/>
  <c r="D127" i="1"/>
  <c r="AK57" i="1"/>
  <c r="AJ57" i="1"/>
  <c r="E125" i="1"/>
  <c r="E126" i="1"/>
  <c r="E127" i="1"/>
  <c r="C126" i="1"/>
  <c r="C125" i="1"/>
  <c r="C127" i="1"/>
  <c r="AJ117" i="1"/>
  <c r="AK117" i="1"/>
  <c r="Y122" i="1"/>
  <c r="AK68" i="1"/>
  <c r="AK25" i="1"/>
  <c r="AJ25" i="1"/>
  <c r="V121" i="1"/>
  <c r="AJ50" i="1"/>
  <c r="AK50" i="1"/>
  <c r="AK39" i="1"/>
  <c r="AJ39" i="1"/>
  <c r="V123" i="1"/>
  <c r="AK116" i="1"/>
  <c r="AJ116" i="1"/>
  <c r="M121" i="1"/>
  <c r="L121" i="1"/>
  <c r="AJ47" i="1"/>
  <c r="AK47" i="1"/>
  <c r="Q121" i="1"/>
  <c r="O123" i="1"/>
  <c r="Z123" i="1"/>
  <c r="V122" i="1"/>
  <c r="W122" i="1"/>
  <c r="AJ42" i="1"/>
  <c r="AK42" i="1"/>
  <c r="L123" i="1"/>
  <c r="M123" i="1"/>
  <c r="CY6" i="25" l="1"/>
  <c r="AH124" i="1"/>
  <c r="D102" i="16"/>
  <c r="B113" i="16"/>
  <c r="CT21" i="16" s="1"/>
  <c r="X126" i="1"/>
  <c r="X127" i="1"/>
  <c r="H127" i="1"/>
  <c r="H125" i="1"/>
  <c r="G125" i="1"/>
  <c r="G127" i="1"/>
  <c r="G126" i="1"/>
  <c r="F127" i="1"/>
  <c r="AG29" i="1"/>
  <c r="AG30" i="1" s="1"/>
  <c r="AG31" i="1" s="1"/>
  <c r="AG32" i="1" s="1"/>
  <c r="AG33" i="1" s="1"/>
  <c r="AG34" i="1" s="1"/>
  <c r="AG35" i="1" s="1"/>
  <c r="AG36" i="1" s="1"/>
  <c r="AG37" i="1" s="1"/>
  <c r="AG38" i="1" s="1"/>
  <c r="AG39" i="1" s="1"/>
  <c r="AG40" i="1" s="1"/>
  <c r="AG41" i="1" s="1"/>
  <c r="AG42" i="1" s="1"/>
  <c r="AG43" i="1" s="1"/>
  <c r="AG44" i="1" s="1"/>
  <c r="AG45" i="1" s="1"/>
  <c r="AG46" i="1" s="1"/>
  <c r="AG47" i="1" s="1"/>
  <c r="AG48" i="1" s="1"/>
  <c r="AG49" i="1" s="1"/>
  <c r="AG50" i="1" s="1"/>
  <c r="AG51" i="1" s="1"/>
  <c r="AG52" i="1" s="1"/>
  <c r="AG53" i="1" s="1"/>
  <c r="AG54" i="1" s="1"/>
  <c r="AG55" i="1" s="1"/>
  <c r="AG56" i="1" s="1"/>
  <c r="AG57" i="1" s="1"/>
  <c r="AG58" i="1" s="1"/>
  <c r="AG59" i="1" s="1"/>
  <c r="AG60" i="1" s="1"/>
  <c r="AG61" i="1" s="1"/>
  <c r="AG62" i="1" s="1"/>
  <c r="AG63" i="1" s="1"/>
  <c r="AG64" i="1" s="1"/>
  <c r="AG65" i="1" s="1"/>
  <c r="AG66" i="1" s="1"/>
  <c r="AG67" i="1" s="1"/>
  <c r="AG68" i="1" s="1"/>
  <c r="AG69" i="1" s="1"/>
  <c r="AG70" i="1" s="1"/>
  <c r="AG71" i="1" s="1"/>
  <c r="AG72" i="1" s="1"/>
  <c r="AG73" i="1" s="1"/>
  <c r="AG74" i="1" s="1"/>
  <c r="AG75" i="1" s="1"/>
  <c r="AG76" i="1" s="1"/>
  <c r="AG77" i="1" s="1"/>
  <c r="AG78" i="1" s="1"/>
  <c r="AG79" i="1" s="1"/>
  <c r="AG80" i="1" s="1"/>
  <c r="AG81" i="1" s="1"/>
  <c r="AG82" i="1" s="1"/>
  <c r="AG83" i="1" s="1"/>
  <c r="AG84" i="1" s="1"/>
  <c r="AG85" i="1" s="1"/>
  <c r="AG86" i="1" s="1"/>
  <c r="AG87" i="1" s="1"/>
  <c r="AG88" i="1" s="1"/>
  <c r="AG89" i="1" s="1"/>
  <c r="AG90" i="1" s="1"/>
  <c r="AG91" i="1" s="1"/>
  <c r="AG92" i="1" s="1"/>
  <c r="AG93" i="1" s="1"/>
  <c r="AG94" i="1" s="1"/>
  <c r="AG95" i="1" s="1"/>
  <c r="AG96" i="1" s="1"/>
  <c r="AG97" i="1" s="1"/>
  <c r="AG98" i="1" s="1"/>
  <c r="AG99" i="1" s="1"/>
  <c r="AG100" i="1" s="1"/>
  <c r="AG101" i="1" s="1"/>
  <c r="AG102" i="1" s="1"/>
  <c r="AG103" i="1" s="1"/>
  <c r="AG104" i="1" s="1"/>
  <c r="AG105" i="1" s="1"/>
  <c r="AG106" i="1" s="1"/>
  <c r="AG107" i="1" s="1"/>
  <c r="AG108" i="1" s="1"/>
  <c r="AG109" i="1" s="1"/>
  <c r="AG110" i="1" s="1"/>
  <c r="AG111" i="1" s="1"/>
  <c r="AG112" i="1" s="1"/>
  <c r="AG113" i="1" s="1"/>
  <c r="AG114" i="1" s="1"/>
  <c r="AG115" i="1" s="1"/>
  <c r="AG116" i="1" s="1"/>
  <c r="AG117" i="1" s="1"/>
  <c r="Z127" i="1" s="1"/>
  <c r="F126" i="1"/>
  <c r="W125" i="1"/>
  <c r="W126" i="1"/>
  <c r="Z122" i="1"/>
  <c r="AA125" i="1"/>
  <c r="AA127" i="1"/>
  <c r="AA126" i="1"/>
  <c r="AI124" i="1"/>
  <c r="W127" i="1"/>
  <c r="Y125" i="1"/>
  <c r="Y127" i="1"/>
  <c r="Y126" i="1"/>
  <c r="AB125" i="1"/>
  <c r="AB126" i="1"/>
  <c r="AB127" i="1"/>
  <c r="AH123" i="1"/>
  <c r="I56" i="1"/>
  <c r="T55" i="1"/>
  <c r="V126" i="1"/>
  <c r="V125" i="1"/>
  <c r="V127" i="1"/>
  <c r="AH122" i="1"/>
  <c r="AI122" i="1"/>
  <c r="AI123" i="1"/>
  <c r="BH51" i="16" l="1"/>
  <c r="AG40" i="16"/>
  <c r="BU41" i="16"/>
  <c r="BI41" i="24" s="1"/>
  <c r="BL38" i="16"/>
  <c r="AZ38" i="25" s="1"/>
  <c r="AE42" i="16"/>
  <c r="AX49" i="16"/>
  <c r="AL49" i="24" s="1"/>
  <c r="CL46" i="16"/>
  <c r="BZ46" i="25" s="1"/>
  <c r="DH39" i="16"/>
  <c r="CV39" i="24" s="1"/>
  <c r="DE15" i="16"/>
  <c r="DB32" i="16"/>
  <c r="CB28" i="16"/>
  <c r="CC45" i="16"/>
  <c r="AZ46" i="16"/>
  <c r="AN46" i="25" s="1"/>
  <c r="BY47" i="16"/>
  <c r="BM47" i="24" s="1"/>
  <c r="BQ51" i="16"/>
  <c r="BE51" i="25" s="1"/>
  <c r="AZ44" i="16"/>
  <c r="AN44" i="24" s="1"/>
  <c r="CW45" i="16"/>
  <c r="AR49" i="16"/>
  <c r="Y25" i="16"/>
  <c r="M25" i="24" s="1"/>
  <c r="CU33" i="16"/>
  <c r="CI33" i="24" s="1"/>
  <c r="DD46" i="16"/>
  <c r="CR46" i="25" s="1"/>
  <c r="BP49" i="16"/>
  <c r="BD49" i="24" s="1"/>
  <c r="AV31" i="16"/>
  <c r="AJ31" i="24" s="1"/>
  <c r="AV46" i="16"/>
  <c r="AJ46" i="25" s="1"/>
  <c r="AV25" i="16"/>
  <c r="BS42" i="16"/>
  <c r="AP49" i="16"/>
  <c r="AD49" i="25" s="1"/>
  <c r="BA50" i="16"/>
  <c r="AO50" i="25" s="1"/>
  <c r="CS36" i="16"/>
  <c r="CG36" i="25" s="1"/>
  <c r="V48" i="16"/>
  <c r="J48" i="24" s="1"/>
  <c r="BY31" i="16"/>
  <c r="BM31" i="24" s="1"/>
  <c r="CW46" i="16"/>
  <c r="CK46" i="24" s="1"/>
  <c r="X49" i="16"/>
  <c r="T35" i="16"/>
  <c r="H35" i="24" s="1"/>
  <c r="DG37" i="16"/>
  <c r="CU37" i="24" s="1"/>
  <c r="AT43" i="16"/>
  <c r="AO44" i="16"/>
  <c r="AC44" i="24" s="1"/>
  <c r="AP44" i="16"/>
  <c r="AD44" i="25" s="1"/>
  <c r="AQ44" i="16"/>
  <c r="AE44" i="24" s="1"/>
  <c r="AV42" i="16"/>
  <c r="AJ42" i="24" s="1"/>
  <c r="BY51" i="16"/>
  <c r="AM17" i="16"/>
  <c r="BR36" i="16"/>
  <c r="BF36" i="25" s="1"/>
  <c r="CS33" i="16"/>
  <c r="BX38" i="16"/>
  <c r="BL38" i="24" s="1"/>
  <c r="BW51" i="16"/>
  <c r="BK51" i="25" s="1"/>
  <c r="CE24" i="16"/>
  <c r="BS24" i="25" s="1"/>
  <c r="DF46" i="16"/>
  <c r="CT46" i="24" s="1"/>
  <c r="DD35" i="16"/>
  <c r="BV51" i="16"/>
  <c r="BJ51" i="24" s="1"/>
  <c r="AV41" i="16"/>
  <c r="AJ41" i="24" s="1"/>
  <c r="BA21" i="16"/>
  <c r="DB48" i="16"/>
  <c r="CP48" i="24" s="1"/>
  <c r="AS38" i="16"/>
  <c r="AG38" i="24" s="1"/>
  <c r="CC50" i="16"/>
  <c r="BQ50" i="25" s="1"/>
  <c r="CI50" i="16"/>
  <c r="BW50" i="25" s="1"/>
  <c r="BT45" i="16"/>
  <c r="Y28" i="16"/>
  <c r="M28" i="24" s="1"/>
  <c r="Q37" i="16"/>
  <c r="E37" i="24" s="1"/>
  <c r="S45" i="16"/>
  <c r="G45" i="25" s="1"/>
  <c r="BS35" i="16"/>
  <c r="BG35" i="24" s="1"/>
  <c r="CF46" i="16"/>
  <c r="BT46" i="24" s="1"/>
  <c r="CX43" i="16"/>
  <c r="CL43" i="24" s="1"/>
  <c r="AF23" i="16"/>
  <c r="T23" i="25" s="1"/>
  <c r="CK43" i="16"/>
  <c r="AG32" i="16"/>
  <c r="AP38" i="16"/>
  <c r="AD38" i="25" s="1"/>
  <c r="CB33" i="16"/>
  <c r="CG43" i="16"/>
  <c r="BU43" i="24" s="1"/>
  <c r="CP43" i="16"/>
  <c r="CD43" i="24" s="1"/>
  <c r="V37" i="16"/>
  <c r="J37" i="24" s="1"/>
  <c r="CX40" i="16"/>
  <c r="CL40" i="24" s="1"/>
  <c r="CT50" i="16"/>
  <c r="BL40" i="16"/>
  <c r="O18" i="16"/>
  <c r="C18" i="25" s="1"/>
  <c r="AJ45" i="16"/>
  <c r="X45" i="25" s="1"/>
  <c r="Q33" i="16"/>
  <c r="E33" i="24" s="1"/>
  <c r="BK33" i="16"/>
  <c r="AY33" i="24" s="1"/>
  <c r="BH42" i="16"/>
  <c r="AV42" i="24" s="1"/>
  <c r="CR25" i="16"/>
  <c r="CF25" i="25" s="1"/>
  <c r="DE43" i="16"/>
  <c r="CS43" i="24" s="1"/>
  <c r="Y42" i="16"/>
  <c r="M42" i="25" s="1"/>
  <c r="W43" i="16"/>
  <c r="K43" i="24" s="1"/>
  <c r="BZ42" i="16"/>
  <c r="BN42" i="25" s="1"/>
  <c r="BB51" i="16"/>
  <c r="AP51" i="24" s="1"/>
  <c r="DE40" i="16"/>
  <c r="CS40" i="25" s="1"/>
  <c r="CR39" i="16"/>
  <c r="CF39" i="25" s="1"/>
  <c r="CO41" i="16"/>
  <c r="CC41" i="24" s="1"/>
  <c r="BM46" i="16"/>
  <c r="AT35" i="16"/>
  <c r="AH35" i="24" s="1"/>
  <c r="CV29" i="16"/>
  <c r="CJ29" i="24" s="1"/>
  <c r="DD49" i="16"/>
  <c r="CR49" i="24" s="1"/>
  <c r="DG40" i="16"/>
  <c r="CU40" i="24" s="1"/>
  <c r="AD48" i="16"/>
  <c r="R48" i="25" s="1"/>
  <c r="AK27" i="16"/>
  <c r="Y27" i="24" s="1"/>
  <c r="BH31" i="16"/>
  <c r="AV31" i="25" s="1"/>
  <c r="AQ34" i="16"/>
  <c r="Z20" i="16"/>
  <c r="N20" i="24" s="1"/>
  <c r="AX41" i="16"/>
  <c r="AL41" i="24" s="1"/>
  <c r="AW36" i="16"/>
  <c r="AK36" i="25" s="1"/>
  <c r="AX32" i="16"/>
  <c r="AL32" i="25" s="1"/>
  <c r="AM38" i="16"/>
  <c r="AA38" i="25" s="1"/>
  <c r="BQ49" i="16"/>
  <c r="BE49" i="24" s="1"/>
  <c r="Q39" i="16"/>
  <c r="E39" i="25" s="1"/>
  <c r="AF18" i="16"/>
  <c r="DB43" i="16"/>
  <c r="CP43" i="25" s="1"/>
  <c r="AS30" i="16"/>
  <c r="AG30" i="24" s="1"/>
  <c r="BM51" i="16"/>
  <c r="BA51" i="25" s="1"/>
  <c r="AE41" i="16"/>
  <c r="S41" i="25" s="1"/>
  <c r="CA20" i="16"/>
  <c r="BO20" i="24" s="1"/>
  <c r="AY39" i="16"/>
  <c r="AM39" i="25" s="1"/>
  <c r="T49" i="16"/>
  <c r="H49" i="24" s="1"/>
  <c r="CN35" i="16"/>
  <c r="CB35" i="24" s="1"/>
  <c r="CP47" i="16"/>
  <c r="CD47" i="25" s="1"/>
  <c r="CH32" i="16"/>
  <c r="BV32" i="25" s="1"/>
  <c r="AI51" i="16"/>
  <c r="W51" i="25" s="1"/>
  <c r="N15" i="16"/>
  <c r="B15" i="24" s="1"/>
  <c r="N11" i="16"/>
  <c r="B11" i="24" s="1"/>
  <c r="AE39" i="16"/>
  <c r="S39" i="25" s="1"/>
  <c r="BA51" i="16"/>
  <c r="AO51" i="25" s="1"/>
  <c r="AJ46" i="16"/>
  <c r="BD50" i="16"/>
  <c r="AR50" i="24" s="1"/>
  <c r="AA46" i="16"/>
  <c r="O46" i="25" s="1"/>
  <c r="AS29" i="16"/>
  <c r="AG29" i="24" s="1"/>
  <c r="BE47" i="16"/>
  <c r="AS47" i="24" s="1"/>
  <c r="DI37" i="16"/>
  <c r="CW37" i="25" s="1"/>
  <c r="P47" i="16"/>
  <c r="D47" i="24" s="1"/>
  <c r="AW23" i="16"/>
  <c r="AK23" i="25" s="1"/>
  <c r="CR33" i="16"/>
  <c r="CF33" i="24" s="1"/>
  <c r="AN48" i="16"/>
  <c r="AB48" i="25" s="1"/>
  <c r="BQ37" i="16"/>
  <c r="BE37" i="25" s="1"/>
  <c r="CD51" i="16"/>
  <c r="BR51" i="24" s="1"/>
  <c r="BY42" i="16"/>
  <c r="BM42" i="25" s="1"/>
  <c r="BR26" i="16"/>
  <c r="BF26" i="25" s="1"/>
  <c r="AJ50" i="16"/>
  <c r="X50" i="24" s="1"/>
  <c r="CN39" i="16"/>
  <c r="CB39" i="25" s="1"/>
  <c r="DD48" i="16"/>
  <c r="CR48" i="25" s="1"/>
  <c r="CH21" i="25"/>
  <c r="CH21" i="24"/>
  <c r="U40" i="24"/>
  <c r="U40" i="25"/>
  <c r="CK45" i="24"/>
  <c r="CK45" i="25"/>
  <c r="BB43" i="16"/>
  <c r="AL51" i="16"/>
  <c r="CW43" i="16"/>
  <c r="BZ31" i="16"/>
  <c r="CK22" i="16"/>
  <c r="AS40" i="16"/>
  <c r="Z49" i="16"/>
  <c r="U38" i="16"/>
  <c r="CE41" i="16"/>
  <c r="CD41" i="16"/>
  <c r="CG35" i="16"/>
  <c r="CW48" i="16"/>
  <c r="BJ40" i="16"/>
  <c r="CJ50" i="16"/>
  <c r="BJ35" i="16"/>
  <c r="CY48" i="16"/>
  <c r="DI35" i="16"/>
  <c r="S49" i="16"/>
  <c r="DH37" i="16"/>
  <c r="AG41" i="16"/>
  <c r="CL50" i="16"/>
  <c r="CX46" i="16"/>
  <c r="CG41" i="16"/>
  <c r="CR35" i="16"/>
  <c r="CU22" i="16"/>
  <c r="P49" i="16"/>
  <c r="BQ42" i="16"/>
  <c r="CY39" i="16"/>
  <c r="CY32" i="16"/>
  <c r="BE49" i="16"/>
  <c r="CX38" i="16"/>
  <c r="BQ47" i="16"/>
  <c r="AZ42" i="16"/>
  <c r="CE39" i="16"/>
  <c r="CG36" i="16"/>
  <c r="BL25" i="16"/>
  <c r="DA41" i="16"/>
  <c r="DE24" i="16"/>
  <c r="BR49" i="16"/>
  <c r="X43" i="16"/>
  <c r="O31" i="16"/>
  <c r="BG44" i="16"/>
  <c r="DF18" i="16"/>
  <c r="CJ47" i="16"/>
  <c r="BZ43" i="16"/>
  <c r="BF37" i="16"/>
  <c r="AC31" i="16"/>
  <c r="CQ40" i="16"/>
  <c r="DA44" i="16"/>
  <c r="N25" i="16"/>
  <c r="BP43" i="16"/>
  <c r="CK25" i="16"/>
  <c r="BM31" i="16"/>
  <c r="AB51" i="16"/>
  <c r="BN37" i="16"/>
  <c r="CY50" i="16"/>
  <c r="BB23" i="16"/>
  <c r="CF35" i="16"/>
  <c r="CQ48" i="16"/>
  <c r="DH36" i="16"/>
  <c r="U39" i="16"/>
  <c r="U49" i="16"/>
  <c r="CY43" i="16"/>
  <c r="DD39" i="16"/>
  <c r="DI32" i="16"/>
  <c r="AL21" i="16"/>
  <c r="AH51" i="16"/>
  <c r="AT47" i="16"/>
  <c r="BF43" i="16"/>
  <c r="BE39" i="16"/>
  <c r="AD32" i="16"/>
  <c r="BT44" i="16"/>
  <c r="Q51" i="16"/>
  <c r="AC47" i="16"/>
  <c r="DG41" i="16"/>
  <c r="AG36" i="16"/>
  <c r="CG18" i="16"/>
  <c r="AV23" i="16"/>
  <c r="AD49" i="16"/>
  <c r="DH43" i="16"/>
  <c r="BS38" i="16"/>
  <c r="BE30" i="16"/>
  <c r="BL33" i="16"/>
  <c r="CZ28" i="16"/>
  <c r="AI19" i="16"/>
  <c r="BY3" i="16"/>
  <c r="BM3" i="24" s="1"/>
  <c r="AT14" i="16"/>
  <c r="DA10" i="16"/>
  <c r="BQ11" i="16"/>
  <c r="CS28" i="16"/>
  <c r="Z19" i="16"/>
  <c r="BD3" i="16"/>
  <c r="AR3" i="24" s="1"/>
  <c r="Y30" i="16"/>
  <c r="O21" i="16"/>
  <c r="AI7" i="16"/>
  <c r="CA36" i="16"/>
  <c r="AV29" i="16"/>
  <c r="BA23" i="16"/>
  <c r="N49" i="16"/>
  <c r="BB45" i="16"/>
  <c r="BR34" i="16"/>
  <c r="T51" i="16"/>
  <c r="CS50" i="16"/>
  <c r="AP40" i="16"/>
  <c r="BA40" i="16"/>
  <c r="N42" i="16"/>
  <c r="BC48" i="16"/>
  <c r="DI23" i="16"/>
  <c r="AI44" i="16"/>
  <c r="W39" i="16"/>
  <c r="BZ50" i="16"/>
  <c r="BZ18" i="16"/>
  <c r="AP50" i="16"/>
  <c r="CQ43" i="16"/>
  <c r="CZ36" i="16"/>
  <c r="DA20" i="16"/>
  <c r="AL47" i="16"/>
  <c r="CM40" i="16"/>
  <c r="AZ34" i="16"/>
  <c r="AB48" i="16"/>
  <c r="DD50" i="16"/>
  <c r="BJ44" i="16"/>
  <c r="CB37" i="16"/>
  <c r="BR23" i="16"/>
  <c r="CU36" i="16"/>
  <c r="CQ17" i="16"/>
  <c r="CN47" i="16"/>
  <c r="BW42" i="16"/>
  <c r="BJ38" i="16"/>
  <c r="BD26" i="16"/>
  <c r="DB31" i="16"/>
  <c r="AJ24" i="16"/>
  <c r="BJ8" i="16"/>
  <c r="AK4" i="16"/>
  <c r="BK14" i="16"/>
  <c r="AK11" i="16"/>
  <c r="CG26" i="16"/>
  <c r="AB16" i="16"/>
  <c r="CU35" i="16"/>
  <c r="BK31" i="16"/>
  <c r="CT20" i="16"/>
  <c r="CN33" i="16"/>
  <c r="AF27" i="16"/>
  <c r="CW51" i="16"/>
  <c r="AD45" i="16"/>
  <c r="BP29" i="16"/>
  <c r="CK49" i="16"/>
  <c r="AY32" i="16"/>
  <c r="BR51" i="16"/>
  <c r="Y50" i="16"/>
  <c r="BA48" i="16"/>
  <c r="BG46" i="16"/>
  <c r="BN44" i="16"/>
  <c r="BT42" i="16"/>
  <c r="BB40" i="16"/>
  <c r="AF38" i="16"/>
  <c r="CQ35" i="16"/>
  <c r="BO32" i="16"/>
  <c r="CW27" i="16"/>
  <c r="U51" i="16"/>
  <c r="CK42" i="16"/>
  <c r="BH34" i="16"/>
  <c r="AN47" i="16"/>
  <c r="Y40" i="16"/>
  <c r="DE26" i="16"/>
  <c r="CU41" i="16"/>
  <c r="AI33" i="16"/>
  <c r="BJ48" i="16"/>
  <c r="CO51" i="16"/>
  <c r="BO49" i="16"/>
  <c r="AF47" i="16"/>
  <c r="AG44" i="16"/>
  <c r="CN41" i="16"/>
  <c r="BP38" i="16"/>
  <c r="CE34" i="16"/>
  <c r="CQ29" i="16"/>
  <c r="CW18" i="16"/>
  <c r="AV45" i="16"/>
  <c r="AO33" i="16"/>
  <c r="AJ51" i="16"/>
  <c r="X45" i="16"/>
  <c r="CU34" i="16"/>
  <c r="BK23" i="16"/>
  <c r="AS48" i="16"/>
  <c r="AW37" i="16"/>
  <c r="CV49" i="16"/>
  <c r="BX51" i="16"/>
  <c r="CT49" i="16"/>
  <c r="DC46" i="16"/>
  <c r="DD43" i="16"/>
  <c r="BP41" i="16"/>
  <c r="AN38" i="16"/>
  <c r="AW35" i="16"/>
  <c r="AE29" i="16"/>
  <c r="N32" i="16"/>
  <c r="DH42" i="16"/>
  <c r="CC23" i="16"/>
  <c r="BW46" i="16"/>
  <c r="AD37" i="16"/>
  <c r="CT47" i="16"/>
  <c r="AX39" i="16"/>
  <c r="DH25" i="16"/>
  <c r="BZ51" i="16"/>
  <c r="CN43" i="16"/>
  <c r="Q40" i="16"/>
  <c r="AV37" i="16"/>
  <c r="CO32" i="16"/>
  <c r="CH26" i="16"/>
  <c r="CM51" i="16"/>
  <c r="BH49" i="16"/>
  <c r="Y47" i="16"/>
  <c r="Z44" i="16"/>
  <c r="CL41" i="16"/>
  <c r="BH38" i="16"/>
  <c r="AB34" i="16"/>
  <c r="BW25" i="16"/>
  <c r="AE47" i="16"/>
  <c r="CS41" i="16"/>
  <c r="Y36" i="16"/>
  <c r="N19" i="16"/>
  <c r="DB50" i="16"/>
  <c r="BY49" i="16"/>
  <c r="AV48" i="16"/>
  <c r="S47" i="16"/>
  <c r="CK45" i="16"/>
  <c r="BH44" i="16"/>
  <c r="AE43" i="16"/>
  <c r="CW41" i="16"/>
  <c r="BT40" i="16"/>
  <c r="Z39" i="16"/>
  <c r="BZ37" i="16"/>
  <c r="S36" i="16"/>
  <c r="P34" i="16"/>
  <c r="BN31" i="16"/>
  <c r="AU28" i="16"/>
  <c r="BL23" i="16"/>
  <c r="AU18" i="16"/>
  <c r="BL18" i="16"/>
  <c r="CL51" i="16"/>
  <c r="BI50" i="16"/>
  <c r="AF49" i="16"/>
  <c r="CX47" i="16"/>
  <c r="BU46" i="16"/>
  <c r="AR45" i="16"/>
  <c r="O44" i="16"/>
  <c r="CG42" i="16"/>
  <c r="BD41" i="16"/>
  <c r="V40" i="16"/>
  <c r="BV38" i="16"/>
  <c r="Z37" i="16"/>
  <c r="BE35" i="16"/>
  <c r="AG33" i="16"/>
  <c r="BL30" i="16"/>
  <c r="CX26" i="16"/>
  <c r="CG21" i="16"/>
  <c r="AU16" i="16"/>
  <c r="AH46" i="16"/>
  <c r="DF42" i="16"/>
  <c r="AN39" i="16"/>
  <c r="BA34" i="16"/>
  <c r="BU51" i="16"/>
  <c r="AR50" i="16"/>
  <c r="O49" i="16"/>
  <c r="CG47" i="16"/>
  <c r="BD46" i="16"/>
  <c r="AA45" i="16"/>
  <c r="CS43" i="16"/>
  <c r="BP42" i="16"/>
  <c r="AM41" i="16"/>
  <c r="CW39" i="16"/>
  <c r="BB38" i="16"/>
  <c r="DB36" i="16"/>
  <c r="AH35" i="16"/>
  <c r="CX32" i="16"/>
  <c r="U30" i="16"/>
  <c r="AC26" i="16"/>
  <c r="DG20" i="16"/>
  <c r="AG49" i="16"/>
  <c r="Z46" i="16"/>
  <c r="AL42" i="16"/>
  <c r="CO38" i="16"/>
  <c r="AK34" i="16"/>
  <c r="DD29" i="16"/>
  <c r="BV25" i="16"/>
  <c r="BE20" i="16"/>
  <c r="N28" i="16"/>
  <c r="P51" i="16"/>
  <c r="CH49" i="16"/>
  <c r="BE48" i="16"/>
  <c r="AB47" i="16"/>
  <c r="CT45" i="16"/>
  <c r="BQ44" i="16"/>
  <c r="AN43" i="16"/>
  <c r="DF41" i="16"/>
  <c r="CC40" i="16"/>
  <c r="AJ39" i="16"/>
  <c r="CJ37" i="16"/>
  <c r="AD36" i="16"/>
  <c r="AG34" i="16"/>
  <c r="CH31" i="16"/>
  <c r="BR28" i="16"/>
  <c r="CS23" i="16"/>
  <c r="CB18" i="16"/>
  <c r="AC34" i="16"/>
  <c r="CC32" i="16"/>
  <c r="AG31" i="16"/>
  <c r="CA29" i="16"/>
  <c r="DC27" i="16"/>
  <c r="BM25" i="16"/>
  <c r="DB22" i="16"/>
  <c r="AV20" i="16"/>
  <c r="CG17" i="16"/>
  <c r="CL14" i="16"/>
  <c r="U11" i="16"/>
  <c r="CY5" i="16"/>
  <c r="AR15" i="16"/>
  <c r="CZ11" i="16"/>
  <c r="CQ6" i="16"/>
  <c r="BW15" i="16"/>
  <c r="AX12" i="16"/>
  <c r="AY7" i="16"/>
  <c r="AH2" i="16"/>
  <c r="V2" i="24" s="1"/>
  <c r="DU2" i="24" s="1"/>
  <c r="CU12" i="16"/>
  <c r="O8" i="16"/>
  <c r="CS2" i="16"/>
  <c r="CG2" i="24" s="1"/>
  <c r="GF2" i="24" s="1"/>
  <c r="AU13" i="16"/>
  <c r="BZ8" i="16"/>
  <c r="BI3" i="16"/>
  <c r="AW3" i="24" s="1"/>
  <c r="AB31" i="16"/>
  <c r="BT29" i="16"/>
  <c r="CV27" i="16"/>
  <c r="BD25" i="16"/>
  <c r="CS22" i="16"/>
  <c r="AM20" i="16"/>
  <c r="BW17" i="16"/>
  <c r="CA14" i="16"/>
  <c r="CU10" i="16"/>
  <c r="CD5" i="16"/>
  <c r="BL36" i="16"/>
  <c r="AG35" i="16"/>
  <c r="CF33" i="16"/>
  <c r="AK32" i="16"/>
  <c r="CK30" i="16"/>
  <c r="AC29" i="16"/>
  <c r="AS27" i="16"/>
  <c r="CH24" i="16"/>
  <c r="AB22" i="16"/>
  <c r="BQ19" i="16"/>
  <c r="CQ16" i="16"/>
  <c r="CU13" i="16"/>
  <c r="BI9" i="16"/>
  <c r="AR4" i="16"/>
  <c r="CP39" i="16"/>
  <c r="BM38" i="16"/>
  <c r="AJ37" i="16"/>
  <c r="DB35" i="16"/>
  <c r="BO34" i="16"/>
  <c r="S33" i="16"/>
  <c r="BS31" i="16"/>
  <c r="X30" i="16"/>
  <c r="AY28" i="16"/>
  <c r="AE26" i="16"/>
  <c r="BT23" i="16"/>
  <c r="DI20" i="16"/>
  <c r="BC18" i="16"/>
  <c r="BM15" i="16"/>
  <c r="AI12" i="16"/>
  <c r="AH7" i="16"/>
  <c r="Q2" i="16"/>
  <c r="E2" i="24" s="1"/>
  <c r="DD2" i="24" s="1"/>
  <c r="BU26" i="16"/>
  <c r="AR25" i="16"/>
  <c r="O24" i="16"/>
  <c r="CG22" i="16"/>
  <c r="BD21" i="16"/>
  <c r="AA20" i="16"/>
  <c r="CS18" i="16"/>
  <c r="BI17" i="16"/>
  <c r="DI15" i="16"/>
  <c r="BN14" i="16"/>
  <c r="CW12" i="16"/>
  <c r="BW10" i="16"/>
  <c r="Q8" i="16"/>
  <c r="BF5" i="16"/>
  <c r="CU2" i="16"/>
  <c r="CI2" i="24" s="1"/>
  <c r="GH2" i="24" s="1"/>
  <c r="BP26" i="16"/>
  <c r="AM25" i="16"/>
  <c r="DE23" i="16"/>
  <c r="CB22" i="16"/>
  <c r="AY21" i="16"/>
  <c r="V20" i="16"/>
  <c r="CN18" i="16"/>
  <c r="BC17" i="16"/>
  <c r="DC15" i="16"/>
  <c r="BH14" i="16"/>
  <c r="CO12" i="16"/>
  <c r="BN10" i="16"/>
  <c r="DC7" i="16"/>
  <c r="AW5" i="16"/>
  <c r="CL2" i="16"/>
  <c r="BZ2" i="24" s="1"/>
  <c r="FY2" i="24" s="1"/>
  <c r="Z29" i="16"/>
  <c r="CR27" i="16"/>
  <c r="BO26" i="16"/>
  <c r="AD25" i="16"/>
  <c r="CI22" i="16"/>
  <c r="AO50" i="24"/>
  <c r="H35" i="25"/>
  <c r="DE45" i="16"/>
  <c r="V42" i="16"/>
  <c r="BW38" i="16"/>
  <c r="DC33" i="16"/>
  <c r="BL29" i="16"/>
  <c r="AP25" i="16"/>
  <c r="Y20" i="16"/>
  <c r="N20" i="16"/>
  <c r="DC50" i="16"/>
  <c r="BZ49" i="16"/>
  <c r="AW48" i="16"/>
  <c r="T47" i="16"/>
  <c r="CL45" i="16"/>
  <c r="BI44" i="16"/>
  <c r="AF43" i="16"/>
  <c r="CX41" i="16"/>
  <c r="BU40" i="16"/>
  <c r="AA39" i="16"/>
  <c r="CA37" i="16"/>
  <c r="T36" i="16"/>
  <c r="Q34" i="16"/>
  <c r="BP31" i="16"/>
  <c r="AV28" i="16"/>
  <c r="BM23" i="16"/>
  <c r="AV18" i="16"/>
  <c r="T34" i="16"/>
  <c r="BS32" i="16"/>
  <c r="X31" i="16"/>
  <c r="BQ29" i="16"/>
  <c r="CS27" i="16"/>
  <c r="AW25" i="16"/>
  <c r="CL22" i="16"/>
  <c r="AF20" i="16"/>
  <c r="BO17" i="16"/>
  <c r="BS14" i="16"/>
  <c r="CJ10" i="16"/>
  <c r="BS5" i="16"/>
  <c r="Z15" i="16"/>
  <c r="CA11" i="16"/>
  <c r="BK6" i="16"/>
  <c r="BE15" i="16"/>
  <c r="Y12" i="16"/>
  <c r="S7" i="16"/>
  <c r="CN15" i="16"/>
  <c r="BV12" i="16"/>
  <c r="CD7" i="16"/>
  <c r="BM2" i="16"/>
  <c r="BA2" i="24" s="1"/>
  <c r="EZ2" i="24" s="1"/>
  <c r="X13" i="16"/>
  <c r="AT8" i="16"/>
  <c r="AC3" i="16"/>
  <c r="Q3" i="24" s="1"/>
  <c r="R31" i="16"/>
  <c r="BJ29" i="16"/>
  <c r="CK27" i="16"/>
  <c r="AN25" i="16"/>
  <c r="CC22" i="16"/>
  <c r="W20" i="16"/>
  <c r="BE17" i="16"/>
  <c r="BI14" i="16"/>
  <c r="BO10" i="16"/>
  <c r="AX5" i="16"/>
  <c r="BD36" i="16"/>
  <c r="X35" i="16"/>
  <c r="BW33" i="16"/>
  <c r="AB32" i="16"/>
  <c r="CB30" i="16"/>
  <c r="S29" i="16"/>
  <c r="AC27" i="16"/>
  <c r="BR24" i="16"/>
  <c r="DG21" i="16"/>
  <c r="BA19" i="16"/>
  <c r="BY16" i="16"/>
  <c r="CC13" i="16"/>
  <c r="AC9" i="16"/>
  <c r="DG3" i="16"/>
  <c r="CU3" i="24" s="1"/>
  <c r="CH39" i="16"/>
  <c r="BE38" i="16"/>
  <c r="AB37" i="16"/>
  <c r="CT35" i="16"/>
  <c r="BE34" i="16"/>
  <c r="DE32" i="16"/>
  <c r="BJ31" i="16"/>
  <c r="DH29" i="16"/>
  <c r="AO28" i="16"/>
  <c r="O26" i="16"/>
  <c r="BD23" i="16"/>
  <c r="CS20" i="16"/>
  <c r="AM18" i="16"/>
  <c r="AU15" i="16"/>
  <c r="DE11" i="16"/>
  <c r="CW6" i="16"/>
  <c r="CP27" i="16"/>
  <c r="BM26" i="16"/>
  <c r="AJ25" i="16"/>
  <c r="DB23" i="16"/>
  <c r="BY22" i="16"/>
  <c r="AV21" i="16"/>
  <c r="S20" i="16"/>
  <c r="CK18" i="16"/>
  <c r="AZ17" i="16"/>
  <c r="CZ15" i="16"/>
  <c r="BD14" i="16"/>
  <c r="CL12" i="16"/>
  <c r="BG10" i="16"/>
  <c r="CV7" i="16"/>
  <c r="AP5" i="16"/>
  <c r="CE2" i="16"/>
  <c r="BS2" i="24" s="1"/>
  <c r="FR2" i="24" s="1"/>
  <c r="BH26" i="16"/>
  <c r="AE25" i="16"/>
  <c r="CW23" i="16"/>
  <c r="BT22" i="16"/>
  <c r="AQ21" i="16"/>
  <c r="DI19" i="16"/>
  <c r="CF18" i="16"/>
  <c r="AT17" i="16"/>
  <c r="CT15" i="16"/>
  <c r="AY14" i="16"/>
  <c r="CD12" i="16"/>
  <c r="AX10" i="16"/>
  <c r="CM7" i="16"/>
  <c r="AG5" i="16"/>
  <c r="BV2" i="16"/>
  <c r="BJ2" i="24" s="1"/>
  <c r="FI2" i="24" s="1"/>
  <c r="R29" i="16"/>
  <c r="CJ27" i="16"/>
  <c r="BG26" i="16"/>
  <c r="V25" i="16"/>
  <c r="BK22" i="16"/>
  <c r="BZ29" i="16"/>
  <c r="AO48" i="16"/>
  <c r="CP41" i="16"/>
  <c r="BM40" i="16"/>
  <c r="R39" i="16"/>
  <c r="BR37" i="16"/>
  <c r="DE35" i="16"/>
  <c r="CZ33" i="16"/>
  <c r="AW31" i="16"/>
  <c r="Z28" i="16"/>
  <c r="AG23" i="16"/>
  <c r="P18" i="16"/>
  <c r="DF33" i="16"/>
  <c r="BJ32" i="16"/>
  <c r="AG25" i="16"/>
  <c r="P20" i="16"/>
  <c r="AW17" i="16"/>
  <c r="BA14" i="16"/>
  <c r="BD10" i="16"/>
  <c r="AM5" i="16"/>
  <c r="DC14" i="16"/>
  <c r="AV11" i="16"/>
  <c r="AE6" i="16"/>
  <c r="AM15" i="16"/>
  <c r="CR11" i="16"/>
  <c r="CH6" i="16"/>
  <c r="BV15" i="16"/>
  <c r="AW12" i="16"/>
  <c r="AX7" i="16"/>
  <c r="AG2" i="16"/>
  <c r="U2" i="24" s="1"/>
  <c r="DT2" i="24" s="1"/>
  <c r="CT12" i="16"/>
  <c r="DI7" i="16"/>
  <c r="CR2" i="16"/>
  <c r="CF2" i="24" s="1"/>
  <c r="GE2" i="24" s="1"/>
  <c r="DD30" i="16"/>
  <c r="AZ29" i="16"/>
  <c r="BW27" i="16"/>
  <c r="X25" i="16"/>
  <c r="BM22" i="16"/>
  <c r="DB19" i="16"/>
  <c r="AL17" i="16"/>
  <c r="AQ14" i="16"/>
  <c r="AI10" i="16"/>
  <c r="R5" i="16"/>
  <c r="AV36" i="16"/>
  <c r="DI34" i="16"/>
  <c r="BN33" i="16"/>
  <c r="S32" i="16"/>
  <c r="BS30" i="16"/>
  <c r="DB28" i="16"/>
  <c r="DH26" i="16"/>
  <c r="BB24" i="16"/>
  <c r="CQ21" i="16"/>
  <c r="AK19" i="16"/>
  <c r="BF16" i="16"/>
  <c r="BI13" i="16"/>
  <c r="CR8" i="16"/>
  <c r="CA3" i="16"/>
  <c r="BO3" i="24" s="1"/>
  <c r="BZ39" i="16"/>
  <c r="AW38" i="16"/>
  <c r="T37" i="16"/>
  <c r="CL35" i="16"/>
  <c r="AV34" i="16"/>
  <c r="CV32" i="16"/>
  <c r="BA31" i="16"/>
  <c r="CX29" i="16"/>
  <c r="AE28" i="16"/>
  <c r="CT25" i="16"/>
  <c r="AN23" i="16"/>
  <c r="CC20" i="16"/>
  <c r="W18" i="16"/>
  <c r="AB15" i="16"/>
  <c r="CF11" i="16"/>
  <c r="BQ6" i="16"/>
  <c r="CH27" i="16"/>
  <c r="BE26" i="16"/>
  <c r="AB25" i="16"/>
  <c r="CT23" i="16"/>
  <c r="BQ22" i="16"/>
  <c r="AN21" i="16"/>
  <c r="DF19" i="16"/>
  <c r="CC18" i="16"/>
  <c r="AQ17" i="16"/>
  <c r="CQ15" i="16"/>
  <c r="AU14" i="16"/>
  <c r="BX12" i="16"/>
  <c r="AQ10" i="16"/>
  <c r="CF7" i="16"/>
  <c r="Z5" i="16"/>
  <c r="BO2" i="16"/>
  <c r="BC2" i="24" s="1"/>
  <c r="FB2" i="24" s="1"/>
  <c r="AZ26" i="16"/>
  <c r="W25" i="16"/>
  <c r="CO23" i="16"/>
  <c r="BL22" i="16"/>
  <c r="AI21" i="16"/>
  <c r="DA19" i="16"/>
  <c r="BX18" i="16"/>
  <c r="AK17" i="16"/>
  <c r="CK15" i="16"/>
  <c r="AP14" i="16"/>
  <c r="BP12" i="16"/>
  <c r="AH10" i="16"/>
  <c r="BW7" i="16"/>
  <c r="Q5" i="16"/>
  <c r="BF2" i="16"/>
  <c r="AT2" i="24" s="1"/>
  <c r="ES2" i="24" s="1"/>
  <c r="DE28" i="16"/>
  <c r="CB27" i="16"/>
  <c r="AY26" i="16"/>
  <c r="CC24" i="16"/>
  <c r="W22" i="16"/>
  <c r="AP45" i="16"/>
  <c r="BT31" i="16"/>
  <c r="AX35" i="16"/>
  <c r="BU27" i="16"/>
  <c r="R25" i="16"/>
  <c r="BG22" i="16"/>
  <c r="CV19" i="16"/>
  <c r="AE17" i="16"/>
  <c r="AJ14" i="16"/>
  <c r="Y10" i="16"/>
  <c r="DC4" i="16"/>
  <c r="AT27" i="16"/>
  <c r="Q26" i="16"/>
  <c r="CI24" i="16"/>
  <c r="BF23" i="16"/>
  <c r="AC22" i="16"/>
  <c r="CU20" i="16"/>
  <c r="BR19" i="16"/>
  <c r="AO18" i="16"/>
  <c r="CR16" i="16"/>
  <c r="AW15" i="16"/>
  <c r="CW13" i="16"/>
  <c r="DG11" i="16"/>
  <c r="BJ9" i="16"/>
  <c r="CY6" i="16"/>
  <c r="AS4" i="16"/>
  <c r="AO27" i="16"/>
  <c r="DG25" i="16"/>
  <c r="CP20" i="16"/>
  <c r="AJ18" i="16"/>
  <c r="CL16" i="16"/>
  <c r="AQ15" i="16"/>
  <c r="CQ13" i="16"/>
  <c r="CY11" i="16"/>
  <c r="BA9" i="16"/>
  <c r="CP6" i="16"/>
  <c r="AJ4" i="16"/>
  <c r="CT29" i="16"/>
  <c r="BQ28" i="16"/>
  <c r="AN27" i="16"/>
  <c r="DF25" i="16"/>
  <c r="BE24" i="16"/>
  <c r="BH45" i="24"/>
  <c r="BH45" i="25"/>
  <c r="AE34" i="25"/>
  <c r="AE34" i="24"/>
  <c r="AV51" i="25"/>
  <c r="AV51" i="24"/>
  <c r="T18" i="24"/>
  <c r="T18" i="25"/>
  <c r="G45" i="24"/>
  <c r="U2" i="16"/>
  <c r="I2" i="24" s="1"/>
  <c r="DH2" i="24" s="1"/>
  <c r="CG2" i="16"/>
  <c r="BU2" i="24" s="1"/>
  <c r="FT2" i="24" s="1"/>
  <c r="AX3" i="16"/>
  <c r="AL3" i="24" s="1"/>
  <c r="O4" i="16"/>
  <c r="CA4" i="16"/>
  <c r="AR5" i="16"/>
  <c r="DD5" i="16"/>
  <c r="BU6" i="16"/>
  <c r="AL7" i="16"/>
  <c r="CX7" i="16"/>
  <c r="BO8" i="16"/>
  <c r="AF9" i="16"/>
  <c r="CR9" i="16"/>
  <c r="BI10" i="16"/>
  <c r="Z11" i="16"/>
  <c r="CL11" i="16"/>
  <c r="BC12" i="16"/>
  <c r="T13" i="16"/>
  <c r="CF13" i="16"/>
  <c r="AW14" i="16"/>
  <c r="DI14" i="16"/>
  <c r="BZ15" i="16"/>
  <c r="AQ16" i="16"/>
  <c r="DC16" i="16"/>
  <c r="BT17" i="16"/>
  <c r="AL2" i="16"/>
  <c r="Z2" i="24" s="1"/>
  <c r="DY2" i="24" s="1"/>
  <c r="CX2" i="16"/>
  <c r="CL2" i="24" s="1"/>
  <c r="GK2" i="24" s="1"/>
  <c r="BO3" i="16"/>
  <c r="BC3" i="24" s="1"/>
  <c r="AF4" i="16"/>
  <c r="CR4" i="16"/>
  <c r="BI5" i="16"/>
  <c r="Z6" i="16"/>
  <c r="CL6" i="16"/>
  <c r="BC7" i="16"/>
  <c r="T8" i="16"/>
  <c r="CF8" i="16"/>
  <c r="AW9" i="16"/>
  <c r="DI9" i="16"/>
  <c r="BZ10" i="16"/>
  <c r="AQ11" i="16"/>
  <c r="DC11" i="16"/>
  <c r="BT12" i="16"/>
  <c r="O2" i="16"/>
  <c r="C2" i="24" s="1"/>
  <c r="DB2" i="24" s="1"/>
  <c r="CA2" i="16"/>
  <c r="BO2" i="24" s="1"/>
  <c r="FN2" i="24" s="1"/>
  <c r="AR3" i="16"/>
  <c r="AF3" i="24" s="1"/>
  <c r="DD3" i="16"/>
  <c r="CR3" i="24" s="1"/>
  <c r="BU4" i="16"/>
  <c r="AL5" i="16"/>
  <c r="CX5" i="16"/>
  <c r="BO6" i="16"/>
  <c r="AF7" i="16"/>
  <c r="CR7" i="16"/>
  <c r="BI8" i="16"/>
  <c r="Z9" i="16"/>
  <c r="CL9" i="16"/>
  <c r="BC10" i="16"/>
  <c r="T11" i="16"/>
  <c r="AB2" i="16"/>
  <c r="P2" i="24" s="1"/>
  <c r="DO2" i="24" s="1"/>
  <c r="CN2" i="16"/>
  <c r="CB2" i="24" s="1"/>
  <c r="GA2" i="24" s="1"/>
  <c r="BE3" i="16"/>
  <c r="AS3" i="24" s="1"/>
  <c r="V4" i="16"/>
  <c r="CH4" i="16"/>
  <c r="AY5" i="16"/>
  <c r="P6" i="16"/>
  <c r="CB6" i="16"/>
  <c r="AS7" i="16"/>
  <c r="DE7" i="16"/>
  <c r="BV8" i="16"/>
  <c r="AM9" i="16"/>
  <c r="CY9" i="16"/>
  <c r="BP10" i="16"/>
  <c r="AG11" i="16"/>
  <c r="CS11" i="16"/>
  <c r="BJ12" i="16"/>
  <c r="AA13" i="16"/>
  <c r="AN2" i="16"/>
  <c r="AB2" i="24" s="1"/>
  <c r="EA2" i="24" s="1"/>
  <c r="BQ3" i="16"/>
  <c r="BE3" i="24" s="1"/>
  <c r="CT4" i="16"/>
  <c r="AB6" i="16"/>
  <c r="BE7" i="16"/>
  <c r="CH8" i="16"/>
  <c r="P10" i="16"/>
  <c r="AS11" i="16"/>
  <c r="AZ12" i="16"/>
  <c r="BA13" i="16"/>
  <c r="AD14" i="16"/>
  <c r="CY14" i="16"/>
  <c r="BY15" i="16"/>
  <c r="AZ16" i="16"/>
  <c r="Z17" i="16"/>
  <c r="CU17" i="16"/>
  <c r="BN18" i="16"/>
  <c r="AE19" i="16"/>
  <c r="CQ19" i="16"/>
  <c r="BH20" i="16"/>
  <c r="Y21" i="16"/>
  <c r="CK21" i="16"/>
  <c r="BB22" i="16"/>
  <c r="S23" i="16"/>
  <c r="CE23" i="16"/>
  <c r="AV24" i="16"/>
  <c r="DH24" i="16"/>
  <c r="BY25" i="16"/>
  <c r="AP26" i="16"/>
  <c r="DB26" i="16"/>
  <c r="BS27" i="16"/>
  <c r="AJ28" i="16"/>
  <c r="CV28" i="16"/>
  <c r="BM29" i="16"/>
  <c r="AD30" i="16"/>
  <c r="CP30" i="16"/>
  <c r="BG31" i="16"/>
  <c r="X32" i="16"/>
  <c r="CJ32" i="16"/>
  <c r="BA33" i="16"/>
  <c r="R34" i="16"/>
  <c r="CD34" i="16"/>
  <c r="AU35" i="16"/>
  <c r="AL3" i="16"/>
  <c r="Z3" i="24" s="1"/>
  <c r="BO4" i="16"/>
  <c r="CR5" i="16"/>
  <c r="Z7" i="16"/>
  <c r="BC8" i="16"/>
  <c r="CF9" i="16"/>
  <c r="DI10" i="16"/>
  <c r="AB12" i="16"/>
  <c r="AF13" i="16"/>
  <c r="DH13" i="16"/>
  <c r="CH14" i="16"/>
  <c r="BH15" i="16"/>
  <c r="AH16" i="16"/>
  <c r="DD16" i="16"/>
  <c r="CD17" i="16"/>
  <c r="AY18" i="16"/>
  <c r="P19" i="16"/>
  <c r="CB19" i="16"/>
  <c r="AS20" i="16"/>
  <c r="DE20" i="16"/>
  <c r="BV21" i="16"/>
  <c r="AM22" i="16"/>
  <c r="CY22" i="16"/>
  <c r="BP23" i="16"/>
  <c r="AG24" i="16"/>
  <c r="CS24" i="16"/>
  <c r="BJ25" i="16"/>
  <c r="AA26" i="16"/>
  <c r="CM26" i="16"/>
  <c r="BD27" i="16"/>
  <c r="U28" i="16"/>
  <c r="CG28" i="16"/>
  <c r="AX29" i="16"/>
  <c r="O30" i="16"/>
  <c r="AM3" i="16"/>
  <c r="AA3" i="24" s="1"/>
  <c r="BP4" i="16"/>
  <c r="CS5" i="16"/>
  <c r="AA7" i="16"/>
  <c r="BD8" i="16"/>
  <c r="CG9" i="16"/>
  <c r="O11" i="16"/>
  <c r="AC12" i="16"/>
  <c r="AG13" i="16"/>
  <c r="DI13" i="16"/>
  <c r="CI14" i="16"/>
  <c r="BI15" i="16"/>
  <c r="AJ16" i="16"/>
  <c r="DE16" i="16"/>
  <c r="CE17" i="16"/>
  <c r="AZ18" i="16"/>
  <c r="Q19" i="16"/>
  <c r="CC19" i="16"/>
  <c r="AT20" i="16"/>
  <c r="DF20" i="16"/>
  <c r="BW21" i="16"/>
  <c r="AN22" i="16"/>
  <c r="CZ22" i="16"/>
  <c r="BQ23" i="16"/>
  <c r="AH24" i="16"/>
  <c r="CT24" i="16"/>
  <c r="BK25" i="16"/>
  <c r="AB26" i="16"/>
  <c r="CN26" i="16"/>
  <c r="S2" i="16"/>
  <c r="G2" i="24" s="1"/>
  <c r="DF2" i="24" s="1"/>
  <c r="AV3" i="16"/>
  <c r="AJ3" i="24" s="1"/>
  <c r="BY4" i="16"/>
  <c r="DB5" i="16"/>
  <c r="AJ7" i="16"/>
  <c r="BM8" i="16"/>
  <c r="CP9" i="16"/>
  <c r="X11" i="16"/>
  <c r="AK12" i="16"/>
  <c r="AN13" i="16"/>
  <c r="T14" i="16"/>
  <c r="CO14" i="16"/>
  <c r="BO15" i="16"/>
  <c r="AO16" i="16"/>
  <c r="O17" i="16"/>
  <c r="CK17" i="16"/>
  <c r="BE18" i="16"/>
  <c r="V19" i="16"/>
  <c r="CH19" i="16"/>
  <c r="AY20" i="16"/>
  <c r="P21" i="16"/>
  <c r="CB21" i="16"/>
  <c r="AS22" i="16"/>
  <c r="DE22" i="16"/>
  <c r="BV23" i="16"/>
  <c r="AM24" i="16"/>
  <c r="CY24" i="16"/>
  <c r="BP25" i="16"/>
  <c r="AG26" i="16"/>
  <c r="CS26" i="16"/>
  <c r="BJ27" i="16"/>
  <c r="DI2" i="16"/>
  <c r="CW2" i="24" s="1"/>
  <c r="GV2" i="24" s="1"/>
  <c r="BT5" i="16"/>
  <c r="AE8" i="16"/>
  <c r="CK10" i="16"/>
  <c r="DI12" i="16"/>
  <c r="BT14" i="16"/>
  <c r="U16" i="16"/>
  <c r="BP17" i="16"/>
  <c r="CY18" i="16"/>
  <c r="AG20" i="16"/>
  <c r="BJ21" i="16"/>
  <c r="CM22" i="16"/>
  <c r="U24" i="16"/>
  <c r="AX25" i="16"/>
  <c r="CA26" i="16"/>
  <c r="CT27" i="16"/>
  <c r="CE28" i="16"/>
  <c r="BR29" i="16"/>
  <c r="AY30" i="16"/>
  <c r="Y31" i="16"/>
  <c r="CT31" i="16"/>
  <c r="BU32" i="16"/>
  <c r="AU33" i="16"/>
  <c r="U34" i="16"/>
  <c r="CP34" i="16"/>
  <c r="BN35" i="16"/>
  <c r="AE36" i="16"/>
  <c r="CQ36" i="16"/>
  <c r="BH37" i="16"/>
  <c r="Y38" i="16"/>
  <c r="CK38" i="16"/>
  <c r="BB39" i="16"/>
  <c r="S40" i="16"/>
  <c r="CD2" i="16"/>
  <c r="BR2" i="24" s="1"/>
  <c r="FQ2" i="24" s="1"/>
  <c r="AO5" i="16"/>
  <c r="CU7" i="16"/>
  <c r="BF10" i="16"/>
  <c r="CK12" i="16"/>
  <c r="BC14" i="16"/>
  <c r="CY15" i="16"/>
  <c r="AY17" i="16"/>
  <c r="CJ18" i="16"/>
  <c r="R20" i="16"/>
  <c r="AU21" i="16"/>
  <c r="BX22" i="16"/>
  <c r="DA23" i="16"/>
  <c r="AI25" i="16"/>
  <c r="BL26" i="16"/>
  <c r="CG27" i="16"/>
  <c r="BV28" i="16"/>
  <c r="BI29" i="16"/>
  <c r="AQ30" i="16"/>
  <c r="Q31" i="16"/>
  <c r="CL31" i="16"/>
  <c r="BM32" i="16"/>
  <c r="AM33" i="16"/>
  <c r="DH33" i="16"/>
  <c r="CH34" i="16"/>
  <c r="BG35" i="16"/>
  <c r="X36" i="16"/>
  <c r="CJ36" i="16"/>
  <c r="U4" i="16"/>
  <c r="CA6" i="16"/>
  <c r="AL9" i="16"/>
  <c r="CO11" i="16"/>
  <c r="CI13" i="16"/>
  <c r="AI15" i="16"/>
  <c r="CD16" i="16"/>
  <c r="AC18" i="16"/>
  <c r="BF19" i="16"/>
  <c r="CI20" i="16"/>
  <c r="Q22" i="16"/>
  <c r="AT23" i="16"/>
  <c r="BW24" i="16"/>
  <c r="CZ25" i="16"/>
  <c r="AH27" i="16"/>
  <c r="AG28" i="16"/>
  <c r="T29" i="16"/>
  <c r="CZ29" i="16"/>
  <c r="CC30" i="16"/>
  <c r="BC31" i="16"/>
  <c r="AC32" i="16"/>
  <c r="BF4" i="16"/>
  <c r="Q7" i="16"/>
  <c r="BW9" i="16"/>
  <c r="T12" i="16"/>
  <c r="DB13" i="16"/>
  <c r="BC15" i="16"/>
  <c r="CP3" i="16"/>
  <c r="CD3" i="24" s="1"/>
  <c r="BA6" i="16"/>
  <c r="DG8" i="16"/>
  <c r="BR11" i="16"/>
  <c r="BR13" i="16"/>
  <c r="S15" i="16"/>
  <c r="AE3" i="16"/>
  <c r="S3" i="24" s="1"/>
  <c r="CK5" i="16"/>
  <c r="AV8" i="16"/>
  <c r="DB10" i="16"/>
  <c r="Z13" i="16"/>
  <c r="CE14" i="16"/>
  <c r="BW2" i="16"/>
  <c r="BK2" i="24" s="1"/>
  <c r="FJ2" i="24" s="1"/>
  <c r="AH5" i="16"/>
  <c r="CN7" i="16"/>
  <c r="AY10" i="16"/>
  <c r="CE12" i="16"/>
  <c r="AZ14" i="16"/>
  <c r="CU15" i="16"/>
  <c r="AP4" i="16"/>
  <c r="CV6" i="16"/>
  <c r="BG9" i="16"/>
  <c r="DD11" i="16"/>
  <c r="CS13" i="16"/>
  <c r="AS15" i="16"/>
  <c r="CO16" i="16"/>
  <c r="AL18" i="16"/>
  <c r="BO19" i="16"/>
  <c r="CR20" i="16"/>
  <c r="Z22" i="16"/>
  <c r="BC23" i="16"/>
  <c r="CF24" i="16"/>
  <c r="DI25" i="16"/>
  <c r="AQ27" i="16"/>
  <c r="AN28" i="16"/>
  <c r="AA29" i="16"/>
  <c r="DG29" i="16"/>
  <c r="CI30" i="16"/>
  <c r="BI31" i="16"/>
  <c r="AI32" i="16"/>
  <c r="DD32" i="16"/>
  <c r="CD33" i="16"/>
  <c r="BD34" i="16"/>
  <c r="CZ16" i="16"/>
  <c r="BY19" i="16"/>
  <c r="AJ22" i="16"/>
  <c r="CP24" i="16"/>
  <c r="BA27" i="16"/>
  <c r="AI29" i="16"/>
  <c r="CO30" i="16"/>
  <c r="AO32" i="16"/>
  <c r="BG33" i="16"/>
  <c r="BZ34" i="16"/>
  <c r="BY35" i="16"/>
  <c r="BJ36" i="16"/>
  <c r="AP37" i="16"/>
  <c r="P38" i="16"/>
  <c r="CL38" i="16"/>
  <c r="BL39" i="16"/>
  <c r="AL40" i="16"/>
  <c r="DA40" i="16"/>
  <c r="BR41" i="16"/>
  <c r="AI42" i="16"/>
  <c r="CU42" i="16"/>
  <c r="BL43" i="16"/>
  <c r="AC44" i="16"/>
  <c r="CO44" i="16"/>
  <c r="BF45" i="16"/>
  <c r="W46" i="16"/>
  <c r="CI46" i="16"/>
  <c r="AZ47" i="16"/>
  <c r="Q48" i="16"/>
  <c r="CC48" i="16"/>
  <c r="AT49" i="16"/>
  <c r="DF49" i="16"/>
  <c r="BW50" i="16"/>
  <c r="AN51" i="16"/>
  <c r="CZ51" i="16"/>
  <c r="DG15" i="16"/>
  <c r="CQ18" i="16"/>
  <c r="BB21" i="16"/>
  <c r="DH23" i="16"/>
  <c r="BS26" i="16"/>
  <c r="CA28" i="16"/>
  <c r="CE30" i="16"/>
  <c r="BH32" i="16"/>
  <c r="AV35" i="16"/>
  <c r="BU37" i="16"/>
  <c r="BX39" i="16"/>
  <c r="Y41" i="16"/>
  <c r="CX42" i="16"/>
  <c r="CZ44" i="16"/>
  <c r="CT46" i="16"/>
  <c r="T48" i="16"/>
  <c r="BU16" i="16"/>
  <c r="AX19" i="16"/>
  <c r="DD21" i="16"/>
  <c r="BO24" i="16"/>
  <c r="Z27" i="16"/>
  <c r="DI28" i="16"/>
  <c r="BX30" i="16"/>
  <c r="Y32" i="16"/>
  <c r="AR33" i="16"/>
  <c r="BK34" i="16"/>
  <c r="BP35" i="16"/>
  <c r="BA36" i="16"/>
  <c r="AH37" i="16"/>
  <c r="DC37" i="16"/>
  <c r="CD38" i="16"/>
  <c r="BD39" i="16"/>
  <c r="AD40" i="16"/>
  <c r="CT40" i="16"/>
  <c r="BK41" i="16"/>
  <c r="AB42" i="16"/>
  <c r="CN42" i="16"/>
  <c r="BE43" i="16"/>
  <c r="V44" i="16"/>
  <c r="CH44" i="16"/>
  <c r="AY45" i="16"/>
  <c r="P46" i="16"/>
  <c r="CB46" i="16"/>
  <c r="AS47" i="16"/>
  <c r="DE47" i="16"/>
  <c r="BV48" i="16"/>
  <c r="AM49" i="16"/>
  <c r="CY49" i="16"/>
  <c r="BP50" i="16"/>
  <c r="AG51" i="16"/>
  <c r="CS51" i="16"/>
  <c r="N45" i="16"/>
  <c r="BR35" i="16"/>
  <c r="T38" i="16"/>
  <c r="AF40" i="16"/>
  <c r="CC41" i="16"/>
  <c r="BG43" i="16"/>
  <c r="DH44" i="16"/>
  <c r="CD46" i="16"/>
  <c r="CV48" i="16"/>
  <c r="BF17" i="16"/>
  <c r="X20" i="16"/>
  <c r="CD22" i="16"/>
  <c r="AO25" i="16"/>
  <c r="CL27" i="16"/>
  <c r="BK29" i="16"/>
  <c r="T31" i="16"/>
  <c r="BG32" i="16"/>
  <c r="BZ33" i="16"/>
  <c r="CR34" i="16"/>
  <c r="CK35" i="16"/>
  <c r="BX36" i="16"/>
  <c r="BB37" i="16"/>
  <c r="AB38" i="16"/>
  <c r="CW38" i="16"/>
  <c r="BW39" i="16"/>
  <c r="AW40" i="16"/>
  <c r="P41" i="16"/>
  <c r="CB41" i="16"/>
  <c r="AS42" i="16"/>
  <c r="DE42" i="16"/>
  <c r="BV43" i="16"/>
  <c r="AM44" i="16"/>
  <c r="CY44" i="16"/>
  <c r="BP45" i="16"/>
  <c r="AG46" i="16"/>
  <c r="CS46" i="16"/>
  <c r="BJ47" i="16"/>
  <c r="AA48" i="16"/>
  <c r="CM48" i="16"/>
  <c r="BD49" i="16"/>
  <c r="U50" i="16"/>
  <c r="CG50" i="16"/>
  <c r="AX51" i="16"/>
  <c r="N6" i="16"/>
  <c r="CH16" i="16"/>
  <c r="CN16" i="16"/>
  <c r="BN16" i="16"/>
  <c r="AR19" i="16"/>
  <c r="CX21" i="16"/>
  <c r="BI24" i="16"/>
  <c r="T27" i="16"/>
  <c r="DG28" i="16"/>
  <c r="BV30" i="16"/>
  <c r="V32" i="16"/>
  <c r="AP33" i="16"/>
  <c r="BI34" i="16"/>
  <c r="BL35" i="16"/>
  <c r="AY36" i="16"/>
  <c r="AF37" i="16"/>
  <c r="DA37" i="16"/>
  <c r="CA38" i="16"/>
  <c r="BA39" i="16"/>
  <c r="AB40" i="16"/>
  <c r="CR40" i="16"/>
  <c r="BI41" i="16"/>
  <c r="Z42" i="16"/>
  <c r="CL42" i="16"/>
  <c r="BC43" i="16"/>
  <c r="T44" i="16"/>
  <c r="CF44" i="16"/>
  <c r="AW45" i="16"/>
  <c r="DI45" i="16"/>
  <c r="BZ46" i="16"/>
  <c r="AQ47" i="16"/>
  <c r="DC47" i="16"/>
  <c r="BT48" i="16"/>
  <c r="AK49" i="16"/>
  <c r="CW49" i="16"/>
  <c r="BN50" i="16"/>
  <c r="AE51" i="16"/>
  <c r="CQ51" i="16"/>
  <c r="N43" i="16"/>
  <c r="X34" i="16"/>
  <c r="R37" i="16"/>
  <c r="CZ39" i="16"/>
  <c r="CH42" i="16"/>
  <c r="AS45" i="16"/>
  <c r="AJ48" i="16"/>
  <c r="AK21" i="16"/>
  <c r="P28" i="16"/>
  <c r="AH32" i="16"/>
  <c r="AN35" i="16"/>
  <c r="BM37" i="16"/>
  <c r="BH39" i="16"/>
  <c r="AR41" i="16"/>
  <c r="T43" i="16"/>
  <c r="CL44" i="16"/>
  <c r="BH46" i="16"/>
  <c r="AE48" i="16"/>
  <c r="CS49" i="16"/>
  <c r="AA51" i="16"/>
  <c r="N50" i="16"/>
  <c r="P25" i="16"/>
  <c r="BC30" i="16"/>
  <c r="DD33" i="16"/>
  <c r="BQ36" i="16"/>
  <c r="BQ38" i="16"/>
  <c r="BQ40" i="16"/>
  <c r="CC42" i="16"/>
  <c r="CY45" i="16"/>
  <c r="BM50" i="16"/>
  <c r="CI21" i="16"/>
  <c r="BA29" i="16"/>
  <c r="CW36" i="16"/>
  <c r="CI42" i="16"/>
  <c r="AY49" i="16"/>
  <c r="AN33" i="16"/>
  <c r="CT39" i="16"/>
  <c r="AU45" i="16"/>
  <c r="W50" i="16"/>
  <c r="BN32" i="16"/>
  <c r="BY40" i="16"/>
  <c r="DA47" i="16"/>
  <c r="BW19" i="16"/>
  <c r="BT26" i="16"/>
  <c r="AO31" i="16"/>
  <c r="BT34" i="16"/>
  <c r="S37" i="16"/>
  <c r="O39" i="16"/>
  <c r="CY40" i="16"/>
  <c r="CA42" i="16"/>
  <c r="AX44" i="16"/>
  <c r="T46" i="16"/>
  <c r="CL47" i="16"/>
  <c r="BN49" i="16"/>
  <c r="CQ50" i="16"/>
  <c r="N7" i="16"/>
  <c r="U48" i="16"/>
  <c r="AM28" i="16"/>
  <c r="X39" i="16"/>
  <c r="CU44" i="16"/>
  <c r="S51" i="16"/>
  <c r="CN21" i="16"/>
  <c r="BO29" i="16"/>
  <c r="BD37" i="16"/>
  <c r="DG42" i="16"/>
  <c r="W48" i="16"/>
  <c r="N47" i="16"/>
  <c r="S27" i="16"/>
  <c r="CZ37" i="16"/>
  <c r="S44" i="16"/>
  <c r="DC49" i="16"/>
  <c r="BH21" i="16"/>
  <c r="X28" i="16"/>
  <c r="AW32" i="16"/>
  <c r="AZ35" i="16"/>
  <c r="BO37" i="16"/>
  <c r="BP39" i="16"/>
  <c r="AY41" i="16"/>
  <c r="V43" i="16"/>
  <c r="CS44" i="16"/>
  <c r="BO46" i="16"/>
  <c r="AL48" i="16"/>
  <c r="CU49" i="16"/>
  <c r="AC51" i="16"/>
  <c r="N40" i="16"/>
  <c r="BD47" i="16"/>
  <c r="DF51" i="16"/>
  <c r="AT36" i="16"/>
  <c r="BL42" i="16"/>
  <c r="BU49" i="16"/>
  <c r="R36" i="16"/>
  <c r="X42" i="16"/>
  <c r="CZ47" i="16"/>
  <c r="CO27" i="16"/>
  <c r="AF39" i="16"/>
  <c r="BR45" i="16"/>
  <c r="BQ18" i="16"/>
  <c r="BE25" i="16"/>
  <c r="CF30" i="16"/>
  <c r="AA34" i="16"/>
  <c r="CD36" i="16"/>
  <c r="CG38" i="16"/>
  <c r="BZ40" i="16"/>
  <c r="AW42" i="16"/>
  <c r="Y44" i="16"/>
  <c r="CP45" i="16"/>
  <c r="BM47" i="16"/>
  <c r="AJ49" i="16"/>
  <c r="BU50" i="16"/>
  <c r="CX51" i="16"/>
  <c r="AX38" i="16"/>
  <c r="DE48" i="16"/>
  <c r="N31" i="16"/>
  <c r="DB41" i="16"/>
  <c r="BW49" i="16"/>
  <c r="CH46" i="16"/>
  <c r="Y22" i="16"/>
  <c r="BT35" i="16"/>
  <c r="CI39" i="16"/>
  <c r="AL43" i="16"/>
  <c r="CE46" i="16"/>
  <c r="DI49" i="16"/>
  <c r="BX17" i="16"/>
  <c r="CZ30" i="16"/>
  <c r="CV36" i="16"/>
  <c r="CI40" i="16"/>
  <c r="BP46" i="16"/>
  <c r="BN22" i="16"/>
  <c r="BW37" i="16"/>
  <c r="V50" i="16"/>
  <c r="BS40" i="16"/>
  <c r="DF45" i="16"/>
  <c r="CC33" i="16"/>
  <c r="AP41" i="16"/>
  <c r="BK20" i="16"/>
  <c r="CQ31" i="16"/>
  <c r="AN37" i="16"/>
  <c r="AA41" i="16"/>
  <c r="BU44" i="16"/>
  <c r="DI47" i="16"/>
  <c r="CD49" i="16"/>
  <c r="N23" i="16"/>
  <c r="CG48" i="16"/>
  <c r="CS39" i="16"/>
  <c r="CH45" i="16"/>
  <c r="CF22" i="16"/>
  <c r="BO30" i="16"/>
  <c r="AD38" i="16"/>
  <c r="CI48" i="16"/>
  <c r="AT18" i="16"/>
  <c r="BZ38" i="16"/>
  <c r="DB44" i="16"/>
  <c r="AZ22" i="16"/>
  <c r="CC28" i="16"/>
  <c r="CA32" i="16"/>
  <c r="CP37" i="16"/>
  <c r="CK39" i="16"/>
  <c r="BV41" i="16"/>
  <c r="P45" i="16"/>
  <c r="CG46" i="16"/>
  <c r="BI48" i="16"/>
  <c r="AS51" i="16"/>
  <c r="AZ41" i="16"/>
  <c r="N9" i="16"/>
  <c r="AC43" i="16"/>
  <c r="BB50" i="16"/>
  <c r="CJ42" i="16"/>
  <c r="BQ48" i="16"/>
  <c r="BU30" i="16"/>
  <c r="BA46" i="16"/>
  <c r="BI19" i="16"/>
  <c r="AS26" i="16"/>
  <c r="AC2" i="16"/>
  <c r="Q2" i="24" s="1"/>
  <c r="DP2" i="24" s="1"/>
  <c r="CO2" i="16"/>
  <c r="CC2" i="24" s="1"/>
  <c r="GB2" i="24" s="1"/>
  <c r="BF3" i="16"/>
  <c r="AT3" i="24" s="1"/>
  <c r="W4" i="16"/>
  <c r="CI4" i="16"/>
  <c r="AZ5" i="16"/>
  <c r="Q6" i="16"/>
  <c r="CC6" i="16"/>
  <c r="AT7" i="16"/>
  <c r="DF7" i="16"/>
  <c r="BW8" i="16"/>
  <c r="AN9" i="16"/>
  <c r="CZ9" i="16"/>
  <c r="BQ10" i="16"/>
  <c r="AH11" i="16"/>
  <c r="CT11" i="16"/>
  <c r="BK12" i="16"/>
  <c r="AB13" i="16"/>
  <c r="CN13" i="16"/>
  <c r="BE14" i="16"/>
  <c r="V15" i="16"/>
  <c r="CH15" i="16"/>
  <c r="AY16" i="16"/>
  <c r="P17" i="16"/>
  <c r="CB17" i="16"/>
  <c r="AT2" i="16"/>
  <c r="AH2" i="24" s="1"/>
  <c r="EG2" i="24" s="1"/>
  <c r="DF2" i="16"/>
  <c r="CT2" i="24" s="1"/>
  <c r="GS2" i="24" s="1"/>
  <c r="BW3" i="16"/>
  <c r="BK3" i="24" s="1"/>
  <c r="AN4" i="16"/>
  <c r="CZ4" i="16"/>
  <c r="BQ5" i="16"/>
  <c r="AH6" i="16"/>
  <c r="CT6" i="16"/>
  <c r="BK7" i="16"/>
  <c r="AB8" i="16"/>
  <c r="CN8" i="16"/>
  <c r="BE9" i="16"/>
  <c r="V10" i="16"/>
  <c r="CH10" i="16"/>
  <c r="AY11" i="16"/>
  <c r="P12" i="16"/>
  <c r="CB12" i="16"/>
  <c r="W2" i="16"/>
  <c r="K2" i="24" s="1"/>
  <c r="DJ2" i="24" s="1"/>
  <c r="CI2" i="16"/>
  <c r="BW2" i="24" s="1"/>
  <c r="FV2" i="24" s="1"/>
  <c r="AZ3" i="16"/>
  <c r="AN3" i="24" s="1"/>
  <c r="Q4" i="16"/>
  <c r="CC4" i="16"/>
  <c r="AT5" i="16"/>
  <c r="DF5" i="16"/>
  <c r="BW6" i="16"/>
  <c r="AN7" i="16"/>
  <c r="CZ7" i="16"/>
  <c r="BQ8" i="16"/>
  <c r="AH9" i="16"/>
  <c r="CT9" i="16"/>
  <c r="BK10" i="16"/>
  <c r="AB11" i="16"/>
  <c r="AJ2" i="16"/>
  <c r="X2" i="24" s="1"/>
  <c r="DW2" i="24" s="1"/>
  <c r="CV2" i="16"/>
  <c r="CJ2" i="24" s="1"/>
  <c r="GI2" i="24" s="1"/>
  <c r="BM3" i="16"/>
  <c r="BA3" i="24" s="1"/>
  <c r="AD4" i="16"/>
  <c r="CP4" i="16"/>
  <c r="BG5" i="16"/>
  <c r="X6" i="16"/>
  <c r="CJ6" i="16"/>
  <c r="BA7" i="16"/>
  <c r="R8" i="16"/>
  <c r="CD8" i="16"/>
  <c r="AU9" i="16"/>
  <c r="DG9" i="16"/>
  <c r="BX10" i="16"/>
  <c r="AO11" i="16"/>
  <c r="DA11" i="16"/>
  <c r="BR12" i="16"/>
  <c r="AI13" i="16"/>
  <c r="BD2" i="16"/>
  <c r="AR2" i="24" s="1"/>
  <c r="EQ2" i="24" s="1"/>
  <c r="CG3" i="16"/>
  <c r="BU3" i="24" s="1"/>
  <c r="O5" i="16"/>
  <c r="AR6" i="16"/>
  <c r="BU7" i="16"/>
  <c r="CX8" i="16"/>
  <c r="AF10" i="16"/>
  <c r="BI11" i="16"/>
  <c r="BN12" i="16"/>
  <c r="BK13" i="16"/>
  <c r="AM14" i="16"/>
  <c r="DH14" i="16"/>
  <c r="CI15" i="16"/>
  <c r="BI16" i="16"/>
  <c r="AI17" i="16"/>
  <c r="DD17" i="16"/>
  <c r="BV18" i="16"/>
  <c r="AM19" i="16"/>
  <c r="CY19" i="16"/>
  <c r="BP20" i="16"/>
  <c r="AG21" i="16"/>
  <c r="CS21" i="16"/>
  <c r="BJ22" i="16"/>
  <c r="AA23" i="16"/>
  <c r="CM23" i="16"/>
  <c r="BD24" i="16"/>
  <c r="U25" i="16"/>
  <c r="CG25" i="16"/>
  <c r="AX26" i="16"/>
  <c r="O27" i="16"/>
  <c r="CA27" i="16"/>
  <c r="AR28" i="16"/>
  <c r="DD28" i="16"/>
  <c r="BU29" i="16"/>
  <c r="AL30" i="16"/>
  <c r="CX30" i="16"/>
  <c r="BO31" i="16"/>
  <c r="AF32" i="16"/>
  <c r="CR32" i="16"/>
  <c r="BI33" i="16"/>
  <c r="Z34" i="16"/>
  <c r="CL34" i="16"/>
  <c r="Y2" i="16"/>
  <c r="M2" i="24" s="1"/>
  <c r="DL2" i="24" s="1"/>
  <c r="BB3" i="16"/>
  <c r="AP3" i="24" s="1"/>
  <c r="CE4" i="16"/>
  <c r="DH5" i="16"/>
  <c r="AP7" i="16"/>
  <c r="BS8" i="16"/>
  <c r="CV9" i="16"/>
  <c r="AD11" i="16"/>
  <c r="AP12" i="16"/>
  <c r="AP13" i="16"/>
  <c r="V14" i="16"/>
  <c r="CQ14" i="16"/>
  <c r="BQ15" i="16"/>
  <c r="AR16" i="16"/>
  <c r="R17" i="16"/>
  <c r="CM17" i="16"/>
  <c r="BG18" i="16"/>
  <c r="X19" i="16"/>
  <c r="CJ19" i="16"/>
  <c r="BA20" i="16"/>
  <c r="R21" i="16"/>
  <c r="CD21" i="16"/>
  <c r="AU22" i="16"/>
  <c r="DG22" i="16"/>
  <c r="BX23" i="16"/>
  <c r="AO24" i="16"/>
  <c r="DA24" i="16"/>
  <c r="BR25" i="16"/>
  <c r="AI26" i="16"/>
  <c r="CU26" i="16"/>
  <c r="BL27" i="16"/>
  <c r="AC28" i="16"/>
  <c r="CO28" i="16"/>
  <c r="BF29" i="16"/>
  <c r="Z2" i="16"/>
  <c r="N2" i="24" s="1"/>
  <c r="DM2" i="24" s="1"/>
  <c r="BC3" i="16"/>
  <c r="AQ3" i="24" s="1"/>
  <c r="CF4" i="16"/>
  <c r="DI5" i="16"/>
  <c r="AQ7" i="16"/>
  <c r="BT8" i="16"/>
  <c r="CW9" i="16"/>
  <c r="AE11" i="16"/>
  <c r="AQ12" i="16"/>
  <c r="AS13" i="16"/>
  <c r="W14" i="16"/>
  <c r="CR14" i="16"/>
  <c r="BS15" i="16"/>
  <c r="AS16" i="16"/>
  <c r="S17" i="16"/>
  <c r="CN17" i="16"/>
  <c r="BH18" i="16"/>
  <c r="Y19" i="16"/>
  <c r="CK19" i="16"/>
  <c r="BB20" i="16"/>
  <c r="S21" i="16"/>
  <c r="CE21" i="16"/>
  <c r="AV22" i="16"/>
  <c r="DH22" i="16"/>
  <c r="BY23" i="16"/>
  <c r="AP24" i="16"/>
  <c r="DB24" i="16"/>
  <c r="BS25" i="16"/>
  <c r="AJ26" i="16"/>
  <c r="CV26" i="16"/>
  <c r="AI2" i="16"/>
  <c r="W2" i="24" s="1"/>
  <c r="DV2" i="24" s="1"/>
  <c r="BL3" i="16"/>
  <c r="AZ3" i="24" s="1"/>
  <c r="CO4" i="16"/>
  <c r="W6" i="16"/>
  <c r="AZ7" i="16"/>
  <c r="CC8" i="16"/>
  <c r="DF9" i="16"/>
  <c r="AN11" i="16"/>
  <c r="AY12" i="16"/>
  <c r="AX13" i="16"/>
  <c r="AC14" i="16"/>
  <c r="CX14" i="16"/>
  <c r="BX15" i="16"/>
  <c r="AX16" i="16"/>
  <c r="Y17" i="16"/>
  <c r="CT17" i="16"/>
  <c r="BM18" i="16"/>
  <c r="AD19" i="16"/>
  <c r="CP19" i="16"/>
  <c r="BG20" i="16"/>
  <c r="X21" i="16"/>
  <c r="CJ21" i="16"/>
  <c r="BA22" i="16"/>
  <c r="R23" i="16"/>
  <c r="CD23" i="16"/>
  <c r="AU24" i="16"/>
  <c r="DG24" i="16"/>
  <c r="BX25" i="16"/>
  <c r="AO26" i="16"/>
  <c r="DA26" i="16"/>
  <c r="BR27" i="16"/>
  <c r="AT3" i="16"/>
  <c r="AH3" i="24" s="1"/>
  <c r="CZ5" i="16"/>
  <c r="BK8" i="16"/>
  <c r="V11" i="16"/>
  <c r="AL13" i="16"/>
  <c r="CM14" i="16"/>
  <c r="AM16" i="16"/>
  <c r="CH17" i="16"/>
  <c r="T19" i="16"/>
  <c r="AW20" i="16"/>
  <c r="BZ21" i="16"/>
  <c r="DC22" i="16"/>
  <c r="AK24" i="16"/>
  <c r="BN25" i="16"/>
  <c r="CQ26" i="16"/>
  <c r="DD27" i="16"/>
  <c r="CQ28" i="16"/>
  <c r="CB29" i="16"/>
  <c r="BH30" i="16"/>
  <c r="AH31" i="16"/>
  <c r="DD31" i="16"/>
  <c r="CD32" i="16"/>
  <c r="BD33" i="16"/>
  <c r="AD34" i="16"/>
  <c r="CY34" i="16"/>
  <c r="BV35" i="16"/>
  <c r="AM36" i="16"/>
  <c r="CY36" i="16"/>
  <c r="BP37" i="16"/>
  <c r="AG38" i="16"/>
  <c r="CS38" i="16"/>
  <c r="BJ39" i="16"/>
  <c r="AA40" i="16"/>
  <c r="O3" i="16"/>
  <c r="C3" i="24" s="1"/>
  <c r="BU5" i="16"/>
  <c r="AF8" i="16"/>
  <c r="CL10" i="16"/>
  <c r="O13" i="16"/>
  <c r="BV14" i="16"/>
  <c r="V16" i="16"/>
  <c r="BQ17" i="16"/>
  <c r="CZ18" i="16"/>
  <c r="AH20" i="16"/>
  <c r="BK21" i="16"/>
  <c r="CN22" i="16"/>
  <c r="V24" i="16"/>
  <c r="AY25" i="16"/>
  <c r="CB26" i="16"/>
  <c r="CU27" i="16"/>
  <c r="CH28" i="16"/>
  <c r="BS29" i="16"/>
  <c r="AZ30" i="16"/>
  <c r="Z31" i="16"/>
  <c r="CV31" i="16"/>
  <c r="BV32" i="16"/>
  <c r="AV33" i="16"/>
  <c r="V34" i="16"/>
  <c r="CQ34" i="16"/>
  <c r="BO35" i="16"/>
  <c r="AF36" i="16"/>
  <c r="CR36" i="16"/>
  <c r="BA4" i="16"/>
  <c r="DG6" i="16"/>
  <c r="BR9" i="16"/>
  <c r="S12" i="16"/>
  <c r="DA13" i="16"/>
  <c r="BA15" i="16"/>
  <c r="CW16" i="16"/>
  <c r="AS18" i="16"/>
  <c r="BV19" i="16"/>
  <c r="CY20" i="16"/>
  <c r="AG22" i="16"/>
  <c r="BJ23" i="16"/>
  <c r="CM24" i="16"/>
  <c r="U26" i="16"/>
  <c r="AX27" i="16"/>
  <c r="AQ28" i="16"/>
  <c r="AD29" i="16"/>
  <c r="Q30" i="16"/>
  <c r="CL30" i="16"/>
  <c r="BL31" i="16"/>
  <c r="AF2" i="16"/>
  <c r="T2" i="24" s="1"/>
  <c r="DS2" i="24" s="1"/>
  <c r="CL4" i="16"/>
  <c r="AW7" i="16"/>
  <c r="DC9" i="16"/>
  <c r="AS12" i="16"/>
  <c r="Z14" i="16"/>
  <c r="BU15" i="16"/>
  <c r="AA4" i="16"/>
  <c r="CG6" i="16"/>
  <c r="AR9" i="16"/>
  <c r="CQ11" i="16"/>
  <c r="CK13" i="16"/>
  <c r="AK15" i="16"/>
  <c r="BK3" i="16"/>
  <c r="AY3" i="24" s="1"/>
  <c r="V6" i="16"/>
  <c r="CB8" i="16"/>
  <c r="AM11" i="16"/>
  <c r="AW13" i="16"/>
  <c r="CW14" i="16"/>
  <c r="DC2" i="16"/>
  <c r="CQ2" i="24" s="1"/>
  <c r="GP2" i="24" s="1"/>
  <c r="BN5" i="16"/>
  <c r="Y8" i="16"/>
  <c r="CE10" i="16"/>
  <c r="DD12" i="16"/>
  <c r="BR14" i="16"/>
  <c r="P2" i="16"/>
  <c r="D2" i="24" s="1"/>
  <c r="DC2" i="24" s="1"/>
  <c r="BV4" i="16"/>
  <c r="AG7" i="16"/>
  <c r="CM9" i="16"/>
  <c r="AH12" i="16"/>
  <c r="P14" i="16"/>
  <c r="BL15" i="16"/>
  <c r="DG16" i="16"/>
  <c r="BB18" i="16"/>
  <c r="CE19" i="16"/>
  <c r="DH20" i="16"/>
  <c r="AP22" i="16"/>
  <c r="BS23" i="16"/>
  <c r="CV24" i="16"/>
  <c r="AD26" i="16"/>
  <c r="BF27" i="16"/>
  <c r="AX28" i="16"/>
  <c r="AK29" i="16"/>
  <c r="W30" i="16"/>
  <c r="CR30" i="16"/>
  <c r="BR31" i="16"/>
  <c r="AR32" i="16"/>
  <c r="R33" i="16"/>
  <c r="CM33" i="16"/>
  <c r="BM34" i="16"/>
  <c r="AP17" i="16"/>
  <c r="DE19" i="16"/>
  <c r="BP22" i="16"/>
  <c r="AA25" i="16"/>
  <c r="CC27" i="16"/>
  <c r="BC29" i="16"/>
  <c r="DH30" i="16"/>
  <c r="BE32" i="16"/>
  <c r="BT33" i="16"/>
  <c r="CM34" i="16"/>
  <c r="CI35" i="16"/>
  <c r="BV36" i="16"/>
  <c r="AY37" i="16"/>
  <c r="Z38" i="16"/>
  <c r="CU38" i="16"/>
  <c r="BU39" i="16"/>
  <c r="AU40" i="16"/>
  <c r="DI40" i="16"/>
  <c r="BZ41" i="16"/>
  <c r="AQ42" i="16"/>
  <c r="DC42" i="16"/>
  <c r="BT43" i="16"/>
  <c r="AK44" i="16"/>
  <c r="CW44" i="16"/>
  <c r="BN45" i="16"/>
  <c r="AE46" i="16"/>
  <c r="CQ46" i="16"/>
  <c r="BH47" i="16"/>
  <c r="Y48" i="16"/>
  <c r="CK48" i="16"/>
  <c r="BB49" i="16"/>
  <c r="S50" i="16"/>
  <c r="CE50" i="16"/>
  <c r="AV51" i="16"/>
  <c r="DH51" i="16"/>
  <c r="AV16" i="16"/>
  <c r="AB19" i="16"/>
  <c r="CH21" i="16"/>
  <c r="AS24" i="16"/>
  <c r="CY26" i="16"/>
  <c r="CU28" i="16"/>
  <c r="CW30" i="16"/>
  <c r="CK32" i="16"/>
  <c r="CB35" i="16"/>
  <c r="CM37" i="16"/>
  <c r="CG39" i="16"/>
  <c r="BE41" i="16"/>
  <c r="S43" i="16"/>
  <c r="AC45" i="16"/>
  <c r="DB46" i="16"/>
  <c r="AR48" i="16"/>
  <c r="DF16" i="16"/>
  <c r="CD19" i="16"/>
  <c r="AO22" i="16"/>
  <c r="CU24" i="16"/>
  <c r="BE27" i="16"/>
  <c r="AJ29" i="16"/>
  <c r="CQ30" i="16"/>
  <c r="AP32" i="16"/>
  <c r="BH33" i="16"/>
  <c r="CA34" i="16"/>
  <c r="BZ35" i="16"/>
  <c r="BM36" i="16"/>
  <c r="AQ37" i="16"/>
  <c r="R38" i="16"/>
  <c r="CM38" i="16"/>
  <c r="BM39" i="16"/>
  <c r="AM40" i="16"/>
  <c r="DB40" i="16"/>
  <c r="BS41" i="16"/>
  <c r="AJ42" i="16"/>
  <c r="CV42" i="16"/>
  <c r="BM43" i="16"/>
  <c r="AD44" i="16"/>
  <c r="CP44" i="16"/>
  <c r="BG45" i="16"/>
  <c r="X46" i="16"/>
  <c r="CJ46" i="16"/>
  <c r="BA47" i="16"/>
  <c r="R48" i="16"/>
  <c r="CD48" i="16"/>
  <c r="AU49" i="16"/>
  <c r="DG49" i="16"/>
  <c r="BX50" i="16"/>
  <c r="AO51" i="16"/>
  <c r="DA51" i="16"/>
  <c r="AB30" i="16"/>
  <c r="DH35" i="16"/>
  <c r="AL38" i="16"/>
  <c r="AO40" i="16"/>
  <c r="DI41" i="16"/>
  <c r="BW43" i="16"/>
  <c r="AK45" i="16"/>
  <c r="O47" i="16"/>
  <c r="Q49" i="16"/>
  <c r="CP17" i="16"/>
  <c r="BD20" i="16"/>
  <c r="O23" i="16"/>
  <c r="BU25" i="16"/>
  <c r="DI27" i="16"/>
  <c r="CG29" i="16"/>
  <c r="AL31" i="16"/>
  <c r="BW32" i="16"/>
  <c r="CL33" i="16"/>
  <c r="DE34" i="16"/>
  <c r="CW35" i="16"/>
  <c r="CH36" i="16"/>
  <c r="BK37" i="16"/>
  <c r="AK38" i="16"/>
  <c r="DF38" i="16"/>
  <c r="CF39" i="16"/>
  <c r="BF40" i="16"/>
  <c r="X41" i="16"/>
  <c r="CJ41" i="16"/>
  <c r="BA42" i="16"/>
  <c r="R43" i="16"/>
  <c r="CD43" i="16"/>
  <c r="AU44" i="16"/>
  <c r="DG44" i="16"/>
  <c r="BX45" i="16"/>
  <c r="AO46" i="16"/>
  <c r="DA46" i="16"/>
  <c r="BR47" i="16"/>
  <c r="AI48" i="16"/>
  <c r="CU48" i="16"/>
  <c r="BL49" i="16"/>
  <c r="AC50" i="16"/>
  <c r="CO50" i="16"/>
  <c r="BF51" i="16"/>
  <c r="N14" i="16"/>
  <c r="W17" i="16"/>
  <c r="AC17" i="16"/>
  <c r="CY16" i="16"/>
  <c r="BX19" i="16"/>
  <c r="AI22" i="16"/>
  <c r="CO24" i="16"/>
  <c r="AZ27" i="16"/>
  <c r="AF29" i="16"/>
  <c r="CN30" i="16"/>
  <c r="AM32" i="16"/>
  <c r="BF33" i="16"/>
  <c r="BU34" i="16"/>
  <c r="BX35" i="16"/>
  <c r="BI36" i="16"/>
  <c r="AO37" i="16"/>
  <c r="O38" i="16"/>
  <c r="CJ38" i="16"/>
  <c r="BK39" i="16"/>
  <c r="AK40" i="16"/>
  <c r="CZ40" i="16"/>
  <c r="BQ41" i="16"/>
  <c r="AH42" i="16"/>
  <c r="CT42" i="16"/>
  <c r="BK43" i="16"/>
  <c r="AB44" i="16"/>
  <c r="CN44" i="16"/>
  <c r="BE45" i="16"/>
  <c r="V46" i="16"/>
  <c r="AY47" i="16"/>
  <c r="P48" i="16"/>
  <c r="CB48" i="16"/>
  <c r="AS49" i="16"/>
  <c r="DE49" i="16"/>
  <c r="BV50" i="16"/>
  <c r="AM51" i="16"/>
  <c r="CY51" i="16"/>
  <c r="N51" i="16"/>
  <c r="BQ34" i="16"/>
  <c r="AT37" i="16"/>
  <c r="AX40" i="16"/>
  <c r="AA43" i="16"/>
  <c r="CG45" i="16"/>
  <c r="BP48" i="16"/>
  <c r="BN28" i="16"/>
  <c r="BY32" i="16"/>
  <c r="CH37" i="16"/>
  <c r="BO41" i="16"/>
  <c r="DI44" i="16"/>
  <c r="BB48" i="16"/>
  <c r="AQ51" i="16"/>
  <c r="DC25" i="16"/>
  <c r="AR34" i="16"/>
  <c r="CQ38" i="16"/>
  <c r="CZ42" i="16"/>
  <c r="AD51" i="16"/>
  <c r="DF29" i="16"/>
  <c r="AZ43" i="16"/>
  <c r="BC34" i="16"/>
  <c r="BS50" i="16"/>
  <c r="CO48" i="16"/>
  <c r="AY27" i="16"/>
  <c r="P35" i="16"/>
  <c r="AO39" i="16"/>
  <c r="CS42" i="16"/>
  <c r="AQ46" i="16"/>
  <c r="DG50" i="16"/>
  <c r="DI31" i="16"/>
  <c r="CU51" i="16"/>
  <c r="BX43" i="16"/>
  <c r="DF28" i="16"/>
  <c r="BT50" i="16"/>
  <c r="CC35" i="16"/>
  <c r="AS43" i="16"/>
  <c r="P50" i="16"/>
  <c r="CS47" i="16"/>
  <c r="AC37" i="16"/>
  <c r="CX36" i="16"/>
  <c r="Z40" i="16"/>
  <c r="AK2" i="16"/>
  <c r="Y2" i="24" s="1"/>
  <c r="DX2" i="24" s="1"/>
  <c r="CW2" i="16"/>
  <c r="CK2" i="24" s="1"/>
  <c r="GJ2" i="24" s="1"/>
  <c r="BN3" i="16"/>
  <c r="BB3" i="24" s="1"/>
  <c r="AE4" i="16"/>
  <c r="CQ4" i="16"/>
  <c r="BH5" i="16"/>
  <c r="Y6" i="16"/>
  <c r="CK6" i="16"/>
  <c r="BB7" i="16"/>
  <c r="S8" i="16"/>
  <c r="CE8" i="16"/>
  <c r="AV9" i="16"/>
  <c r="DH9" i="16"/>
  <c r="BY10" i="16"/>
  <c r="AP11" i="16"/>
  <c r="DB11" i="16"/>
  <c r="BS12" i="16"/>
  <c r="AJ13" i="16"/>
  <c r="CV13" i="16"/>
  <c r="BM14" i="16"/>
  <c r="AD15" i="16"/>
  <c r="CP15" i="16"/>
  <c r="BG16" i="16"/>
  <c r="X17" i="16"/>
  <c r="CJ17" i="16"/>
  <c r="BB2" i="16"/>
  <c r="AP2" i="24" s="1"/>
  <c r="EO2" i="24" s="1"/>
  <c r="S3" i="16"/>
  <c r="G3" i="24" s="1"/>
  <c r="CE3" i="16"/>
  <c r="BS3" i="24" s="1"/>
  <c r="AV4" i="16"/>
  <c r="DH4" i="16"/>
  <c r="BY5" i="16"/>
  <c r="AP6" i="16"/>
  <c r="DB6" i="16"/>
  <c r="BS7" i="16"/>
  <c r="AJ8" i="16"/>
  <c r="CV8" i="16"/>
  <c r="BM9" i="16"/>
  <c r="AD10" i="16"/>
  <c r="CP10" i="16"/>
  <c r="BG11" i="16"/>
  <c r="X12" i="16"/>
  <c r="CJ12" i="16"/>
  <c r="AE2" i="16"/>
  <c r="S2" i="24" s="1"/>
  <c r="DR2" i="24" s="1"/>
  <c r="CQ2" i="16"/>
  <c r="CE2" i="24" s="1"/>
  <c r="GD2" i="24" s="1"/>
  <c r="BH3" i="16"/>
  <c r="AV3" i="24" s="1"/>
  <c r="Y4" i="16"/>
  <c r="CK4" i="16"/>
  <c r="BB5" i="16"/>
  <c r="S6" i="16"/>
  <c r="CE6" i="16"/>
  <c r="AV7" i="16"/>
  <c r="DH7" i="16"/>
  <c r="BY8" i="16"/>
  <c r="AP9" i="16"/>
  <c r="DB9" i="16"/>
  <c r="BS10" i="16"/>
  <c r="AJ11" i="16"/>
  <c r="AR2" i="16"/>
  <c r="AF2" i="24" s="1"/>
  <c r="EE2" i="24" s="1"/>
  <c r="DD2" i="16"/>
  <c r="CR2" i="24" s="1"/>
  <c r="GQ2" i="24" s="1"/>
  <c r="BU3" i="16"/>
  <c r="BI3" i="24" s="1"/>
  <c r="AL4" i="16"/>
  <c r="CX4" i="16"/>
  <c r="BO5" i="16"/>
  <c r="AF6" i="16"/>
  <c r="CR6" i="16"/>
  <c r="BI7" i="16"/>
  <c r="Z8" i="16"/>
  <c r="CL8" i="16"/>
  <c r="BC9" i="16"/>
  <c r="T10" i="16"/>
  <c r="CF10" i="16"/>
  <c r="AW11" i="16"/>
  <c r="DI11" i="16"/>
  <c r="BZ12" i="16"/>
  <c r="AQ13" i="16"/>
  <c r="BT2" i="16"/>
  <c r="BH2" i="24" s="1"/>
  <c r="FG2" i="24" s="1"/>
  <c r="CW3" i="16"/>
  <c r="CK3" i="24" s="1"/>
  <c r="AE5" i="16"/>
  <c r="BH6" i="16"/>
  <c r="CK7" i="16"/>
  <c r="S9" i="16"/>
  <c r="AV10" i="16"/>
  <c r="BX11" i="16"/>
  <c r="BY12" i="16"/>
  <c r="BU13" i="16"/>
  <c r="AV14" i="16"/>
  <c r="W15" i="16"/>
  <c r="CR15" i="16"/>
  <c r="BR16" i="16"/>
  <c r="AR17" i="16"/>
  <c r="R18" i="16"/>
  <c r="CD18" i="16"/>
  <c r="AU19" i="16"/>
  <c r="DG19" i="16"/>
  <c r="BX20" i="16"/>
  <c r="AO21" i="16"/>
  <c r="DA21" i="16"/>
  <c r="BR22" i="16"/>
  <c r="AI23" i="16"/>
  <c r="CU23" i="16"/>
  <c r="BL24" i="16"/>
  <c r="AC25" i="16"/>
  <c r="CO25" i="16"/>
  <c r="BF26" i="16"/>
  <c r="W27" i="16"/>
  <c r="CI27" i="16"/>
  <c r="AZ28" i="16"/>
  <c r="Q29" i="16"/>
  <c r="CC29" i="16"/>
  <c r="AT30" i="16"/>
  <c r="DF30" i="16"/>
  <c r="BW31" i="16"/>
  <c r="AN32" i="16"/>
  <c r="CZ32" i="16"/>
  <c r="BQ33" i="16"/>
  <c r="AH34" i="16"/>
  <c r="CT34" i="16"/>
  <c r="AO2" i="16"/>
  <c r="AC2" i="24" s="1"/>
  <c r="EB2" i="24" s="1"/>
  <c r="BR3" i="16"/>
  <c r="BF3" i="24" s="1"/>
  <c r="CU4" i="16"/>
  <c r="AC6" i="16"/>
  <c r="BF7" i="16"/>
  <c r="CI8" i="16"/>
  <c r="Q10" i="16"/>
  <c r="AT11" i="16"/>
  <c r="BA12" i="16"/>
  <c r="BB13" i="16"/>
  <c r="AE14" i="16"/>
  <c r="CZ14" i="16"/>
  <c r="CA15" i="16"/>
  <c r="BA16" i="16"/>
  <c r="AA17" i="16"/>
  <c r="CV17" i="16"/>
  <c r="BO18" i="16"/>
  <c r="AF19" i="16"/>
  <c r="CR19" i="16"/>
  <c r="BI20" i="16"/>
  <c r="Z21" i="16"/>
  <c r="CL21" i="16"/>
  <c r="BC22" i="16"/>
  <c r="T23" i="16"/>
  <c r="CF23" i="16"/>
  <c r="AW24" i="16"/>
  <c r="DI24" i="16"/>
  <c r="BZ25" i="16"/>
  <c r="AQ26" i="16"/>
  <c r="DC26" i="16"/>
  <c r="BT27" i="16"/>
  <c r="AK28" i="16"/>
  <c r="CW28" i="16"/>
  <c r="BN29" i="16"/>
  <c r="AP2" i="16"/>
  <c r="AD2" i="24" s="1"/>
  <c r="EC2" i="24" s="1"/>
  <c r="BS3" i="16"/>
  <c r="BG3" i="24" s="1"/>
  <c r="CV4" i="16"/>
  <c r="AD6" i="16"/>
  <c r="BG7" i="16"/>
  <c r="CJ8" i="16"/>
  <c r="R10" i="16"/>
  <c r="AU11" i="16"/>
  <c r="BE12" i="16"/>
  <c r="BC13" i="16"/>
  <c r="AF14" i="16"/>
  <c r="DB14" i="16"/>
  <c r="CB15" i="16"/>
  <c r="BB16" i="16"/>
  <c r="AB17" i="16"/>
  <c r="CW17" i="16"/>
  <c r="BP18" i="16"/>
  <c r="AG19" i="16"/>
  <c r="CS19" i="16"/>
  <c r="BJ20" i="16"/>
  <c r="AA21" i="16"/>
  <c r="CM21" i="16"/>
  <c r="BD22" i="16"/>
  <c r="U23" i="16"/>
  <c r="CG23" i="16"/>
  <c r="AX24" i="16"/>
  <c r="O25" i="16"/>
  <c r="CA25" i="16"/>
  <c r="AR26" i="16"/>
  <c r="DD26" i="16"/>
  <c r="AY2" i="16"/>
  <c r="AM2" i="24" s="1"/>
  <c r="EL2" i="24" s="1"/>
  <c r="CB3" i="16"/>
  <c r="BP3" i="24" s="1"/>
  <c r="DE4" i="16"/>
  <c r="AM6" i="16"/>
  <c r="BP7" i="16"/>
  <c r="CS8" i="16"/>
  <c r="AA10" i="16"/>
  <c r="BD11" i="16"/>
  <c r="BM12" i="16"/>
  <c r="BJ13" i="16"/>
  <c r="AL14" i="16"/>
  <c r="DG14" i="16"/>
  <c r="CG15" i="16"/>
  <c r="BH16" i="16"/>
  <c r="AH17" i="16"/>
  <c r="DC17" i="16"/>
  <c r="BU18" i="16"/>
  <c r="AL19" i="16"/>
  <c r="CX19" i="16"/>
  <c r="BO20" i="16"/>
  <c r="AF21" i="16"/>
  <c r="CR21" i="16"/>
  <c r="BI22" i="16"/>
  <c r="Z23" i="16"/>
  <c r="CL23" i="16"/>
  <c r="BC24" i="16"/>
  <c r="T25" i="16"/>
  <c r="CF25" i="16"/>
  <c r="AW26" i="16"/>
  <c r="DI26" i="16"/>
  <c r="BZ27" i="16"/>
  <c r="BZ3" i="16"/>
  <c r="BN3" i="24" s="1"/>
  <c r="AK6" i="16"/>
  <c r="CQ8" i="16"/>
  <c r="BB11" i="16"/>
  <c r="BF13" i="16"/>
  <c r="DE14" i="16"/>
  <c r="BE16" i="16"/>
  <c r="DA17" i="16"/>
  <c r="AJ19" i="16"/>
  <c r="BM20" i="16"/>
  <c r="CP21" i="16"/>
  <c r="X23" i="16"/>
  <c r="BA24" i="16"/>
  <c r="CD25" i="16"/>
  <c r="DG26" i="16"/>
  <c r="S28" i="16"/>
  <c r="DA28" i="16"/>
  <c r="CN29" i="16"/>
  <c r="BQ30" i="16"/>
  <c r="AR31" i="16"/>
  <c r="R32" i="16"/>
  <c r="CM32" i="16"/>
  <c r="BM33" i="16"/>
  <c r="AM34" i="16"/>
  <c r="DH34" i="16"/>
  <c r="CD35" i="16"/>
  <c r="AU36" i="16"/>
  <c r="DG36" i="16"/>
  <c r="BX37" i="16"/>
  <c r="AO38" i="16"/>
  <c r="DA38" i="16"/>
  <c r="BR39" i="16"/>
  <c r="AI40" i="16"/>
  <c r="AU3" i="16"/>
  <c r="AI3" i="24" s="1"/>
  <c r="DA5" i="16"/>
  <c r="BL8" i="16"/>
  <c r="W11" i="16"/>
  <c r="AM13" i="16"/>
  <c r="CN14" i="16"/>
  <c r="AN16" i="16"/>
  <c r="CI17" i="16"/>
  <c r="U19" i="16"/>
  <c r="AX20" i="16"/>
  <c r="CA21" i="16"/>
  <c r="DD22" i="16"/>
  <c r="AL24" i="16"/>
  <c r="BO25" i="16"/>
  <c r="CR26" i="16"/>
  <c r="DE27" i="16"/>
  <c r="CR28" i="16"/>
  <c r="CE29" i="16"/>
  <c r="BI30" i="16"/>
  <c r="AJ31" i="16"/>
  <c r="DE31" i="16"/>
  <c r="CE32" i="16"/>
  <c r="BE33" i="16"/>
  <c r="AE34" i="16"/>
  <c r="CZ34" i="16"/>
  <c r="BW35" i="16"/>
  <c r="AN36" i="16"/>
  <c r="AA2" i="16"/>
  <c r="O2" i="24" s="1"/>
  <c r="DN2" i="24" s="1"/>
  <c r="CG4" i="16"/>
  <c r="AR7" i="16"/>
  <c r="CX9" i="16"/>
  <c r="AR12" i="16"/>
  <c r="X14" i="16"/>
  <c r="BT15" i="16"/>
  <c r="T17" i="16"/>
  <c r="BI18" i="16"/>
  <c r="CL19" i="16"/>
  <c r="T21" i="16"/>
  <c r="AW22" i="16"/>
  <c r="BZ23" i="16"/>
  <c r="DC24" i="16"/>
  <c r="AK26" i="16"/>
  <c r="BI27" i="16"/>
  <c r="BC28" i="16"/>
  <c r="AN29" i="16"/>
  <c r="Z30" i="16"/>
  <c r="CU30" i="16"/>
  <c r="BU31" i="16"/>
  <c r="BL2" i="16"/>
  <c r="AZ2" i="24" s="1"/>
  <c r="EY2" i="24" s="1"/>
  <c r="W5" i="16"/>
  <c r="CC7" i="16"/>
  <c r="AN10" i="16"/>
  <c r="BU12" i="16"/>
  <c r="AR14" i="16"/>
  <c r="CM15" i="16"/>
  <c r="BG4" i="16"/>
  <c r="R7" i="16"/>
  <c r="BX9" i="16"/>
  <c r="U12" i="16"/>
  <c r="DC13" i="16"/>
  <c r="BD15" i="16"/>
  <c r="CQ3" i="16"/>
  <c r="CE3" i="24" s="1"/>
  <c r="BB6" i="16"/>
  <c r="DH8" i="16"/>
  <c r="BS11" i="16"/>
  <c r="BS13" i="16"/>
  <c r="T15" i="16"/>
  <c r="AN3" i="16"/>
  <c r="AB3" i="24" s="1"/>
  <c r="CT5" i="16"/>
  <c r="BE8" i="16"/>
  <c r="P11" i="16"/>
  <c r="AH13" i="16"/>
  <c r="CJ14" i="16"/>
  <c r="AV2" i="16"/>
  <c r="AJ2" i="24" s="1"/>
  <c r="EI2" i="24" s="1"/>
  <c r="DB4" i="16"/>
  <c r="BM7" i="16"/>
  <c r="X10" i="16"/>
  <c r="BG12" i="16"/>
  <c r="AI14" i="16"/>
  <c r="CD15" i="16"/>
  <c r="AD17" i="16"/>
  <c r="BR18" i="16"/>
  <c r="CU19" i="16"/>
  <c r="AC21" i="16"/>
  <c r="BF22" i="16"/>
  <c r="CI23" i="16"/>
  <c r="Q25" i="16"/>
  <c r="AT26" i="16"/>
  <c r="BQ27" i="16"/>
  <c r="BJ28" i="16"/>
  <c r="AU29" i="16"/>
  <c r="AF30" i="16"/>
  <c r="DA30" i="16"/>
  <c r="CA31" i="16"/>
  <c r="BA32" i="16"/>
  <c r="AA33" i="16"/>
  <c r="CV33" i="16"/>
  <c r="BW34" i="16"/>
  <c r="BZ17" i="16"/>
  <c r="AP20" i="16"/>
  <c r="CV22" i="16"/>
  <c r="BG25" i="16"/>
  <c r="DA27" i="16"/>
  <c r="BY29" i="16"/>
  <c r="AE31" i="16"/>
  <c r="BQ32" i="16"/>
  <c r="CJ33" i="16"/>
  <c r="DC34" i="16"/>
  <c r="CS35" i="16"/>
  <c r="CF36" i="16"/>
  <c r="BI37" i="16"/>
  <c r="AI38" i="16"/>
  <c r="DD38" i="16"/>
  <c r="CD39" i="16"/>
  <c r="BD40" i="16"/>
  <c r="V41" i="16"/>
  <c r="CH41" i="16"/>
  <c r="AY42" i="16"/>
  <c r="P43" i="16"/>
  <c r="CB43" i="16"/>
  <c r="AS44" i="16"/>
  <c r="DE44" i="16"/>
  <c r="BV45" i="16"/>
  <c r="AM46" i="16"/>
  <c r="CY46" i="16"/>
  <c r="BP47" i="16"/>
  <c r="AG48" i="16"/>
  <c r="CS48" i="16"/>
  <c r="BJ49" i="16"/>
  <c r="AA50" i="16"/>
  <c r="CM50" i="16"/>
  <c r="BD51" i="16"/>
  <c r="N4" i="16"/>
  <c r="CG16" i="16"/>
  <c r="BH19" i="16"/>
  <c r="S22" i="16"/>
  <c r="BY24" i="16"/>
  <c r="AJ27" i="16"/>
  <c r="V29" i="16"/>
  <c r="U31" i="16"/>
  <c r="AH33" i="16"/>
  <c r="CX35" i="16"/>
  <c r="DF37" i="16"/>
  <c r="CQ39" i="16"/>
  <c r="CK41" i="16"/>
  <c r="AY43" i="16"/>
  <c r="BA45" i="16"/>
  <c r="W47" i="16"/>
  <c r="AZ48" i="16"/>
  <c r="AU17" i="16"/>
  <c r="O20" i="16"/>
  <c r="BU22" i="16"/>
  <c r="AF25" i="16"/>
  <c r="CD27" i="16"/>
  <c r="BD29" i="16"/>
  <c r="DI30" i="16"/>
  <c r="BF32" i="16"/>
  <c r="BX33" i="16"/>
  <c r="CN34" i="16"/>
  <c r="CJ35" i="16"/>
  <c r="BW36" i="16"/>
  <c r="BA37" i="16"/>
  <c r="AA38" i="16"/>
  <c r="CV38" i="16"/>
  <c r="BV39" i="16"/>
  <c r="AV40" i="16"/>
  <c r="O41" i="16"/>
  <c r="CA41" i="16"/>
  <c r="AR42" i="16"/>
  <c r="DD42" i="16"/>
  <c r="BU43" i="16"/>
  <c r="AL44" i="16"/>
  <c r="CX44" i="16"/>
  <c r="BO45" i="16"/>
  <c r="AF46" i="16"/>
  <c r="CR46" i="16"/>
  <c r="BI47" i="16"/>
  <c r="Z48" i="16"/>
  <c r="CL48" i="16"/>
  <c r="BC49" i="16"/>
  <c r="T50" i="16"/>
  <c r="CF50" i="16"/>
  <c r="AW51" i="16"/>
  <c r="DI51" i="16"/>
  <c r="AU32" i="16"/>
  <c r="AS36" i="16"/>
  <c r="BN38" i="16"/>
  <c r="BH40" i="16"/>
  <c r="AT42" i="16"/>
  <c r="CE43" i="16"/>
  <c r="BI45" i="16"/>
  <c r="BC47" i="16"/>
  <c r="AO49" i="16"/>
  <c r="AD18" i="16"/>
  <c r="CJ20" i="16"/>
  <c r="AU23" i="16"/>
  <c r="DA25" i="16"/>
  <c r="AH28" i="16"/>
  <c r="DC29" i="16"/>
  <c r="BD31" i="16"/>
  <c r="CI32" i="16"/>
  <c r="DB33" i="16"/>
  <c r="U35" i="16"/>
  <c r="DG35" i="16"/>
  <c r="CT36" i="16"/>
  <c r="BT37" i="16"/>
  <c r="AT38" i="16"/>
  <c r="T39" i="16"/>
  <c r="CO39" i="16"/>
  <c r="BO40" i="16"/>
  <c r="AF41" i="16"/>
  <c r="CR41" i="16"/>
  <c r="BI42" i="16"/>
  <c r="Z43" i="16"/>
  <c r="CL43" i="16"/>
  <c r="BC44" i="16"/>
  <c r="T45" i="16"/>
  <c r="CF45" i="16"/>
  <c r="AW46" i="16"/>
  <c r="DI46" i="16"/>
  <c r="BZ47" i="16"/>
  <c r="AQ48" i="16"/>
  <c r="DC48" i="16"/>
  <c r="BT49" i="16"/>
  <c r="AK50" i="16"/>
  <c r="CW50" i="16"/>
  <c r="BN51" i="16"/>
  <c r="N22" i="16"/>
  <c r="BH17" i="16"/>
  <c r="BN17" i="16"/>
  <c r="AO17" i="16"/>
  <c r="DD19" i="16"/>
  <c r="BO22" i="16"/>
  <c r="Z25" i="16"/>
  <c r="BY27" i="16"/>
  <c r="BB29" i="16"/>
  <c r="DG30" i="16"/>
  <c r="AZ32" i="16"/>
  <c r="BS33" i="16"/>
  <c r="CK34" i="16"/>
  <c r="CH35" i="16"/>
  <c r="BU36" i="16"/>
  <c r="AX37" i="16"/>
  <c r="X38" i="16"/>
  <c r="CT38" i="16"/>
  <c r="BT39" i="16"/>
  <c r="AT40" i="16"/>
  <c r="DH40" i="16"/>
  <c r="BY41" i="16"/>
  <c r="AP42" i="16"/>
  <c r="DB42" i="16"/>
  <c r="BS43" i="16"/>
  <c r="AJ44" i="16"/>
  <c r="CV44" i="16"/>
  <c r="BM45" i="16"/>
  <c r="AD46" i="16"/>
  <c r="CP46" i="16"/>
  <c r="BG47" i="16"/>
  <c r="X48" i="16"/>
  <c r="CJ48" i="16"/>
  <c r="BA49" i="16"/>
  <c r="R50" i="16"/>
  <c r="CD50" i="16"/>
  <c r="AU51" i="16"/>
  <c r="DG51" i="16"/>
  <c r="CH29" i="16"/>
  <c r="DF34" i="16"/>
  <c r="CD37" i="16"/>
  <c r="CF40" i="16"/>
  <c r="BO43" i="16"/>
  <c r="R46" i="16"/>
  <c r="CN48" i="16"/>
  <c r="Q23" i="16"/>
  <c r="X29" i="16"/>
  <c r="DG32" i="16"/>
  <c r="CY35" i="16"/>
  <c r="AS2" i="16"/>
  <c r="AG2" i="24" s="1"/>
  <c r="EF2" i="24" s="1"/>
  <c r="DE2" i="16"/>
  <c r="CS2" i="24" s="1"/>
  <c r="GR2" i="24" s="1"/>
  <c r="BV3" i="16"/>
  <c r="BJ3" i="24" s="1"/>
  <c r="AM4" i="16"/>
  <c r="CY4" i="16"/>
  <c r="BP5" i="16"/>
  <c r="AG6" i="16"/>
  <c r="CS6" i="16"/>
  <c r="BJ7" i="16"/>
  <c r="AA8" i="16"/>
  <c r="CM8" i="16"/>
  <c r="BD9" i="16"/>
  <c r="U10" i="16"/>
  <c r="CG10" i="16"/>
  <c r="AX11" i="16"/>
  <c r="O12" i="16"/>
  <c r="CA12" i="16"/>
  <c r="AR13" i="16"/>
  <c r="DD13" i="16"/>
  <c r="BU14" i="16"/>
  <c r="AL15" i="16"/>
  <c r="CX15" i="16"/>
  <c r="BO16" i="16"/>
  <c r="AF17" i="16"/>
  <c r="CR17" i="16"/>
  <c r="BJ2" i="16"/>
  <c r="AX2" i="24" s="1"/>
  <c r="EW2" i="24" s="1"/>
  <c r="AA3" i="16"/>
  <c r="O3" i="24" s="1"/>
  <c r="CM3" i="16"/>
  <c r="CA3" i="24" s="1"/>
  <c r="BD4" i="16"/>
  <c r="U5" i="16"/>
  <c r="CG5" i="16"/>
  <c r="AX6" i="16"/>
  <c r="O7" i="16"/>
  <c r="CA7" i="16"/>
  <c r="AR8" i="16"/>
  <c r="DD8" i="16"/>
  <c r="BU9" i="16"/>
  <c r="AL10" i="16"/>
  <c r="CX10" i="16"/>
  <c r="BO11" i="16"/>
  <c r="AF12" i="16"/>
  <c r="CR12" i="16"/>
  <c r="AM2" i="16"/>
  <c r="AA2" i="24" s="1"/>
  <c r="DZ2" i="24" s="1"/>
  <c r="CY2" i="16"/>
  <c r="CM2" i="24" s="1"/>
  <c r="GL2" i="24" s="1"/>
  <c r="BP3" i="16"/>
  <c r="BD3" i="24" s="1"/>
  <c r="AG4" i="16"/>
  <c r="CS4" i="16"/>
  <c r="BJ5" i="16"/>
  <c r="AA6" i="16"/>
  <c r="CM6" i="16"/>
  <c r="BD7" i="16"/>
  <c r="U8" i="16"/>
  <c r="CG8" i="16"/>
  <c r="AX9" i="16"/>
  <c r="O10" i="16"/>
  <c r="CA10" i="16"/>
  <c r="AR11" i="16"/>
  <c r="AZ2" i="16"/>
  <c r="AN2" i="24" s="1"/>
  <c r="EM2" i="24" s="1"/>
  <c r="Q3" i="16"/>
  <c r="E3" i="24" s="1"/>
  <c r="CC3" i="16"/>
  <c r="BQ3" i="24" s="1"/>
  <c r="AT4" i="16"/>
  <c r="DF4" i="16"/>
  <c r="BW5" i="16"/>
  <c r="AN6" i="16"/>
  <c r="CZ6" i="16"/>
  <c r="BQ7" i="16"/>
  <c r="AH8" i="16"/>
  <c r="CT8" i="16"/>
  <c r="BK9" i="16"/>
  <c r="AB10" i="16"/>
  <c r="CN10" i="16"/>
  <c r="BE11" i="16"/>
  <c r="V12" i="16"/>
  <c r="CH12" i="16"/>
  <c r="AY13" i="16"/>
  <c r="CJ2" i="16"/>
  <c r="BX2" i="24" s="1"/>
  <c r="FW2" i="24" s="1"/>
  <c r="R4" i="16"/>
  <c r="AU5" i="16"/>
  <c r="BX6" i="16"/>
  <c r="DA7" i="16"/>
  <c r="AI9" i="16"/>
  <c r="BL10" i="16"/>
  <c r="CI11" i="16"/>
  <c r="CM12" i="16"/>
  <c r="CE13" i="16"/>
  <c r="BF14" i="16"/>
  <c r="AF15" i="16"/>
  <c r="DA15" i="16"/>
  <c r="CA16" i="16"/>
  <c r="BA17" i="16"/>
  <c r="Z18" i="16"/>
  <c r="CL18" i="16"/>
  <c r="BC19" i="16"/>
  <c r="T20" i="16"/>
  <c r="CF20" i="16"/>
  <c r="AW21" i="16"/>
  <c r="DI21" i="16"/>
  <c r="BZ22" i="16"/>
  <c r="AQ23" i="16"/>
  <c r="DC23" i="16"/>
  <c r="BT24" i="16"/>
  <c r="AK25" i="16"/>
  <c r="CW25" i="16"/>
  <c r="BN26" i="16"/>
  <c r="AE27" i="16"/>
  <c r="CQ27" i="16"/>
  <c r="BH28" i="16"/>
  <c r="Y29" i="16"/>
  <c r="CK29" i="16"/>
  <c r="BB30" i="16"/>
  <c r="S31" i="16"/>
  <c r="CE31" i="16"/>
  <c r="AV32" i="16"/>
  <c r="DH32" i="16"/>
  <c r="BY33" i="16"/>
  <c r="AP34" i="16"/>
  <c r="DB34" i="16"/>
  <c r="BE2" i="16"/>
  <c r="AS2" i="24" s="1"/>
  <c r="ER2" i="24" s="1"/>
  <c r="CH3" i="16"/>
  <c r="BV3" i="24" s="1"/>
  <c r="P5" i="16"/>
  <c r="AS6" i="16"/>
  <c r="BV7" i="16"/>
  <c r="CY8" i="16"/>
  <c r="AG10" i="16"/>
  <c r="BJ11" i="16"/>
  <c r="BO12" i="16"/>
  <c r="BL13" i="16"/>
  <c r="AN14" i="16"/>
  <c r="O15" i="16"/>
  <c r="CJ15" i="16"/>
  <c r="BJ16" i="16"/>
  <c r="AJ17" i="16"/>
  <c r="DE17" i="16"/>
  <c r="BW18" i="16"/>
  <c r="AN19" i="16"/>
  <c r="CZ19" i="16"/>
  <c r="BQ20" i="16"/>
  <c r="AH21" i="16"/>
  <c r="BA2" i="16"/>
  <c r="AO2" i="24" s="1"/>
  <c r="EN2" i="24" s="1"/>
  <c r="R3" i="16"/>
  <c r="F3" i="24" s="1"/>
  <c r="CD3" i="16"/>
  <c r="BR3" i="24" s="1"/>
  <c r="AU4" i="16"/>
  <c r="DG4" i="16"/>
  <c r="BX5" i="16"/>
  <c r="AO6" i="16"/>
  <c r="DA6" i="16"/>
  <c r="BR7" i="16"/>
  <c r="AI8" i="16"/>
  <c r="CU8" i="16"/>
  <c r="BL9" i="16"/>
  <c r="AC10" i="16"/>
  <c r="CO10" i="16"/>
  <c r="BF11" i="16"/>
  <c r="W12" i="16"/>
  <c r="CI12" i="16"/>
  <c r="AZ13" i="16"/>
  <c r="Q14" i="16"/>
  <c r="CC14" i="16"/>
  <c r="AT15" i="16"/>
  <c r="DF15" i="16"/>
  <c r="BW16" i="16"/>
  <c r="AN17" i="16"/>
  <c r="CZ17" i="16"/>
  <c r="BR2" i="16"/>
  <c r="BF2" i="24" s="1"/>
  <c r="FE2" i="24" s="1"/>
  <c r="AI3" i="16"/>
  <c r="W3" i="24" s="1"/>
  <c r="CU3" i="16"/>
  <c r="CI3" i="24" s="1"/>
  <c r="BL4" i="16"/>
  <c r="AC5" i="16"/>
  <c r="CO5" i="16"/>
  <c r="BF6" i="16"/>
  <c r="W7" i="16"/>
  <c r="CI7" i="16"/>
  <c r="AZ8" i="16"/>
  <c r="Q9" i="16"/>
  <c r="CC9" i="16"/>
  <c r="AT10" i="16"/>
  <c r="DF10" i="16"/>
  <c r="BW11" i="16"/>
  <c r="AN12" i="16"/>
  <c r="CZ12" i="16"/>
  <c r="AU2" i="16"/>
  <c r="AI2" i="24" s="1"/>
  <c r="EH2" i="24" s="1"/>
  <c r="EH3" i="24" s="1"/>
  <c r="DG2" i="16"/>
  <c r="CU2" i="24" s="1"/>
  <c r="GT2" i="24" s="1"/>
  <c r="BX3" i="16"/>
  <c r="BL3" i="24" s="1"/>
  <c r="AO4" i="16"/>
  <c r="DA4" i="16"/>
  <c r="BR5" i="16"/>
  <c r="AI6" i="16"/>
  <c r="CU6" i="16"/>
  <c r="BL7" i="16"/>
  <c r="AC8" i="16"/>
  <c r="CO8" i="16"/>
  <c r="BF9" i="16"/>
  <c r="W10" i="16"/>
  <c r="CI10" i="16"/>
  <c r="AZ11" i="16"/>
  <c r="BH2" i="16"/>
  <c r="AV2" i="24" s="1"/>
  <c r="EU2" i="24" s="1"/>
  <c r="EU3" i="24" s="1"/>
  <c r="Y3" i="16"/>
  <c r="M3" i="24" s="1"/>
  <c r="CK3" i="16"/>
  <c r="BY3" i="24" s="1"/>
  <c r="BB4" i="16"/>
  <c r="S5" i="16"/>
  <c r="CE5" i="16"/>
  <c r="AV6" i="16"/>
  <c r="DH6" i="16"/>
  <c r="BY7" i="16"/>
  <c r="AP8" i="16"/>
  <c r="DB8" i="16"/>
  <c r="BS9" i="16"/>
  <c r="AJ10" i="16"/>
  <c r="CV10" i="16"/>
  <c r="BM11" i="16"/>
  <c r="AD12" i="16"/>
  <c r="CP12" i="16"/>
  <c r="BG13" i="16"/>
  <c r="CZ2" i="16"/>
  <c r="CN2" i="24" s="1"/>
  <c r="GM2" i="24" s="1"/>
  <c r="AH4" i="16"/>
  <c r="BK5" i="16"/>
  <c r="CN6" i="16"/>
  <c r="V8" i="16"/>
  <c r="AY9" i="16"/>
  <c r="CB10" i="16"/>
  <c r="CW11" i="16"/>
  <c r="DA12" i="16"/>
  <c r="CO13" i="16"/>
  <c r="BO14" i="16"/>
  <c r="AO15" i="16"/>
  <c r="O16" i="16"/>
  <c r="CJ16" i="16"/>
  <c r="BJ17" i="16"/>
  <c r="AH18" i="16"/>
  <c r="CT18" i="16"/>
  <c r="BK19" i="16"/>
  <c r="AB20" i="16"/>
  <c r="CN20" i="16"/>
  <c r="BE21" i="16"/>
  <c r="V22" i="16"/>
  <c r="CH22" i="16"/>
  <c r="AY23" i="16"/>
  <c r="P24" i="16"/>
  <c r="CB24" i="16"/>
  <c r="AS25" i="16"/>
  <c r="DE25" i="16"/>
  <c r="BV26" i="16"/>
  <c r="AM27" i="16"/>
  <c r="CY27" i="16"/>
  <c r="BP28" i="16"/>
  <c r="AG29" i="16"/>
  <c r="CS29" i="16"/>
  <c r="BJ30" i="16"/>
  <c r="AA31" i="16"/>
  <c r="CM31" i="16"/>
  <c r="BD32" i="16"/>
  <c r="U33" i="16"/>
  <c r="CG33" i="16"/>
  <c r="AX34" i="16"/>
  <c r="O35" i="16"/>
  <c r="BU2" i="16"/>
  <c r="BI2" i="24" s="1"/>
  <c r="FH2" i="24" s="1"/>
  <c r="CX3" i="16"/>
  <c r="CL3" i="24" s="1"/>
  <c r="GK3" i="24" s="1"/>
  <c r="AF5" i="16"/>
  <c r="BI6" i="16"/>
  <c r="CL7" i="16"/>
  <c r="T9" i="16"/>
  <c r="AW10" i="16"/>
  <c r="BY11" i="16"/>
  <c r="CC12" i="16"/>
  <c r="BV13" i="16"/>
  <c r="AX14" i="16"/>
  <c r="X15" i="16"/>
  <c r="CS15" i="16"/>
  <c r="BS16" i="16"/>
  <c r="AS17" i="16"/>
  <c r="S18" i="16"/>
  <c r="CE18" i="16"/>
  <c r="AV19" i="16"/>
  <c r="DH19" i="16"/>
  <c r="BY20" i="16"/>
  <c r="AP21" i="16"/>
  <c r="DB21" i="16"/>
  <c r="BS22" i="16"/>
  <c r="AJ23" i="16"/>
  <c r="CV23" i="16"/>
  <c r="BM24" i="16"/>
  <c r="BI2" i="16"/>
  <c r="AW2" i="24" s="1"/>
  <c r="EV2" i="24" s="1"/>
  <c r="Z3" i="16"/>
  <c r="N3" i="24" s="1"/>
  <c r="CL3" i="16"/>
  <c r="BZ3" i="24" s="1"/>
  <c r="BC4" i="16"/>
  <c r="T5" i="16"/>
  <c r="CF5" i="16"/>
  <c r="AW6" i="16"/>
  <c r="DI6" i="16"/>
  <c r="BZ7" i="16"/>
  <c r="AQ8" i="16"/>
  <c r="DC8" i="16"/>
  <c r="BT9" i="16"/>
  <c r="AK10" i="16"/>
  <c r="CW10" i="16"/>
  <c r="BN11" i="16"/>
  <c r="AE12" i="16"/>
  <c r="CQ12" i="16"/>
  <c r="BH13" i="16"/>
  <c r="Y14" i="16"/>
  <c r="CK14" i="16"/>
  <c r="BB15" i="16"/>
  <c r="S16" i="16"/>
  <c r="CE16" i="16"/>
  <c r="AV17" i="16"/>
  <c r="DH17" i="16"/>
  <c r="BZ2" i="16"/>
  <c r="BN2" i="24" s="1"/>
  <c r="FM2" i="24" s="1"/>
  <c r="AQ3" i="16"/>
  <c r="AE3" i="24" s="1"/>
  <c r="DC3" i="16"/>
  <c r="CQ3" i="24" s="1"/>
  <c r="BT4" i="16"/>
  <c r="AK5" i="16"/>
  <c r="CW5" i="16"/>
  <c r="BN6" i="16"/>
  <c r="AE7" i="16"/>
  <c r="CQ7" i="16"/>
  <c r="BH8" i="16"/>
  <c r="Y9" i="16"/>
  <c r="CK9" i="16"/>
  <c r="BB10" i="16"/>
  <c r="S11" i="16"/>
  <c r="CE11" i="16"/>
  <c r="AV12" i="16"/>
  <c r="DH12" i="16"/>
  <c r="BC2" i="16"/>
  <c r="AQ2" i="24" s="1"/>
  <c r="EP2" i="24" s="1"/>
  <c r="T3" i="16"/>
  <c r="H3" i="24" s="1"/>
  <c r="CF3" i="16"/>
  <c r="BT3" i="24" s="1"/>
  <c r="AW4" i="16"/>
  <c r="DI4" i="16"/>
  <c r="BZ5" i="16"/>
  <c r="AQ6" i="16"/>
  <c r="DC6" i="16"/>
  <c r="BT7" i="16"/>
  <c r="AK8" i="16"/>
  <c r="CW8" i="16"/>
  <c r="BN9" i="16"/>
  <c r="AE10" i="16"/>
  <c r="CQ10" i="16"/>
  <c r="BH11" i="16"/>
  <c r="BP2" i="16"/>
  <c r="BD2" i="24" s="1"/>
  <c r="FC2" i="24" s="1"/>
  <c r="AG3" i="16"/>
  <c r="U3" i="24" s="1"/>
  <c r="CS3" i="16"/>
  <c r="CG3" i="24" s="1"/>
  <c r="BJ4" i="16"/>
  <c r="AA5" i="16"/>
  <c r="CM5" i="16"/>
  <c r="BD6" i="16"/>
  <c r="U7" i="16"/>
  <c r="CG7" i="16"/>
  <c r="AX8" i="16"/>
  <c r="O9" i="16"/>
  <c r="CA9" i="16"/>
  <c r="AR10" i="16"/>
  <c r="DD10" i="16"/>
  <c r="BU11" i="16"/>
  <c r="AL12" i="16"/>
  <c r="CX12" i="16"/>
  <c r="BO13" i="16"/>
  <c r="U3" i="16"/>
  <c r="I3" i="24" s="1"/>
  <c r="AX4" i="16"/>
  <c r="CA5" i="16"/>
  <c r="DD6" i="16"/>
  <c r="AL8" i="16"/>
  <c r="BO9" i="16"/>
  <c r="CR10" i="16"/>
  <c r="DH11" i="16"/>
  <c r="Q13" i="16"/>
  <c r="CX13" i="16"/>
  <c r="BX14" i="16"/>
  <c r="AX15" i="16"/>
  <c r="X16" i="16"/>
  <c r="CS16" i="16"/>
  <c r="BS17" i="16"/>
  <c r="AP18" i="16"/>
  <c r="DB18" i="16"/>
  <c r="BS19" i="16"/>
  <c r="AJ20" i="16"/>
  <c r="CV20" i="16"/>
  <c r="BM21" i="16"/>
  <c r="AD22" i="16"/>
  <c r="CP22" i="16"/>
  <c r="BG23" i="16"/>
  <c r="X24" i="16"/>
  <c r="CJ24" i="16"/>
  <c r="BA25" i="16"/>
  <c r="R26" i="16"/>
  <c r="CD26" i="16"/>
  <c r="AU27" i="16"/>
  <c r="DG27" i="16"/>
  <c r="BX28" i="16"/>
  <c r="AO29" i="16"/>
  <c r="DA29" i="16"/>
  <c r="BR30" i="16"/>
  <c r="AI31" i="16"/>
  <c r="CU31" i="16"/>
  <c r="BL32" i="16"/>
  <c r="AC33" i="16"/>
  <c r="CO33" i="16"/>
  <c r="BF34" i="16"/>
  <c r="W35" i="16"/>
  <c r="CK2" i="16"/>
  <c r="BY2" i="24" s="1"/>
  <c r="FX2" i="24" s="1"/>
  <c r="S4" i="16"/>
  <c r="AV5" i="16"/>
  <c r="BY6" i="16"/>
  <c r="DB7" i="16"/>
  <c r="AJ9" i="16"/>
  <c r="BM10" i="16"/>
  <c r="CJ11" i="16"/>
  <c r="CN12" i="16"/>
  <c r="CG13" i="16"/>
  <c r="BG14" i="16"/>
  <c r="AG15" i="16"/>
  <c r="DB15" i="16"/>
  <c r="CB16" i="16"/>
  <c r="BB17" i="16"/>
  <c r="AA18" i="16"/>
  <c r="CM18" i="16"/>
  <c r="BD19" i="16"/>
  <c r="U20" i="16"/>
  <c r="CG20" i="16"/>
  <c r="AX21" i="16"/>
  <c r="O22" i="16"/>
  <c r="CA22" i="16"/>
  <c r="AR23" i="16"/>
  <c r="DD23" i="16"/>
  <c r="BU24" i="16"/>
  <c r="AL25" i="16"/>
  <c r="BQ2" i="16"/>
  <c r="BE2" i="24" s="1"/>
  <c r="FD2" i="24" s="1"/>
  <c r="AH3" i="16"/>
  <c r="V3" i="24" s="1"/>
  <c r="CT3" i="16"/>
  <c r="CH3" i="24" s="1"/>
  <c r="BK4" i="16"/>
  <c r="AB5" i="16"/>
  <c r="CN5" i="16"/>
  <c r="BE6" i="16"/>
  <c r="V7" i="16"/>
  <c r="CH7" i="16"/>
  <c r="AY8" i="16"/>
  <c r="P9" i="16"/>
  <c r="CB9" i="16"/>
  <c r="AS10" i="16"/>
  <c r="DE10" i="16"/>
  <c r="BV11" i="16"/>
  <c r="AM12" i="16"/>
  <c r="CY12" i="16"/>
  <c r="BP13" i="16"/>
  <c r="AG14" i="16"/>
  <c r="CS14" i="16"/>
  <c r="BJ15" i="16"/>
  <c r="AA16" i="16"/>
  <c r="CM16" i="16"/>
  <c r="BD17" i="16"/>
  <c r="V2" i="16"/>
  <c r="J2" i="24" s="1"/>
  <c r="DI2" i="24" s="1"/>
  <c r="CH2" i="16"/>
  <c r="BV2" i="24" s="1"/>
  <c r="FU2" i="24" s="1"/>
  <c r="AY3" i="16"/>
  <c r="AM3" i="24" s="1"/>
  <c r="P4" i="16"/>
  <c r="CB4" i="16"/>
  <c r="AS5" i="16"/>
  <c r="DE5" i="16"/>
  <c r="BV6" i="16"/>
  <c r="AM7" i="16"/>
  <c r="CY7" i="16"/>
  <c r="BP8" i="16"/>
  <c r="AG9" i="16"/>
  <c r="CS9" i="16"/>
  <c r="BJ10" i="16"/>
  <c r="AA11" i="16"/>
  <c r="CM11" i="16"/>
  <c r="BD12" i="16"/>
  <c r="U13" i="16"/>
  <c r="BK2" i="16"/>
  <c r="AY2" i="24" s="1"/>
  <c r="EX2" i="24" s="1"/>
  <c r="AB3" i="16"/>
  <c r="P3" i="24" s="1"/>
  <c r="CN3" i="16"/>
  <c r="CB3" i="24" s="1"/>
  <c r="BE4" i="16"/>
  <c r="V5" i="16"/>
  <c r="CH5" i="16"/>
  <c r="AY6" i="16"/>
  <c r="P7" i="16"/>
  <c r="CB7" i="16"/>
  <c r="AS8" i="16"/>
  <c r="DE8" i="16"/>
  <c r="BV9" i="16"/>
  <c r="AM10" i="16"/>
  <c r="CY10" i="16"/>
  <c r="BP11" i="16"/>
  <c r="BX2" i="16"/>
  <c r="BL2" i="24" s="1"/>
  <c r="FK2" i="24" s="1"/>
  <c r="AO3" i="16"/>
  <c r="AC3" i="24" s="1"/>
  <c r="DA3" i="16"/>
  <c r="CO3" i="24" s="1"/>
  <c r="BR4" i="16"/>
  <c r="AI5" i="16"/>
  <c r="CU5" i="16"/>
  <c r="BL6" i="16"/>
  <c r="AC7" i="16"/>
  <c r="CO7" i="16"/>
  <c r="BF8" i="16"/>
  <c r="W9" i="16"/>
  <c r="CI9" i="16"/>
  <c r="AZ10" i="16"/>
  <c r="Q11" i="16"/>
  <c r="CC11" i="16"/>
  <c r="AT12" i="16"/>
  <c r="DF12" i="16"/>
  <c r="BW13" i="16"/>
  <c r="AK3" i="16"/>
  <c r="Y3" i="24" s="1"/>
  <c r="BN4" i="16"/>
  <c r="CQ5" i="16"/>
  <c r="Y7" i="16"/>
  <c r="BB8" i="16"/>
  <c r="CE9" i="16"/>
  <c r="DH10" i="16"/>
  <c r="AA12" i="16"/>
  <c r="AE13" i="16"/>
  <c r="DG13" i="16"/>
  <c r="CG14" i="16"/>
  <c r="BG15" i="16"/>
  <c r="AG16" i="16"/>
  <c r="DB16" i="16"/>
  <c r="CC17" i="16"/>
  <c r="AX18" i="16"/>
  <c r="O19" i="16"/>
  <c r="CA19" i="16"/>
  <c r="AR20" i="16"/>
  <c r="DD20" i="16"/>
  <c r="BU21" i="16"/>
  <c r="AL22" i="16"/>
  <c r="CX22" i="16"/>
  <c r="BO23" i="16"/>
  <c r="AF24" i="16"/>
  <c r="CR24" i="16"/>
  <c r="BI25" i="16"/>
  <c r="Z26" i="16"/>
  <c r="CL26" i="16"/>
  <c r="BC27" i="16"/>
  <c r="T28" i="16"/>
  <c r="CF28" i="16"/>
  <c r="AW29" i="16"/>
  <c r="DI29" i="16"/>
  <c r="BZ30" i="16"/>
  <c r="AQ31" i="16"/>
  <c r="DC31" i="16"/>
  <c r="BT32" i="16"/>
  <c r="AK33" i="16"/>
  <c r="CW33" i="16"/>
  <c r="BN34" i="16"/>
  <c r="AE35" i="16"/>
  <c r="DA2" i="16"/>
  <c r="CO2" i="24" s="1"/>
  <c r="GN2" i="24" s="1"/>
  <c r="AI4" i="16"/>
  <c r="BL5" i="16"/>
  <c r="CO6" i="16"/>
  <c r="W8" i="16"/>
  <c r="AZ9" i="16"/>
  <c r="CC10" i="16"/>
  <c r="CX11" i="16"/>
  <c r="DB12" i="16"/>
  <c r="CP13" i="16"/>
  <c r="BP14" i="16"/>
  <c r="AP15" i="16"/>
  <c r="P16" i="16"/>
  <c r="CK16" i="16"/>
  <c r="BK17" i="16"/>
  <c r="AI18" i="16"/>
  <c r="CU18" i="16"/>
  <c r="BY2" i="16"/>
  <c r="BM2" i="24" s="1"/>
  <c r="FL2" i="24" s="1"/>
  <c r="AP3" i="16"/>
  <c r="AD3" i="24" s="1"/>
  <c r="DB3" i="16"/>
  <c r="CP3" i="24" s="1"/>
  <c r="BS4" i="16"/>
  <c r="AJ5" i="16"/>
  <c r="CV5" i="16"/>
  <c r="BM6" i="16"/>
  <c r="AD7" i="16"/>
  <c r="CP7" i="16"/>
  <c r="BG8" i="16"/>
  <c r="X9" i="16"/>
  <c r="CJ9" i="16"/>
  <c r="BA10" i="16"/>
  <c r="R11" i="16"/>
  <c r="CD11" i="16"/>
  <c r="AU12" i="16"/>
  <c r="DG12" i="16"/>
  <c r="BX13" i="16"/>
  <c r="AO14" i="16"/>
  <c r="DA14" i="16"/>
  <c r="BR15" i="16"/>
  <c r="AI16" i="16"/>
  <c r="CU16" i="16"/>
  <c r="BL17" i="16"/>
  <c r="AD2" i="16"/>
  <c r="R2" i="24" s="1"/>
  <c r="DQ2" i="24" s="1"/>
  <c r="CP2" i="16"/>
  <c r="CD2" i="24" s="1"/>
  <c r="GC2" i="24" s="1"/>
  <c r="BG3" i="16"/>
  <c r="AU3" i="24" s="1"/>
  <c r="X4" i="16"/>
  <c r="CJ4" i="16"/>
  <c r="BA5" i="16"/>
  <c r="R6" i="16"/>
  <c r="CD6" i="16"/>
  <c r="AU7" i="16"/>
  <c r="DG7" i="16"/>
  <c r="BX8" i="16"/>
  <c r="AO9" i="16"/>
  <c r="DA9" i="16"/>
  <c r="BR10" i="16"/>
  <c r="AI11" i="16"/>
  <c r="CU11" i="16"/>
  <c r="BL12" i="16"/>
  <c r="AC13" i="16"/>
  <c r="BS2" i="16"/>
  <c r="BG2" i="24" s="1"/>
  <c r="FF2" i="24" s="1"/>
  <c r="AJ3" i="16"/>
  <c r="X3" i="24" s="1"/>
  <c r="CV3" i="16"/>
  <c r="CJ3" i="24" s="1"/>
  <c r="BM4" i="16"/>
  <c r="AD5" i="16"/>
  <c r="CP5" i="16"/>
  <c r="BG6" i="16"/>
  <c r="X7" i="16"/>
  <c r="CJ7" i="16"/>
  <c r="BA8" i="16"/>
  <c r="R9" i="16"/>
  <c r="CD9" i="16"/>
  <c r="AU10" i="16"/>
  <c r="DG10" i="16"/>
  <c r="T2" i="16"/>
  <c r="H2" i="24" s="1"/>
  <c r="DG2" i="24" s="1"/>
  <c r="CF2" i="16"/>
  <c r="BT2" i="24" s="1"/>
  <c r="FS2" i="24" s="1"/>
  <c r="AW3" i="16"/>
  <c r="AK3" i="24" s="1"/>
  <c r="DI3" i="16"/>
  <c r="CW3" i="24" s="1"/>
  <c r="BZ4" i="16"/>
  <c r="AQ5" i="16"/>
  <c r="DC5" i="16"/>
  <c r="BT6" i="16"/>
  <c r="AK7" i="16"/>
  <c r="CW7" i="16"/>
  <c r="BN8" i="16"/>
  <c r="AE9" i="16"/>
  <c r="CQ9" i="16"/>
  <c r="BH10" i="16"/>
  <c r="Y11" i="16"/>
  <c r="CK11" i="16"/>
  <c r="BB12" i="16"/>
  <c r="S13" i="16"/>
  <c r="X2" i="16"/>
  <c r="L2" i="24" s="1"/>
  <c r="DK2" i="24" s="1"/>
  <c r="BA3" i="16"/>
  <c r="AO3" i="24" s="1"/>
  <c r="CD4" i="16"/>
  <c r="DG5" i="16"/>
  <c r="AO7" i="16"/>
  <c r="BR8" i="16"/>
  <c r="CU9" i="16"/>
  <c r="AC11" i="16"/>
  <c r="AO12" i="16"/>
  <c r="AO13" i="16"/>
  <c r="U14" i="16"/>
  <c r="CP14" i="16"/>
  <c r="BP15" i="16"/>
  <c r="AP16" i="16"/>
  <c r="Q17" i="16"/>
  <c r="CL17" i="16"/>
  <c r="BF18" i="16"/>
  <c r="W19" i="16"/>
  <c r="CI19" i="16"/>
  <c r="AZ20" i="16"/>
  <c r="Q21" i="16"/>
  <c r="CC21" i="16"/>
  <c r="AT22" i="16"/>
  <c r="DF22" i="16"/>
  <c r="BW23" i="16"/>
  <c r="AN24" i="16"/>
  <c r="CZ24" i="16"/>
  <c r="BQ25" i="16"/>
  <c r="AH26" i="16"/>
  <c r="CT26" i="16"/>
  <c r="BK27" i="16"/>
  <c r="AB28" i="16"/>
  <c r="CN28" i="16"/>
  <c r="BE29" i="16"/>
  <c r="V30" i="16"/>
  <c r="CH30" i="16"/>
  <c r="AY31" i="16"/>
  <c r="P32" i="16"/>
  <c r="CB32" i="16"/>
  <c r="AS33" i="16"/>
  <c r="DE33" i="16"/>
  <c r="BV34" i="16"/>
  <c r="AM35" i="16"/>
  <c r="V3" i="16"/>
  <c r="J3" i="24" s="1"/>
  <c r="AY4" i="16"/>
  <c r="CB5" i="16"/>
  <c r="DE6" i="16"/>
  <c r="AM8" i="16"/>
  <c r="BP9" i="16"/>
  <c r="CS10" i="16"/>
  <c r="Q12" i="16"/>
  <c r="R13" i="16"/>
  <c r="CY13" i="16"/>
  <c r="BY14" i="16"/>
  <c r="AY15" i="16"/>
  <c r="Y16" i="16"/>
  <c r="CT16" i="16"/>
  <c r="BU17" i="16"/>
  <c r="AQ18" i="16"/>
  <c r="DC18" i="16"/>
  <c r="BT19" i="16"/>
  <c r="AK20" i="16"/>
  <c r="CW20" i="16"/>
  <c r="BN21" i="16"/>
  <c r="AE22" i="16"/>
  <c r="CQ22" i="16"/>
  <c r="BH23" i="16"/>
  <c r="Y24" i="16"/>
  <c r="CK24" i="16"/>
  <c r="BB25" i="16"/>
  <c r="S26" i="16"/>
  <c r="CE26" i="16"/>
  <c r="AV27" i="16"/>
  <c r="DH27" i="16"/>
  <c r="BY28" i="16"/>
  <c r="AP29" i="16"/>
  <c r="DB29" i="16"/>
  <c r="W3" i="16"/>
  <c r="K3" i="24" s="1"/>
  <c r="AZ4" i="16"/>
  <c r="CC5" i="16"/>
  <c r="DF6" i="16"/>
  <c r="AN8" i="16"/>
  <c r="BQ9" i="16"/>
  <c r="CT10" i="16"/>
  <c r="R12" i="16"/>
  <c r="V13" i="16"/>
  <c r="CZ13" i="16"/>
  <c r="BZ14" i="16"/>
  <c r="AZ15" i="16"/>
  <c r="Z16" i="16"/>
  <c r="CV16" i="16"/>
  <c r="BV17" i="16"/>
  <c r="AR18" i="16"/>
  <c r="DD18" i="16"/>
  <c r="BU19" i="16"/>
  <c r="AL20" i="16"/>
  <c r="CX20" i="16"/>
  <c r="BO21" i="16"/>
  <c r="AF22" i="16"/>
  <c r="CR22" i="16"/>
  <c r="BI23" i="16"/>
  <c r="Z24" i="16"/>
  <c r="CL24" i="16"/>
  <c r="BC25" i="16"/>
  <c r="T26" i="16"/>
  <c r="CF26" i="16"/>
  <c r="AW27" i="16"/>
  <c r="AF3" i="16"/>
  <c r="T3" i="24" s="1"/>
  <c r="BI4" i="16"/>
  <c r="CL5" i="16"/>
  <c r="T7" i="16"/>
  <c r="AW8" i="16"/>
  <c r="BZ9" i="16"/>
  <c r="DC10" i="16"/>
  <c r="Z12" i="16"/>
  <c r="AD13" i="16"/>
  <c r="DF13" i="16"/>
  <c r="CF14" i="16"/>
  <c r="BF15" i="16"/>
  <c r="AF16" i="16"/>
  <c r="DA16" i="16"/>
  <c r="CA17" i="16"/>
  <c r="AW18" i="16"/>
  <c r="DI18" i="16"/>
  <c r="BZ19" i="16"/>
  <c r="AQ20" i="16"/>
  <c r="DC20" i="16"/>
  <c r="BT21" i="16"/>
  <c r="AK22" i="16"/>
  <c r="CW22" i="16"/>
  <c r="BN23" i="16"/>
  <c r="AE24" i="16"/>
  <c r="CQ24" i="16"/>
  <c r="BH25" i="16"/>
  <c r="Y26" i="16"/>
  <c r="CK26" i="16"/>
  <c r="BB27" i="16"/>
  <c r="CC2" i="16"/>
  <c r="BQ2" i="24" s="1"/>
  <c r="FP2" i="24" s="1"/>
  <c r="AN5" i="16"/>
  <c r="CT7" i="16"/>
  <c r="BE10" i="16"/>
  <c r="CG12" i="16"/>
  <c r="BB14" i="16"/>
  <c r="CW15" i="16"/>
  <c r="AX17" i="16"/>
  <c r="CI18" i="16"/>
  <c r="Q20" i="16"/>
  <c r="AT21" i="16"/>
  <c r="BW22" i="16"/>
  <c r="CZ23" i="16"/>
  <c r="AH25" i="16"/>
  <c r="BK26" i="16"/>
  <c r="CF27" i="16"/>
  <c r="BU28" i="16"/>
  <c r="BH29" i="16"/>
  <c r="AP30" i="16"/>
  <c r="P31" i="16"/>
  <c r="CK31" i="16"/>
  <c r="BK32" i="16"/>
  <c r="AL33" i="16"/>
  <c r="DG33" i="16"/>
  <c r="CG34" i="16"/>
  <c r="BF35" i="16"/>
  <c r="W36" i="16"/>
  <c r="CI36" i="16"/>
  <c r="AZ37" i="16"/>
  <c r="Q38" i="16"/>
  <c r="CC38" i="16"/>
  <c r="AT39" i="16"/>
  <c r="DF39" i="16"/>
  <c r="AX2" i="16"/>
  <c r="AL2" i="24" s="1"/>
  <c r="EK2" i="24" s="1"/>
  <c r="DD4" i="16"/>
  <c r="BO7" i="16"/>
  <c r="Z10" i="16"/>
  <c r="BI12" i="16"/>
  <c r="AK14" i="16"/>
  <c r="CF15" i="16"/>
  <c r="AG17" i="16"/>
  <c r="BT18" i="16"/>
  <c r="CW19" i="16"/>
  <c r="AE21" i="16"/>
  <c r="BH22" i="16"/>
  <c r="CK23" i="16"/>
  <c r="S25" i="16"/>
  <c r="AV26" i="16"/>
  <c r="BV27" i="16"/>
  <c r="BL28" i="16"/>
  <c r="AY29" i="16"/>
  <c r="AH30" i="16"/>
  <c r="DC30" i="16"/>
  <c r="CC31" i="16"/>
  <c r="BC32" i="16"/>
  <c r="AD33" i="16"/>
  <c r="CY33" i="16"/>
  <c r="BY34" i="16"/>
  <c r="AY35" i="16"/>
  <c r="P36" i="16"/>
  <c r="CB36" i="16"/>
  <c r="CJ3" i="16"/>
  <c r="BX3" i="24" s="1"/>
  <c r="AU6" i="16"/>
  <c r="DA8" i="16"/>
  <c r="BL11" i="16"/>
  <c r="BN13" i="16"/>
  <c r="Q15" i="16"/>
  <c r="BL16" i="16"/>
  <c r="DG17" i="16"/>
  <c r="AP19" i="16"/>
  <c r="BS20" i="16"/>
  <c r="CV21" i="16"/>
  <c r="AD23" i="16"/>
  <c r="BG24" i="16"/>
  <c r="CJ25" i="16"/>
  <c r="R27" i="16"/>
  <c r="W28" i="16"/>
  <c r="DC28" i="16"/>
  <c r="CP29" i="16"/>
  <c r="BT30" i="16"/>
  <c r="AT31" i="16"/>
  <c r="T32" i="16"/>
  <c r="Z4" i="16"/>
  <c r="CF6" i="16"/>
  <c r="AQ9" i="16"/>
  <c r="CP11" i="16"/>
  <c r="CJ13" i="16"/>
  <c r="AJ15" i="16"/>
  <c r="BJ3" i="16"/>
  <c r="AX3" i="24" s="1"/>
  <c r="U6" i="16"/>
  <c r="CA8" i="16"/>
  <c r="AL11" i="16"/>
  <c r="AV13" i="16"/>
  <c r="CV14" i="16"/>
  <c r="CT2" i="16"/>
  <c r="CH2" i="24" s="1"/>
  <c r="GG2" i="24" s="1"/>
  <c r="BE5" i="16"/>
  <c r="P8" i="16"/>
  <c r="BV10" i="16"/>
  <c r="CV12" i="16"/>
  <c r="BL14" i="16"/>
  <c r="AQ2" i="16"/>
  <c r="AE2" i="24" s="1"/>
  <c r="ED2" i="24" s="1"/>
  <c r="CW4" i="16"/>
  <c r="BH7" i="16"/>
  <c r="S10" i="16"/>
  <c r="BF12" i="16"/>
  <c r="AH14" i="16"/>
  <c r="CC15" i="16"/>
  <c r="DE3" i="16"/>
  <c r="CS3" i="24" s="1"/>
  <c r="BP6" i="16"/>
  <c r="AA9" i="16"/>
  <c r="CB11" i="16"/>
  <c r="CA13" i="16"/>
  <c r="AA15" i="16"/>
  <c r="BV16" i="16"/>
  <c r="V18" i="16"/>
  <c r="AY19" i="16"/>
  <c r="CB20" i="16"/>
  <c r="DE21" i="16"/>
  <c r="AM23" i="16"/>
  <c r="BP24" i="16"/>
  <c r="CS25" i="16"/>
  <c r="AA27" i="16"/>
  <c r="AD28" i="16"/>
  <c r="O29" i="16"/>
  <c r="CW29" i="16"/>
  <c r="BY30" i="16"/>
  <c r="AZ31" i="16"/>
  <c r="Z32" i="16"/>
  <c r="CU32" i="16"/>
  <c r="BU33" i="16"/>
  <c r="AU34" i="16"/>
  <c r="BP16" i="16"/>
  <c r="AS19" i="16"/>
  <c r="CY21" i="16"/>
  <c r="BJ24" i="16"/>
  <c r="U27" i="16"/>
  <c r="DH28" i="16"/>
  <c r="BW30" i="16"/>
  <c r="W32" i="16"/>
  <c r="AQ33" i="16"/>
  <c r="BJ34" i="16"/>
  <c r="BM35" i="16"/>
  <c r="AZ36" i="16"/>
  <c r="AG37" i="16"/>
  <c r="DB37" i="16"/>
  <c r="CB38" i="16"/>
  <c r="BC39" i="16"/>
  <c r="AC40" i="16"/>
  <c r="CS40" i="16"/>
  <c r="BJ41" i="16"/>
  <c r="AA42" i="16"/>
  <c r="CM42" i="16"/>
  <c r="BD43" i="16"/>
  <c r="U44" i="16"/>
  <c r="CG44" i="16"/>
  <c r="AX45" i="16"/>
  <c r="O46" i="16"/>
  <c r="CA46" i="16"/>
  <c r="AR47" i="16"/>
  <c r="DD47" i="16"/>
  <c r="BU48" i="16"/>
  <c r="AL49" i="16"/>
  <c r="CX49" i="16"/>
  <c r="BO50" i="16"/>
  <c r="AF51" i="16"/>
  <c r="CR51" i="16"/>
  <c r="N44" i="16"/>
  <c r="BK18" i="16"/>
  <c r="V21" i="16"/>
  <c r="CB23" i="16"/>
  <c r="AM26" i="16"/>
  <c r="BE28" i="16"/>
  <c r="BM30" i="16"/>
  <c r="AE32" i="16"/>
  <c r="Y35" i="16"/>
  <c r="BC37" i="16"/>
  <c r="AW39" i="16"/>
  <c r="DD40" i="16"/>
  <c r="CP42" i="16"/>
  <c r="CB44" i="16"/>
  <c r="BV46" i="16"/>
  <c r="DG47" i="16"/>
  <c r="AK16" i="16"/>
  <c r="R19" i="16"/>
  <c r="BX21" i="16"/>
  <c r="AI24" i="16"/>
  <c r="CO26" i="16"/>
  <c r="CM28" i="16"/>
  <c r="BF30" i="16"/>
  <c r="DA31" i="16"/>
  <c r="AF33" i="16"/>
  <c r="AY34" i="16"/>
  <c r="BD35" i="16"/>
  <c r="AQ36" i="16"/>
  <c r="Y37" i="16"/>
  <c r="CT37" i="16"/>
  <c r="BT38" i="16"/>
  <c r="AU39" i="16"/>
  <c r="U40" i="16"/>
  <c r="CL40" i="16"/>
  <c r="BC41" i="16"/>
  <c r="T42" i="16"/>
  <c r="CF42" i="16"/>
  <c r="AW43" i="16"/>
  <c r="DI43" i="16"/>
  <c r="BZ44" i="16"/>
  <c r="AQ45" i="16"/>
  <c r="DC45" i="16"/>
  <c r="BT46" i="16"/>
  <c r="AK47" i="16"/>
  <c r="CW47" i="16"/>
  <c r="BN48" i="16"/>
  <c r="AE49" i="16"/>
  <c r="CQ49" i="16"/>
  <c r="BH50" i="16"/>
  <c r="Y51" i="16"/>
  <c r="CK51" i="16"/>
  <c r="N37" i="16"/>
  <c r="AJ35" i="16"/>
  <c r="CW37" i="16"/>
  <c r="DI39" i="16"/>
  <c r="BM41" i="16"/>
  <c r="AQ43" i="16"/>
  <c r="CJ44" i="16"/>
  <c r="BN46" i="16"/>
  <c r="CF48" i="16"/>
  <c r="U17" i="16"/>
  <c r="CM19" i="16"/>
  <c r="AX22" i="16"/>
  <c r="DD24" i="16"/>
  <c r="BM27" i="16"/>
  <c r="AQ29" i="16"/>
  <c r="CV30" i="16"/>
  <c r="AQ32" i="16"/>
  <c r="BJ33" i="16"/>
  <c r="CB34" i="16"/>
  <c r="CA35" i="16"/>
  <c r="BN36" i="16"/>
  <c r="AS37" i="16"/>
  <c r="S38" i="16"/>
  <c r="CN38" i="16"/>
  <c r="BN39" i="16"/>
  <c r="AN40" i="16"/>
  <c r="DC40" i="16"/>
  <c r="BT41" i="16"/>
  <c r="AK42" i="16"/>
  <c r="CW42" i="16"/>
  <c r="BN43" i="16"/>
  <c r="AE44" i="16"/>
  <c r="CQ44" i="16"/>
  <c r="BH45" i="16"/>
  <c r="Y46" i="16"/>
  <c r="CK46" i="16"/>
  <c r="BB47" i="16"/>
  <c r="S48" i="16"/>
  <c r="CE48" i="16"/>
  <c r="AV49" i="16"/>
  <c r="DH49" i="16"/>
  <c r="BY50" i="16"/>
  <c r="AP51" i="16"/>
  <c r="DB51" i="16"/>
  <c r="AW16" i="16"/>
  <c r="BC16" i="16"/>
  <c r="AD16" i="16"/>
  <c r="DG18" i="16"/>
  <c r="BR21" i="16"/>
  <c r="AC24" i="16"/>
  <c r="CI26" i="16"/>
  <c r="CK28" i="16"/>
  <c r="BD30" i="16"/>
  <c r="CY31" i="16"/>
  <c r="Z33" i="16"/>
  <c r="AS34" i="16"/>
  <c r="BB35" i="16"/>
  <c r="AO36" i="16"/>
  <c r="W37" i="16"/>
  <c r="CR37" i="16"/>
  <c r="BR38" i="16"/>
  <c r="AR39" i="16"/>
  <c r="R40" i="16"/>
  <c r="CJ40" i="16"/>
  <c r="BA41" i="16"/>
  <c r="R42" i="16"/>
  <c r="CD42" i="16"/>
  <c r="AU43" i="16"/>
  <c r="DG43" i="16"/>
  <c r="BX44" i="16"/>
  <c r="AO45" i="16"/>
  <c r="DA45" i="16"/>
  <c r="BR46" i="16"/>
  <c r="AI47" i="16"/>
  <c r="CU47" i="16"/>
  <c r="BL48" i="16"/>
  <c r="AC49" i="16"/>
  <c r="CO49" i="16"/>
  <c r="BF50" i="16"/>
  <c r="W51" i="16"/>
  <c r="CI51" i="16"/>
  <c r="N35" i="16"/>
  <c r="CA33" i="16"/>
  <c r="CK36" i="16"/>
  <c r="BF39" i="16"/>
  <c r="BB42" i="16"/>
  <c r="U45" i="16"/>
  <c r="CY47" i="16"/>
  <c r="BF20" i="16"/>
  <c r="AP27" i="16"/>
  <c r="CF31" i="16"/>
  <c r="DG34" i="16"/>
  <c r="AM37" i="16"/>
  <c r="AH39" i="16"/>
  <c r="Z41" i="16"/>
  <c r="CR42" i="16"/>
  <c r="BO44" i="16"/>
  <c r="AK46" i="16"/>
  <c r="DH47" i="16"/>
  <c r="CC49" i="16"/>
  <c r="DF50" i="16"/>
  <c r="N34" i="16"/>
  <c r="AB24" i="16"/>
  <c r="DE29" i="16"/>
  <c r="BP33" i="16"/>
  <c r="AL36" i="16"/>
  <c r="AV38" i="16"/>
  <c r="AR40" i="16"/>
  <c r="BK42" i="16"/>
  <c r="AN45" i="16"/>
  <c r="Q50" i="16"/>
  <c r="CQ20" i="16"/>
  <c r="CX28" i="16"/>
  <c r="Q36" i="16"/>
  <c r="W42" i="16"/>
  <c r="BK48" i="16"/>
  <c r="O32" i="16"/>
  <c r="Y39" i="16"/>
  <c r="CD44" i="16"/>
  <c r="BV49" i="16"/>
  <c r="W31" i="16"/>
  <c r="CA39" i="16"/>
  <c r="CU46" i="16"/>
  <c r="CR18" i="16"/>
  <c r="CB25" i="16"/>
  <c r="CM30" i="16"/>
  <c r="AO34" i="16"/>
  <c r="CM36" i="16"/>
  <c r="CI38" i="16"/>
  <c r="CG40" i="16"/>
  <c r="BD42" i="16"/>
  <c r="AA44" i="16"/>
  <c r="CR45" i="16"/>
  <c r="BT47" i="16"/>
  <c r="AQ49" i="16"/>
  <c r="CA50" i="16"/>
  <c r="DD51" i="16"/>
  <c r="AG47" i="16"/>
  <c r="CP51" i="16"/>
  <c r="W38" i="16"/>
  <c r="BF44" i="16"/>
  <c r="BR50" i="16"/>
  <c r="CZ20" i="16"/>
  <c r="CY28" i="16"/>
  <c r="BZ36" i="16"/>
  <c r="AU42" i="16"/>
  <c r="BF47" i="16"/>
  <c r="CF51" i="16"/>
  <c r="AN26" i="16"/>
  <c r="DE36" i="16"/>
  <c r="AJ43" i="16"/>
  <c r="AI49" i="16"/>
  <c r="BT20" i="16"/>
  <c r="BO27" i="16"/>
  <c r="CR31" i="16"/>
  <c r="Q35" i="16"/>
  <c r="AU37" i="16"/>
  <c r="AP39" i="16"/>
  <c r="AB41" i="16"/>
  <c r="CY42" i="16"/>
  <c r="BV44" i="16"/>
  <c r="AR46" i="16"/>
  <c r="O48" i="16"/>
  <c r="CE49" i="16"/>
  <c r="DH50" i="16"/>
  <c r="N24" i="16"/>
  <c r="CM46" i="16"/>
  <c r="BJ51" i="16"/>
  <c r="AH47" i="16"/>
  <c r="DB47" i="16"/>
  <c r="DB39" i="16"/>
  <c r="BZ24" i="16"/>
  <c r="BQ45" i="16"/>
  <c r="CB45" i="16"/>
  <c r="CH40" i="16"/>
  <c r="CG51" i="16"/>
  <c r="BI32" i="16"/>
  <c r="AS46" i="16"/>
  <c r="BJ43" i="16"/>
  <c r="Q28" i="16"/>
  <c r="AD43" i="16"/>
  <c r="AA35" i="16"/>
  <c r="BQ39" i="16"/>
  <c r="BG51" i="16"/>
  <c r="CA40" i="16"/>
  <c r="AX46" i="16"/>
  <c r="BI49" i="16"/>
  <c r="AR44" i="16"/>
  <c r="DC38" i="16"/>
  <c r="AD31" i="16"/>
  <c r="CX27" i="16"/>
  <c r="AS50" i="16"/>
  <c r="AB45" i="16"/>
  <c r="BC38" i="16"/>
  <c r="U21" i="16"/>
  <c r="V33" i="16"/>
  <c r="CT48" i="16"/>
  <c r="DF44" i="16"/>
  <c r="W41" i="16"/>
  <c r="DD34" i="16"/>
  <c r="BX48" i="16"/>
  <c r="AR29" i="16"/>
  <c r="CU50" i="16"/>
  <c r="CD45" i="16"/>
  <c r="CE27" i="16"/>
  <c r="DA39" i="16"/>
  <c r="BX49" i="16"/>
  <c r="CB39" i="16"/>
  <c r="DG48" i="16"/>
  <c r="CB47" i="16"/>
  <c r="CR50" i="16"/>
  <c r="BK40" i="16"/>
  <c r="AK51" i="16"/>
  <c r="BH24" i="16"/>
  <c r="R41" i="16"/>
  <c r="CO43" i="16"/>
  <c r="BK45" i="16"/>
  <c r="BZ45" i="16"/>
  <c r="AJ40" i="16"/>
  <c r="CN24" i="16"/>
  <c r="AE38" i="16"/>
  <c r="R30" i="16"/>
  <c r="DI33" i="16"/>
  <c r="AN42" i="16"/>
  <c r="BF31" i="16"/>
  <c r="CQ45" i="16"/>
  <c r="AN31" i="16"/>
  <c r="AX33" i="16"/>
  <c r="CM47" i="16"/>
  <c r="BV42" i="16"/>
  <c r="DI36" i="16"/>
  <c r="BC26" i="16"/>
  <c r="CZ49" i="16"/>
  <c r="CI44" i="16"/>
  <c r="DE37" i="16"/>
  <c r="U29" i="16"/>
  <c r="BH48" i="16"/>
  <c r="N29" i="16"/>
  <c r="CU45" i="16"/>
  <c r="AK39" i="16"/>
  <c r="CI31" i="16"/>
  <c r="AV44" i="16"/>
  <c r="DH31" i="16"/>
  <c r="CJ51" i="16"/>
  <c r="BS46" i="16"/>
  <c r="T40" i="16"/>
  <c r="AE33" i="16"/>
  <c r="BS21" i="16"/>
  <c r="BP30" i="16"/>
  <c r="CO21" i="16"/>
  <c r="CP8" i="16"/>
  <c r="BQ4" i="16"/>
  <c r="CD14" i="16"/>
  <c r="AZ6" i="16"/>
  <c r="AQ24" i="16"/>
  <c r="BU8" i="16"/>
  <c r="T33" i="16"/>
  <c r="BU23" i="16"/>
  <c r="BN15" i="16"/>
  <c r="AL39" i="16"/>
  <c r="DB30" i="16"/>
  <c r="BM19" i="16"/>
  <c r="AE37" i="16"/>
  <c r="BL45" i="16"/>
  <c r="BG49" i="16"/>
  <c r="BH43" i="16"/>
  <c r="BG39" i="16"/>
  <c r="AE30" i="16"/>
  <c r="AC48" i="16"/>
  <c r="R44" i="16"/>
  <c r="CN46" i="16"/>
  <c r="AH44" i="16"/>
  <c r="CA48" i="16"/>
  <c r="CB42" i="16"/>
  <c r="X33" i="16"/>
  <c r="AU48" i="16"/>
  <c r="CW21" i="16"/>
  <c r="AT28" i="16"/>
  <c r="DA42" i="16"/>
  <c r="BK50" i="16"/>
  <c r="BD45" i="16"/>
  <c r="O40" i="16"/>
  <c r="BZ32" i="16"/>
  <c r="BF49" i="16"/>
  <c r="DF48" i="16"/>
  <c r="AQ25" i="16"/>
  <c r="DC19" i="16"/>
  <c r="Q42" i="16"/>
  <c r="AT29" i="16"/>
  <c r="BY48" i="16"/>
  <c r="AH40" i="16"/>
  <c r="CG30" i="16"/>
  <c r="BD44" i="16"/>
  <c r="BS51" i="16"/>
  <c r="DH48" i="16"/>
  <c r="Y45" i="16"/>
  <c r="BN42" i="16"/>
  <c r="AZ38" i="16"/>
  <c r="AC35" i="16"/>
  <c r="W26" i="16"/>
  <c r="BM16" i="16"/>
  <c r="Z51" i="16"/>
  <c r="BO48" i="16"/>
  <c r="CA44" i="16"/>
  <c r="U42" i="16"/>
  <c r="AR36" i="16"/>
  <c r="DG31" i="16"/>
  <c r="AA19" i="16"/>
  <c r="BL44" i="16"/>
  <c r="N21" i="16"/>
  <c r="CA49" i="16"/>
  <c r="CM45" i="16"/>
  <c r="AG43" i="16"/>
  <c r="AB39" i="16"/>
  <c r="U36" i="16"/>
  <c r="AW28" i="16"/>
  <c r="X44" i="16"/>
  <c r="O28" i="16"/>
  <c r="AY50" i="16"/>
  <c r="AH45" i="16"/>
  <c r="AT41" i="16"/>
  <c r="AR35" i="16"/>
  <c r="AM21" i="16"/>
  <c r="BG30" i="16"/>
  <c r="BY21" i="16"/>
  <c r="AK13" i="16"/>
  <c r="BB9" i="16"/>
  <c r="CN4" i="16"/>
  <c r="CU14" i="16"/>
  <c r="BA30" i="16"/>
  <c r="BP21" i="16"/>
  <c r="W13" i="16"/>
  <c r="BG34" i="16"/>
  <c r="AP28" i="16"/>
  <c r="P26" i="16"/>
  <c r="AN18" i="16"/>
  <c r="AV15" i="16"/>
  <c r="DF11" i="16"/>
  <c r="CX6" i="16"/>
  <c r="BG40" i="16"/>
  <c r="CV37" i="16"/>
  <c r="AO35" i="16"/>
  <c r="AS32" i="16"/>
  <c r="CS30" i="16"/>
  <c r="AL29" i="16"/>
  <c r="BG27" i="16"/>
  <c r="CW24" i="16"/>
  <c r="AQ22" i="16"/>
  <c r="CF19" i="16"/>
  <c r="DH16" i="16"/>
  <c r="R14" i="16"/>
  <c r="CN9" i="16"/>
  <c r="BW4" i="16"/>
  <c r="AL27" i="16"/>
  <c r="DD25" i="16"/>
  <c r="CA24" i="16"/>
  <c r="AX23" i="16"/>
  <c r="U22" i="16"/>
  <c r="CM20" i="16"/>
  <c r="BJ19" i="16"/>
  <c r="AG18" i="16"/>
  <c r="CI16" i="16"/>
  <c r="AN15" i="16"/>
  <c r="CM13" i="16"/>
  <c r="CV11" i="16"/>
  <c r="AT9" i="16"/>
  <c r="CI6" i="16"/>
  <c r="AC4" i="16"/>
  <c r="AG27" i="16"/>
  <c r="CY25" i="16"/>
  <c r="BV24" i="16"/>
  <c r="AS23" i="16"/>
  <c r="P22" i="16"/>
  <c r="CH20" i="16"/>
  <c r="BE19" i="16"/>
  <c r="AB18" i="16"/>
  <c r="CC16" i="16"/>
  <c r="AH15" i="16"/>
  <c r="CH13" i="16"/>
  <c r="CN11" i="16"/>
  <c r="AK9" i="16"/>
  <c r="BZ6" i="16"/>
  <c r="T4" i="16"/>
  <c r="CL29" i="16"/>
  <c r="BI28" i="16"/>
  <c r="Q24" i="16"/>
  <c r="AY51" i="16"/>
  <c r="N33" i="16"/>
  <c r="X47" i="16"/>
  <c r="AQ41" i="16"/>
  <c r="CH33" i="16"/>
  <c r="T22" i="16"/>
  <c r="AO47" i="16"/>
  <c r="BC50" i="16"/>
  <c r="BA43" i="16"/>
  <c r="O34" i="16"/>
  <c r="CZ45" i="16"/>
  <c r="CX37" i="16"/>
  <c r="AG50" i="16"/>
  <c r="BQ43" i="16"/>
  <c r="BL50" i="16"/>
  <c r="CR47" i="16"/>
  <c r="BJ45" i="16"/>
  <c r="BE42" i="16"/>
  <c r="P40" i="16"/>
  <c r="BP36" i="16"/>
  <c r="AU31" i="16"/>
  <c r="S24" i="16"/>
  <c r="CD47" i="16"/>
  <c r="AZ39" i="16"/>
  <c r="W21" i="16"/>
  <c r="CO46" i="16"/>
  <c r="BY39" i="16"/>
  <c r="CN27" i="16"/>
  <c r="N10" i="16"/>
  <c r="AO42" i="16"/>
  <c r="AT51" i="16"/>
  <c r="CT41" i="16"/>
  <c r="AU50" i="16"/>
  <c r="AK48" i="16"/>
  <c r="AL45" i="16"/>
  <c r="AG42" i="16"/>
  <c r="CJ39" i="16"/>
  <c r="AJ36" i="16"/>
  <c r="AL32" i="16"/>
  <c r="V23" i="16"/>
  <c r="CJ45" i="16"/>
  <c r="AX36" i="16"/>
  <c r="AT48" i="16"/>
  <c r="AJ41" i="16"/>
  <c r="N26" i="16"/>
  <c r="AI41" i="16"/>
  <c r="DE30" i="16"/>
  <c r="AC19" i="16"/>
  <c r="DE46" i="16"/>
  <c r="BW41" i="16"/>
  <c r="V38" i="16"/>
  <c r="Z35" i="16"/>
  <c r="CJ28" i="16"/>
  <c r="CT19" i="16"/>
  <c r="BJ50" i="16"/>
  <c r="CK47" i="16"/>
  <c r="BC45" i="16"/>
  <c r="BC42" i="16"/>
  <c r="DC39" i="16"/>
  <c r="BG36" i="16"/>
  <c r="AJ30" i="16"/>
  <c r="AW49" i="16"/>
  <c r="AF44" i="16"/>
  <c r="BD38" i="16"/>
  <c r="BX32" i="16"/>
  <c r="BK51" i="16"/>
  <c r="AH50" i="16"/>
  <c r="CZ48" i="16"/>
  <c r="BW47" i="16"/>
  <c r="AT46" i="16"/>
  <c r="Q45" i="16"/>
  <c r="CI43" i="16"/>
  <c r="BF42" i="16"/>
  <c r="AC41" i="16"/>
  <c r="CL39" i="16"/>
  <c r="AQ38" i="16"/>
  <c r="CO36" i="16"/>
  <c r="R35" i="16"/>
  <c r="CF32" i="16"/>
  <c r="CR29" i="16"/>
  <c r="CL25" i="16"/>
  <c r="BU20" i="16"/>
  <c r="AC16" i="16"/>
  <c r="N38" i="16"/>
  <c r="R51" i="16"/>
  <c r="CJ49" i="16"/>
  <c r="BG48" i="16"/>
  <c r="AD47" i="16"/>
  <c r="CV45" i="16"/>
  <c r="BS44" i="16"/>
  <c r="AP43" i="16"/>
  <c r="DH41" i="16"/>
  <c r="CE40" i="16"/>
  <c r="AM39" i="16"/>
  <c r="CL37" i="16"/>
  <c r="AH36" i="16"/>
  <c r="AJ34" i="16"/>
  <c r="CO31" i="16"/>
  <c r="BZ28" i="16"/>
  <c r="DG23" i="16"/>
  <c r="CP18" i="16"/>
  <c r="CQ47" i="16"/>
  <c r="AN44" i="16"/>
  <c r="Q41" i="16"/>
  <c r="DD36" i="16"/>
  <c r="N13" i="16"/>
  <c r="CV50" i="16"/>
  <c r="BS49" i="16"/>
  <c r="AP48" i="16"/>
  <c r="DH46" i="16"/>
  <c r="CE45" i="16"/>
  <c r="BB44" i="16"/>
  <c r="Y43" i="16"/>
  <c r="CQ41" i="16"/>
  <c r="BN40" i="16"/>
  <c r="S39" i="16"/>
  <c r="BS37" i="16"/>
  <c r="DF35" i="16"/>
  <c r="DA33" i="16"/>
  <c r="AX31" i="16"/>
  <c r="AA28" i="16"/>
  <c r="AL23" i="16"/>
  <c r="U18" i="16"/>
  <c r="AU47" i="16"/>
  <c r="P44" i="16"/>
  <c r="BP40" i="16"/>
  <c r="BO36" i="16"/>
  <c r="BE31" i="16"/>
  <c r="CM27" i="16"/>
  <c r="CE22" i="16"/>
  <c r="BG17" i="16"/>
  <c r="BT51" i="16"/>
  <c r="AQ50" i="16"/>
  <c r="DI48" i="16"/>
  <c r="CF47" i="16"/>
  <c r="BC46" i="16"/>
  <c r="Z45" i="16"/>
  <c r="CR43" i="16"/>
  <c r="BO42" i="16"/>
  <c r="AL41" i="16"/>
  <c r="CV39" i="16"/>
  <c r="BA38" i="16"/>
  <c r="DA36" i="16"/>
  <c r="AD35" i="16"/>
  <c r="CT32" i="16"/>
  <c r="T30" i="16"/>
  <c r="X26" i="16"/>
  <c r="DB20" i="16"/>
  <c r="CO34" i="16"/>
  <c r="AT33" i="16"/>
  <c r="CS31" i="16"/>
  <c r="AX30" i="16"/>
  <c r="CD28" i="16"/>
  <c r="BZ26" i="16"/>
  <c r="T24" i="16"/>
  <c r="BI21" i="16"/>
  <c r="CX18" i="16"/>
  <c r="T16" i="16"/>
  <c r="DE12" i="16"/>
  <c r="AD8" i="16"/>
  <c r="DH2" i="16"/>
  <c r="CV2" i="24" s="1"/>
  <c r="GU2" i="24" s="1"/>
  <c r="BZ13" i="16"/>
  <c r="V9" i="16"/>
  <c r="CZ3" i="16"/>
  <c r="CN3" i="24" s="1"/>
  <c r="DE13" i="16"/>
  <c r="BY9" i="16"/>
  <c r="BH4" i="16"/>
  <c r="AS14" i="16"/>
  <c r="AO10" i="16"/>
  <c r="X5" i="16"/>
  <c r="CB14" i="16"/>
  <c r="CZ10" i="16"/>
  <c r="CI5" i="16"/>
  <c r="CN31" i="16"/>
  <c r="AR30" i="16"/>
  <c r="BW28" i="16"/>
  <c r="BQ26" i="16"/>
  <c r="DF23" i="16"/>
  <c r="AZ21" i="16"/>
  <c r="CO18" i="16"/>
  <c r="DD15" i="16"/>
  <c r="CS12" i="16"/>
  <c r="DD7" i="16"/>
  <c r="CM2" i="16"/>
  <c r="CA2" i="24" s="1"/>
  <c r="FZ2" i="24" s="1"/>
  <c r="CM35" i="16"/>
  <c r="AW34" i="16"/>
  <c r="CW32" i="16"/>
  <c r="BB31" i="16"/>
  <c r="CY29" i="16"/>
  <c r="AF28" i="16"/>
  <c r="CU25" i="16"/>
  <c r="AO23" i="16"/>
  <c r="CD20" i="16"/>
  <c r="X18" i="16"/>
  <c r="AC15" i="16"/>
  <c r="CG11" i="16"/>
  <c r="BR6" i="16"/>
  <c r="AY40" i="16"/>
  <c r="V39" i="16"/>
  <c r="CN37" i="16"/>
  <c r="BK36" i="16"/>
  <c r="AF35" i="16"/>
  <c r="CE33" i="16"/>
  <c r="AJ32" i="16"/>
  <c r="CJ30" i="16"/>
  <c r="AB29" i="16"/>
  <c r="AR27" i="16"/>
  <c r="CG24" i="16"/>
  <c r="AA22" i="16"/>
  <c r="BP19" i="16"/>
  <c r="CP16" i="16"/>
  <c r="CT13" i="16"/>
  <c r="BH9" i="16"/>
  <c r="AQ4" i="16"/>
  <c r="AD27" i="16"/>
  <c r="CV25" i="16"/>
  <c r="BS24" i="16"/>
  <c r="AP23" i="16"/>
  <c r="DH21" i="16"/>
  <c r="CE20" i="16"/>
  <c r="BB19" i="16"/>
  <c r="Y18" i="16"/>
  <c r="BZ16" i="16"/>
  <c r="AE15" i="16"/>
  <c r="CD13" i="16"/>
  <c r="CH11" i="16"/>
  <c r="AD9" i="16"/>
  <c r="BS6" i="16"/>
  <c r="DH3" i="16"/>
  <c r="CV3" i="24" s="1"/>
  <c r="Y27" i="16"/>
  <c r="CQ25" i="16"/>
  <c r="BN24" i="16"/>
  <c r="AK23" i="16"/>
  <c r="DC21" i="16"/>
  <c r="BZ20" i="16"/>
  <c r="AW19" i="16"/>
  <c r="T18" i="16"/>
  <c r="BT16" i="16"/>
  <c r="Y15" i="16"/>
  <c r="BY13" i="16"/>
  <c r="BZ11" i="16"/>
  <c r="U9" i="16"/>
  <c r="BJ6" i="16"/>
  <c r="CY3" i="16"/>
  <c r="CM3" i="24" s="1"/>
  <c r="CD29" i="16"/>
  <c r="BA28" i="16"/>
  <c r="X27" i="16"/>
  <c r="CP25" i="16"/>
  <c r="CN23" i="16"/>
  <c r="CO20" i="16"/>
  <c r="X46" i="25"/>
  <c r="X46" i="24"/>
  <c r="BG35" i="25"/>
  <c r="CP32" i="25"/>
  <c r="CP32" i="24"/>
  <c r="BM51" i="24"/>
  <c r="BM51" i="25"/>
  <c r="BG42" i="24"/>
  <c r="BG42" i="25"/>
  <c r="CG33" i="24"/>
  <c r="CG33" i="25"/>
  <c r="BL38" i="25"/>
  <c r="CH50" i="24"/>
  <c r="CH50" i="25"/>
  <c r="BQ45" i="24"/>
  <c r="BQ45" i="25"/>
  <c r="AZ40" i="24"/>
  <c r="AZ40" i="25"/>
  <c r="C18" i="24"/>
  <c r="BA46" i="25"/>
  <c r="BA46" i="24"/>
  <c r="AJ41" i="25"/>
  <c r="CS15" i="24"/>
  <c r="CS15" i="25"/>
  <c r="BY43" i="25"/>
  <c r="BY43" i="24"/>
  <c r="BP51" i="16"/>
  <c r="CN49" i="16"/>
  <c r="DC41" i="16"/>
  <c r="AL35" i="16"/>
  <c r="BH41" i="16"/>
  <c r="CH48" i="16"/>
  <c r="BI51" i="16"/>
  <c r="CH43" i="16"/>
  <c r="CT33" i="16"/>
  <c r="AC30" i="16"/>
  <c r="AH19" i="16"/>
  <c r="AR51" i="16"/>
  <c r="CO37" i="16"/>
  <c r="AZ51" i="16"/>
  <c r="AT24" i="16"/>
  <c r="CX31" i="16"/>
  <c r="S46" i="16"/>
  <c r="AZ33" i="16"/>
  <c r="BH35" i="16"/>
  <c r="AF48" i="16"/>
  <c r="O43" i="16"/>
  <c r="BG37" i="16"/>
  <c r="BY17" i="16"/>
  <c r="CH47" i="16"/>
  <c r="CT43" i="16"/>
  <c r="DC36" i="16"/>
  <c r="AL26" i="16"/>
  <c r="BJ42" i="16"/>
  <c r="AB50" i="16"/>
  <c r="CC43" i="16"/>
  <c r="AJ38" i="16"/>
  <c r="AU20" i="16"/>
  <c r="AU38" i="16"/>
  <c r="N12" i="16"/>
  <c r="BA44" i="16"/>
  <c r="BG29" i="16"/>
  <c r="AN50" i="16"/>
  <c r="V51" i="16"/>
  <c r="CF41" i="16"/>
  <c r="CH23" i="16"/>
  <c r="CY37" i="16"/>
  <c r="V45" i="16"/>
  <c r="CX45" i="16"/>
  <c r="BO33" i="16"/>
  <c r="CL49" i="16"/>
  <c r="CJ34" i="16"/>
  <c r="AR43" i="16"/>
  <c r="X50" i="16"/>
  <c r="AT45" i="16"/>
  <c r="AQ39" i="16"/>
  <c r="CP50" i="16"/>
  <c r="BI40" i="16"/>
  <c r="CR44" i="16"/>
  <c r="AX50" i="16"/>
  <c r="AG45" i="16"/>
  <c r="BI38" i="16"/>
  <c r="AK30" i="16"/>
  <c r="DH15" i="16"/>
  <c r="Q46" i="16"/>
  <c r="CU40" i="16"/>
  <c r="BL34" i="16"/>
  <c r="BG19" i="16"/>
  <c r="BL37" i="16"/>
  <c r="BF48" i="16"/>
  <c r="AO43" i="16"/>
  <c r="CK37" i="16"/>
  <c r="BS28" i="16"/>
  <c r="CI47" i="16"/>
  <c r="AA37" i="16"/>
  <c r="AE18" i="16"/>
  <c r="CV47" i="16"/>
  <c r="BB41" i="16"/>
  <c r="X37" i="16"/>
  <c r="CJ26" i="16"/>
  <c r="Q32" i="16"/>
  <c r="AZ24" i="16"/>
  <c r="BE13" i="16"/>
  <c r="CH9" i="16"/>
  <c r="Y5" i="16"/>
  <c r="R15" i="16"/>
  <c r="BK30" i="16"/>
  <c r="CF21" i="16"/>
  <c r="AT13" i="16"/>
  <c r="BP34" i="16"/>
  <c r="AF26" i="16"/>
  <c r="AJ12" i="16"/>
  <c r="DD37" i="16"/>
  <c r="CX33" i="16"/>
  <c r="X22" i="16"/>
  <c r="BR48" i="16"/>
  <c r="DA50" i="16"/>
  <c r="BN41" i="16"/>
  <c r="CT22" i="16"/>
  <c r="AB35" i="16"/>
  <c r="CB50" i="16"/>
  <c r="CN36" i="16"/>
  <c r="AH49" i="16"/>
  <c r="BR33" i="16"/>
  <c r="U43" i="16"/>
  <c r="BE37" i="16"/>
  <c r="CP32" i="16"/>
  <c r="BA35" i="16"/>
  <c r="BU42" i="16"/>
  <c r="CF38" i="16"/>
  <c r="CE47" i="16"/>
  <c r="AK41" i="16"/>
  <c r="CS32" i="16"/>
  <c r="N46" i="16"/>
  <c r="DD45" i="16"/>
  <c r="AV39" i="16"/>
  <c r="CT28" i="16"/>
  <c r="AO41" i="16"/>
  <c r="AX48" i="16"/>
  <c r="CY41" i="16"/>
  <c r="S34" i="16"/>
  <c r="BA18" i="16"/>
  <c r="BX31" i="16"/>
  <c r="CB51" i="16"/>
  <c r="BK46" i="16"/>
  <c r="O37" i="16"/>
  <c r="AM30" i="16"/>
  <c r="BC33" i="16"/>
  <c r="CP26" i="16"/>
  <c r="AL16" i="16"/>
  <c r="CR13" i="16"/>
  <c r="DE9" i="16"/>
  <c r="BD5" i="16"/>
  <c r="CW31" i="16"/>
  <c r="AA24" i="16"/>
  <c r="AO8" i="16"/>
  <c r="DF32" i="16"/>
  <c r="BE23" i="16"/>
  <c r="BS36" i="16"/>
  <c r="CX25" i="16"/>
  <c r="AY33" i="16"/>
  <c r="AM45" i="16"/>
  <c r="V26" i="16"/>
  <c r="O42" i="16"/>
  <c r="CE44" i="16"/>
  <c r="AY38" i="16"/>
  <c r="CO40" i="16"/>
  <c r="BN30" i="16"/>
  <c r="DI17" i="16"/>
  <c r="BW44" i="16"/>
  <c r="CQ37" i="16"/>
  <c r="CI34" i="16"/>
  <c r="AL28" i="16"/>
  <c r="N18" i="16"/>
  <c r="AT50" i="16"/>
  <c r="BN47" i="16"/>
  <c r="AF45" i="16"/>
  <c r="AF42" i="16"/>
  <c r="DH38" i="16"/>
  <c r="AB36" i="16"/>
  <c r="CI29" i="16"/>
  <c r="Y49" i="16"/>
  <c r="CU43" i="16"/>
  <c r="AC38" i="16"/>
  <c r="CP31" i="16"/>
  <c r="BC51" i="16"/>
  <c r="Z50" i="16"/>
  <c r="CR48" i="16"/>
  <c r="BO47" i="16"/>
  <c r="AL46" i="16"/>
  <c r="DD44" i="16"/>
  <c r="CA43" i="16"/>
  <c r="AX42" i="16"/>
  <c r="U41" i="16"/>
  <c r="CC39" i="16"/>
  <c r="AH38" i="16"/>
  <c r="CE36" i="16"/>
  <c r="DA34" i="16"/>
  <c r="BP32" i="16"/>
  <c r="BX29" i="16"/>
  <c r="BF25" i="16"/>
  <c r="AO20" i="16"/>
  <c r="CX17" i="16"/>
  <c r="N30" i="16"/>
  <c r="DE50" i="16"/>
  <c r="CB49" i="16"/>
  <c r="AY48" i="16"/>
  <c r="V47" i="16"/>
  <c r="CN45" i="16"/>
  <c r="BK44" i="16"/>
  <c r="AH43" i="16"/>
  <c r="CZ41" i="16"/>
  <c r="BW40" i="16"/>
  <c r="AC39" i="16"/>
  <c r="CC37" i="16"/>
  <c r="V36" i="16"/>
  <c r="W34" i="16"/>
  <c r="BV31" i="16"/>
  <c r="BD28" i="16"/>
  <c r="CA23" i="16"/>
  <c r="BJ18" i="16"/>
  <c r="CA47" i="16"/>
  <c r="DC43" i="16"/>
  <c r="BX40" i="16"/>
  <c r="BY36" i="16"/>
  <c r="N5" i="16"/>
  <c r="CN50" i="16"/>
  <c r="BK49" i="16"/>
  <c r="AH48" i="16"/>
  <c r="CZ46" i="16"/>
  <c r="BW45" i="16"/>
  <c r="AT44" i="16"/>
  <c r="Q43" i="16"/>
  <c r="CI41" i="16"/>
  <c r="BE40" i="16"/>
  <c r="DE38" i="16"/>
  <c r="BJ37" i="16"/>
  <c r="CV35" i="16"/>
  <c r="CK33" i="16"/>
  <c r="AF31" i="16"/>
  <c r="DB27" i="16"/>
  <c r="DA22" i="16"/>
  <c r="CF17" i="16"/>
  <c r="AM47" i="16"/>
  <c r="CM43" i="16"/>
  <c r="W40" i="16"/>
  <c r="AI36" i="16"/>
  <c r="AM31" i="16"/>
  <c r="BN27" i="16"/>
  <c r="AY22" i="16"/>
  <c r="V17" i="16"/>
  <c r="BL51" i="16"/>
  <c r="AI50" i="16"/>
  <c r="DA48" i="16"/>
  <c r="BX47" i="16"/>
  <c r="AU46" i="16"/>
  <c r="R45" i="16"/>
  <c r="CJ43" i="16"/>
  <c r="BG42" i="16"/>
  <c r="AD41" i="16"/>
  <c r="CM39" i="16"/>
  <c r="AR38" i="16"/>
  <c r="CP36" i="16"/>
  <c r="S35" i="16"/>
  <c r="CG32" i="16"/>
  <c r="CU29" i="16"/>
  <c r="CM25" i="16"/>
  <c r="BV20" i="16"/>
  <c r="CF34" i="16"/>
  <c r="AJ33" i="16"/>
  <c r="CJ31" i="16"/>
  <c r="AO30" i="16"/>
  <c r="BT28" i="16"/>
  <c r="BJ26" i="16"/>
  <c r="CY23" i="16"/>
  <c r="AS21" i="16"/>
  <c r="CH18" i="16"/>
  <c r="CV15" i="16"/>
  <c r="CF12" i="16"/>
  <c r="CS7" i="16"/>
  <c r="CB2" i="16"/>
  <c r="BP2" i="24" s="1"/>
  <c r="FO2" i="24" s="1"/>
  <c r="BD13" i="16"/>
  <c r="CK8" i="16"/>
  <c r="BT3" i="16"/>
  <c r="BH3" i="24" s="1"/>
  <c r="CL13" i="16"/>
  <c r="AS9" i="16"/>
  <c r="AB4" i="16"/>
  <c r="AA14" i="16"/>
  <c r="DD9" i="16"/>
  <c r="CM4" i="16"/>
  <c r="BJ14" i="16"/>
  <c r="BT10" i="16"/>
  <c r="BC5" i="16"/>
  <c r="CD31" i="16"/>
  <c r="AI30" i="16"/>
  <c r="BM28" i="16"/>
  <c r="BA26" i="16"/>
  <c r="CP23" i="16"/>
  <c r="AJ21" i="16"/>
  <c r="BY18" i="16"/>
  <c r="CL15" i="16"/>
  <c r="BQ12" i="16"/>
  <c r="BX7" i="16"/>
  <c r="BG2" i="16"/>
  <c r="AU2" i="24" s="1"/>
  <c r="ET2" i="24" s="1"/>
  <c r="CE35" i="16"/>
  <c r="AN34" i="16"/>
  <c r="CN32" i="16"/>
  <c r="AS31" i="16"/>
  <c r="CO29" i="16"/>
  <c r="V28" i="16"/>
  <c r="CE25" i="16"/>
  <c r="Y23" i="16"/>
  <c r="BN20" i="16"/>
  <c r="DB17" i="16"/>
  <c r="DF14" i="16"/>
  <c r="BC11" i="16"/>
  <c r="AL6" i="16"/>
  <c r="AQ40" i="16"/>
  <c r="DI38" i="16"/>
  <c r="CF37" i="16"/>
  <c r="BC36" i="16"/>
  <c r="V35" i="16"/>
  <c r="BV33" i="16"/>
  <c r="AA32" i="16"/>
  <c r="CA30" i="16"/>
  <c r="P29" i="16"/>
  <c r="AB27" i="16"/>
  <c r="BQ24" i="16"/>
  <c r="DF21" i="16"/>
  <c r="AZ19" i="16"/>
  <c r="BX16" i="16"/>
  <c r="CB13" i="16"/>
  <c r="AB9" i="16"/>
  <c r="DF3" i="16"/>
  <c r="CT3" i="24" s="1"/>
  <c r="V27" i="16"/>
  <c r="CN25" i="16"/>
  <c r="BK24" i="16"/>
  <c r="AH23" i="16"/>
  <c r="CZ21" i="16"/>
  <c r="BW20" i="16"/>
  <c r="AT19" i="16"/>
  <c r="Q18" i="16"/>
  <c r="BQ16" i="16"/>
  <c r="U15" i="16"/>
  <c r="BT13" i="16"/>
  <c r="BT11" i="16"/>
  <c r="DI8" i="16"/>
  <c r="BC6" i="16"/>
  <c r="CR3" i="16"/>
  <c r="CF3" i="24" s="1"/>
  <c r="Q27" i="16"/>
  <c r="CI25" i="16"/>
  <c r="BF24" i="16"/>
  <c r="AC23" i="16"/>
  <c r="CU21" i="16"/>
  <c r="BR20" i="16"/>
  <c r="AO19" i="16"/>
  <c r="DF17" i="16"/>
  <c r="BK16" i="16"/>
  <c r="P15" i="16"/>
  <c r="BM13" i="16"/>
  <c r="BK11" i="16"/>
  <c r="CZ8" i="16"/>
  <c r="AT6" i="16"/>
  <c r="CI3" i="16"/>
  <c r="BW3" i="24" s="1"/>
  <c r="BV29" i="16"/>
  <c r="AS28" i="16"/>
  <c r="P27" i="16"/>
  <c r="CH25" i="16"/>
  <c r="AZ23" i="16"/>
  <c r="AC20" i="16"/>
  <c r="AJ25" i="24"/>
  <c r="AJ25" i="25"/>
  <c r="S42" i="24"/>
  <c r="S42" i="25"/>
  <c r="U32" i="25"/>
  <c r="U32" i="24"/>
  <c r="AF49" i="24"/>
  <c r="AF49" i="25"/>
  <c r="AD38" i="24"/>
  <c r="AA17" i="24"/>
  <c r="AA17" i="25"/>
  <c r="BP33" i="25"/>
  <c r="BP33" i="24"/>
  <c r="BP28" i="24"/>
  <c r="BP28" i="25"/>
  <c r="AH43" i="25"/>
  <c r="AH43" i="24"/>
  <c r="CR35" i="24"/>
  <c r="CR35" i="25"/>
  <c r="L49" i="25"/>
  <c r="L49" i="24"/>
  <c r="AO21" i="24"/>
  <c r="AO21" i="25"/>
  <c r="BM47" i="25"/>
  <c r="S41" i="24"/>
  <c r="CZ50" i="16"/>
  <c r="CT44" i="16"/>
  <c r="DH45" i="16"/>
  <c r="CG37" i="16"/>
  <c r="CM49" i="16"/>
  <c r="BY38" i="16"/>
  <c r="BX27" i="16"/>
  <c r="U46" i="16"/>
  <c r="BY26" i="16"/>
  <c r="AM50" i="16"/>
  <c r="BQ46" i="16"/>
  <c r="BI46" i="16"/>
  <c r="BB33" i="16"/>
  <c r="CZ38" i="16"/>
  <c r="AB46" i="16"/>
  <c r="AB43" i="16"/>
  <c r="BE22" i="16"/>
  <c r="CF43" i="16"/>
  <c r="CQ23" i="16"/>
  <c r="N3" i="16"/>
  <c r="B3" i="24" s="1"/>
  <c r="BU45" i="16"/>
  <c r="BC40" i="16"/>
  <c r="CI33" i="16"/>
  <c r="CS17" i="16"/>
  <c r="BE46" i="16"/>
  <c r="AN41" i="16"/>
  <c r="AI35" i="16"/>
  <c r="AA30" i="16"/>
  <c r="BY45" i="16"/>
  <c r="BE51" i="16"/>
  <c r="AN46" i="16"/>
  <c r="BR32" i="16"/>
  <c r="CO45" i="16"/>
  <c r="CQ33" i="16"/>
  <c r="CN19" i="16"/>
  <c r="DG46" i="16"/>
  <c r="BV22" i="16"/>
  <c r="AY46" i="16"/>
  <c r="BS45" i="16"/>
  <c r="CW34" i="16"/>
  <c r="CV51" i="16"/>
  <c r="BS39" i="16"/>
  <c r="CX48" i="16"/>
  <c r="U37" i="16"/>
  <c r="S41" i="16"/>
  <c r="AK18" i="16"/>
  <c r="BZ48" i="16"/>
  <c r="W33" i="16"/>
  <c r="BM42" i="16"/>
  <c r="AM48" i="16"/>
  <c r="BQ21" i="16"/>
  <c r="BI43" i="16"/>
  <c r="BN19" i="16"/>
  <c r="CA51" i="16"/>
  <c r="BJ46" i="16"/>
  <c r="AS41" i="16"/>
  <c r="AQ35" i="16"/>
  <c r="CX16" i="16"/>
  <c r="BW48" i="16"/>
  <c r="AC42" i="16"/>
  <c r="BB36" i="16"/>
  <c r="BX24" i="16"/>
  <c r="AW41" i="16"/>
  <c r="CI49" i="16"/>
  <c r="BR44" i="16"/>
  <c r="CD40" i="16"/>
  <c r="AI34" i="16"/>
  <c r="CX23" i="16"/>
  <c r="CV40" i="16"/>
  <c r="AI28" i="16"/>
  <c r="BG50" i="16"/>
  <c r="CE42" i="16"/>
  <c r="BC35" i="16"/>
  <c r="AE16" i="16"/>
  <c r="DF26" i="16"/>
  <c r="BD16" i="16"/>
  <c r="O14" i="16"/>
  <c r="AP10" i="16"/>
  <c r="CJ5" i="16"/>
  <c r="DF31" i="16"/>
  <c r="CW26" i="16"/>
  <c r="AT16" i="16"/>
  <c r="DC35" i="16"/>
  <c r="BB28" i="16"/>
  <c r="BD18" i="16"/>
  <c r="R2" i="16"/>
  <c r="F2" i="24" s="1"/>
  <c r="DE2" i="24" s="1"/>
  <c r="BB32" i="16"/>
  <c r="CD24" i="16"/>
  <c r="CE51" i="16"/>
  <c r="AP47" i="16"/>
  <c r="AL37" i="16"/>
  <c r="BF38" i="16"/>
  <c r="CR38" i="16"/>
  <c r="CA45" i="16"/>
  <c r="DF24" i="16"/>
  <c r="AZ40" i="16"/>
  <c r="BE44" i="16"/>
  <c r="BH36" i="16"/>
  <c r="CV41" i="16"/>
  <c r="BV47" i="16"/>
  <c r="CL20" i="16"/>
  <c r="CL36" i="16"/>
  <c r="DA32" i="16"/>
  <c r="BB46" i="16"/>
  <c r="CU39" i="16"/>
  <c r="S30" i="16"/>
  <c r="CR49" i="16"/>
  <c r="AX43" i="16"/>
  <c r="CU37" i="16"/>
  <c r="AR24" i="16"/>
  <c r="AK37" i="16"/>
  <c r="U47" i="16"/>
  <c r="BV40" i="16"/>
  <c r="BQ31" i="16"/>
  <c r="BK47" i="16"/>
  <c r="CN40" i="16"/>
  <c r="P23" i="16"/>
  <c r="V49" i="16"/>
  <c r="CZ43" i="16"/>
  <c r="DE39" i="16"/>
  <c r="O33" i="16"/>
  <c r="CX34" i="16"/>
  <c r="CP28" i="16"/>
  <c r="S19" i="16"/>
  <c r="AS3" i="16"/>
  <c r="AG3" i="24" s="1"/>
  <c r="AB14" i="16"/>
  <c r="BU10" i="16"/>
  <c r="T6" i="16"/>
  <c r="CI28" i="16"/>
  <c r="DE18" i="16"/>
  <c r="X3" i="16"/>
  <c r="L3" i="24" s="1"/>
  <c r="P30" i="16"/>
  <c r="AD39" i="16"/>
  <c r="BF21" i="16"/>
  <c r="BL47" i="16"/>
  <c r="CP35" i="16"/>
  <c r="CC44" i="16"/>
  <c r="CK50" i="16"/>
  <c r="R49" i="16"/>
  <c r="AE45" i="16"/>
  <c r="AK43" i="16"/>
  <c r="AG39" i="16"/>
  <c r="DF36" i="16"/>
  <c r="BW29" i="16"/>
  <c r="CE37" i="16"/>
  <c r="N48" i="16"/>
  <c r="BX46" i="16"/>
  <c r="Y34" i="16"/>
  <c r="CX50" i="16"/>
  <c r="BR43" i="16"/>
  <c r="N17" i="16"/>
  <c r="BE50" i="16"/>
  <c r="CP48" i="16"/>
  <c r="CV46" i="16"/>
  <c r="DC44" i="16"/>
  <c r="DI42" i="16"/>
  <c r="T41" i="16"/>
  <c r="DB38" i="16"/>
  <c r="BF36" i="16"/>
  <c r="W29" i="16"/>
  <c r="AB21" i="16"/>
  <c r="BM44" i="16"/>
  <c r="CC36" i="16"/>
  <c r="DB49" i="16"/>
  <c r="BG41" i="16"/>
  <c r="CQ32" i="16"/>
  <c r="W45" i="16"/>
  <c r="BI35" i="16"/>
  <c r="CF49" i="16"/>
  <c r="N8" i="16"/>
  <c r="AV50" i="16"/>
  <c r="BU47" i="16"/>
  <c r="AM42" i="16"/>
  <c r="P39" i="16"/>
  <c r="AK36" i="16"/>
  <c r="CY30" i="16"/>
  <c r="AE23" i="16"/>
  <c r="R47" i="16"/>
  <c r="Z36" i="16"/>
  <c r="AE20" i="16"/>
  <c r="AC46" i="16"/>
  <c r="CY38" i="16"/>
  <c r="DA49" i="16"/>
  <c r="BF41" i="16"/>
  <c r="DI50" i="16"/>
  <c r="N39" i="16"/>
  <c r="AE50" i="16"/>
  <c r="AW47" i="16"/>
  <c r="O45" i="16"/>
  <c r="BI39" i="16"/>
  <c r="CZ35" i="16"/>
  <c r="AV30" i="16"/>
  <c r="AH22" i="16"/>
  <c r="AK35" i="16"/>
  <c r="CC47" i="16"/>
  <c r="BO51" i="16"/>
  <c r="AH41" i="16"/>
  <c r="N16" i="16"/>
  <c r="DG45" i="16"/>
  <c r="U32" i="16"/>
  <c r="AL50" i="16"/>
  <c r="BX41" i="16"/>
  <c r="CH51" i="16"/>
  <c r="AO50" i="16"/>
  <c r="BS48" i="16"/>
  <c r="BY46" i="16"/>
  <c r="CK44" i="16"/>
  <c r="CQ42" i="16"/>
  <c r="CW40" i="16"/>
  <c r="BG38" i="16"/>
  <c r="AA36" i="16"/>
  <c r="DC32" i="16"/>
  <c r="BG28" i="16"/>
  <c r="AN20" i="16"/>
  <c r="BY43" i="16"/>
  <c r="BK35" i="16"/>
  <c r="AZ49" i="16"/>
  <c r="CP40" i="16"/>
  <c r="V31" i="16"/>
  <c r="Q44" i="16"/>
  <c r="BB34" i="16"/>
  <c r="AA49" i="16"/>
  <c r="DE51" i="16"/>
  <c r="AF50" i="16"/>
  <c r="AX47" i="16"/>
  <c r="AY44" i="16"/>
  <c r="P42" i="16"/>
  <c r="CP38" i="16"/>
  <c r="DA35" i="16"/>
  <c r="AW30" i="16"/>
  <c r="CO19" i="16"/>
  <c r="AI46" i="16"/>
  <c r="CV34" i="16"/>
  <c r="AQ19" i="16"/>
  <c r="CI45" i="16"/>
  <c r="CO35" i="16"/>
  <c r="AY24" i="16"/>
  <c r="AB49" i="16"/>
  <c r="BR40" i="16"/>
  <c r="AW50" i="16"/>
  <c r="CN51" i="16"/>
  <c r="O50" i="16"/>
  <c r="Z47" i="16"/>
  <c r="CM44" i="16"/>
  <c r="CM41" i="16"/>
  <c r="BO38" i="16"/>
  <c r="BU35" i="16"/>
  <c r="CJ29" i="16"/>
  <c r="BC21" i="16"/>
  <c r="CV43" i="16"/>
  <c r="BF28" i="16"/>
  <c r="Q47" i="16"/>
  <c r="BY37" i="16"/>
  <c r="CH50" i="16"/>
  <c r="X40" i="16"/>
  <c r="CZ26" i="16"/>
  <c r="N41" i="16"/>
  <c r="DF43" i="16"/>
  <c r="DF40" i="16"/>
  <c r="BV37" i="16"/>
  <c r="Y33" i="16"/>
  <c r="BP27" i="16"/>
  <c r="DC51" i="16"/>
  <c r="AD50" i="16"/>
  <c r="AV47" i="16"/>
  <c r="AW44" i="16"/>
  <c r="DD41" i="16"/>
  <c r="CH38" i="16"/>
  <c r="BS34" i="16"/>
  <c r="BB26" i="16"/>
  <c r="BS47" i="16"/>
  <c r="AD42" i="16"/>
  <c r="BE36" i="16"/>
  <c r="N27" i="16"/>
  <c r="O51" i="16"/>
  <c r="CG49" i="16"/>
  <c r="BD48" i="16"/>
  <c r="AA47" i="16"/>
  <c r="CS45" i="16"/>
  <c r="BP44" i="16"/>
  <c r="AM43" i="16"/>
  <c r="DE41" i="16"/>
  <c r="CB40" i="16"/>
  <c r="AI39" i="16"/>
  <c r="CI37" i="16"/>
  <c r="AC36" i="16"/>
  <c r="AF34" i="16"/>
  <c r="CG31" i="16"/>
  <c r="BO28" i="16"/>
  <c r="CR23" i="16"/>
  <c r="CA18" i="16"/>
  <c r="R16" i="16"/>
  <c r="CT51" i="16"/>
  <c r="BQ50" i="16"/>
  <c r="AN49" i="16"/>
  <c r="DF47" i="16"/>
  <c r="CC46" i="16"/>
  <c r="AZ45" i="16"/>
  <c r="W44" i="16"/>
  <c r="CO42" i="16"/>
  <c r="BL41" i="16"/>
  <c r="AE40" i="16"/>
  <c r="CE38" i="16"/>
  <c r="AI37" i="16"/>
  <c r="BQ35" i="16"/>
  <c r="AW33" i="16"/>
  <c r="CD30" i="16"/>
  <c r="AI27" i="16"/>
  <c r="R22" i="16"/>
  <c r="CF16" i="16"/>
  <c r="BF46" i="16"/>
  <c r="AI43" i="16"/>
  <c r="BO39" i="16"/>
  <c r="CS34" i="16"/>
  <c r="CC51" i="16"/>
  <c r="AZ50" i="16"/>
  <c r="W49" i="16"/>
  <c r="CO47" i="16"/>
  <c r="BL46" i="16"/>
  <c r="AI45" i="16"/>
  <c r="DA43" i="16"/>
  <c r="BX42" i="16"/>
  <c r="AU41" i="16"/>
  <c r="DG39" i="16"/>
  <c r="BK38" i="16"/>
  <c r="P37" i="16"/>
  <c r="AS35" i="16"/>
  <c r="P33" i="16"/>
  <c r="AN30" i="16"/>
  <c r="BI26" i="16"/>
  <c r="AR21" i="16"/>
  <c r="BM49" i="16"/>
  <c r="AP46" i="16"/>
  <c r="BR42" i="16"/>
  <c r="DG38" i="16"/>
  <c r="CC34" i="16"/>
  <c r="AU30" i="16"/>
  <c r="DB25" i="16"/>
  <c r="CK20" i="16"/>
  <c r="N36" i="16"/>
  <c r="X51" i="16"/>
  <c r="CP49" i="16"/>
  <c r="BM48" i="16"/>
  <c r="AJ47" i="16"/>
  <c r="DB45" i="16"/>
  <c r="BY44" i="16"/>
  <c r="AV43" i="16"/>
  <c r="S42" i="16"/>
  <c r="CK40" i="16"/>
  <c r="AS39" i="16"/>
  <c r="CS37" i="16"/>
  <c r="AP36" i="16"/>
  <c r="AT34" i="16"/>
  <c r="CZ31" i="16"/>
  <c r="CL28" i="16"/>
  <c r="AD24" i="16"/>
  <c r="DH18" i="16"/>
  <c r="AL34" i="16"/>
  <c r="CL32" i="16"/>
  <c r="AP31" i="16"/>
  <c r="CM29" i="16"/>
  <c r="R28" i="16"/>
  <c r="CC25" i="16"/>
  <c r="W23" i="16"/>
  <c r="BL20" i="16"/>
  <c r="CY17" i="16"/>
  <c r="DD14" i="16"/>
  <c r="BA11" i="16"/>
  <c r="AJ6" i="16"/>
  <c r="BK15" i="16"/>
  <c r="AG12" i="16"/>
  <c r="AB7" i="16"/>
  <c r="CO15" i="16"/>
  <c r="BW12" i="16"/>
  <c r="CE7" i="16"/>
  <c r="BN2" i="16"/>
  <c r="BB2" i="24" s="1"/>
  <c r="FA2" i="24" s="1"/>
  <c r="Y13" i="16"/>
  <c r="AU8" i="16"/>
  <c r="AD3" i="16"/>
  <c r="R3" i="24" s="1"/>
  <c r="BQ13" i="16"/>
  <c r="DF8" i="16"/>
  <c r="CO3" i="16"/>
  <c r="CC3" i="24" s="1"/>
  <c r="AK31" i="16"/>
  <c r="CF29" i="16"/>
  <c r="DF27" i="16"/>
  <c r="BT25" i="16"/>
  <c r="DI22" i="16"/>
  <c r="BC20" i="16"/>
  <c r="CO17" i="16"/>
  <c r="CT14" i="16"/>
  <c r="AF11" i="16"/>
  <c r="O6" i="16"/>
  <c r="BT36" i="16"/>
  <c r="AP35" i="16"/>
  <c r="CP33" i="16"/>
  <c r="AT32" i="16"/>
  <c r="CT30" i="16"/>
  <c r="AM29" i="16"/>
  <c r="BH27" i="16"/>
  <c r="CX24" i="16"/>
  <c r="AR22" i="16"/>
  <c r="CG19" i="16"/>
  <c r="DI16" i="16"/>
  <c r="S14" i="16"/>
  <c r="CO9" i="16"/>
  <c r="BX4" i="16"/>
  <c r="CX39" i="16"/>
  <c r="BU38" i="16"/>
  <c r="AR37" i="16"/>
  <c r="O36" i="16"/>
  <c r="BX34" i="16"/>
  <c r="AB33" i="16"/>
  <c r="CB31" i="16"/>
  <c r="AG30" i="16"/>
  <c r="BK28" i="16"/>
  <c r="AU26" i="16"/>
  <c r="CJ23" i="16"/>
  <c r="AD21" i="16"/>
  <c r="BS18" i="16"/>
  <c r="CE15" i="16"/>
  <c r="BH12" i="16"/>
  <c r="BN7" i="16"/>
  <c r="AW2" i="16"/>
  <c r="AK2" i="24" s="1"/>
  <c r="EJ2" i="24" s="1"/>
  <c r="CC26" i="16"/>
  <c r="AZ25" i="16"/>
  <c r="W24" i="16"/>
  <c r="CO22" i="16"/>
  <c r="BL21" i="16"/>
  <c r="AI20" i="16"/>
  <c r="DA18" i="16"/>
  <c r="BR17" i="16"/>
  <c r="W16" i="16"/>
  <c r="BW14" i="16"/>
  <c r="P13" i="16"/>
  <c r="CM10" i="16"/>
  <c r="AG8" i="16"/>
  <c r="BV5" i="16"/>
  <c r="P3" i="16"/>
  <c r="D3" i="24" s="1"/>
  <c r="BX26" i="16"/>
  <c r="AU25" i="16"/>
  <c r="R24" i="16"/>
  <c r="CJ22" i="16"/>
  <c r="BG21" i="16"/>
  <c r="AD20" i="16"/>
  <c r="CV18" i="16"/>
  <c r="BM17" i="16"/>
  <c r="Q16" i="16"/>
  <c r="BQ14" i="16"/>
  <c r="DC12" i="16"/>
  <c r="CD10" i="16"/>
  <c r="X8" i="16"/>
  <c r="BM5" i="16"/>
  <c r="DB2" i="16"/>
  <c r="CP2" i="24" s="1"/>
  <c r="GO2" i="24" s="1"/>
  <c r="AH29" i="16"/>
  <c r="CZ27" i="16"/>
  <c r="BW26" i="16"/>
  <c r="AT25" i="16"/>
  <c r="AB23" i="16"/>
  <c r="BL19" i="16"/>
  <c r="CY7" i="25"/>
  <c r="N2" i="16"/>
  <c r="Z125" i="1"/>
  <c r="Z126" i="1"/>
  <c r="T56" i="1"/>
  <c r="I57" i="1"/>
  <c r="AZ38" i="24" l="1"/>
  <c r="CU37" i="25"/>
  <c r="E37" i="25"/>
  <c r="W51" i="24"/>
  <c r="AB48" i="24"/>
  <c r="AD44" i="24"/>
  <c r="AK36" i="24"/>
  <c r="BA51" i="24"/>
  <c r="AY33" i="25"/>
  <c r="CR49" i="25"/>
  <c r="BN42" i="24"/>
  <c r="CF33" i="25"/>
  <c r="M28" i="25"/>
  <c r="BJ51" i="25"/>
  <c r="BQ50" i="24"/>
  <c r="GT3" i="24"/>
  <c r="AS47" i="25"/>
  <c r="AH35" i="25"/>
  <c r="CP43" i="24"/>
  <c r="CU40" i="25"/>
  <c r="AG29" i="25"/>
  <c r="BI41" i="25"/>
  <c r="AL49" i="25"/>
  <c r="CI33" i="25"/>
  <c r="AD49" i="24"/>
  <c r="M25" i="25"/>
  <c r="BM42" i="24"/>
  <c r="E33" i="25"/>
  <c r="B15" i="25"/>
  <c r="FY3" i="24"/>
  <c r="CL43" i="25"/>
  <c r="CT46" i="25"/>
  <c r="J37" i="25"/>
  <c r="AR50" i="25"/>
  <c r="CD47" i="24"/>
  <c r="N20" i="25"/>
  <c r="CS40" i="24"/>
  <c r="FL3" i="24"/>
  <c r="T23" i="24"/>
  <c r="CJ29" i="25"/>
  <c r="CL40" i="25"/>
  <c r="AJ42" i="25"/>
  <c r="AL41" i="25"/>
  <c r="CC41" i="25"/>
  <c r="BK51" i="24"/>
  <c r="BT46" i="25"/>
  <c r="CF25" i="24"/>
  <c r="BZ46" i="24"/>
  <c r="H49" i="25"/>
  <c r="AG30" i="25"/>
  <c r="AN44" i="25"/>
  <c r="EV3" i="24"/>
  <c r="O46" i="24"/>
  <c r="ET3" i="24"/>
  <c r="GE3" i="24"/>
  <c r="AJ46" i="24"/>
  <c r="BE51" i="24"/>
  <c r="EK3" i="24"/>
  <c r="FD3" i="24"/>
  <c r="CK46" i="25"/>
  <c r="CV39" i="25"/>
  <c r="BM31" i="25"/>
  <c r="AO51" i="24"/>
  <c r="DM3" i="24"/>
  <c r="DS3" i="24"/>
  <c r="X45" i="24"/>
  <c r="FI3" i="24"/>
  <c r="BR51" i="25"/>
  <c r="CR48" i="24"/>
  <c r="FF3" i="24"/>
  <c r="AG38" i="25"/>
  <c r="FP3" i="24"/>
  <c r="FM3" i="24"/>
  <c r="CP48" i="25"/>
  <c r="AL32" i="24"/>
  <c r="AP51" i="25"/>
  <c r="CR46" i="24"/>
  <c r="BW50" i="24"/>
  <c r="E39" i="24"/>
  <c r="FX3" i="24"/>
  <c r="BS24" i="24"/>
  <c r="AE44" i="25"/>
  <c r="AC44" i="25"/>
  <c r="BE37" i="24"/>
  <c r="AM39" i="24"/>
  <c r="S39" i="24"/>
  <c r="BE49" i="25"/>
  <c r="CD43" i="25"/>
  <c r="CG36" i="24"/>
  <c r="BU43" i="25"/>
  <c r="BF26" i="24"/>
  <c r="DR3" i="24"/>
  <c r="B11" i="25"/>
  <c r="CF39" i="24"/>
  <c r="CW37" i="24"/>
  <c r="BO20" i="25"/>
  <c r="BD49" i="25"/>
  <c r="AN46" i="24"/>
  <c r="R48" i="24"/>
  <c r="BV32" i="24"/>
  <c r="AJ31" i="25"/>
  <c r="AA38" i="24"/>
  <c r="X50" i="25"/>
  <c r="AK23" i="24"/>
  <c r="J48" i="25"/>
  <c r="FE3" i="24"/>
  <c r="FK3" i="24"/>
  <c r="FU3" i="24"/>
  <c r="FC3" i="24"/>
  <c r="DZ3" i="24"/>
  <c r="Y27" i="25"/>
  <c r="FN3" i="24"/>
  <c r="EI3" i="24"/>
  <c r="BF36" i="24"/>
  <c r="K43" i="25"/>
  <c r="M42" i="24"/>
  <c r="DI3" i="24"/>
  <c r="EM3" i="24"/>
  <c r="GR3" i="24"/>
  <c r="GQ3" i="24"/>
  <c r="EG3" i="24"/>
  <c r="FS3" i="24"/>
  <c r="GC3" i="24"/>
  <c r="EE3" i="24"/>
  <c r="EO3" i="24"/>
  <c r="DP3" i="24"/>
  <c r="CS43" i="25"/>
  <c r="GU3" i="24"/>
  <c r="DY3" i="24"/>
  <c r="ED3" i="24"/>
  <c r="AV31" i="24"/>
  <c r="GI3" i="24"/>
  <c r="DJ3" i="24"/>
  <c r="DK3" i="24"/>
  <c r="EW3" i="24"/>
  <c r="FA3" i="24"/>
  <c r="DW3" i="24"/>
  <c r="GB3" i="24"/>
  <c r="GG3" i="24"/>
  <c r="GJ3" i="24"/>
  <c r="AV42" i="25"/>
  <c r="CB39" i="24"/>
  <c r="CB35" i="25"/>
  <c r="D47" i="25"/>
  <c r="FZ3" i="24"/>
  <c r="FQ3" i="24"/>
  <c r="EY3" i="24"/>
  <c r="EL3" i="24"/>
  <c r="EB3" i="24"/>
  <c r="BV25" i="25"/>
  <c r="BV25" i="24"/>
  <c r="BA13" i="24"/>
  <c r="BA13" i="25"/>
  <c r="AT24" i="24"/>
  <c r="AT24" i="25"/>
  <c r="I15" i="25"/>
  <c r="I15" i="24"/>
  <c r="CB25" i="24"/>
  <c r="CB25" i="25"/>
  <c r="BE24" i="24"/>
  <c r="BE24" i="25"/>
  <c r="BT37" i="24"/>
  <c r="BT37" i="25"/>
  <c r="M23" i="24"/>
  <c r="M23" i="25"/>
  <c r="BA28" i="24"/>
  <c r="BA28" i="25"/>
  <c r="O14" i="24"/>
  <c r="O14" i="25"/>
  <c r="CG7" i="24"/>
  <c r="CG7" i="25"/>
  <c r="AC30" i="24"/>
  <c r="AC30" i="25"/>
  <c r="G35" i="24"/>
  <c r="G35" i="25"/>
  <c r="AI46" i="25"/>
  <c r="AI46" i="24"/>
  <c r="AA31" i="24"/>
  <c r="AA31" i="25"/>
  <c r="T31" i="25"/>
  <c r="T31" i="24"/>
  <c r="AH44" i="24"/>
  <c r="AH44" i="25"/>
  <c r="BL40" i="25"/>
  <c r="BL40" i="24"/>
  <c r="J36" i="24"/>
  <c r="J36" i="25"/>
  <c r="J47" i="25"/>
  <c r="J47" i="24"/>
  <c r="BL29" i="24"/>
  <c r="BL29" i="25"/>
  <c r="BO43" i="24"/>
  <c r="BO43" i="25"/>
  <c r="Q38" i="24"/>
  <c r="Q38" i="25"/>
  <c r="BB47" i="24"/>
  <c r="BB47" i="25"/>
  <c r="BB30" i="25"/>
  <c r="BB30" i="24"/>
  <c r="CL25" i="25"/>
  <c r="CL25" i="24"/>
  <c r="CS9" i="24"/>
  <c r="CS9" i="25"/>
  <c r="BP51" i="24"/>
  <c r="BP51" i="25"/>
  <c r="AJ39" i="24"/>
  <c r="AJ39" i="25"/>
  <c r="AO35" i="25"/>
  <c r="AO35" i="24"/>
  <c r="P35" i="24"/>
  <c r="P35" i="25"/>
  <c r="X12" i="24"/>
  <c r="X12" i="25"/>
  <c r="BV9" i="25"/>
  <c r="BV9" i="24"/>
  <c r="S18" i="24"/>
  <c r="S18" i="25"/>
  <c r="AU19" i="24"/>
  <c r="AU19" i="25"/>
  <c r="AL50" i="25"/>
  <c r="AL50" i="24"/>
  <c r="BX34" i="25"/>
  <c r="BX34" i="24"/>
  <c r="J51" i="24"/>
  <c r="J51" i="25"/>
  <c r="BQ43" i="25"/>
  <c r="BQ43" i="24"/>
  <c r="AU37" i="25"/>
  <c r="AU37" i="24"/>
  <c r="AN51" i="24"/>
  <c r="AN51" i="25"/>
  <c r="BV48" i="25"/>
  <c r="BV48" i="24"/>
  <c r="AO28" i="25"/>
  <c r="AO28" i="24"/>
  <c r="BH16" i="24"/>
  <c r="BH16" i="25"/>
  <c r="M27" i="24"/>
  <c r="M27" i="25"/>
  <c r="M18" i="24"/>
  <c r="M18" i="25"/>
  <c r="AE4" i="24"/>
  <c r="AE4" i="25"/>
  <c r="ED4" i="25" s="1"/>
  <c r="P29" i="24"/>
  <c r="P29" i="25"/>
  <c r="AM40" i="24"/>
  <c r="AM40" i="25"/>
  <c r="T28" i="25"/>
  <c r="T28" i="24"/>
  <c r="CG12" i="24"/>
  <c r="CG12" i="25"/>
  <c r="CB31" i="25"/>
  <c r="CB31" i="24"/>
  <c r="BM9" i="24"/>
  <c r="BM9" i="25"/>
  <c r="H16" i="24"/>
  <c r="H16" i="25"/>
  <c r="AH33" i="24"/>
  <c r="AH33" i="25"/>
  <c r="AO38" i="24"/>
  <c r="AO38" i="25"/>
  <c r="CW48" i="25"/>
  <c r="CW48" i="24"/>
  <c r="BD40" i="24"/>
  <c r="BD40" i="25"/>
  <c r="CT35" i="25"/>
  <c r="CT35" i="24"/>
  <c r="CV46" i="25"/>
  <c r="CV46" i="24"/>
  <c r="CE47" i="24"/>
  <c r="CE47" i="25"/>
  <c r="AA39" i="24"/>
  <c r="AA39" i="25"/>
  <c r="BX49" i="24"/>
  <c r="BX49" i="25"/>
  <c r="F35" i="24"/>
  <c r="F35" i="25"/>
  <c r="AH46" i="24"/>
  <c r="AH46" i="25"/>
  <c r="AK49" i="25"/>
  <c r="AK49" i="24"/>
  <c r="CH19" i="25"/>
  <c r="CH19" i="24"/>
  <c r="W41" i="24"/>
  <c r="W41" i="25"/>
  <c r="X36" i="24"/>
  <c r="X36" i="25"/>
  <c r="AC42" i="25"/>
  <c r="AC42" i="24"/>
  <c r="G24" i="24"/>
  <c r="G24" i="25"/>
  <c r="BE43" i="25"/>
  <c r="BE43" i="24"/>
  <c r="H22" i="24"/>
  <c r="H22" i="25"/>
  <c r="BZ29" i="24"/>
  <c r="BZ29" i="25"/>
  <c r="P18" i="24"/>
  <c r="P18" i="25"/>
  <c r="Q4" i="25"/>
  <c r="DP4" i="25" s="1"/>
  <c r="Q4" i="24"/>
  <c r="AX19" i="25"/>
  <c r="AX19" i="24"/>
  <c r="CB9" i="25"/>
  <c r="CB9" i="24"/>
  <c r="CG30" i="24"/>
  <c r="CG30" i="25"/>
  <c r="AB18" i="25"/>
  <c r="AB18" i="24"/>
  <c r="CB4" i="24"/>
  <c r="CB4" i="25"/>
  <c r="GA4" i="25" s="1"/>
  <c r="V45" i="24"/>
  <c r="V45" i="25"/>
  <c r="CA45" i="25"/>
  <c r="CA45" i="24"/>
  <c r="BO44" i="24"/>
  <c r="BO44" i="25"/>
  <c r="M45" i="24"/>
  <c r="M45" i="25"/>
  <c r="E42" i="24"/>
  <c r="E42" i="25"/>
  <c r="AY50" i="24"/>
  <c r="AY50" i="25"/>
  <c r="V44" i="24"/>
  <c r="V44" i="25"/>
  <c r="AZ45" i="24"/>
  <c r="AZ45" i="25"/>
  <c r="BI8" i="24"/>
  <c r="BI8" i="25"/>
  <c r="BG21" i="25"/>
  <c r="BG21" i="24"/>
  <c r="Y39" i="24"/>
  <c r="Y39" i="25"/>
  <c r="AQ26" i="24"/>
  <c r="AQ26" i="25"/>
  <c r="AB42" i="24"/>
  <c r="AB42" i="25"/>
  <c r="CC43" i="24"/>
  <c r="CC43" i="25"/>
  <c r="BP39" i="24"/>
  <c r="BP39" i="25"/>
  <c r="CR34" i="25"/>
  <c r="CR34" i="24"/>
  <c r="AG50" i="24"/>
  <c r="AG50" i="25"/>
  <c r="AU51" i="24"/>
  <c r="AU51" i="25"/>
  <c r="BU51" i="24"/>
  <c r="BU51" i="25"/>
  <c r="AX51" i="24"/>
  <c r="AX51" i="25"/>
  <c r="CM42" i="24"/>
  <c r="CM42" i="25"/>
  <c r="W49" i="24"/>
  <c r="W49" i="25"/>
  <c r="CM28" i="24"/>
  <c r="CM28" i="25"/>
  <c r="BO50" i="25"/>
  <c r="BO50" i="24"/>
  <c r="CA36" i="25"/>
  <c r="CA36" i="24"/>
  <c r="BJ49" i="25"/>
  <c r="BJ49" i="24"/>
  <c r="CE20" i="24"/>
  <c r="CE20" i="25"/>
  <c r="CS29" i="24"/>
  <c r="CS29" i="25"/>
  <c r="CF42" i="24"/>
  <c r="CF42" i="25"/>
  <c r="CM47" i="24"/>
  <c r="CM47" i="25"/>
  <c r="K51" i="24"/>
  <c r="K51" i="25"/>
  <c r="CO45" i="24"/>
  <c r="CO45" i="25"/>
  <c r="BX40" i="24"/>
  <c r="BX40" i="25"/>
  <c r="AG34" i="24"/>
  <c r="AG34" i="25"/>
  <c r="CU18" i="25"/>
  <c r="CU18" i="24"/>
  <c r="AJ49" i="25"/>
  <c r="AJ49" i="24"/>
  <c r="S44" i="24"/>
  <c r="S44" i="25"/>
  <c r="CB38" i="24"/>
  <c r="CB38" i="25"/>
  <c r="CJ30" i="24"/>
  <c r="CJ30" i="25"/>
  <c r="BB46" i="24"/>
  <c r="BB46" i="25"/>
  <c r="BY51" i="24"/>
  <c r="BY51" i="25"/>
  <c r="BH46" i="24"/>
  <c r="BH46" i="25"/>
  <c r="AQ41" i="24"/>
  <c r="AQ41" i="25"/>
  <c r="AR35" i="25"/>
  <c r="AR35" i="24"/>
  <c r="BL21" i="25"/>
  <c r="BL21" i="24"/>
  <c r="AK39" i="24"/>
  <c r="AK39" i="25"/>
  <c r="J21" i="24"/>
  <c r="J21" i="25"/>
  <c r="BI48" i="24"/>
  <c r="BI48" i="25"/>
  <c r="AR43" i="24"/>
  <c r="AR43" i="25"/>
  <c r="CP37" i="25"/>
  <c r="CP37" i="24"/>
  <c r="CV28" i="24"/>
  <c r="CV28" i="25"/>
  <c r="CI32" i="24"/>
  <c r="CI32" i="25"/>
  <c r="CG25" i="25"/>
  <c r="CG25" i="24"/>
  <c r="O15" i="24"/>
  <c r="O15" i="25"/>
  <c r="AT12" i="24"/>
  <c r="AT12" i="25"/>
  <c r="D8" i="24"/>
  <c r="D8" i="25"/>
  <c r="AH31" i="24"/>
  <c r="AH31" i="25"/>
  <c r="R23" i="25"/>
  <c r="R23" i="24"/>
  <c r="AZ11" i="24"/>
  <c r="AZ11" i="25"/>
  <c r="CM33" i="24"/>
  <c r="CM33" i="25"/>
  <c r="BJ27" i="24"/>
  <c r="BJ27" i="25"/>
  <c r="U17" i="24"/>
  <c r="U17" i="25"/>
  <c r="CT39" i="24"/>
  <c r="CT39" i="25"/>
  <c r="BU34" i="24"/>
  <c r="BU34" i="25"/>
  <c r="BI28" i="24"/>
  <c r="BI28" i="25"/>
  <c r="BW18" i="24"/>
  <c r="BW18" i="25"/>
  <c r="CK22" i="25"/>
  <c r="CK22" i="24"/>
  <c r="BO17" i="25"/>
  <c r="BO17" i="24"/>
  <c r="CQ10" i="25"/>
  <c r="CQ10" i="24"/>
  <c r="BT26" i="25"/>
  <c r="BT26" i="24"/>
  <c r="BC21" i="25"/>
  <c r="BC21" i="24"/>
  <c r="N16" i="25"/>
  <c r="N16" i="24"/>
  <c r="AB8" i="25"/>
  <c r="AB8" i="24"/>
  <c r="CV27" i="24"/>
  <c r="CV27" i="25"/>
  <c r="CE22" i="24"/>
  <c r="CE22" i="25"/>
  <c r="BI17" i="24"/>
  <c r="BI17" i="25"/>
  <c r="CG10" i="24"/>
  <c r="CG10" i="25"/>
  <c r="BJ34" i="24"/>
  <c r="BJ34" i="25"/>
  <c r="AS29" i="24"/>
  <c r="AS29" i="25"/>
  <c r="AB24" i="24"/>
  <c r="AB24" i="25"/>
  <c r="K19" i="24"/>
  <c r="K19" i="25"/>
  <c r="AC13" i="24"/>
  <c r="AC13" i="25"/>
  <c r="S9" i="25"/>
  <c r="S9" i="24"/>
  <c r="AO8" i="25"/>
  <c r="AO8" i="24"/>
  <c r="AC9" i="25"/>
  <c r="AC9" i="24"/>
  <c r="L4" i="25"/>
  <c r="DK4" i="25" s="1"/>
  <c r="L4" i="24"/>
  <c r="CO14" i="25"/>
  <c r="CO14" i="24"/>
  <c r="BX9" i="25"/>
  <c r="BX9" i="24"/>
  <c r="BG4" i="25"/>
  <c r="FF4" i="25" s="1"/>
  <c r="BG4" i="24"/>
  <c r="D16" i="25"/>
  <c r="D16" i="24"/>
  <c r="K8" i="25"/>
  <c r="K8" i="24"/>
  <c r="Y33" i="24"/>
  <c r="Y33" i="25"/>
  <c r="H28" i="24"/>
  <c r="H28" i="25"/>
  <c r="CL22" i="24"/>
  <c r="CL22" i="25"/>
  <c r="BQ17" i="25"/>
  <c r="BQ17" i="24"/>
  <c r="CV10" i="25"/>
  <c r="CV10" i="24"/>
  <c r="CT12" i="24"/>
  <c r="CT12" i="25"/>
  <c r="CC7" i="24"/>
  <c r="CC7" i="25"/>
  <c r="D7" i="24"/>
  <c r="D7" i="25"/>
  <c r="I13" i="24"/>
  <c r="I13" i="25"/>
  <c r="CM7" i="24"/>
  <c r="CM7" i="25"/>
  <c r="BD13" i="24"/>
  <c r="BD13" i="25"/>
  <c r="AM8" i="24"/>
  <c r="AM8" i="25"/>
  <c r="AL21" i="25"/>
  <c r="AL21" i="24"/>
  <c r="CP15" i="24"/>
  <c r="CP15" i="25"/>
  <c r="CP7" i="25"/>
  <c r="CP7" i="24"/>
  <c r="Q33" i="25"/>
  <c r="Q33" i="24"/>
  <c r="CU27" i="24"/>
  <c r="CU27" i="25"/>
  <c r="CD22" i="25"/>
  <c r="CD22" i="24"/>
  <c r="BG17" i="24"/>
  <c r="BG17" i="25"/>
  <c r="CF10" i="24"/>
  <c r="CF10" i="25"/>
  <c r="CL12" i="25"/>
  <c r="CL12" i="24"/>
  <c r="BU7" i="25"/>
  <c r="BU7" i="24"/>
  <c r="CQ6" i="24"/>
  <c r="CQ6" i="25"/>
  <c r="CV12" i="25"/>
  <c r="CV12" i="24"/>
  <c r="CE7" i="25"/>
  <c r="CE7" i="24"/>
  <c r="AV13" i="25"/>
  <c r="AV13" i="24"/>
  <c r="AE8" i="25"/>
  <c r="AE8" i="24"/>
  <c r="BM20" i="25"/>
  <c r="BM20" i="24"/>
  <c r="L15" i="25"/>
  <c r="L15" i="24"/>
  <c r="AW6" i="24"/>
  <c r="AW6" i="25"/>
  <c r="AR32" i="24"/>
  <c r="AR32" i="25"/>
  <c r="AA27" i="24"/>
  <c r="AA27" i="25"/>
  <c r="J22" i="24"/>
  <c r="J22" i="25"/>
  <c r="BX16" i="24"/>
  <c r="BX16" i="25"/>
  <c r="AM9" i="25"/>
  <c r="AM9" i="24"/>
  <c r="R12" i="25"/>
  <c r="R12" i="24"/>
  <c r="CV6" i="25"/>
  <c r="CV6" i="24"/>
  <c r="AN11" i="24"/>
  <c r="AN11" i="25"/>
  <c r="W6" i="24"/>
  <c r="W6" i="25"/>
  <c r="AB12" i="24"/>
  <c r="AB12" i="25"/>
  <c r="K7" i="24"/>
  <c r="K7" i="25"/>
  <c r="CN17" i="25"/>
  <c r="CN17" i="24"/>
  <c r="BW12" i="25"/>
  <c r="BW12" i="24"/>
  <c r="BF7" i="25"/>
  <c r="BF7" i="24"/>
  <c r="EN3" i="24"/>
  <c r="AX16" i="24"/>
  <c r="AX16" i="25"/>
  <c r="CM8" i="25"/>
  <c r="CM8" i="24"/>
  <c r="BM33" i="24"/>
  <c r="BM33" i="25"/>
  <c r="AV28" i="24"/>
  <c r="AV28" i="25"/>
  <c r="AE23" i="24"/>
  <c r="AE23" i="25"/>
  <c r="N18" i="24"/>
  <c r="N18" i="25"/>
  <c r="BW11" i="24"/>
  <c r="BW11" i="25"/>
  <c r="AM13" i="24"/>
  <c r="AM13" i="25"/>
  <c r="V8" i="24"/>
  <c r="V8" i="25"/>
  <c r="AR7" i="25"/>
  <c r="AR7" i="24"/>
  <c r="AF8" i="25"/>
  <c r="AF8" i="24"/>
  <c r="CR13" i="24"/>
  <c r="CR13" i="25"/>
  <c r="CA8" i="24"/>
  <c r="CA8" i="25"/>
  <c r="F46" i="24"/>
  <c r="F46" i="25"/>
  <c r="BR50" i="24"/>
  <c r="BR50" i="25"/>
  <c r="BA45" i="25"/>
  <c r="BA45" i="24"/>
  <c r="AH40" i="24"/>
  <c r="AH40" i="25"/>
  <c r="BG33" i="24"/>
  <c r="BG33" i="25"/>
  <c r="AC17" i="24"/>
  <c r="AC17" i="25"/>
  <c r="CQ48" i="25"/>
  <c r="CQ48" i="24"/>
  <c r="BZ43" i="25"/>
  <c r="BZ43" i="24"/>
  <c r="AH38" i="24"/>
  <c r="AH38" i="25"/>
  <c r="CQ29" i="25"/>
  <c r="CQ29" i="24"/>
  <c r="AW45" i="25"/>
  <c r="AW45" i="24"/>
  <c r="AK51" i="25"/>
  <c r="AK51" i="24"/>
  <c r="T46" i="24"/>
  <c r="T46" i="25"/>
  <c r="C41" i="25"/>
  <c r="C41" i="24"/>
  <c r="CB34" i="24"/>
  <c r="CB34" i="25"/>
  <c r="C20" i="25"/>
  <c r="C20" i="24"/>
  <c r="CT37" i="24"/>
  <c r="CT37" i="25"/>
  <c r="AV19" i="25"/>
  <c r="AV19" i="24"/>
  <c r="U48" i="25"/>
  <c r="U48" i="24"/>
  <c r="D43" i="25"/>
  <c r="D43" i="24"/>
  <c r="AW37" i="24"/>
  <c r="AW37" i="25"/>
  <c r="CO27" i="25"/>
  <c r="CO27" i="24"/>
  <c r="AO32" i="25"/>
  <c r="AO32" i="24"/>
  <c r="E25" i="25"/>
  <c r="E25" i="24"/>
  <c r="W14" i="25"/>
  <c r="W14" i="24"/>
  <c r="D11" i="25"/>
  <c r="D11" i="24"/>
  <c r="AP6" i="24"/>
  <c r="AP6" i="25"/>
  <c r="CA15" i="24"/>
  <c r="CA15" i="25"/>
  <c r="CI30" i="25"/>
  <c r="CI30" i="24"/>
  <c r="AK22" i="24"/>
  <c r="AK22" i="25"/>
  <c r="CL9" i="24"/>
  <c r="CL9" i="25"/>
  <c r="AS33" i="24"/>
  <c r="AS33" i="25"/>
  <c r="CF26" i="24"/>
  <c r="CF26" i="25"/>
  <c r="AB16" i="24"/>
  <c r="AB16" i="25"/>
  <c r="BF39" i="24"/>
  <c r="BF39" i="25"/>
  <c r="AA34" i="24"/>
  <c r="AA34" i="25"/>
  <c r="G28" i="24"/>
  <c r="G28" i="25"/>
  <c r="CO17" i="25"/>
  <c r="CO17" i="24"/>
  <c r="BN27" i="24"/>
  <c r="BN27" i="25"/>
  <c r="AW22" i="25"/>
  <c r="AW22" i="24"/>
  <c r="V17" i="24"/>
  <c r="V17" i="25"/>
  <c r="O10" i="24"/>
  <c r="O10" i="25"/>
  <c r="AF26" i="25"/>
  <c r="AF26" i="24"/>
  <c r="O21" i="25"/>
  <c r="O21" i="24"/>
  <c r="BP15" i="24"/>
  <c r="BP15" i="25"/>
  <c r="AU7" i="25"/>
  <c r="AU7" i="24"/>
  <c r="BH27" i="25"/>
  <c r="BH27" i="24"/>
  <c r="AQ22" i="25"/>
  <c r="AQ22" i="24"/>
  <c r="O17" i="24"/>
  <c r="O17" i="25"/>
  <c r="E10" i="24"/>
  <c r="E10" i="25"/>
  <c r="V34" i="24"/>
  <c r="V34" i="25"/>
  <c r="E29" i="24"/>
  <c r="E29" i="25"/>
  <c r="CI23" i="24"/>
  <c r="CI23" i="25"/>
  <c r="BR18" i="24"/>
  <c r="BR18" i="25"/>
  <c r="BM12" i="25"/>
  <c r="BM12" i="24"/>
  <c r="FG3" i="24"/>
  <c r="BZ8" i="24"/>
  <c r="BZ8" i="25"/>
  <c r="CV7" i="24"/>
  <c r="CV7" i="25"/>
  <c r="GD3" i="24"/>
  <c r="CJ8" i="24"/>
  <c r="CJ8" i="25"/>
  <c r="BA14" i="24"/>
  <c r="BA14" i="25"/>
  <c r="AJ9" i="24"/>
  <c r="AJ9" i="25"/>
  <c r="S4" i="24"/>
  <c r="DR4" i="24" s="1"/>
  <c r="S4" i="25"/>
  <c r="DR4" i="25" s="1"/>
  <c r="D50" i="25"/>
  <c r="D50" i="24"/>
  <c r="CU50" i="24"/>
  <c r="CU50" i="25"/>
  <c r="AQ34" i="24"/>
  <c r="AQ34" i="25"/>
  <c r="AE51" i="25"/>
  <c r="AE51" i="24"/>
  <c r="BU45" i="24"/>
  <c r="BU45" i="25"/>
  <c r="BJ50" i="24"/>
  <c r="BJ50" i="25"/>
  <c r="CB44" i="25"/>
  <c r="CB44" i="24"/>
  <c r="AY39" i="24"/>
  <c r="AY39" i="25"/>
  <c r="AA32" i="24"/>
  <c r="AA32" i="25"/>
  <c r="Q17" i="24"/>
  <c r="Q17" i="25"/>
  <c r="W48" i="25"/>
  <c r="W48" i="24"/>
  <c r="F43" i="24"/>
  <c r="F43" i="25"/>
  <c r="AY37" i="24"/>
  <c r="AY37" i="25"/>
  <c r="CW27" i="25"/>
  <c r="CW27" i="24"/>
  <c r="BK43" i="24"/>
  <c r="BK43" i="25"/>
  <c r="BL50" i="24"/>
  <c r="BL50" i="25"/>
  <c r="AU45" i="24"/>
  <c r="AU45" i="25"/>
  <c r="AA40" i="25"/>
  <c r="AA40" i="24"/>
  <c r="AV33" i="25"/>
  <c r="AV33" i="24"/>
  <c r="CT16" i="24"/>
  <c r="CT16" i="25"/>
  <c r="BP35" i="24"/>
  <c r="BP35" i="25"/>
  <c r="AJ16" i="25"/>
  <c r="AJ16" i="24"/>
  <c r="AV47" i="25"/>
  <c r="AV47" i="24"/>
  <c r="AE42" i="25"/>
  <c r="AE42" i="24"/>
  <c r="BJ36" i="24"/>
  <c r="BJ36" i="25"/>
  <c r="O25" i="24"/>
  <c r="O25" i="25"/>
  <c r="BF31" i="24"/>
  <c r="BF31" i="25"/>
  <c r="BG23" i="24"/>
  <c r="BG23" i="25"/>
  <c r="V12" i="25"/>
  <c r="V12" i="24"/>
  <c r="M8" i="25"/>
  <c r="M8" i="24"/>
  <c r="N14" i="24"/>
  <c r="N14" i="25"/>
  <c r="E30" i="24"/>
  <c r="E30" i="25"/>
  <c r="CM20" i="24"/>
  <c r="CM20" i="25"/>
  <c r="CU6" i="24"/>
  <c r="CU6" i="25"/>
  <c r="BJ32" i="24"/>
  <c r="BJ32" i="25"/>
  <c r="AM25" i="25"/>
  <c r="AM25" i="24"/>
  <c r="BJ14" i="24"/>
  <c r="BJ14" i="25"/>
  <c r="CG38" i="24"/>
  <c r="CG38" i="25"/>
  <c r="AR33" i="24"/>
  <c r="AR33" i="25"/>
  <c r="CE26" i="24"/>
  <c r="CE26" i="25"/>
  <c r="AA16" i="25"/>
  <c r="AA16" i="24"/>
  <c r="CO26" i="24"/>
  <c r="CO26" i="25"/>
  <c r="BX21" i="24"/>
  <c r="BX21" i="25"/>
  <c r="AL16" i="25"/>
  <c r="AL16" i="24"/>
  <c r="BQ8" i="24"/>
  <c r="BQ8" i="25"/>
  <c r="BG25" i="25"/>
  <c r="BG25" i="24"/>
  <c r="AP20" i="25"/>
  <c r="AP20" i="24"/>
  <c r="CF14" i="25"/>
  <c r="CF14" i="24"/>
  <c r="CW5" i="24"/>
  <c r="CW5" i="25"/>
  <c r="CI26" i="24"/>
  <c r="CI26" i="25"/>
  <c r="BR21" i="25"/>
  <c r="BR21" i="24"/>
  <c r="AF16" i="24"/>
  <c r="AF16" i="25"/>
  <c r="BG8" i="24"/>
  <c r="BG8" i="25"/>
  <c r="AW33" i="24"/>
  <c r="AW33" i="25"/>
  <c r="AF28" i="24"/>
  <c r="AF28" i="25"/>
  <c r="O23" i="24"/>
  <c r="O23" i="25"/>
  <c r="CR17" i="25"/>
  <c r="CR17" i="24"/>
  <c r="AW11" i="24"/>
  <c r="AW11" i="25"/>
  <c r="W13" i="25"/>
  <c r="W13" i="24"/>
  <c r="F8" i="25"/>
  <c r="F8" i="24"/>
  <c r="AB7" i="24"/>
  <c r="AB7" i="25"/>
  <c r="P8" i="24"/>
  <c r="P8" i="25"/>
  <c r="GS3" i="24"/>
  <c r="CB13" i="24"/>
  <c r="CB13" i="25"/>
  <c r="BK8" i="24"/>
  <c r="BK8" i="25"/>
  <c r="BX42" i="24"/>
  <c r="BX42" i="25"/>
  <c r="D45" i="25"/>
  <c r="D45" i="24"/>
  <c r="BN38" i="24"/>
  <c r="BN38" i="25"/>
  <c r="BU48" i="24"/>
  <c r="BU48" i="25"/>
  <c r="AY20" i="24"/>
  <c r="AY20" i="25"/>
  <c r="BD46" i="24"/>
  <c r="BD46" i="25"/>
  <c r="BW39" i="24"/>
  <c r="BW39" i="25"/>
  <c r="AL38" i="24"/>
  <c r="AL38" i="25"/>
  <c r="BN40" i="24"/>
  <c r="BN40" i="25"/>
  <c r="T39" i="24"/>
  <c r="T39" i="25"/>
  <c r="CT51" i="25"/>
  <c r="CT51" i="24"/>
  <c r="J43" i="24"/>
  <c r="J43" i="25"/>
  <c r="CQ49" i="24"/>
  <c r="CQ49" i="25"/>
  <c r="BC29" i="24"/>
  <c r="BC29" i="25"/>
  <c r="CE50" i="24"/>
  <c r="CE50" i="25"/>
  <c r="G37" i="24"/>
  <c r="G37" i="25"/>
  <c r="K50" i="24"/>
  <c r="K50" i="25"/>
  <c r="BW21" i="24"/>
  <c r="BW21" i="25"/>
  <c r="AQ30" i="24"/>
  <c r="AQ30" i="25"/>
  <c r="H43" i="24"/>
  <c r="H43" i="25"/>
  <c r="X48" i="24"/>
  <c r="X48" i="25"/>
  <c r="S51" i="24"/>
  <c r="S51" i="25"/>
  <c r="CW45" i="25"/>
  <c r="CW45" i="24"/>
  <c r="CF40" i="24"/>
  <c r="CF40" i="25"/>
  <c r="AW34" i="24"/>
  <c r="AW34" i="25"/>
  <c r="AF19" i="25"/>
  <c r="AF19" i="24"/>
  <c r="AR49" i="25"/>
  <c r="AR49" i="24"/>
  <c r="AA44" i="25"/>
  <c r="AA44" i="24"/>
  <c r="CK38" i="25"/>
  <c r="CK38" i="24"/>
  <c r="H31" i="25"/>
  <c r="H31" i="24"/>
  <c r="BR46" i="24"/>
  <c r="BR46" i="25"/>
  <c r="CG51" i="24"/>
  <c r="CG51" i="25"/>
  <c r="BP46" i="25"/>
  <c r="BP46" i="24"/>
  <c r="AY41" i="24"/>
  <c r="AY41" i="25"/>
  <c r="BD35" i="24"/>
  <c r="BD35" i="25"/>
  <c r="CR21" i="25"/>
  <c r="CR21" i="24"/>
  <c r="BL39" i="25"/>
  <c r="BL39" i="24"/>
  <c r="AP21" i="24"/>
  <c r="AP21" i="25"/>
  <c r="BQ48" i="25"/>
  <c r="BQ48" i="24"/>
  <c r="AZ43" i="25"/>
  <c r="AZ43" i="24"/>
  <c r="D38" i="25"/>
  <c r="D38" i="24"/>
  <c r="W29" i="25"/>
  <c r="W29" i="24"/>
  <c r="CR32" i="24"/>
  <c r="CR32" i="25"/>
  <c r="CW25" i="24"/>
  <c r="CW25" i="25"/>
  <c r="AG15" i="24"/>
  <c r="AG15" i="25"/>
  <c r="BS12" i="25"/>
  <c r="BS12" i="24"/>
  <c r="AJ8" i="24"/>
  <c r="AJ8" i="25"/>
  <c r="AQ31" i="24"/>
  <c r="AQ31" i="25"/>
  <c r="AH23" i="24"/>
  <c r="AH23" i="25"/>
  <c r="CC11" i="24"/>
  <c r="CC11" i="25"/>
  <c r="CV33" i="24"/>
  <c r="CV33" i="25"/>
  <c r="BU27" i="24"/>
  <c r="BU27" i="25"/>
  <c r="AM17" i="24"/>
  <c r="AM17" i="25"/>
  <c r="G40" i="25"/>
  <c r="G40" i="24"/>
  <c r="CD34" i="25"/>
  <c r="CD34" i="24"/>
  <c r="BS28" i="25"/>
  <c r="BS28" i="24"/>
  <c r="CM18" i="24"/>
  <c r="CM18" i="25"/>
  <c r="GV3" i="24"/>
  <c r="CS22" i="24"/>
  <c r="CS22" i="25"/>
  <c r="BY17" i="24"/>
  <c r="BY17" i="25"/>
  <c r="L11" i="25"/>
  <c r="L11" i="24"/>
  <c r="CB26" i="25"/>
  <c r="CB26" i="24"/>
  <c r="BK21" i="24"/>
  <c r="BK21" i="25"/>
  <c r="X16" i="25"/>
  <c r="X16" i="24"/>
  <c r="AR8" i="25"/>
  <c r="AR8" i="24"/>
  <c r="I28" i="24"/>
  <c r="I28" i="25"/>
  <c r="CM22" i="24"/>
  <c r="CM22" i="25"/>
  <c r="BR17" i="24"/>
  <c r="BR17" i="25"/>
  <c r="CW10" i="25"/>
  <c r="CW10" i="24"/>
  <c r="BR34" i="24"/>
  <c r="BR34" i="25"/>
  <c r="BA29" i="25"/>
  <c r="BA29" i="24"/>
  <c r="AJ24" i="24"/>
  <c r="AJ24" i="25"/>
  <c r="S19" i="24"/>
  <c r="S19" i="25"/>
  <c r="AO13" i="24"/>
  <c r="AO13" i="25"/>
  <c r="AA9" i="24"/>
  <c r="AA9" i="25"/>
  <c r="J4" i="25"/>
  <c r="DI4" i="25" s="1"/>
  <c r="J4" i="24"/>
  <c r="AW8" i="24"/>
  <c r="AW8" i="25"/>
  <c r="AK9" i="24"/>
  <c r="AK9" i="25"/>
  <c r="T4" i="24"/>
  <c r="T4" i="25"/>
  <c r="DS4" i="25" s="1"/>
  <c r="CW14" i="25"/>
  <c r="CW14" i="24"/>
  <c r="CF9" i="25"/>
  <c r="CF9" i="24"/>
  <c r="BO4" i="25"/>
  <c r="FN4" i="25" s="1"/>
  <c r="BO4" i="24"/>
  <c r="CT25" i="24"/>
  <c r="CT25" i="25"/>
  <c r="CE13" i="24"/>
  <c r="CE13" i="25"/>
  <c r="CM6" i="25"/>
  <c r="CM6" i="24"/>
  <c r="CI20" i="24"/>
  <c r="CI20" i="25"/>
  <c r="X14" i="25"/>
  <c r="X14" i="24"/>
  <c r="AD45" i="24"/>
  <c r="AD45" i="25"/>
  <c r="BK7" i="25"/>
  <c r="BK7" i="24"/>
  <c r="W21" i="24"/>
  <c r="W21" i="25"/>
  <c r="AE10" i="24"/>
  <c r="AE10" i="25"/>
  <c r="BE22" i="24"/>
  <c r="BE22" i="25"/>
  <c r="K18" i="25"/>
  <c r="K18" i="24"/>
  <c r="AJ34" i="24"/>
  <c r="AJ34" i="25"/>
  <c r="AT16" i="25"/>
  <c r="AT16" i="24"/>
  <c r="BB33" i="24"/>
  <c r="BB33" i="25"/>
  <c r="BA22" i="24"/>
  <c r="BA22" i="25"/>
  <c r="DT3" i="24"/>
  <c r="AJ11" i="25"/>
  <c r="AJ11" i="24"/>
  <c r="AX32" i="24"/>
  <c r="AX32" i="25"/>
  <c r="BF37" i="24"/>
  <c r="BF37" i="25"/>
  <c r="AY22" i="25"/>
  <c r="AY22" i="24"/>
  <c r="AL10" i="25"/>
  <c r="AL10" i="24"/>
  <c r="BH22" i="24"/>
  <c r="BH22" i="25"/>
  <c r="BZ12" i="24"/>
  <c r="BZ12" i="25"/>
  <c r="CP23" i="24"/>
  <c r="CP23" i="25"/>
  <c r="CG20" i="24"/>
  <c r="CG20" i="25"/>
  <c r="CH35" i="24"/>
  <c r="CH35" i="25"/>
  <c r="AO19" i="24"/>
  <c r="AO19" i="25"/>
  <c r="L35" i="25"/>
  <c r="L35" i="24"/>
  <c r="AB25" i="24"/>
  <c r="AB25" i="25"/>
  <c r="BR7" i="24"/>
  <c r="BR7" i="25"/>
  <c r="N15" i="24"/>
  <c r="N15" i="25"/>
  <c r="CG27" i="24"/>
  <c r="CG27" i="25"/>
  <c r="BD31" i="24"/>
  <c r="BD31" i="25"/>
  <c r="AW44" i="25"/>
  <c r="AW44" i="24"/>
  <c r="AD25" i="25"/>
  <c r="AD25" i="24"/>
  <c r="BC26" i="25"/>
  <c r="BC26" i="24"/>
  <c r="AV14" i="25"/>
  <c r="AV14" i="24"/>
  <c r="AA25" i="24"/>
  <c r="AA25" i="25"/>
  <c r="CW15" i="25"/>
  <c r="CW15" i="24"/>
  <c r="BI26" i="24"/>
  <c r="BI26" i="25"/>
  <c r="S26" i="24"/>
  <c r="S26" i="25"/>
  <c r="BA38" i="24"/>
  <c r="BA38" i="25"/>
  <c r="BV24" i="25"/>
  <c r="BV24" i="24"/>
  <c r="BR5" i="24"/>
  <c r="BR5" i="25"/>
  <c r="BH29" i="25"/>
  <c r="BH29" i="24"/>
  <c r="DU3" i="24"/>
  <c r="I11" i="24"/>
  <c r="I11" i="25"/>
  <c r="U31" i="25"/>
  <c r="U31" i="24"/>
  <c r="R36" i="25"/>
  <c r="R36" i="24"/>
  <c r="P47" i="24"/>
  <c r="P47" i="25"/>
  <c r="Y34" i="24"/>
  <c r="Y34" i="25"/>
  <c r="CL32" i="24"/>
  <c r="CL32" i="25"/>
  <c r="O45" i="24"/>
  <c r="O45" i="25"/>
  <c r="CT42" i="24"/>
  <c r="CT42" i="25"/>
  <c r="N37" i="25"/>
  <c r="N37" i="24"/>
  <c r="CL47" i="24"/>
  <c r="CL47" i="25"/>
  <c r="BB31" i="24"/>
  <c r="BB31" i="25"/>
  <c r="AV44" i="25"/>
  <c r="AV44" i="24"/>
  <c r="CG41" i="25"/>
  <c r="CG41" i="24"/>
  <c r="AV49" i="24"/>
  <c r="AV49" i="25"/>
  <c r="CV25" i="24"/>
  <c r="CV25" i="25"/>
  <c r="S29" i="24"/>
  <c r="S29" i="25"/>
  <c r="CJ49" i="24"/>
  <c r="CJ49" i="25"/>
  <c r="AJ45" i="24"/>
  <c r="AJ45" i="25"/>
  <c r="BC49" i="24"/>
  <c r="BC49" i="25"/>
  <c r="AV34" i="24"/>
  <c r="AV34" i="25"/>
  <c r="BH42" i="25"/>
  <c r="BH42" i="24"/>
  <c r="BD29" i="24"/>
  <c r="BD29" i="25"/>
  <c r="P16" i="24"/>
  <c r="P16" i="25"/>
  <c r="AR26" i="24"/>
  <c r="AR26" i="25"/>
  <c r="AX44" i="24"/>
  <c r="AX44" i="25"/>
  <c r="CE43" i="25"/>
  <c r="CE43" i="24"/>
  <c r="B42" i="25"/>
  <c r="B42" i="24"/>
  <c r="AO23" i="25"/>
  <c r="AO23" i="24"/>
  <c r="CG28" i="25"/>
  <c r="CG28" i="24"/>
  <c r="AS30" i="24"/>
  <c r="AS30" i="25"/>
  <c r="Q47" i="24"/>
  <c r="Q47" i="25"/>
  <c r="Z21" i="25"/>
  <c r="Z21" i="24"/>
  <c r="BT35" i="25"/>
  <c r="BT35" i="24"/>
  <c r="B25" i="24"/>
  <c r="B25" i="25"/>
  <c r="AU44" i="24"/>
  <c r="AU44" i="25"/>
  <c r="BS39" i="25"/>
  <c r="BS39" i="24"/>
  <c r="D49" i="24"/>
  <c r="D49" i="25"/>
  <c r="G49" i="24"/>
  <c r="G49" i="25"/>
  <c r="BR41" i="24"/>
  <c r="BR41" i="25"/>
  <c r="Z51" i="24"/>
  <c r="Z51" i="25"/>
  <c r="D13" i="24"/>
  <c r="D13" i="25"/>
  <c r="C36" i="24"/>
  <c r="C36" i="25"/>
  <c r="AI8" i="24"/>
  <c r="AI8" i="25"/>
  <c r="CN31" i="25"/>
  <c r="CN31" i="24"/>
  <c r="BL42" i="24"/>
  <c r="BL42" i="25"/>
  <c r="AK44" i="24"/>
  <c r="AK44" i="25"/>
  <c r="AP19" i="24"/>
  <c r="AP19" i="25"/>
  <c r="CM29" i="25"/>
  <c r="CM29" i="24"/>
  <c r="CL18" i="24"/>
  <c r="CL18" i="25"/>
  <c r="AE50" i="25"/>
  <c r="AE50" i="24"/>
  <c r="AD48" i="25"/>
  <c r="AD48" i="24"/>
  <c r="F51" i="24"/>
  <c r="F51" i="25"/>
  <c r="X30" i="25"/>
  <c r="X30" i="24"/>
  <c r="BX39" i="24"/>
  <c r="BX39" i="25"/>
  <c r="U50" i="25"/>
  <c r="U50" i="24"/>
  <c r="AS19" i="24"/>
  <c r="AS19" i="25"/>
  <c r="F14" i="24"/>
  <c r="F14" i="25"/>
  <c r="AP9" i="25"/>
  <c r="AP9" i="24"/>
  <c r="BO49" i="24"/>
  <c r="BO49" i="25"/>
  <c r="CV48" i="24"/>
  <c r="CV48" i="25"/>
  <c r="CB46" i="25"/>
  <c r="CB46" i="24"/>
  <c r="S33" i="24"/>
  <c r="S33" i="25"/>
  <c r="CW36" i="24"/>
  <c r="CW36" i="25"/>
  <c r="BL49" i="24"/>
  <c r="BL49" i="25"/>
  <c r="BE39" i="24"/>
  <c r="BE39" i="25"/>
  <c r="P41" i="25"/>
  <c r="P41" i="24"/>
  <c r="AE49" i="24"/>
  <c r="AE49" i="25"/>
  <c r="E50" i="24"/>
  <c r="E50" i="25"/>
  <c r="I45" i="24"/>
  <c r="I45" i="25"/>
  <c r="F40" i="25"/>
  <c r="F40" i="24"/>
  <c r="BS48" i="25"/>
  <c r="BS48" i="24"/>
  <c r="AE29" i="24"/>
  <c r="AE29" i="25"/>
  <c r="CQ45" i="24"/>
  <c r="CQ45" i="25"/>
  <c r="F19" i="25"/>
  <c r="F19" i="24"/>
  <c r="CR47" i="24"/>
  <c r="CR47" i="25"/>
  <c r="I27" i="24"/>
  <c r="I27" i="25"/>
  <c r="BD24" i="24"/>
  <c r="BD24" i="25"/>
  <c r="G10" i="25"/>
  <c r="G10" i="24"/>
  <c r="BH30" i="25"/>
  <c r="BH30" i="24"/>
  <c r="R33" i="24"/>
  <c r="R33" i="25"/>
  <c r="AH39" i="25"/>
  <c r="AH39" i="24"/>
  <c r="BT27" i="24"/>
  <c r="BT27" i="25"/>
  <c r="Y22" i="24"/>
  <c r="Y22" i="25"/>
  <c r="CO16" i="24"/>
  <c r="CO16" i="25"/>
  <c r="H26" i="25"/>
  <c r="H26" i="24"/>
  <c r="AN15" i="25"/>
  <c r="AN15" i="24"/>
  <c r="S22" i="25"/>
  <c r="S22" i="24"/>
  <c r="CH16" i="24"/>
  <c r="CH16" i="25"/>
  <c r="CS33" i="25"/>
  <c r="CS33" i="24"/>
  <c r="CB28" i="24"/>
  <c r="CB28" i="25"/>
  <c r="BK23" i="24"/>
  <c r="BK23" i="25"/>
  <c r="AC12" i="25"/>
  <c r="AC12" i="24"/>
  <c r="BB8" i="24"/>
  <c r="BB8" i="25"/>
  <c r="BX7" i="25"/>
  <c r="BX7" i="24"/>
  <c r="CP16" i="25"/>
  <c r="CP16" i="24"/>
  <c r="BF5" i="24"/>
  <c r="BF5" i="25"/>
  <c r="AP50" i="24"/>
  <c r="AP50" i="25"/>
  <c r="BJ41" i="24"/>
  <c r="BJ41" i="25"/>
  <c r="AH18" i="25"/>
  <c r="AH18" i="24"/>
  <c r="B23" i="25"/>
  <c r="B23" i="24"/>
  <c r="AD41" i="24"/>
  <c r="AD41" i="25"/>
  <c r="BW40" i="24"/>
  <c r="BW40" i="25"/>
  <c r="BH35" i="25"/>
  <c r="BH35" i="24"/>
  <c r="CL51" i="24"/>
  <c r="CL51" i="25"/>
  <c r="BU38" i="24"/>
  <c r="BU38" i="25"/>
  <c r="CC27" i="24"/>
  <c r="CC27" i="25"/>
  <c r="AR47" i="24"/>
  <c r="AR47" i="25"/>
  <c r="AM41" i="24"/>
  <c r="AM41" i="25"/>
  <c r="G44" i="25"/>
  <c r="G44" i="24"/>
  <c r="CB21" i="24"/>
  <c r="CB21" i="25"/>
  <c r="BB49" i="24"/>
  <c r="BB49" i="25"/>
  <c r="BH34" i="24"/>
  <c r="BH34" i="25"/>
  <c r="AI45" i="24"/>
  <c r="AI45" i="25"/>
  <c r="BA50" i="25"/>
  <c r="BA50" i="24"/>
  <c r="D25" i="25"/>
  <c r="D25" i="24"/>
  <c r="AF41" i="24"/>
  <c r="AF41" i="25"/>
  <c r="AG45" i="24"/>
  <c r="AG45" i="25"/>
  <c r="BB50" i="24"/>
  <c r="BB50" i="25"/>
  <c r="AK45" i="24"/>
  <c r="AK45" i="25"/>
  <c r="P40" i="24"/>
  <c r="P40" i="25"/>
  <c r="AD33" i="24"/>
  <c r="AD33" i="25"/>
  <c r="BB16" i="24"/>
  <c r="BB16" i="25"/>
  <c r="CA48" i="25"/>
  <c r="CA48" i="24"/>
  <c r="BJ43" i="25"/>
  <c r="BJ43" i="24"/>
  <c r="P38" i="24"/>
  <c r="P38" i="25"/>
  <c r="AY29" i="25"/>
  <c r="AY29" i="24"/>
  <c r="CV44" i="24"/>
  <c r="CV44" i="25"/>
  <c r="U51" i="24"/>
  <c r="U51" i="25"/>
  <c r="D46" i="25"/>
  <c r="D46" i="24"/>
  <c r="CH40" i="25"/>
  <c r="CH40" i="24"/>
  <c r="AY34" i="24"/>
  <c r="AY34" i="25"/>
  <c r="AL19" i="25"/>
  <c r="AL19" i="24"/>
  <c r="BI37" i="24"/>
  <c r="BI37" i="25"/>
  <c r="CE18" i="25"/>
  <c r="CE18" i="24"/>
  <c r="E48" i="25"/>
  <c r="E48" i="24"/>
  <c r="CI42" i="25"/>
  <c r="CI42" i="24"/>
  <c r="AD37" i="24"/>
  <c r="AD37" i="25"/>
  <c r="AO27" i="24"/>
  <c r="AO27" i="25"/>
  <c r="W32" i="24"/>
  <c r="W32" i="25"/>
  <c r="BT24" i="25"/>
  <c r="BT24" i="24"/>
  <c r="CG13" i="24"/>
  <c r="CG13" i="25"/>
  <c r="AM10" i="25"/>
  <c r="AM10" i="24"/>
  <c r="BY5" i="24"/>
  <c r="BY5" i="25"/>
  <c r="AQ15" i="24"/>
  <c r="AQ15" i="25"/>
  <c r="BQ30" i="25"/>
  <c r="BQ30" i="24"/>
  <c r="E22" i="24"/>
  <c r="E22" i="25"/>
  <c r="Z9" i="24"/>
  <c r="Z9" i="25"/>
  <c r="AA33" i="25"/>
  <c r="AA33" i="24"/>
  <c r="AZ26" i="24"/>
  <c r="AZ26" i="25"/>
  <c r="CM15" i="24"/>
  <c r="CM15" i="25"/>
  <c r="AP39" i="24"/>
  <c r="AP39" i="25"/>
  <c r="I34" i="24"/>
  <c r="I34" i="25"/>
  <c r="CH27" i="24"/>
  <c r="CH27" i="25"/>
  <c r="BD17" i="25"/>
  <c r="BD17" i="24"/>
  <c r="AX27" i="24"/>
  <c r="AX27" i="25"/>
  <c r="AG22" i="25"/>
  <c r="AG22" i="24"/>
  <c r="C17" i="24"/>
  <c r="C17" i="25"/>
  <c r="CD9" i="24"/>
  <c r="CD9" i="25"/>
  <c r="P26" i="25"/>
  <c r="P26" i="24"/>
  <c r="CT20" i="24"/>
  <c r="CT20" i="25"/>
  <c r="AW15" i="25"/>
  <c r="AW15" i="24"/>
  <c r="O7" i="25"/>
  <c r="O7" i="24"/>
  <c r="AR27" i="25"/>
  <c r="AR27" i="24"/>
  <c r="AA22" i="24"/>
  <c r="AA22" i="25"/>
  <c r="CR16" i="25"/>
  <c r="CR16" i="24"/>
  <c r="BT9" i="25"/>
  <c r="BT9" i="24"/>
  <c r="F34" i="24"/>
  <c r="F34" i="25"/>
  <c r="CJ28" i="24"/>
  <c r="CJ28" i="25"/>
  <c r="BS23" i="25"/>
  <c r="BS23" i="24"/>
  <c r="BB18" i="24"/>
  <c r="BB18" i="25"/>
  <c r="AN12" i="24"/>
  <c r="AN12" i="25"/>
  <c r="BJ8" i="25"/>
  <c r="BJ8" i="24"/>
  <c r="CF7" i="24"/>
  <c r="CF7" i="25"/>
  <c r="BT8" i="24"/>
  <c r="BT8" i="25"/>
  <c r="AK14" i="25"/>
  <c r="AK14" i="24"/>
  <c r="T9" i="25"/>
  <c r="T9" i="24"/>
  <c r="C4" i="25"/>
  <c r="DB4" i="25" s="1"/>
  <c r="C4" i="24"/>
  <c r="AB27" i="25"/>
  <c r="AB27" i="24"/>
  <c r="AE15" i="24"/>
  <c r="AE15" i="25"/>
  <c r="AX9" i="25"/>
  <c r="AX9" i="24"/>
  <c r="Q22" i="24"/>
  <c r="Q22" i="25"/>
  <c r="S17" i="24"/>
  <c r="S17" i="25"/>
  <c r="K22" i="24"/>
  <c r="K22" i="25"/>
  <c r="V10" i="25"/>
  <c r="V10" i="24"/>
  <c r="AZ22" i="24"/>
  <c r="AZ22" i="25"/>
  <c r="BL12" i="25"/>
  <c r="BL12" i="24"/>
  <c r="CH23" i="25"/>
  <c r="CH23" i="24"/>
  <c r="BQ20" i="25"/>
  <c r="BQ20" i="24"/>
  <c r="BZ35" i="24"/>
  <c r="BZ35" i="25"/>
  <c r="Y19" i="24"/>
  <c r="Y19" i="25"/>
  <c r="CW34" i="24"/>
  <c r="CW34" i="25"/>
  <c r="L25" i="24"/>
  <c r="L25" i="25"/>
  <c r="AL7" i="24"/>
  <c r="AL7" i="25"/>
  <c r="CQ14" i="24"/>
  <c r="CQ14" i="25"/>
  <c r="CT33" i="24"/>
  <c r="CT33" i="25"/>
  <c r="F39" i="25"/>
  <c r="F39" i="24"/>
  <c r="J25" i="25"/>
  <c r="J25" i="24"/>
  <c r="BR12" i="25"/>
  <c r="BR12" i="24"/>
  <c r="CK23" i="24"/>
  <c r="CK23" i="25"/>
  <c r="AR14" i="24"/>
  <c r="AR14" i="25"/>
  <c r="X25" i="25"/>
  <c r="X25" i="24"/>
  <c r="AR23" i="25"/>
  <c r="AR23" i="24"/>
  <c r="P37" i="24"/>
  <c r="P37" i="25"/>
  <c r="CU21" i="24"/>
  <c r="CU21" i="25"/>
  <c r="AR36" i="24"/>
  <c r="AR36" i="25"/>
  <c r="BY27" i="25"/>
  <c r="BY27" i="24"/>
  <c r="BJ12" i="25"/>
  <c r="BJ12" i="24"/>
  <c r="BG5" i="24"/>
  <c r="BG5" i="25"/>
  <c r="BE29" i="24"/>
  <c r="BE29" i="25"/>
  <c r="E34" i="24"/>
  <c r="E34" i="25"/>
  <c r="BZ45" i="25"/>
  <c r="BZ45" i="24"/>
  <c r="AZ29" i="25"/>
  <c r="AZ29" i="24"/>
  <c r="CF27" i="24"/>
  <c r="CF27" i="25"/>
  <c r="CQ15" i="24"/>
  <c r="CQ15" i="25"/>
  <c r="BD26" i="25"/>
  <c r="BD26" i="24"/>
  <c r="AW17" i="24"/>
  <c r="AW17" i="25"/>
  <c r="DD3" i="24"/>
  <c r="AM28" i="24"/>
  <c r="AM28" i="25"/>
  <c r="CD39" i="24"/>
  <c r="CD39" i="25"/>
  <c r="AG27" i="25"/>
  <c r="AG27" i="24"/>
  <c r="CI10" i="24"/>
  <c r="CI10" i="25"/>
  <c r="P31" i="25"/>
  <c r="P31" i="24"/>
  <c r="AM7" i="24"/>
  <c r="AM7" i="25"/>
  <c r="BZ14" i="24"/>
  <c r="BZ14" i="25"/>
  <c r="BQ32" i="24"/>
  <c r="BQ32" i="25"/>
  <c r="BX37" i="25"/>
  <c r="BX37" i="24"/>
  <c r="AS48" i="25"/>
  <c r="AS48" i="24"/>
  <c r="CC38" i="24"/>
  <c r="CC38" i="25"/>
  <c r="V35" i="24"/>
  <c r="V35" i="25"/>
  <c r="AR46" i="24"/>
  <c r="AR46" i="25"/>
  <c r="V46" i="24"/>
  <c r="V46" i="25"/>
  <c r="BJ38" i="24"/>
  <c r="BJ38" i="25"/>
  <c r="T49" i="24"/>
  <c r="T49" i="25"/>
  <c r="D34" i="24"/>
  <c r="D34" i="25"/>
  <c r="BY45" i="24"/>
  <c r="BY45" i="25"/>
  <c r="S47" i="24"/>
  <c r="S47" i="25"/>
  <c r="CA51" i="24"/>
  <c r="CA51" i="25"/>
  <c r="AL39" i="25"/>
  <c r="AL39" i="24"/>
  <c r="AK35" i="25"/>
  <c r="AK35" i="24"/>
  <c r="AK37" i="24"/>
  <c r="AK37" i="25"/>
  <c r="CK18" i="24"/>
  <c r="CK18" i="25"/>
  <c r="CC51" i="24"/>
  <c r="CC51" i="25"/>
  <c r="BY42" i="24"/>
  <c r="BY42" i="25"/>
  <c r="BB44" i="24"/>
  <c r="BB44" i="25"/>
  <c r="R45" i="25"/>
  <c r="R45" i="24"/>
  <c r="BU26" i="24"/>
  <c r="BU26" i="25"/>
  <c r="AX38" i="25"/>
  <c r="AX38" i="24"/>
  <c r="CR50" i="24"/>
  <c r="CR50" i="25"/>
  <c r="AD50" i="24"/>
  <c r="AD50" i="25"/>
  <c r="AO40" i="24"/>
  <c r="AO40" i="25"/>
  <c r="AJ29" i="24"/>
  <c r="AJ29" i="25"/>
  <c r="BE11" i="25"/>
  <c r="BE11" i="24"/>
  <c r="BG38" i="24"/>
  <c r="BG38" i="25"/>
  <c r="E51" i="24"/>
  <c r="E51" i="25"/>
  <c r="CW32" i="24"/>
  <c r="CW32" i="25"/>
  <c r="AP23" i="24"/>
  <c r="AP23" i="25"/>
  <c r="CO44" i="24"/>
  <c r="CO44" i="25"/>
  <c r="C31" i="25"/>
  <c r="C31" i="24"/>
  <c r="AN42" i="25"/>
  <c r="AN42" i="24"/>
  <c r="CI22" i="24"/>
  <c r="CI22" i="25"/>
  <c r="CW35" i="24"/>
  <c r="CW35" i="25"/>
  <c r="BS41" i="25"/>
  <c r="BS41" i="24"/>
  <c r="AP43" i="24"/>
  <c r="AP43" i="25"/>
  <c r="F24" i="25"/>
  <c r="F24" i="24"/>
  <c r="BX23" i="24"/>
  <c r="BX23" i="25"/>
  <c r="BH36" i="24"/>
  <c r="BH36" i="25"/>
  <c r="X6" i="24"/>
  <c r="X6" i="25"/>
  <c r="CP45" i="24"/>
  <c r="CP45" i="25"/>
  <c r="AB30" i="24"/>
  <c r="AB30" i="25"/>
  <c r="BE35" i="24"/>
  <c r="BE35" i="25"/>
  <c r="BC28" i="24"/>
  <c r="BC28" i="25"/>
  <c r="AJ47" i="24"/>
  <c r="AJ47" i="25"/>
  <c r="AQ21" i="24"/>
  <c r="AQ21" i="25"/>
  <c r="AL47" i="24"/>
  <c r="AL47" i="25"/>
  <c r="CK40" i="24"/>
  <c r="CK40" i="25"/>
  <c r="CW50" i="24"/>
  <c r="CW50" i="25"/>
  <c r="BT49" i="24"/>
  <c r="BT49" i="25"/>
  <c r="BS37" i="24"/>
  <c r="BS37" i="25"/>
  <c r="BW28" i="24"/>
  <c r="BW28" i="25"/>
  <c r="CI39" i="24"/>
  <c r="CI39" i="25"/>
  <c r="BS51" i="24"/>
  <c r="BS51" i="25"/>
  <c r="BF44" i="24"/>
  <c r="BF44" i="25"/>
  <c r="BA42" i="25"/>
  <c r="BA42" i="24"/>
  <c r="CC45" i="25"/>
  <c r="CC45" i="24"/>
  <c r="BM26" i="25"/>
  <c r="BM26" i="24"/>
  <c r="D15" i="25"/>
  <c r="D15" i="24"/>
  <c r="BE16" i="24"/>
  <c r="BE16" i="25"/>
  <c r="P27" i="24"/>
  <c r="P27" i="25"/>
  <c r="CW38" i="24"/>
  <c r="CW38" i="25"/>
  <c r="W30" i="24"/>
  <c r="W30" i="25"/>
  <c r="P4" i="24"/>
  <c r="P4" i="25"/>
  <c r="DO4" i="25" s="1"/>
  <c r="BX31" i="24"/>
  <c r="BX31" i="25"/>
  <c r="CD36" i="24"/>
  <c r="CD36" i="25"/>
  <c r="BL47" i="24"/>
  <c r="BL47" i="25"/>
  <c r="W36" i="24"/>
  <c r="W36" i="25"/>
  <c r="BK45" i="24"/>
  <c r="BK45" i="25"/>
  <c r="CQ43" i="24"/>
  <c r="CQ43" i="25"/>
  <c r="BQ37" i="25"/>
  <c r="BQ37" i="24"/>
  <c r="AM48" i="24"/>
  <c r="AM48" i="25"/>
  <c r="BD32" i="24"/>
  <c r="BD32" i="25"/>
  <c r="CR44" i="25"/>
  <c r="CR44" i="24"/>
  <c r="CI43" i="25"/>
  <c r="CI43" i="24"/>
  <c r="AH50" i="25"/>
  <c r="AH50" i="24"/>
  <c r="BG36" i="24"/>
  <c r="BG36" i="25"/>
  <c r="CF13" i="24"/>
  <c r="CF13" i="25"/>
  <c r="BL31" i="24"/>
  <c r="BL31" i="25"/>
  <c r="CR45" i="24"/>
  <c r="CR45" i="25"/>
  <c r="CD32" i="25"/>
  <c r="CD32" i="24"/>
  <c r="T26" i="24"/>
  <c r="T26" i="25"/>
  <c r="AS13" i="25"/>
  <c r="AS13" i="24"/>
  <c r="O37" i="24"/>
  <c r="O37" i="25"/>
  <c r="AZ34" i="24"/>
  <c r="AZ34" i="25"/>
  <c r="CF44" i="25"/>
  <c r="CF44" i="24"/>
  <c r="BZ49" i="24"/>
  <c r="BZ49" i="25"/>
  <c r="AB50" i="24"/>
  <c r="AB50" i="25"/>
  <c r="P50" i="24"/>
  <c r="P50" i="25"/>
  <c r="CC37" i="25"/>
  <c r="CC37" i="24"/>
  <c r="AI25" i="25"/>
  <c r="AI25" i="24"/>
  <c r="X47" i="24"/>
  <c r="X47" i="25"/>
  <c r="W45" i="24"/>
  <c r="W45" i="25"/>
  <c r="CT47" i="25"/>
  <c r="CT47" i="24"/>
  <c r="R42" i="24"/>
  <c r="R42" i="25"/>
  <c r="BX29" i="24"/>
  <c r="BX29" i="25"/>
  <c r="T50" i="24"/>
  <c r="T50" i="25"/>
  <c r="I32" i="25"/>
  <c r="I32" i="24"/>
  <c r="CM30" i="24"/>
  <c r="CM30" i="25"/>
  <c r="K29" i="24"/>
  <c r="K29" i="25"/>
  <c r="CD35" i="24"/>
  <c r="CD35" i="25"/>
  <c r="I47" i="24"/>
  <c r="I47" i="25"/>
  <c r="BR24" i="25"/>
  <c r="BR24" i="24"/>
  <c r="BW49" i="24"/>
  <c r="BW49" i="25"/>
  <c r="CK34" i="25"/>
  <c r="CK34" i="24"/>
  <c r="I46" i="24"/>
  <c r="I46" i="25"/>
  <c r="AG28" i="24"/>
  <c r="AG28" i="25"/>
  <c r="Z35" i="24"/>
  <c r="Z35" i="25"/>
  <c r="BG6" i="24"/>
  <c r="BG6" i="25"/>
  <c r="BU11" i="25"/>
  <c r="BU11" i="24"/>
  <c r="CN10" i="25"/>
  <c r="CN10" i="24"/>
  <c r="BH51" i="25"/>
  <c r="BH51" i="24"/>
  <c r="CU23" i="24"/>
  <c r="CU23" i="25"/>
  <c r="CN48" i="24"/>
  <c r="CN48" i="25"/>
  <c r="CB27" i="24"/>
  <c r="CB27" i="25"/>
  <c r="CL37" i="25"/>
  <c r="CL37" i="24"/>
  <c r="BV20" i="24"/>
  <c r="BV20" i="25"/>
  <c r="I22" i="24"/>
  <c r="I22" i="25"/>
  <c r="AC35" i="24"/>
  <c r="AC35" i="25"/>
  <c r="C28" i="24"/>
  <c r="C28" i="25"/>
  <c r="BG51" i="25"/>
  <c r="BG51" i="24"/>
  <c r="AH28" i="25"/>
  <c r="AH28" i="24"/>
  <c r="AN6" i="25"/>
  <c r="AN6" i="24"/>
  <c r="B29" i="25"/>
  <c r="B29" i="24"/>
  <c r="F30" i="25"/>
  <c r="F30" i="24"/>
  <c r="CO39" i="24"/>
  <c r="CO39" i="25"/>
  <c r="R31" i="24"/>
  <c r="R31" i="25"/>
  <c r="BP45" i="25"/>
  <c r="BP45" i="24"/>
  <c r="AD39" i="24"/>
  <c r="AD39" i="25"/>
  <c r="BF50" i="24"/>
  <c r="BF50" i="25"/>
  <c r="CA30" i="25"/>
  <c r="CA30" i="24"/>
  <c r="AB45" i="24"/>
  <c r="AB45" i="25"/>
  <c r="V39" i="24"/>
  <c r="V39" i="25"/>
  <c r="CC49" i="24"/>
  <c r="CC49" i="25"/>
  <c r="AF39" i="25"/>
  <c r="AF39" i="24"/>
  <c r="AQ16" i="24"/>
  <c r="AQ16" i="25"/>
  <c r="CK42" i="24"/>
  <c r="CK42" i="25"/>
  <c r="BA27" i="24"/>
  <c r="BA27" i="25"/>
  <c r="AV50" i="24"/>
  <c r="AV50" i="25"/>
  <c r="AE45" i="24"/>
  <c r="AE45" i="25"/>
  <c r="I40" i="25"/>
  <c r="I40" i="24"/>
  <c r="Y16" i="24"/>
  <c r="Y16" i="25"/>
  <c r="M35" i="24"/>
  <c r="M35" i="25"/>
  <c r="B44" i="25"/>
  <c r="B44" i="24"/>
  <c r="AF47" i="25"/>
  <c r="AF47" i="24"/>
  <c r="O42" i="25"/>
  <c r="O42" i="24"/>
  <c r="AN36" i="24"/>
  <c r="AN36" i="25"/>
  <c r="AX24" i="24"/>
  <c r="AX24" i="25"/>
  <c r="AN31" i="24"/>
  <c r="AN31" i="25"/>
  <c r="AA23" i="24"/>
  <c r="AA23" i="25"/>
  <c r="BP11" i="25"/>
  <c r="BP11" i="24"/>
  <c r="CD29" i="25"/>
  <c r="CD29" i="24"/>
  <c r="BG20" i="25"/>
  <c r="BG20" i="24"/>
  <c r="AI6" i="25"/>
  <c r="AI6" i="24"/>
  <c r="AQ32" i="24"/>
  <c r="AQ32" i="25"/>
  <c r="G25" i="24"/>
  <c r="G25" i="25"/>
  <c r="Y14" i="24"/>
  <c r="Y14" i="25"/>
  <c r="BQ38" i="24"/>
  <c r="BQ38" i="25"/>
  <c r="Z33" i="24"/>
  <c r="Z33" i="25"/>
  <c r="AY26" i="24"/>
  <c r="AY26" i="25"/>
  <c r="CK15" i="24"/>
  <c r="CK15" i="25"/>
  <c r="BY26" i="24"/>
  <c r="BY26" i="25"/>
  <c r="BH21" i="24"/>
  <c r="BH21" i="25"/>
  <c r="T16" i="24"/>
  <c r="T16" i="25"/>
  <c r="AK8" i="25"/>
  <c r="AK8" i="24"/>
  <c r="AQ25" i="24"/>
  <c r="AQ25" i="25"/>
  <c r="Z20" i="24"/>
  <c r="Z20" i="25"/>
  <c r="BN14" i="24"/>
  <c r="BN14" i="25"/>
  <c r="BQ5" i="25"/>
  <c r="BQ5" i="24"/>
  <c r="BS26" i="25"/>
  <c r="BS26" i="24"/>
  <c r="BB21" i="24"/>
  <c r="BB21" i="25"/>
  <c r="M16" i="25"/>
  <c r="M16" i="24"/>
  <c r="AA8" i="24"/>
  <c r="AA8" i="25"/>
  <c r="AG33" i="24"/>
  <c r="AG33" i="25"/>
  <c r="P28" i="25"/>
  <c r="P28" i="24"/>
  <c r="CT22" i="24"/>
  <c r="CT22" i="25"/>
  <c r="BZ17" i="25"/>
  <c r="BZ17" i="24"/>
  <c r="Q11" i="24"/>
  <c r="Q11" i="25"/>
  <c r="G13" i="25"/>
  <c r="G13" i="24"/>
  <c r="L7" i="25"/>
  <c r="L7" i="24"/>
  <c r="Q13" i="24"/>
  <c r="Q13" i="25"/>
  <c r="CU7" i="24"/>
  <c r="CU7" i="25"/>
  <c r="BL13" i="24"/>
  <c r="BL13" i="25"/>
  <c r="AU8" i="24"/>
  <c r="AU8" i="25"/>
  <c r="BD14" i="25"/>
  <c r="BD14" i="24"/>
  <c r="AZ5" i="25"/>
  <c r="AZ5" i="24"/>
  <c r="CQ31" i="24"/>
  <c r="CQ31" i="25"/>
  <c r="BZ26" i="24"/>
  <c r="BZ26" i="25"/>
  <c r="BI21" i="24"/>
  <c r="BI21" i="25"/>
  <c r="U16" i="25"/>
  <c r="U16" i="24"/>
  <c r="AP8" i="25"/>
  <c r="AP8" i="24"/>
  <c r="BQ11" i="24"/>
  <c r="BQ11" i="25"/>
  <c r="AZ6" i="24"/>
  <c r="AZ6" i="25"/>
  <c r="CM10" i="24"/>
  <c r="CM10" i="25"/>
  <c r="BV5" i="24"/>
  <c r="BV5" i="25"/>
  <c r="CA11" i="24"/>
  <c r="CA11" i="25"/>
  <c r="BJ6" i="24"/>
  <c r="BJ6" i="25"/>
  <c r="AR17" i="25"/>
  <c r="AR17" i="24"/>
  <c r="AA12" i="24"/>
  <c r="AA12" i="25"/>
  <c r="J7" i="24"/>
  <c r="J7" i="25"/>
  <c r="Z25" i="25"/>
  <c r="Z25" i="24"/>
  <c r="I20" i="25"/>
  <c r="I20" i="24"/>
  <c r="AU14" i="24"/>
  <c r="AU14" i="25"/>
  <c r="AJ5" i="25"/>
  <c r="AJ5" i="24"/>
  <c r="CI31" i="24"/>
  <c r="CI31" i="25"/>
  <c r="BR26" i="24"/>
  <c r="BR26" i="25"/>
  <c r="BA21" i="24"/>
  <c r="BA21" i="25"/>
  <c r="L16" i="24"/>
  <c r="L16" i="25"/>
  <c r="Z8" i="24"/>
  <c r="Z8" i="25"/>
  <c r="BI11" i="25"/>
  <c r="BI11" i="24"/>
  <c r="AR6" i="25"/>
  <c r="AR6" i="24"/>
  <c r="CE10" i="24"/>
  <c r="CE10" i="25"/>
  <c r="BN5" i="24"/>
  <c r="BN5" i="25"/>
  <c r="BS11" i="24"/>
  <c r="BS11" i="25"/>
  <c r="BB6" i="24"/>
  <c r="BB6" i="25"/>
  <c r="AJ17" i="24"/>
  <c r="AJ17" i="25"/>
  <c r="S12" i="24"/>
  <c r="S12" i="25"/>
  <c r="CW6" i="24"/>
  <c r="CW6" i="25"/>
  <c r="BA24" i="24"/>
  <c r="BA24" i="25"/>
  <c r="AJ19" i="25"/>
  <c r="AJ19" i="24"/>
  <c r="BJ13" i="25"/>
  <c r="BJ13" i="24"/>
  <c r="O31" i="24"/>
  <c r="O31" i="25"/>
  <c r="CS25" i="25"/>
  <c r="CS25" i="24"/>
  <c r="CB20" i="25"/>
  <c r="CB20" i="24"/>
  <c r="AC15" i="24"/>
  <c r="AC15" i="25"/>
  <c r="CB6" i="25"/>
  <c r="CB6" i="24"/>
  <c r="CJ10" i="24"/>
  <c r="CJ10" i="25"/>
  <c r="BS5" i="24"/>
  <c r="BS5" i="25"/>
  <c r="K10" i="24"/>
  <c r="K10" i="25"/>
  <c r="CO4" i="24"/>
  <c r="CO4" i="25"/>
  <c r="GN4" i="25" s="1"/>
  <c r="CT10" i="24"/>
  <c r="CT10" i="25"/>
  <c r="CC5" i="24"/>
  <c r="CC5" i="25"/>
  <c r="BK16" i="24"/>
  <c r="BK16" i="25"/>
  <c r="AT11" i="25"/>
  <c r="AT11" i="24"/>
  <c r="AC6" i="25"/>
  <c r="AC6" i="24"/>
  <c r="BE20" i="25"/>
  <c r="BE20" i="24"/>
  <c r="C15" i="24"/>
  <c r="C15" i="25"/>
  <c r="AG6" i="25"/>
  <c r="AG6" i="24"/>
  <c r="AJ32" i="24"/>
  <c r="AJ32" i="25"/>
  <c r="S27" i="24"/>
  <c r="S27" i="25"/>
  <c r="CW21" i="24"/>
  <c r="CW21" i="25"/>
  <c r="BO16" i="25"/>
  <c r="BO16" i="24"/>
  <c r="W9" i="24"/>
  <c r="W9" i="25"/>
  <c r="J12" i="24"/>
  <c r="J12" i="25"/>
  <c r="CN6" i="24"/>
  <c r="CN6" i="25"/>
  <c r="AF11" i="25"/>
  <c r="AF11" i="24"/>
  <c r="O6" i="25"/>
  <c r="O6" i="24"/>
  <c r="T12" i="24"/>
  <c r="T12" i="25"/>
  <c r="C7" i="24"/>
  <c r="C7" i="25"/>
  <c r="CF17" i="24"/>
  <c r="CF17" i="25"/>
  <c r="BO12" i="24"/>
  <c r="BO12" i="25"/>
  <c r="AX7" i="24"/>
  <c r="AX7" i="25"/>
  <c r="EF3" i="24"/>
  <c r="BT40" i="24"/>
  <c r="BT40" i="25"/>
  <c r="AO49" i="24"/>
  <c r="AO49" i="25"/>
  <c r="X44" i="24"/>
  <c r="X44" i="25"/>
  <c r="CH38" i="24"/>
  <c r="CH38" i="25"/>
  <c r="CU30" i="25"/>
  <c r="CU30" i="24"/>
  <c r="AV17" i="25"/>
  <c r="AV17" i="24"/>
  <c r="BN47" i="24"/>
  <c r="BN47" i="25"/>
  <c r="AW42" i="24"/>
  <c r="AW42" i="25"/>
  <c r="CH36" i="24"/>
  <c r="CH36" i="25"/>
  <c r="CO25" i="24"/>
  <c r="CO25" i="25"/>
  <c r="AH42" i="24"/>
  <c r="AH42" i="25"/>
  <c r="H50" i="25"/>
  <c r="H50" i="24"/>
  <c r="CL44" i="24"/>
  <c r="CL44" i="25"/>
  <c r="BJ39" i="24"/>
  <c r="BJ39" i="25"/>
  <c r="AT32" i="24"/>
  <c r="AT32" i="25"/>
  <c r="AN48" i="25"/>
  <c r="AN48" i="24"/>
  <c r="V33" i="24"/>
  <c r="V33" i="25"/>
  <c r="B4" i="24"/>
  <c r="B4" i="25"/>
  <c r="CM46" i="24"/>
  <c r="CM46" i="25"/>
  <c r="BV41" i="24"/>
  <c r="BV41" i="25"/>
  <c r="CG35" i="24"/>
  <c r="CG35" i="25"/>
  <c r="CJ22" i="25"/>
  <c r="CJ22" i="24"/>
  <c r="CO30" i="24"/>
  <c r="CO30" i="25"/>
  <c r="AT22" i="24"/>
  <c r="AT22" i="25"/>
  <c r="L10" i="24"/>
  <c r="L10" i="25"/>
  <c r="CH5" i="25"/>
  <c r="CH5" i="24"/>
  <c r="AR15" i="24"/>
  <c r="AR15" i="25"/>
  <c r="BI12" i="25"/>
  <c r="BI12" i="24"/>
  <c r="AB29" i="24"/>
  <c r="AB29" i="25"/>
  <c r="BZ19" i="24"/>
  <c r="BZ19" i="25"/>
  <c r="BU4" i="25"/>
  <c r="FT4" i="25" s="1"/>
  <c r="BU4" i="24"/>
  <c r="CS31" i="24"/>
  <c r="CS31" i="25"/>
  <c r="Z24" i="24"/>
  <c r="Z24" i="25"/>
  <c r="AA13" i="25"/>
  <c r="AA13" i="24"/>
  <c r="AC38" i="24"/>
  <c r="AC38" i="25"/>
  <c r="CA32" i="24"/>
  <c r="CA32" i="25"/>
  <c r="BR25" i="24"/>
  <c r="BR25" i="25"/>
  <c r="CS14" i="25"/>
  <c r="CS14" i="24"/>
  <c r="AK26" i="25"/>
  <c r="AK26" i="24"/>
  <c r="T21" i="24"/>
  <c r="T21" i="25"/>
  <c r="BU15" i="24"/>
  <c r="BU15" i="25"/>
  <c r="BD7" i="24"/>
  <c r="BD7" i="25"/>
  <c r="C25" i="25"/>
  <c r="C25" i="24"/>
  <c r="CG19" i="25"/>
  <c r="CG19" i="24"/>
  <c r="T14" i="25"/>
  <c r="T14" i="24"/>
  <c r="CJ4" i="25"/>
  <c r="GI4" i="25" s="1"/>
  <c r="CJ4" i="24"/>
  <c r="GI4" i="24" s="1"/>
  <c r="AE26" i="25"/>
  <c r="AE26" i="24"/>
  <c r="N21" i="24"/>
  <c r="N21" i="25"/>
  <c r="BO15" i="24"/>
  <c r="BO15" i="25"/>
  <c r="AT7" i="24"/>
  <c r="AT7" i="25"/>
  <c r="CN32" i="24"/>
  <c r="CN32" i="25"/>
  <c r="BW27" i="25"/>
  <c r="BW27" i="24"/>
  <c r="BF22" i="24"/>
  <c r="BF22" i="25"/>
  <c r="AF17" i="24"/>
  <c r="AF17" i="25"/>
  <c r="AJ10" i="24"/>
  <c r="AJ10" i="25"/>
  <c r="BN12" i="24"/>
  <c r="BN12" i="25"/>
  <c r="AW7" i="24"/>
  <c r="AW7" i="25"/>
  <c r="BS6" i="24"/>
  <c r="BS6" i="25"/>
  <c r="BX12" i="25"/>
  <c r="BX12" i="24"/>
  <c r="BG7" i="25"/>
  <c r="BG7" i="24"/>
  <c r="X13" i="24"/>
  <c r="X13" i="25"/>
  <c r="G8" i="24"/>
  <c r="G8" i="25"/>
  <c r="BQ35" i="24"/>
  <c r="BQ35" i="25"/>
  <c r="CG42" i="24"/>
  <c r="CG42" i="25"/>
  <c r="CT29" i="24"/>
  <c r="CT29" i="25"/>
  <c r="CW44" i="25"/>
  <c r="CW44" i="24"/>
  <c r="AL40" i="25"/>
  <c r="AL40" i="24"/>
  <c r="AG49" i="24"/>
  <c r="AG49" i="25"/>
  <c r="AY43" i="24"/>
  <c r="AY43" i="25"/>
  <c r="C38" i="25"/>
  <c r="C38" i="24"/>
  <c r="T29" i="25"/>
  <c r="T29" i="24"/>
  <c r="B14" i="25"/>
  <c r="B14" i="24"/>
  <c r="CO46" i="25"/>
  <c r="CO46" i="24"/>
  <c r="BX41" i="25"/>
  <c r="BX41" i="24"/>
  <c r="CK35" i="24"/>
  <c r="CK35" i="25"/>
  <c r="C23" i="24"/>
  <c r="C23" i="25"/>
  <c r="AC40" i="25"/>
  <c r="AC40" i="24"/>
  <c r="AI49" i="24"/>
  <c r="AI49" i="25"/>
  <c r="R44" i="24"/>
  <c r="R44" i="25"/>
  <c r="CA38" i="24"/>
  <c r="CA38" i="25"/>
  <c r="CE30" i="25"/>
  <c r="CE30" i="24"/>
  <c r="CP46" i="24"/>
  <c r="CP46" i="25"/>
  <c r="CK30" i="25"/>
  <c r="CK30" i="24"/>
  <c r="AJ51" i="24"/>
  <c r="AJ51" i="25"/>
  <c r="S46" i="24"/>
  <c r="S46" i="25"/>
  <c r="CW40" i="24"/>
  <c r="CW40" i="25"/>
  <c r="CA34" i="24"/>
  <c r="CA34" i="25"/>
  <c r="CS19" i="24"/>
  <c r="CS19" i="25"/>
  <c r="K30" i="25"/>
  <c r="K30" i="24"/>
  <c r="CV20" i="24"/>
  <c r="CV20" i="25"/>
  <c r="U7" i="24"/>
  <c r="U7" i="25"/>
  <c r="GP3" i="24"/>
  <c r="BY13" i="25"/>
  <c r="BY13" i="24"/>
  <c r="CQ9" i="25"/>
  <c r="CQ9" i="24"/>
  <c r="AE28" i="25"/>
  <c r="AE28" i="24"/>
  <c r="AG18" i="24"/>
  <c r="AG18" i="25"/>
  <c r="CF36" i="24"/>
  <c r="CF36" i="25"/>
  <c r="N31" i="24"/>
  <c r="N31" i="25"/>
  <c r="CB22" i="25"/>
  <c r="CB22" i="24"/>
  <c r="BZ10" i="24"/>
  <c r="BZ10" i="25"/>
  <c r="BD37" i="24"/>
  <c r="BD37" i="25"/>
  <c r="CR31" i="24"/>
  <c r="CR31" i="25"/>
  <c r="Y24" i="24"/>
  <c r="Y24" i="25"/>
  <c r="Z13" i="25"/>
  <c r="Z13" i="24"/>
  <c r="BL25" i="25"/>
  <c r="BL25" i="24"/>
  <c r="AU20" i="25"/>
  <c r="AU20" i="24"/>
  <c r="CL14" i="24"/>
  <c r="CL14" i="25"/>
  <c r="K6" i="24"/>
  <c r="K6" i="25"/>
  <c r="AD24" i="24"/>
  <c r="AD24" i="25"/>
  <c r="M19" i="24"/>
  <c r="M19" i="25"/>
  <c r="AG13" i="24"/>
  <c r="AG13" i="25"/>
  <c r="BF25" i="25"/>
  <c r="BF25" i="24"/>
  <c r="AO20" i="25"/>
  <c r="AO20" i="24"/>
  <c r="CE14" i="24"/>
  <c r="CE14" i="25"/>
  <c r="CV5" i="24"/>
  <c r="CV5" i="25"/>
  <c r="T32" i="24"/>
  <c r="T32" i="25"/>
  <c r="C27" i="24"/>
  <c r="C27" i="25"/>
  <c r="CG21" i="24"/>
  <c r="CG21" i="25"/>
  <c r="AW16" i="25"/>
  <c r="AW16" i="24"/>
  <c r="CL8" i="24"/>
  <c r="CL8" i="25"/>
  <c r="CO11" i="25"/>
  <c r="CO11" i="24"/>
  <c r="BX6" i="25"/>
  <c r="BX6" i="24"/>
  <c r="P11" i="24"/>
  <c r="P11" i="25"/>
  <c r="CT5" i="24"/>
  <c r="CT5" i="25"/>
  <c r="D12" i="25"/>
  <c r="D12" i="24"/>
  <c r="CH6" i="25"/>
  <c r="CH6" i="24"/>
  <c r="BP17" i="25"/>
  <c r="BP17" i="24"/>
  <c r="AY12" i="24"/>
  <c r="AY12" i="25"/>
  <c r="AH7" i="24"/>
  <c r="AH7" i="25"/>
  <c r="Q43" i="24"/>
  <c r="Q43" i="25"/>
  <c r="BY39" i="24"/>
  <c r="BY39" i="25"/>
  <c r="BW48" i="24"/>
  <c r="BW48" i="25"/>
  <c r="BR49" i="24"/>
  <c r="BR49" i="25"/>
  <c r="BQ33" i="24"/>
  <c r="BQ33" i="25"/>
  <c r="CJ36" i="24"/>
  <c r="CJ36" i="25"/>
  <c r="M22" i="24"/>
  <c r="M22" i="25"/>
  <c r="BI50" i="24"/>
  <c r="BI50" i="25"/>
  <c r="BR36" i="24"/>
  <c r="BR36" i="25"/>
  <c r="CN47" i="24"/>
  <c r="CN47" i="25"/>
  <c r="B40" i="25"/>
  <c r="B40" i="24"/>
  <c r="BD39" i="25"/>
  <c r="BD39" i="24"/>
  <c r="CN37" i="24"/>
  <c r="CN37" i="25"/>
  <c r="G51" i="24"/>
  <c r="G51" i="25"/>
  <c r="BZ47" i="24"/>
  <c r="BZ47" i="25"/>
  <c r="AC31" i="24"/>
  <c r="AC31" i="25"/>
  <c r="CH39" i="25"/>
  <c r="CH39" i="24"/>
  <c r="CM45" i="24"/>
  <c r="CM45" i="25"/>
  <c r="B50" i="24"/>
  <c r="B50" i="25"/>
  <c r="AV39" i="24"/>
  <c r="AV39" i="25"/>
  <c r="BV42" i="24"/>
  <c r="BV42" i="25"/>
  <c r="CK49" i="24"/>
  <c r="CK49" i="25"/>
  <c r="BT44" i="25"/>
  <c r="BT44" i="24"/>
  <c r="AO39" i="25"/>
  <c r="AO39" i="24"/>
  <c r="J32" i="24"/>
  <c r="J32" i="25"/>
  <c r="CB16" i="25"/>
  <c r="CB16" i="24"/>
  <c r="O48" i="25"/>
  <c r="O48" i="24"/>
  <c r="CS42" i="24"/>
  <c r="CS42" i="25"/>
  <c r="AP37" i="25"/>
  <c r="AP37" i="24"/>
  <c r="BZ27" i="24"/>
  <c r="BZ27" i="25"/>
  <c r="AU43" i="24"/>
  <c r="AU43" i="25"/>
  <c r="BD50" i="24"/>
  <c r="BD50" i="25"/>
  <c r="AM45" i="25"/>
  <c r="AM45" i="24"/>
  <c r="R40" i="24"/>
  <c r="R40" i="25"/>
  <c r="AF33" i="24"/>
  <c r="AF33" i="25"/>
  <c r="BI16" i="25"/>
  <c r="BI16" i="24"/>
  <c r="AJ35" i="24"/>
  <c r="AJ35" i="25"/>
  <c r="CU15" i="24"/>
  <c r="CU15" i="25"/>
  <c r="AN47" i="25"/>
  <c r="AN47" i="24"/>
  <c r="W42" i="25"/>
  <c r="W42" i="24"/>
  <c r="AX36" i="25"/>
  <c r="AX36" i="24"/>
  <c r="CD24" i="24"/>
  <c r="CD24" i="25"/>
  <c r="AW31" i="25"/>
  <c r="AW31" i="24"/>
  <c r="AQ23" i="24"/>
  <c r="AQ23" i="25"/>
  <c r="CR11" i="25"/>
  <c r="CR11" i="24"/>
  <c r="CB7" i="25"/>
  <c r="CB7" i="24"/>
  <c r="CP13" i="25"/>
  <c r="CP13" i="24"/>
  <c r="CN29" i="25"/>
  <c r="CN29" i="24"/>
  <c r="BW20" i="24"/>
  <c r="BW20" i="25"/>
  <c r="BO6" i="24"/>
  <c r="BO6" i="25"/>
  <c r="BA32" i="24"/>
  <c r="BA32" i="25"/>
  <c r="W25" i="24"/>
  <c r="W25" i="25"/>
  <c r="AQ14" i="24"/>
  <c r="AQ14" i="25"/>
  <c r="BY38" i="25"/>
  <c r="BY38" i="24"/>
  <c r="AI33" i="24"/>
  <c r="AI33" i="25"/>
  <c r="BO26" i="24"/>
  <c r="BO26" i="25"/>
  <c r="I16" i="24"/>
  <c r="I16" i="25"/>
  <c r="CG26" i="25"/>
  <c r="CG26" i="24"/>
  <c r="BP21" i="24"/>
  <c r="BP21" i="25"/>
  <c r="AC16" i="24"/>
  <c r="AC16" i="25"/>
  <c r="BA8" i="24"/>
  <c r="BA8" i="25"/>
  <c r="AY25" i="24"/>
  <c r="AY25" i="25"/>
  <c r="AH20" i="24"/>
  <c r="AH20" i="25"/>
  <c r="BW14" i="25"/>
  <c r="BW14" i="24"/>
  <c r="CG5" i="25"/>
  <c r="CG5" i="24"/>
  <c r="CA26" i="24"/>
  <c r="CA26" i="25"/>
  <c r="BJ21" i="24"/>
  <c r="BJ21" i="25"/>
  <c r="V16" i="25"/>
  <c r="V16" i="24"/>
  <c r="AQ8" i="25"/>
  <c r="AQ8" i="24"/>
  <c r="AO33" i="24"/>
  <c r="AO33" i="25"/>
  <c r="X28" i="24"/>
  <c r="X28" i="25"/>
  <c r="G23" i="24"/>
  <c r="G23" i="25"/>
  <c r="CI17" i="24"/>
  <c r="CI17" i="25"/>
  <c r="AG11" i="24"/>
  <c r="AG11" i="25"/>
  <c r="O13" i="24"/>
  <c r="O13" i="25"/>
  <c r="CS7" i="24"/>
  <c r="CS7" i="25"/>
  <c r="GA3" i="24"/>
  <c r="GA4" i="24" s="1"/>
  <c r="T7" i="24"/>
  <c r="T7" i="25"/>
  <c r="DB3" i="24"/>
  <c r="H8" i="24"/>
  <c r="H8" i="25"/>
  <c r="BT13" i="25"/>
  <c r="BT13" i="24"/>
  <c r="BC8" i="25"/>
  <c r="BC8" i="24"/>
  <c r="BE28" i="25"/>
  <c r="BE28" i="24"/>
  <c r="BZ16" i="25"/>
  <c r="BZ16" i="24"/>
  <c r="CU11" i="24"/>
  <c r="CU11" i="25"/>
  <c r="AT23" i="24"/>
  <c r="AT23" i="25"/>
  <c r="CJ19" i="24"/>
  <c r="CJ19" i="25"/>
  <c r="BQ24" i="24"/>
  <c r="BQ24" i="25"/>
  <c r="BD12" i="24"/>
  <c r="BD12" i="25"/>
  <c r="CC23" i="24"/>
  <c r="CC23" i="25"/>
  <c r="AI14" i="25"/>
  <c r="AI14" i="24"/>
  <c r="P25" i="24"/>
  <c r="P25" i="25"/>
  <c r="AB23" i="25"/>
  <c r="AB23" i="24"/>
  <c r="H37" i="24"/>
  <c r="H37" i="25"/>
  <c r="CE21" i="24"/>
  <c r="CE21" i="25"/>
  <c r="AJ36" i="24"/>
  <c r="AJ36" i="25"/>
  <c r="BK27" i="24"/>
  <c r="BK27" i="25"/>
  <c r="AK12" i="24"/>
  <c r="AK12" i="25"/>
  <c r="AA5" i="24"/>
  <c r="AA5" i="25"/>
  <c r="D18" i="25"/>
  <c r="D18" i="24"/>
  <c r="BA40" i="25"/>
  <c r="BA40" i="24"/>
  <c r="AU26" i="24"/>
  <c r="AU26" i="25"/>
  <c r="AM14" i="25"/>
  <c r="AM14" i="24"/>
  <c r="S25" i="24"/>
  <c r="S25" i="25"/>
  <c r="CN15" i="25"/>
  <c r="CN15" i="24"/>
  <c r="BA26" i="25"/>
  <c r="BA26" i="24"/>
  <c r="C26" i="25"/>
  <c r="C26" i="24"/>
  <c r="AS38" i="24"/>
  <c r="AS38" i="25"/>
  <c r="BF24" i="24"/>
  <c r="BF24" i="25"/>
  <c r="AL5" i="24"/>
  <c r="AL5" i="25"/>
  <c r="AX29" i="24"/>
  <c r="AX29" i="25"/>
  <c r="CB15" i="24"/>
  <c r="CB15" i="25"/>
  <c r="BX10" i="24"/>
  <c r="BX10" i="25"/>
  <c r="L31" i="25"/>
  <c r="L31" i="24"/>
  <c r="H36" i="25"/>
  <c r="H36" i="24"/>
  <c r="H47" i="25"/>
  <c r="H47" i="24"/>
  <c r="CQ33" i="24"/>
  <c r="CQ33" i="25"/>
  <c r="N29" i="25"/>
  <c r="N29" i="24"/>
  <c r="AQ17" i="25"/>
  <c r="AQ17" i="24"/>
  <c r="GH3" i="24"/>
  <c r="CG18" i="25"/>
  <c r="CG18" i="24"/>
  <c r="V7" i="25"/>
  <c r="V7" i="24"/>
  <c r="L30" i="25"/>
  <c r="L30" i="24"/>
  <c r="AF4" i="25"/>
  <c r="EE4" i="25" s="1"/>
  <c r="AF4" i="24"/>
  <c r="EE4" i="24" s="1"/>
  <c r="Q29" i="25"/>
  <c r="Q29" i="24"/>
  <c r="BO14" i="25"/>
  <c r="BO14" i="24"/>
  <c r="AL12" i="24"/>
  <c r="AL12" i="25"/>
  <c r="BU17" i="24"/>
  <c r="BU17" i="25"/>
  <c r="Q34" i="24"/>
  <c r="Q34" i="25"/>
  <c r="X39" i="24"/>
  <c r="X39" i="25"/>
  <c r="BV49" i="25"/>
  <c r="BV49" i="24"/>
  <c r="Z42" i="24"/>
  <c r="Z42" i="25"/>
  <c r="CP36" i="24"/>
  <c r="CP36" i="25"/>
  <c r="BU47" i="24"/>
  <c r="BU47" i="25"/>
  <c r="AI16" i="24"/>
  <c r="AI16" i="25"/>
  <c r="J40" i="25"/>
  <c r="J40" i="24"/>
  <c r="AW50" i="24"/>
  <c r="AW50" i="25"/>
  <c r="G36" i="25"/>
  <c r="G36" i="24"/>
  <c r="G47" i="24"/>
  <c r="G47" i="25"/>
  <c r="BK25" i="25"/>
  <c r="BK25" i="24"/>
  <c r="BV26" i="24"/>
  <c r="BV26" i="25"/>
  <c r="CH47" i="24"/>
  <c r="CH47" i="25"/>
  <c r="AB38" i="25"/>
  <c r="AB38" i="24"/>
  <c r="AG48" i="24"/>
  <c r="AG48" i="25"/>
  <c r="CE29" i="24"/>
  <c r="CE29" i="25"/>
  <c r="AX48" i="25"/>
  <c r="AX48" i="24"/>
  <c r="I51" i="25"/>
  <c r="I51" i="24"/>
  <c r="AU46" i="24"/>
  <c r="AU46" i="25"/>
  <c r="CK51" i="24"/>
  <c r="CK51" i="25"/>
  <c r="Y11" i="25"/>
  <c r="Y11" i="24"/>
  <c r="BK42" i="24"/>
  <c r="BK42" i="25"/>
  <c r="P48" i="24"/>
  <c r="P48" i="25"/>
  <c r="BN18" i="25"/>
  <c r="BN18" i="24"/>
  <c r="AD40" i="24"/>
  <c r="AD40" i="25"/>
  <c r="BO36" i="24"/>
  <c r="BO36" i="25"/>
  <c r="CO10" i="24"/>
  <c r="CO10" i="25"/>
  <c r="CV43" i="25"/>
  <c r="CV43" i="24"/>
  <c r="BH44" i="24"/>
  <c r="BH44" i="25"/>
  <c r="CR39" i="25"/>
  <c r="CR39" i="24"/>
  <c r="CM50" i="25"/>
  <c r="CM50" i="24"/>
  <c r="CE40" i="25"/>
  <c r="CE40" i="24"/>
  <c r="L43" i="25"/>
  <c r="L43" i="24"/>
  <c r="BE47" i="25"/>
  <c r="BE47" i="24"/>
  <c r="CF35" i="24"/>
  <c r="CF35" i="25"/>
  <c r="CM48" i="24"/>
  <c r="CM48" i="25"/>
  <c r="I38" i="25"/>
  <c r="I38" i="24"/>
  <c r="BR29" i="24"/>
  <c r="BR29" i="25"/>
  <c r="AV9" i="24"/>
  <c r="AV9" i="25"/>
  <c r="CR15" i="24"/>
  <c r="CR15" i="25"/>
  <c r="CC34" i="24"/>
  <c r="CC34" i="25"/>
  <c r="D44" i="24"/>
  <c r="D44" i="25"/>
  <c r="CD18" i="24"/>
  <c r="CD18" i="25"/>
  <c r="BK47" i="24"/>
  <c r="BK47" i="25"/>
  <c r="B26" i="24"/>
  <c r="B26" i="25"/>
  <c r="AI31" i="25"/>
  <c r="AI31" i="24"/>
  <c r="H4" i="25"/>
  <c r="DG4" i="25" s="1"/>
  <c r="H4" i="24"/>
  <c r="CA20" i="24"/>
  <c r="CA20" i="25"/>
  <c r="AG32" i="24"/>
  <c r="AG32" i="25"/>
  <c r="AM50" i="24"/>
  <c r="AM50" i="25"/>
  <c r="CQ19" i="25"/>
  <c r="CQ19" i="24"/>
  <c r="S37" i="24"/>
  <c r="S37" i="25"/>
  <c r="CI45" i="24"/>
  <c r="CI45" i="25"/>
  <c r="F41" i="24"/>
  <c r="F41" i="25"/>
  <c r="CL27" i="25"/>
  <c r="CL27" i="24"/>
  <c r="CA46" i="24"/>
  <c r="CA46" i="25"/>
  <c r="CN20" i="25"/>
  <c r="CN20" i="24"/>
  <c r="BR44" i="24"/>
  <c r="BR44" i="25"/>
  <c r="N41" i="24"/>
  <c r="N41" i="25"/>
  <c r="AC45" i="25"/>
  <c r="AC45" i="24"/>
  <c r="R16" i="24"/>
  <c r="R16" i="25"/>
  <c r="G38" i="24"/>
  <c r="G38" i="25"/>
  <c r="M51" i="24"/>
  <c r="M51" i="25"/>
  <c r="BZ40" i="24"/>
  <c r="BZ40" i="25"/>
  <c r="AY18" i="24"/>
  <c r="AY18" i="25"/>
  <c r="CA42" i="24"/>
  <c r="CA42" i="25"/>
  <c r="N32" i="25"/>
  <c r="N32" i="24"/>
  <c r="AS5" i="24"/>
  <c r="AS5" i="25"/>
  <c r="CJ21" i="24"/>
  <c r="CJ21" i="25"/>
  <c r="AJ26" i="25"/>
  <c r="AJ26" i="24"/>
  <c r="CU33" i="24"/>
  <c r="CU33" i="25"/>
  <c r="AL17" i="24"/>
  <c r="AL17" i="25"/>
  <c r="BN9" i="24"/>
  <c r="BN9" i="25"/>
  <c r="CL20" i="24"/>
  <c r="CL20" i="25"/>
  <c r="AJ27" i="24"/>
  <c r="AJ27" i="25"/>
  <c r="BD9" i="24"/>
  <c r="BD9" i="25"/>
  <c r="AT18" i="24"/>
  <c r="AT18" i="25"/>
  <c r="CC6" i="25"/>
  <c r="CC6" i="24"/>
  <c r="AQ27" i="24"/>
  <c r="AQ27" i="25"/>
  <c r="BS9" i="24"/>
  <c r="BS9" i="25"/>
  <c r="BD11" i="24"/>
  <c r="BD11" i="25"/>
  <c r="AR12" i="24"/>
  <c r="AR12" i="25"/>
  <c r="CM12" i="24"/>
  <c r="CM12" i="25"/>
  <c r="BV7" i="24"/>
  <c r="BV7" i="25"/>
  <c r="BU20" i="25"/>
  <c r="BU20" i="24"/>
  <c r="BM6" i="25"/>
  <c r="BM6" i="24"/>
  <c r="AI27" i="25"/>
  <c r="AI27" i="24"/>
  <c r="R22" i="25"/>
  <c r="R22" i="24"/>
  <c r="BC9" i="24"/>
  <c r="BC9" i="25"/>
  <c r="Z12" i="25"/>
  <c r="Z12" i="24"/>
  <c r="I7" i="25"/>
  <c r="I7" i="24"/>
  <c r="AE6" i="25"/>
  <c r="AE6" i="24"/>
  <c r="AJ12" i="24"/>
  <c r="AJ12" i="25"/>
  <c r="S7" i="24"/>
  <c r="S7" i="25"/>
  <c r="CV17" i="25"/>
  <c r="CV17" i="24"/>
  <c r="CE12" i="24"/>
  <c r="CE12" i="25"/>
  <c r="BN7" i="24"/>
  <c r="BN7" i="25"/>
  <c r="CV19" i="24"/>
  <c r="CV19" i="25"/>
  <c r="AL14" i="24"/>
  <c r="AL14" i="25"/>
  <c r="CA31" i="24"/>
  <c r="CA31" i="25"/>
  <c r="BJ26" i="24"/>
  <c r="BJ26" i="25"/>
  <c r="C16" i="24"/>
  <c r="C16" i="25"/>
  <c r="J8" i="24"/>
  <c r="J8" i="25"/>
  <c r="BA11" i="24"/>
  <c r="BA11" i="25"/>
  <c r="BW10" i="24"/>
  <c r="BW10" i="25"/>
  <c r="BK11" i="24"/>
  <c r="BK11" i="25"/>
  <c r="AT6" i="24"/>
  <c r="AT6" i="25"/>
  <c r="AB17" i="24"/>
  <c r="AB17" i="25"/>
  <c r="K12" i="25"/>
  <c r="K12" i="24"/>
  <c r="V21" i="24"/>
  <c r="V21" i="25"/>
  <c r="BX15" i="25"/>
  <c r="BX15" i="24"/>
  <c r="BJ7" i="25"/>
  <c r="BJ7" i="24"/>
  <c r="CV32" i="24"/>
  <c r="CV32" i="25"/>
  <c r="CE27" i="24"/>
  <c r="CE27" i="25"/>
  <c r="BN22" i="24"/>
  <c r="BN22" i="25"/>
  <c r="AO17" i="24"/>
  <c r="AO17" i="25"/>
  <c r="AZ10" i="24"/>
  <c r="AZ10" i="25"/>
  <c r="BV12" i="24"/>
  <c r="BV12" i="25"/>
  <c r="BE7" i="24"/>
  <c r="BE7" i="25"/>
  <c r="CF12" i="24"/>
  <c r="CF12" i="25"/>
  <c r="AF13" i="24"/>
  <c r="AF13" i="25"/>
  <c r="O8" i="24"/>
  <c r="O8" i="25"/>
  <c r="BC43" i="25"/>
  <c r="BC43" i="24"/>
  <c r="F50" i="25"/>
  <c r="F50" i="24"/>
  <c r="BH39" i="25"/>
  <c r="BH39" i="24"/>
  <c r="BB17" i="24"/>
  <c r="BB17" i="25"/>
  <c r="N43" i="24"/>
  <c r="N43" i="25"/>
  <c r="V28" i="24"/>
  <c r="V28" i="25"/>
  <c r="BT50" i="25"/>
  <c r="BT50" i="24"/>
  <c r="AJ40" i="24"/>
  <c r="AJ40" i="25"/>
  <c r="AI17" i="24"/>
  <c r="AI17" i="25"/>
  <c r="CL35" i="24"/>
  <c r="CL35" i="25"/>
  <c r="BD47" i="25"/>
  <c r="BD47" i="24"/>
  <c r="AM42" i="25"/>
  <c r="AM42" i="24"/>
  <c r="AU25" i="24"/>
  <c r="AU25" i="25"/>
  <c r="BO31" i="25"/>
  <c r="BO31" i="24"/>
  <c r="AU12" i="24"/>
  <c r="AU12" i="25"/>
  <c r="AS8" i="25"/>
  <c r="AS8" i="24"/>
  <c r="AF14" i="25"/>
  <c r="AF14" i="24"/>
  <c r="H21" i="24"/>
  <c r="H21" i="25"/>
  <c r="BS32" i="24"/>
  <c r="BS32" i="25"/>
  <c r="CB14" i="25"/>
  <c r="CB14" i="24"/>
  <c r="BA33" i="25"/>
  <c r="BA33" i="24"/>
  <c r="AS16" i="24"/>
  <c r="AS16" i="25"/>
  <c r="AV16" i="25"/>
  <c r="AV16" i="24"/>
  <c r="BO25" i="25"/>
  <c r="BO25" i="24"/>
  <c r="CP14" i="24"/>
  <c r="CP14" i="25"/>
  <c r="CQ26" i="25"/>
  <c r="CQ26" i="24"/>
  <c r="AO16" i="24"/>
  <c r="AO16" i="25"/>
  <c r="BE33" i="24"/>
  <c r="BE33" i="25"/>
  <c r="AN28" i="24"/>
  <c r="AN28" i="25"/>
  <c r="F18" i="24"/>
  <c r="F18" i="25"/>
  <c r="AE13" i="24"/>
  <c r="AE13" i="25"/>
  <c r="N8" i="25"/>
  <c r="N8" i="24"/>
  <c r="CJ13" i="24"/>
  <c r="CJ13" i="25"/>
  <c r="BS8" i="24"/>
  <c r="BS8" i="25"/>
  <c r="AE46" i="24"/>
  <c r="AE46" i="25"/>
  <c r="BX38" i="25"/>
  <c r="BX38" i="24"/>
  <c r="P13" i="24"/>
  <c r="P13" i="25"/>
  <c r="E27" i="24"/>
  <c r="E27" i="25"/>
  <c r="J28" i="24"/>
  <c r="J28" i="25"/>
  <c r="BP49" i="24"/>
  <c r="BP49" i="25"/>
  <c r="AK19" i="24"/>
  <c r="AK19" i="25"/>
  <c r="X32" i="25"/>
  <c r="X32" i="24"/>
  <c r="AP31" i="24"/>
  <c r="AP31" i="25"/>
  <c r="CC18" i="24"/>
  <c r="CC18" i="25"/>
  <c r="AW21" i="24"/>
  <c r="AW21" i="25"/>
  <c r="Z41" i="25"/>
  <c r="Z41" i="24"/>
  <c r="G39" i="24"/>
  <c r="G39" i="25"/>
  <c r="CV41" i="25"/>
  <c r="CV41" i="24"/>
  <c r="AU36" i="25"/>
  <c r="AU36" i="24"/>
  <c r="U42" i="24"/>
  <c r="U42" i="25"/>
  <c r="BD36" i="24"/>
  <c r="BD36" i="25"/>
  <c r="BN6" i="25"/>
  <c r="BN6" i="24"/>
  <c r="AH9" i="24"/>
  <c r="AH9" i="25"/>
  <c r="CV16" i="25"/>
  <c r="CV16" i="24"/>
  <c r="AD28" i="24"/>
  <c r="AD28" i="25"/>
  <c r="Y13" i="24"/>
  <c r="Y13" i="25"/>
  <c r="N51" i="24"/>
  <c r="N51" i="25"/>
  <c r="AE25" i="25"/>
  <c r="AE25" i="24"/>
  <c r="F44" i="24"/>
  <c r="F44" i="25"/>
  <c r="BA19" i="25"/>
  <c r="BA19" i="24"/>
  <c r="H40" i="24"/>
  <c r="H40" i="25"/>
  <c r="BJ42" i="24"/>
  <c r="BJ42" i="25"/>
  <c r="AV24" i="24"/>
  <c r="AV24" i="25"/>
  <c r="CT44" i="25"/>
  <c r="CT44" i="24"/>
  <c r="O35" i="24"/>
  <c r="O35" i="25"/>
  <c r="B24" i="25"/>
  <c r="B24" i="24"/>
  <c r="CS36" i="25"/>
  <c r="CS36" i="24"/>
  <c r="BH47" i="25"/>
  <c r="BH47" i="24"/>
  <c r="M39" i="24"/>
  <c r="M39" i="25"/>
  <c r="B34" i="24"/>
  <c r="B34" i="25"/>
  <c r="AP42" i="25"/>
  <c r="AP42" i="24"/>
  <c r="BL44" i="24"/>
  <c r="BL44" i="25"/>
  <c r="CM31" i="24"/>
  <c r="CM31" i="25"/>
  <c r="G48" i="24"/>
  <c r="G48" i="25"/>
  <c r="AG37" i="25"/>
  <c r="AG37" i="24"/>
  <c r="AE43" i="24"/>
  <c r="AE43" i="25"/>
  <c r="T33" i="24"/>
  <c r="T33" i="25"/>
  <c r="CK7" i="25"/>
  <c r="CK7" i="24"/>
  <c r="CN27" i="25"/>
  <c r="CN27" i="24"/>
  <c r="E16" i="24"/>
  <c r="E16" i="25"/>
  <c r="BL26" i="25"/>
  <c r="BL26" i="24"/>
  <c r="BF17" i="24"/>
  <c r="BF17" i="25"/>
  <c r="EJ3" i="24"/>
  <c r="AY28" i="24"/>
  <c r="AY28" i="25"/>
  <c r="CL39" i="24"/>
  <c r="CL39" i="25"/>
  <c r="AV27" i="24"/>
  <c r="AV27" i="25"/>
  <c r="T11" i="24"/>
  <c r="T11" i="25"/>
  <c r="Y31" i="25"/>
  <c r="Y31" i="24"/>
  <c r="BS7" i="24"/>
  <c r="BS7" i="25"/>
  <c r="CR14" i="25"/>
  <c r="CR14" i="24"/>
  <c r="BZ32" i="24"/>
  <c r="BZ32" i="25"/>
  <c r="CG37" i="24"/>
  <c r="CG37" i="25"/>
  <c r="BA48" i="24"/>
  <c r="BA48" i="25"/>
  <c r="CU38" i="25"/>
  <c r="CU38" i="24"/>
  <c r="AG35" i="24"/>
  <c r="AG35" i="25"/>
  <c r="AZ46" i="25"/>
  <c r="AZ46" i="24"/>
  <c r="AT46" i="25"/>
  <c r="AT46" i="24"/>
  <c r="BS38" i="25"/>
  <c r="BS38" i="24"/>
  <c r="AB49" i="24"/>
  <c r="AB49" i="25"/>
  <c r="T34" i="25"/>
  <c r="T34" i="24"/>
  <c r="CG45" i="24"/>
  <c r="CG45" i="25"/>
  <c r="BG47" i="25"/>
  <c r="BG47" i="24"/>
  <c r="CQ51" i="25"/>
  <c r="CQ51" i="24"/>
  <c r="L40" i="24"/>
  <c r="L40" i="25"/>
  <c r="BI35" i="25"/>
  <c r="BI35" i="24"/>
  <c r="BF40" i="24"/>
  <c r="BF40" i="25"/>
  <c r="CC19" i="24"/>
  <c r="CC19" i="25"/>
  <c r="CS51" i="25"/>
  <c r="CS51" i="24"/>
  <c r="BM43" i="25"/>
  <c r="BM43" i="24"/>
  <c r="BY44" i="24"/>
  <c r="BY44" i="25"/>
  <c r="CU45" i="24"/>
  <c r="CU45" i="25"/>
  <c r="CN35" i="24"/>
  <c r="CN35" i="25"/>
  <c r="CO49" i="24"/>
  <c r="CO49" i="25"/>
  <c r="Y36" i="25"/>
  <c r="Y36" i="24"/>
  <c r="K45" i="24"/>
  <c r="K45" i="25"/>
  <c r="AT36" i="25"/>
  <c r="AT36" i="24"/>
  <c r="B17" i="24"/>
  <c r="B17" i="25"/>
  <c r="CT36" i="25"/>
  <c r="CT36" i="24"/>
  <c r="AZ47" i="24"/>
  <c r="AZ47" i="25"/>
  <c r="BI10" i="24"/>
  <c r="BI10" i="25"/>
  <c r="CN43" i="24"/>
  <c r="CN43" i="25"/>
  <c r="Y37" i="24"/>
  <c r="Y37" i="25"/>
  <c r="CO32" i="25"/>
  <c r="CO32" i="24"/>
  <c r="CT24" i="25"/>
  <c r="CT24" i="24"/>
  <c r="AP32" i="24"/>
  <c r="AP32" i="25"/>
  <c r="BX5" i="24"/>
  <c r="BX5" i="25"/>
  <c r="AU50" i="24"/>
  <c r="AU50" i="25"/>
  <c r="AK41" i="24"/>
  <c r="AK41" i="25"/>
  <c r="AX46" i="24"/>
  <c r="AX46" i="25"/>
  <c r="BN48" i="24"/>
  <c r="BN48" i="25"/>
  <c r="BG45" i="25"/>
  <c r="BG45" i="24"/>
  <c r="AB46" i="25"/>
  <c r="AB46" i="24"/>
  <c r="BW33" i="24"/>
  <c r="BW33" i="25"/>
  <c r="P46" i="25"/>
  <c r="P46" i="24"/>
  <c r="BL27" i="24"/>
  <c r="BL27" i="25"/>
  <c r="BJ29" i="25"/>
  <c r="BJ29" i="24"/>
  <c r="CT17" i="25"/>
  <c r="CT17" i="24"/>
  <c r="AH19" i="24"/>
  <c r="AH19" i="25"/>
  <c r="P9" i="24"/>
  <c r="P9" i="25"/>
  <c r="BO30" i="24"/>
  <c r="BO30" i="25"/>
  <c r="Z6" i="25"/>
  <c r="Z6" i="24"/>
  <c r="CC29" i="25"/>
  <c r="CC29" i="24"/>
  <c r="BZ15" i="24"/>
  <c r="BZ15" i="25"/>
  <c r="AQ5" i="25"/>
  <c r="AQ5" i="24"/>
  <c r="BZ13" i="24"/>
  <c r="BZ13" i="25"/>
  <c r="BV18" i="25"/>
  <c r="BV18" i="24"/>
  <c r="BT34" i="25"/>
  <c r="BT34" i="24"/>
  <c r="CA39" i="25"/>
  <c r="CA39" i="24"/>
  <c r="W50" i="24"/>
  <c r="W50" i="25"/>
  <c r="CA43" i="24"/>
  <c r="CA43" i="25"/>
  <c r="AX37" i="24"/>
  <c r="AX37" i="25"/>
  <c r="V48" i="24"/>
  <c r="V48" i="25"/>
  <c r="AX18" i="24"/>
  <c r="AX18" i="25"/>
  <c r="BK40" i="25"/>
  <c r="BK40" i="24"/>
  <c r="CS50" i="24"/>
  <c r="CS50" i="25"/>
  <c r="BS36" i="24"/>
  <c r="BS36" i="25"/>
  <c r="BC47" i="25"/>
  <c r="BC47" i="24"/>
  <c r="BW29" i="24"/>
  <c r="BW29" i="25"/>
  <c r="Z28" i="24"/>
  <c r="Z28" i="25"/>
  <c r="BS44" i="25"/>
  <c r="BS44" i="24"/>
  <c r="CT32" i="24"/>
  <c r="CT32" i="25"/>
  <c r="CD26" i="25"/>
  <c r="CD26" i="24"/>
  <c r="G34" i="25"/>
  <c r="G34" i="24"/>
  <c r="CG32" i="25"/>
  <c r="CG32" i="24"/>
  <c r="I43" i="24"/>
  <c r="I43" i="25"/>
  <c r="CO50" i="25"/>
  <c r="CO50" i="24"/>
  <c r="AH13" i="24"/>
  <c r="AH13" i="25"/>
  <c r="E32" i="24"/>
  <c r="E32" i="25"/>
  <c r="BG28" i="24"/>
  <c r="BG28" i="25"/>
  <c r="E46" i="24"/>
  <c r="E46" i="25"/>
  <c r="CD50" i="24"/>
  <c r="CD50" i="25"/>
  <c r="CL45" i="25"/>
  <c r="CL45" i="24"/>
  <c r="AO44" i="24"/>
  <c r="AO44" i="25"/>
  <c r="Z26" i="25"/>
  <c r="Z26" i="24"/>
  <c r="AV35" i="24"/>
  <c r="AV35" i="25"/>
  <c r="V19" i="24"/>
  <c r="V19" i="25"/>
  <c r="CQ41" i="24"/>
  <c r="CQ41" i="25"/>
  <c r="AX6" i="24"/>
  <c r="AX6" i="25"/>
  <c r="BN20" i="24"/>
  <c r="BN20" i="25"/>
  <c r="R9" i="24"/>
  <c r="R9" i="25"/>
  <c r="CV21" i="24"/>
  <c r="CV21" i="25"/>
  <c r="CD16" i="24"/>
  <c r="CD16" i="25"/>
  <c r="BS33" i="24"/>
  <c r="BS33" i="25"/>
  <c r="Q15" i="25"/>
  <c r="Q15" i="24"/>
  <c r="CK32" i="24"/>
  <c r="CK32" i="25"/>
  <c r="AN21" i="24"/>
  <c r="AN21" i="25"/>
  <c r="BP14" i="24"/>
  <c r="BP14" i="25"/>
  <c r="J9" i="25"/>
  <c r="J9" i="24"/>
  <c r="H24" i="25"/>
  <c r="H24" i="24"/>
  <c r="L26" i="24"/>
  <c r="L26" i="25"/>
  <c r="BC42" i="25"/>
  <c r="BC42" i="24"/>
  <c r="AU17" i="24"/>
  <c r="AU17" i="25"/>
  <c r="I18" i="25"/>
  <c r="I18" i="24"/>
  <c r="BB40" i="24"/>
  <c r="BB40" i="25"/>
  <c r="CJ50" i="24"/>
  <c r="CJ50" i="25"/>
  <c r="BN28" i="25"/>
  <c r="BN28" i="24"/>
  <c r="AD43" i="24"/>
  <c r="AD43" i="25"/>
  <c r="Q16" i="25"/>
  <c r="Q16" i="24"/>
  <c r="BZ39" i="24"/>
  <c r="BZ39" i="25"/>
  <c r="V50" i="24"/>
  <c r="V50" i="25"/>
  <c r="CQ39" i="24"/>
  <c r="CQ39" i="25"/>
  <c r="J38" i="24"/>
  <c r="J38" i="25"/>
  <c r="AH48" i="24"/>
  <c r="AH48" i="25"/>
  <c r="Z45" i="24"/>
  <c r="Z45" i="25"/>
  <c r="BM39" i="24"/>
  <c r="BM39" i="25"/>
  <c r="D40" i="24"/>
  <c r="D40" i="25"/>
  <c r="CN45" i="24"/>
  <c r="CN45" i="25"/>
  <c r="L47" i="24"/>
  <c r="L47" i="25"/>
  <c r="Y9" i="25"/>
  <c r="Y9" i="24"/>
  <c r="D22" i="24"/>
  <c r="D22" i="25"/>
  <c r="CJ11" i="24"/>
  <c r="CJ11" i="25"/>
  <c r="AL23" i="25"/>
  <c r="AL23" i="24"/>
  <c r="BT19" i="24"/>
  <c r="BT19" i="25"/>
  <c r="CJ37" i="24"/>
  <c r="CJ37" i="25"/>
  <c r="AU34" i="24"/>
  <c r="AU34" i="25"/>
  <c r="BM21" i="25"/>
  <c r="BM21" i="24"/>
  <c r="L44" i="24"/>
  <c r="L44" i="25"/>
  <c r="AZ44" i="25"/>
  <c r="AZ44" i="24"/>
  <c r="BA16" i="25"/>
  <c r="BA16" i="24"/>
  <c r="AR44" i="24"/>
  <c r="AR44" i="25"/>
  <c r="CT48" i="24"/>
  <c r="CT48" i="25"/>
  <c r="CK21" i="25"/>
  <c r="CK21" i="24"/>
  <c r="Q48" i="24"/>
  <c r="Q48" i="25"/>
  <c r="CP30" i="25"/>
  <c r="CP30" i="24"/>
  <c r="BR14" i="24"/>
  <c r="BR14" i="25"/>
  <c r="BG46" i="25"/>
  <c r="BG46" i="24"/>
  <c r="AV48" i="24"/>
  <c r="AV48" i="25"/>
  <c r="CA47" i="24"/>
  <c r="CA47" i="25"/>
  <c r="S38" i="25"/>
  <c r="S38" i="24"/>
  <c r="Y51" i="24"/>
  <c r="Y51" i="25"/>
  <c r="BS27" i="25"/>
  <c r="BS27" i="24"/>
  <c r="CH48" i="25"/>
  <c r="CH48" i="24"/>
  <c r="CQ38" i="24"/>
  <c r="CQ38" i="25"/>
  <c r="R43" i="24"/>
  <c r="R43" i="25"/>
  <c r="BE45" i="24"/>
  <c r="BE45" i="25"/>
  <c r="CV50" i="24"/>
  <c r="CV50" i="25"/>
  <c r="AI37" i="25"/>
  <c r="AI37" i="24"/>
  <c r="AB26" i="24"/>
  <c r="AB26" i="25"/>
  <c r="AT44" i="24"/>
  <c r="AT44" i="25"/>
  <c r="CF45" i="24"/>
  <c r="CF45" i="25"/>
  <c r="BP25" i="24"/>
  <c r="BP25" i="25"/>
  <c r="C32" i="24"/>
  <c r="C32" i="25"/>
  <c r="AY42" i="25"/>
  <c r="AY42" i="24"/>
  <c r="CT50" i="25"/>
  <c r="CT50" i="24"/>
  <c r="AA37" i="24"/>
  <c r="AA37" i="25"/>
  <c r="AT39" i="24"/>
  <c r="AT39" i="25"/>
  <c r="Q49" i="24"/>
  <c r="Q49" i="25"/>
  <c r="CU43" i="24"/>
  <c r="CU43" i="25"/>
  <c r="BF38" i="24"/>
  <c r="BF38" i="25"/>
  <c r="AR30" i="25"/>
  <c r="AR30" i="24"/>
  <c r="AK16" i="24"/>
  <c r="AK16" i="25"/>
  <c r="AP47" i="24"/>
  <c r="AP47" i="25"/>
  <c r="Y42" i="24"/>
  <c r="Y42" i="25"/>
  <c r="BB36" i="24"/>
  <c r="BB36" i="25"/>
  <c r="CR24" i="25"/>
  <c r="CR24" i="24"/>
  <c r="BA41" i="24"/>
  <c r="BA41" i="25"/>
  <c r="CE49" i="24"/>
  <c r="CE49" i="25"/>
  <c r="BN44" i="25"/>
  <c r="BN44" i="24"/>
  <c r="AI39" i="24"/>
  <c r="AI39" i="25"/>
  <c r="CO31" i="24"/>
  <c r="CO31" i="25"/>
  <c r="CU47" i="24"/>
  <c r="CU47" i="25"/>
  <c r="S32" i="25"/>
  <c r="S32" i="24"/>
  <c r="CF51" i="24"/>
  <c r="CF51" i="25"/>
  <c r="BO46" i="24"/>
  <c r="BO46" i="25"/>
  <c r="AX41" i="24"/>
  <c r="AX41" i="25"/>
  <c r="BA35" i="24"/>
  <c r="BA35" i="25"/>
  <c r="CM21" i="24"/>
  <c r="CM21" i="25"/>
  <c r="BM30" i="24"/>
  <c r="BM30" i="25"/>
  <c r="CS21" i="24"/>
  <c r="CS21" i="25"/>
  <c r="O9" i="24"/>
  <c r="O9" i="25"/>
  <c r="CK4" i="25"/>
  <c r="GJ4" i="25" s="1"/>
  <c r="CK4" i="24"/>
  <c r="GJ4" i="24" s="1"/>
  <c r="CJ14" i="24"/>
  <c r="CJ14" i="25"/>
  <c r="CD11" i="25"/>
  <c r="CD11" i="24"/>
  <c r="CQ28" i="24"/>
  <c r="CQ28" i="25"/>
  <c r="AD19" i="24"/>
  <c r="AD19" i="25"/>
  <c r="BQ31" i="24"/>
  <c r="BQ31" i="25"/>
  <c r="BY23" i="25"/>
  <c r="BY23" i="24"/>
  <c r="AW12" i="24"/>
  <c r="AW12" i="25"/>
  <c r="E38" i="25"/>
  <c r="E38" i="24"/>
  <c r="AY32" i="25"/>
  <c r="AY32" i="24"/>
  <c r="V25" i="24"/>
  <c r="V25" i="25"/>
  <c r="AP14" i="25"/>
  <c r="AP14" i="24"/>
  <c r="M26" i="24"/>
  <c r="M26" i="25"/>
  <c r="CQ20" i="25"/>
  <c r="CQ20" i="24"/>
  <c r="AT15" i="24"/>
  <c r="AT15" i="25"/>
  <c r="H7" i="25"/>
  <c r="H7" i="24"/>
  <c r="BZ24" i="24"/>
  <c r="BZ24" i="25"/>
  <c r="BI19" i="24"/>
  <c r="BI19" i="25"/>
  <c r="CN13" i="24"/>
  <c r="CN13" i="25"/>
  <c r="AN4" i="24"/>
  <c r="EM4" i="24" s="1"/>
  <c r="AN4" i="25"/>
  <c r="EM4" i="25" s="1"/>
  <c r="G26" i="25"/>
  <c r="G26" i="24"/>
  <c r="CK20" i="24"/>
  <c r="CK20" i="25"/>
  <c r="AM15" i="25"/>
  <c r="AM15" i="24"/>
  <c r="CS6" i="24"/>
  <c r="CS6" i="25"/>
  <c r="BP32" i="24"/>
  <c r="BP32" i="25"/>
  <c r="AY27" i="24"/>
  <c r="AY27" i="25"/>
  <c r="AH22" i="24"/>
  <c r="AH22" i="25"/>
  <c r="E17" i="24"/>
  <c r="E17" i="25"/>
  <c r="CI9" i="24"/>
  <c r="CI9" i="25"/>
  <c r="AP12" i="24"/>
  <c r="AP12" i="25"/>
  <c r="Y7" i="24"/>
  <c r="Y7" i="25"/>
  <c r="DG3" i="24"/>
  <c r="AU6" i="25"/>
  <c r="AU6" i="24"/>
  <c r="AZ12" i="24"/>
  <c r="AZ12" i="25"/>
  <c r="AI7" i="24"/>
  <c r="AI7" i="25"/>
  <c r="DQ3" i="24"/>
  <c r="CU12" i="24"/>
  <c r="CU12" i="25"/>
  <c r="CD7" i="24"/>
  <c r="CD7" i="25"/>
  <c r="CD13" i="24"/>
  <c r="CD13" i="25"/>
  <c r="W4" i="25"/>
  <c r="DV4" i="25" s="1"/>
  <c r="W4" i="24"/>
  <c r="AE31" i="24"/>
  <c r="AE31" i="25"/>
  <c r="N26" i="24"/>
  <c r="N26" i="25"/>
  <c r="CR20" i="24"/>
  <c r="CR20" i="25"/>
  <c r="AU15" i="24"/>
  <c r="AU15" i="25"/>
  <c r="M7" i="25"/>
  <c r="M7" i="24"/>
  <c r="E11" i="25"/>
  <c r="E11" i="24"/>
  <c r="CI5" i="25"/>
  <c r="CI5" i="24"/>
  <c r="AA10" i="24"/>
  <c r="AA10" i="25"/>
  <c r="J5" i="24"/>
  <c r="J5" i="25"/>
  <c r="O11" i="25"/>
  <c r="O11" i="24"/>
  <c r="CS5" i="25"/>
  <c r="CS5" i="24"/>
  <c r="CA16" i="24"/>
  <c r="CA16" i="25"/>
  <c r="BJ11" i="25"/>
  <c r="BJ11" i="24"/>
  <c r="AS6" i="25"/>
  <c r="AS6" i="24"/>
  <c r="BI24" i="25"/>
  <c r="BI24" i="24"/>
  <c r="AR19" i="25"/>
  <c r="AR19" i="24"/>
  <c r="BU13" i="25"/>
  <c r="BU13" i="24"/>
  <c r="G4" i="25"/>
  <c r="DF4" i="25" s="1"/>
  <c r="G4" i="24"/>
  <c r="W31" i="24"/>
  <c r="W31" i="25"/>
  <c r="F26" i="25"/>
  <c r="F26" i="24"/>
  <c r="CJ20" i="24"/>
  <c r="CJ20" i="25"/>
  <c r="AL15" i="25"/>
  <c r="AL15" i="24"/>
  <c r="CR6" i="24"/>
  <c r="CR6" i="25"/>
  <c r="CR10" i="25"/>
  <c r="CR10" i="24"/>
  <c r="CA5" i="25"/>
  <c r="CA5" i="24"/>
  <c r="S10" i="24"/>
  <c r="S10" i="25"/>
  <c r="CW4" i="24"/>
  <c r="CW4" i="25"/>
  <c r="GV4" i="25" s="1"/>
  <c r="GV5" i="25" s="1"/>
  <c r="G11" i="24"/>
  <c r="G11" i="25"/>
  <c r="CK5" i="24"/>
  <c r="CK5" i="25"/>
  <c r="BS16" i="25"/>
  <c r="BS16" i="24"/>
  <c r="BB11" i="24"/>
  <c r="BB11" i="25"/>
  <c r="AK6" i="24"/>
  <c r="AK6" i="25"/>
  <c r="CJ23" i="25"/>
  <c r="CJ23" i="24"/>
  <c r="BS18" i="25"/>
  <c r="BS18" i="24"/>
  <c r="BQ12" i="24"/>
  <c r="BQ12" i="25"/>
  <c r="FH3" i="24"/>
  <c r="AX30" i="24"/>
  <c r="AX30" i="25"/>
  <c r="AG25" i="25"/>
  <c r="AG25" i="24"/>
  <c r="P20" i="25"/>
  <c r="P20" i="24"/>
  <c r="BC14" i="25"/>
  <c r="BC14" i="24"/>
  <c r="AY5" i="24"/>
  <c r="AY5" i="25"/>
  <c r="X10" i="24"/>
  <c r="X10" i="25"/>
  <c r="G5" i="24"/>
  <c r="G5" i="25"/>
  <c r="AT9" i="24"/>
  <c r="AT9" i="25"/>
  <c r="AC4" i="24"/>
  <c r="AC4" i="25"/>
  <c r="EB4" i="25" s="1"/>
  <c r="AH10" i="24"/>
  <c r="AH10" i="25"/>
  <c r="Q5" i="24"/>
  <c r="Q5" i="25"/>
  <c r="CT15" i="25"/>
  <c r="CT15" i="24"/>
  <c r="CC10" i="25"/>
  <c r="CC10" i="24"/>
  <c r="BL5" i="25"/>
  <c r="BL5" i="24"/>
  <c r="CN19" i="25"/>
  <c r="CN19" i="24"/>
  <c r="AB14" i="24"/>
  <c r="AB14" i="25"/>
  <c r="D5" i="25"/>
  <c r="D5" i="24"/>
  <c r="BS31" i="24"/>
  <c r="BS31" i="25"/>
  <c r="BB26" i="24"/>
  <c r="BB26" i="25"/>
  <c r="AK21" i="24"/>
  <c r="AK21" i="25"/>
  <c r="CO15" i="24"/>
  <c r="CO15" i="25"/>
  <c r="CO7" i="24"/>
  <c r="CO7" i="25"/>
  <c r="AS11" i="25"/>
  <c r="AS11" i="24"/>
  <c r="AB6" i="25"/>
  <c r="AB6" i="24"/>
  <c r="BO10" i="25"/>
  <c r="BO10" i="24"/>
  <c r="AX5" i="25"/>
  <c r="AX5" i="24"/>
  <c r="BC11" i="24"/>
  <c r="BC11" i="25"/>
  <c r="AL6" i="24"/>
  <c r="AL6" i="25"/>
  <c r="T17" i="24"/>
  <c r="T17" i="25"/>
  <c r="C12" i="24"/>
  <c r="C12" i="25"/>
  <c r="CG6" i="24"/>
  <c r="CG6" i="25"/>
  <c r="CM35" i="24"/>
  <c r="CM35" i="25"/>
  <c r="BR37" i="25"/>
  <c r="BR37" i="24"/>
  <c r="BX48" i="24"/>
  <c r="BX48" i="25"/>
  <c r="BG43" i="25"/>
  <c r="BG43" i="24"/>
  <c r="L38" i="25"/>
  <c r="L38" i="24"/>
  <c r="AP29" i="24"/>
  <c r="AP29" i="25"/>
  <c r="B22" i="25"/>
  <c r="B22" i="24"/>
  <c r="CW46" i="25"/>
  <c r="CW46" i="24"/>
  <c r="CF41" i="24"/>
  <c r="CF41" i="25"/>
  <c r="CU35" i="24"/>
  <c r="CU35" i="25"/>
  <c r="AI23" i="25"/>
  <c r="AI23" i="24"/>
  <c r="AV40" i="25"/>
  <c r="AV40" i="24"/>
  <c r="AQ49" i="25"/>
  <c r="AQ49" i="24"/>
  <c r="Z44" i="25"/>
  <c r="Z44" i="24"/>
  <c r="CJ38" i="24"/>
  <c r="CJ38" i="25"/>
  <c r="CW30" i="24"/>
  <c r="CW30" i="25"/>
  <c r="K47" i="25"/>
  <c r="K47" i="24"/>
  <c r="I31" i="24"/>
  <c r="I31" i="25"/>
  <c r="AR51" i="24"/>
  <c r="AR51" i="25"/>
  <c r="AA46" i="24"/>
  <c r="AA46" i="25"/>
  <c r="J41" i="24"/>
  <c r="J41" i="25"/>
  <c r="CQ34" i="24"/>
  <c r="CQ34" i="25"/>
  <c r="AD20" i="24"/>
  <c r="AD20" i="25"/>
  <c r="T30" i="25"/>
  <c r="T30" i="24"/>
  <c r="Q21" i="24"/>
  <c r="Q21" i="25"/>
  <c r="BA7" i="25"/>
  <c r="BA7" i="24"/>
  <c r="EA3" i="24"/>
  <c r="CQ13" i="24"/>
  <c r="CQ13" i="25"/>
  <c r="AB10" i="25"/>
  <c r="AB10" i="24"/>
  <c r="AQ28" i="24"/>
  <c r="AQ28" i="25"/>
  <c r="AW18" i="24"/>
  <c r="AW18" i="25"/>
  <c r="DN3" i="24"/>
  <c r="X31" i="24"/>
  <c r="X31" i="25"/>
  <c r="CR22" i="25"/>
  <c r="CR22" i="24"/>
  <c r="K11" i="25"/>
  <c r="K11" i="24"/>
  <c r="BL37" i="24"/>
  <c r="BL37" i="25"/>
  <c r="F32" i="24"/>
  <c r="F32" i="25"/>
  <c r="AO24" i="24"/>
  <c r="AO24" i="25"/>
  <c r="AT13" i="25"/>
  <c r="AT13" i="24"/>
  <c r="BT25" i="24"/>
  <c r="BT25" i="25"/>
  <c r="BC20" i="25"/>
  <c r="BC20" i="24"/>
  <c r="CU14" i="24"/>
  <c r="CU14" i="25"/>
  <c r="AA6" i="25"/>
  <c r="AA6" i="24"/>
  <c r="AL24" i="25"/>
  <c r="AL24" i="24"/>
  <c r="U19" i="25"/>
  <c r="U19" i="24"/>
  <c r="AQ13" i="24"/>
  <c r="AQ13" i="25"/>
  <c r="BN25" i="24"/>
  <c r="BN25" i="25"/>
  <c r="AW20" i="24"/>
  <c r="AW20" i="25"/>
  <c r="CN14" i="25"/>
  <c r="CN14" i="24"/>
  <c r="Q6" i="24"/>
  <c r="Q6" i="25"/>
  <c r="AB32" i="24"/>
  <c r="AB32" i="25"/>
  <c r="K27" i="25"/>
  <c r="K27" i="24"/>
  <c r="CO21" i="24"/>
  <c r="CO21" i="25"/>
  <c r="BF16" i="24"/>
  <c r="BF16" i="25"/>
  <c r="G9" i="24"/>
  <c r="G9" i="25"/>
  <c r="CW11" i="24"/>
  <c r="CW11" i="25"/>
  <c r="CF6" i="24"/>
  <c r="CF6" i="25"/>
  <c r="X11" i="24"/>
  <c r="X11" i="25"/>
  <c r="G6" i="24"/>
  <c r="G6" i="25"/>
  <c r="L12" i="24"/>
  <c r="L12" i="25"/>
  <c r="CP6" i="24"/>
  <c r="CP6" i="25"/>
  <c r="BX17" i="24"/>
  <c r="BX17" i="25"/>
  <c r="BG12" i="24"/>
  <c r="BG12" i="25"/>
  <c r="AP7" i="24"/>
  <c r="AP7" i="25"/>
  <c r="DX3" i="24"/>
  <c r="BH50" i="24"/>
  <c r="BH50" i="25"/>
  <c r="AC39" i="24"/>
  <c r="AC39" i="25"/>
  <c r="R51" i="25"/>
  <c r="R51" i="24"/>
  <c r="BC41" i="24"/>
  <c r="BC41" i="25"/>
  <c r="AH37" i="24"/>
  <c r="AH37" i="25"/>
  <c r="BP48" i="25"/>
  <c r="BP48" i="24"/>
  <c r="CH42" i="24"/>
  <c r="CH42" i="25"/>
  <c r="AC37" i="24"/>
  <c r="AC37" i="25"/>
  <c r="AN27" i="24"/>
  <c r="AN27" i="25"/>
  <c r="AT51" i="24"/>
  <c r="AT51" i="25"/>
  <c r="AC46" i="25"/>
  <c r="AC46" i="24"/>
  <c r="L41" i="24"/>
  <c r="L41" i="25"/>
  <c r="CS34" i="25"/>
  <c r="CS34" i="24"/>
  <c r="AR20" i="24"/>
  <c r="AR20" i="25"/>
  <c r="Z38" i="24"/>
  <c r="Z38" i="25"/>
  <c r="BR48" i="25"/>
  <c r="BR48" i="24"/>
  <c r="BA43" i="25"/>
  <c r="BA43" i="24"/>
  <c r="F38" i="24"/>
  <c r="F38" i="25"/>
  <c r="X29" i="25"/>
  <c r="X29" i="24"/>
  <c r="Q45" i="25"/>
  <c r="Q45" i="24"/>
  <c r="CI28" i="24"/>
  <c r="CI28" i="25"/>
  <c r="BS50" i="24"/>
  <c r="BS50" i="25"/>
  <c r="BB45" i="24"/>
  <c r="BB45" i="25"/>
  <c r="AI40" i="25"/>
  <c r="AI40" i="24"/>
  <c r="BH33" i="24"/>
  <c r="BH33" i="25"/>
  <c r="AD17" i="25"/>
  <c r="AD17" i="24"/>
  <c r="Y29" i="25"/>
  <c r="Y29" i="24"/>
  <c r="BS19" i="24"/>
  <c r="BS19" i="25"/>
  <c r="BJ4" i="24"/>
  <c r="BJ4" i="25"/>
  <c r="FI4" i="25" s="1"/>
  <c r="CK14" i="25"/>
  <c r="CK14" i="24"/>
  <c r="CE11" i="24"/>
  <c r="CE11" i="25"/>
  <c r="AK7" i="25"/>
  <c r="AK7" i="24"/>
  <c r="AL27" i="25"/>
  <c r="AL27" i="24"/>
  <c r="CK16" i="24"/>
  <c r="CK16" i="25"/>
  <c r="T36" i="24"/>
  <c r="T36" i="25"/>
  <c r="AN30" i="24"/>
  <c r="AN30" i="25"/>
  <c r="AY21" i="25"/>
  <c r="AY21" i="24"/>
  <c r="T8" i="25"/>
  <c r="T8" i="24"/>
  <c r="CM36" i="25"/>
  <c r="CM36" i="24"/>
  <c r="V31" i="25"/>
  <c r="V31" i="24"/>
  <c r="CQ22" i="25"/>
  <c r="CQ22" i="24"/>
  <c r="J11" i="25"/>
  <c r="J11" i="24"/>
  <c r="CU24" i="24"/>
  <c r="CU24" i="25"/>
  <c r="CD19" i="24"/>
  <c r="CD19" i="25"/>
  <c r="Q14" i="24"/>
  <c r="Q14" i="25"/>
  <c r="CC4" i="25"/>
  <c r="GB4" i="25" s="1"/>
  <c r="GB5" i="25" s="1"/>
  <c r="CC4" i="24"/>
  <c r="GB4" i="24" s="1"/>
  <c r="GB5" i="24" s="1"/>
  <c r="BM23" i="24"/>
  <c r="BM23" i="25"/>
  <c r="AV18" i="25"/>
  <c r="AV18" i="24"/>
  <c r="AE12" i="25"/>
  <c r="AE12" i="24"/>
  <c r="CO24" i="25"/>
  <c r="CO24" i="24"/>
  <c r="BX19" i="25"/>
  <c r="BX19" i="24"/>
  <c r="J14" i="25"/>
  <c r="J14" i="24"/>
  <c r="BS4" i="24"/>
  <c r="BS4" i="25"/>
  <c r="FR4" i="25" s="1"/>
  <c r="BC31" i="24"/>
  <c r="BC31" i="25"/>
  <c r="AL26" i="24"/>
  <c r="AL26" i="25"/>
  <c r="U21" i="24"/>
  <c r="U21" i="25"/>
  <c r="BW15" i="24"/>
  <c r="BW15" i="25"/>
  <c r="BI7" i="24"/>
  <c r="BI7" i="25"/>
  <c r="AC11" i="25"/>
  <c r="AC11" i="24"/>
  <c r="L6" i="25"/>
  <c r="L6" i="24"/>
  <c r="AY10" i="24"/>
  <c r="AY10" i="25"/>
  <c r="AH5" i="24"/>
  <c r="AH5" i="25"/>
  <c r="AM11" i="24"/>
  <c r="AM11" i="25"/>
  <c r="V6" i="24"/>
  <c r="V6" i="25"/>
  <c r="D17" i="25"/>
  <c r="D17" i="24"/>
  <c r="CH11" i="24"/>
  <c r="CH11" i="25"/>
  <c r="BQ6" i="24"/>
  <c r="BQ6" i="25"/>
  <c r="AG26" i="24"/>
  <c r="AG26" i="25"/>
  <c r="B9" i="24"/>
  <c r="B9" i="25"/>
  <c r="CD37" i="25"/>
  <c r="CD37" i="24"/>
  <c r="R38" i="24"/>
  <c r="R38" i="25"/>
  <c r="CW47" i="24"/>
  <c r="CW47" i="25"/>
  <c r="CT45" i="24"/>
  <c r="CT45" i="25"/>
  <c r="CN30" i="24"/>
  <c r="CN30" i="25"/>
  <c r="BV46" i="24"/>
  <c r="BV46" i="25"/>
  <c r="X49" i="25"/>
  <c r="X49" i="24"/>
  <c r="O34" i="24"/>
  <c r="O34" i="25"/>
  <c r="L42" i="24"/>
  <c r="L42" i="25"/>
  <c r="Q51" i="24"/>
  <c r="Q51" i="25"/>
  <c r="BC37" i="25"/>
  <c r="BC37" i="24"/>
  <c r="G27" i="25"/>
  <c r="G27" i="24"/>
  <c r="CI44" i="25"/>
  <c r="CI44" i="24"/>
  <c r="H46" i="24"/>
  <c r="H46" i="25"/>
  <c r="BH26" i="25"/>
  <c r="BH26" i="24"/>
  <c r="AB33" i="24"/>
  <c r="AB33" i="25"/>
  <c r="BQ42" i="24"/>
  <c r="BQ42" i="25"/>
  <c r="O51" i="24"/>
  <c r="O51" i="25"/>
  <c r="BA37" i="24"/>
  <c r="BA37" i="25"/>
  <c r="CN39" i="24"/>
  <c r="CN39" i="25"/>
  <c r="Y49" i="24"/>
  <c r="Y49" i="25"/>
  <c r="H44" i="24"/>
  <c r="H44" i="25"/>
  <c r="BO38" i="25"/>
  <c r="BO38" i="24"/>
  <c r="BJ30" i="24"/>
  <c r="BJ30" i="25"/>
  <c r="BV16" i="25"/>
  <c r="BV16" i="24"/>
  <c r="AX47" i="25"/>
  <c r="AX47" i="24"/>
  <c r="AG42" i="24"/>
  <c r="AG42" i="25"/>
  <c r="BL36" i="24"/>
  <c r="BL36" i="25"/>
  <c r="AC25" i="24"/>
  <c r="AC25" i="25"/>
  <c r="BQ41" i="25"/>
  <c r="BQ41" i="24"/>
  <c r="CM49" i="24"/>
  <c r="CM49" i="25"/>
  <c r="BV44" i="25"/>
  <c r="BV44" i="24"/>
  <c r="AR39" i="25"/>
  <c r="AR39" i="24"/>
  <c r="M32" i="25"/>
  <c r="M32" i="24"/>
  <c r="H48" i="25"/>
  <c r="H48" i="24"/>
  <c r="AV32" i="24"/>
  <c r="AV32" i="25"/>
  <c r="CN51" i="24"/>
  <c r="CN51" i="25"/>
  <c r="BW46" i="25"/>
  <c r="BW46" i="24"/>
  <c r="BF41" i="25"/>
  <c r="BF41" i="24"/>
  <c r="BM35" i="24"/>
  <c r="BM35" i="25"/>
  <c r="X22" i="25"/>
  <c r="X22" i="24"/>
  <c r="BW30" i="24"/>
  <c r="BW30" i="25"/>
  <c r="N22" i="24"/>
  <c r="N22" i="25"/>
  <c r="AU9" i="24"/>
  <c r="AU9" i="25"/>
  <c r="V5" i="25"/>
  <c r="V5" i="24"/>
  <c r="G15" i="25"/>
  <c r="G15" i="24"/>
  <c r="H12" i="24"/>
  <c r="H12" i="25"/>
  <c r="H29" i="24"/>
  <c r="H29" i="25"/>
  <c r="AT19" i="24"/>
  <c r="AT19" i="25"/>
  <c r="I4" i="25"/>
  <c r="DH4" i="25" s="1"/>
  <c r="I4" i="24"/>
  <c r="BZ31" i="25"/>
  <c r="BZ31" i="24"/>
  <c r="CO23" i="24"/>
  <c r="CO23" i="25"/>
  <c r="BY12" i="25"/>
  <c r="BY12" i="24"/>
  <c r="M38" i="24"/>
  <c r="M38" i="25"/>
  <c r="BI32" i="25"/>
  <c r="BI32" i="24"/>
  <c r="AL25" i="25"/>
  <c r="AL25" i="24"/>
  <c r="BH14" i="24"/>
  <c r="BH14" i="25"/>
  <c r="U26" i="24"/>
  <c r="U26" i="25"/>
  <c r="D21" i="24"/>
  <c r="D21" i="25"/>
  <c r="BC15" i="24"/>
  <c r="BC15" i="25"/>
  <c r="X7" i="24"/>
  <c r="X7" i="25"/>
  <c r="CH24" i="25"/>
  <c r="CH24" i="24"/>
  <c r="BQ19" i="25"/>
  <c r="BQ19" i="24"/>
  <c r="CW13" i="24"/>
  <c r="CW13" i="25"/>
  <c r="BD4" i="25"/>
  <c r="FC4" i="25" s="1"/>
  <c r="BD4" i="24"/>
  <c r="FC4" i="24" s="1"/>
  <c r="O26" i="24"/>
  <c r="O26" i="25"/>
  <c r="CS20" i="24"/>
  <c r="CS20" i="25"/>
  <c r="AV15" i="24"/>
  <c r="AV15" i="25"/>
  <c r="N7" i="25"/>
  <c r="N7" i="24"/>
  <c r="BX32" i="24"/>
  <c r="BX32" i="25"/>
  <c r="BG27" i="24"/>
  <c r="BG27" i="25"/>
  <c r="AP22" i="24"/>
  <c r="AP22" i="25"/>
  <c r="N17" i="25"/>
  <c r="N17" i="24"/>
  <c r="D10" i="25"/>
  <c r="D10" i="24"/>
  <c r="AX12" i="25"/>
  <c r="AX12" i="24"/>
  <c r="AG7" i="25"/>
  <c r="AG7" i="24"/>
  <c r="DO3" i="24"/>
  <c r="DO4" i="24" s="1"/>
  <c r="BC6" i="24"/>
  <c r="BC6" i="25"/>
  <c r="BH12" i="24"/>
  <c r="BH12" i="25"/>
  <c r="AQ7" i="24"/>
  <c r="AQ7" i="25"/>
  <c r="H13" i="25"/>
  <c r="H13" i="24"/>
  <c r="CL7" i="25"/>
  <c r="CL7" i="24"/>
  <c r="FT3" i="24"/>
  <c r="CH29" i="25"/>
  <c r="CH29" i="24"/>
  <c r="X18" i="24"/>
  <c r="X18" i="25"/>
  <c r="CK13" i="24"/>
  <c r="CK13" i="25"/>
  <c r="BW24" i="25"/>
  <c r="BW24" i="24"/>
  <c r="AU22" i="25"/>
  <c r="AU22" i="24"/>
  <c r="AM26" i="24"/>
  <c r="AM26" i="25"/>
  <c r="AD14" i="24"/>
  <c r="AD14" i="25"/>
  <c r="K25" i="24"/>
  <c r="K25" i="25"/>
  <c r="CE15" i="24"/>
  <c r="CE15" i="25"/>
  <c r="AS26" i="24"/>
  <c r="AS26" i="25"/>
  <c r="CH25" i="24"/>
  <c r="CH25" i="25"/>
  <c r="AK38" i="24"/>
  <c r="AK38" i="25"/>
  <c r="AP24" i="24"/>
  <c r="AP24" i="25"/>
  <c r="F5" i="25"/>
  <c r="F5" i="24"/>
  <c r="AN29" i="24"/>
  <c r="AN29" i="25"/>
  <c r="BJ15" i="24"/>
  <c r="BJ15" i="25"/>
  <c r="AR10" i="24"/>
  <c r="AR10" i="25"/>
  <c r="U23" i="24"/>
  <c r="U23" i="25"/>
  <c r="CD41" i="24"/>
  <c r="CD41" i="25"/>
  <c r="BX27" i="25"/>
  <c r="BX27" i="24"/>
  <c r="CH15" i="25"/>
  <c r="CH15" i="24"/>
  <c r="AV26" i="24"/>
  <c r="AV26" i="25"/>
  <c r="AN17" i="24"/>
  <c r="AN17" i="25"/>
  <c r="CD27" i="24"/>
  <c r="CD27" i="25"/>
  <c r="AC28" i="24"/>
  <c r="AC28" i="25"/>
  <c r="BV39" i="25"/>
  <c r="BV39" i="24"/>
  <c r="Q27" i="24"/>
  <c r="Q27" i="25"/>
  <c r="BC10" i="24"/>
  <c r="BC10" i="25"/>
  <c r="F31" i="24"/>
  <c r="F31" i="25"/>
  <c r="G7" i="24"/>
  <c r="G7" i="25"/>
  <c r="BG14" i="25"/>
  <c r="BG14" i="24"/>
  <c r="BG32" i="25"/>
  <c r="BG32" i="24"/>
  <c r="BO37" i="24"/>
  <c r="BO37" i="25"/>
  <c r="AK48" i="25"/>
  <c r="AK48" i="24"/>
  <c r="BK38" i="24"/>
  <c r="BK38" i="25"/>
  <c r="CB18" i="25"/>
  <c r="CB18" i="24"/>
  <c r="AT5" i="24"/>
  <c r="AT5" i="25"/>
  <c r="O20" i="25"/>
  <c r="O20" i="24"/>
  <c r="W12" i="24"/>
  <c r="W12" i="25"/>
  <c r="BG31" i="24"/>
  <c r="BG31" i="25"/>
  <c r="AW9" i="24"/>
  <c r="AW9" i="25"/>
  <c r="BY30" i="24"/>
  <c r="BY30" i="25"/>
  <c r="BK17" i="24"/>
  <c r="BK17" i="25"/>
  <c r="BN8" i="25"/>
  <c r="BN8" i="24"/>
  <c r="BK15" i="24"/>
  <c r="BK15" i="25"/>
  <c r="AJ20" i="24"/>
  <c r="AJ20" i="25"/>
  <c r="BP18" i="25"/>
  <c r="BP18" i="24"/>
  <c r="BQ40" i="25"/>
  <c r="BQ40" i="24"/>
  <c r="D51" i="25"/>
  <c r="D51" i="24"/>
  <c r="N46" i="25"/>
  <c r="N46" i="24"/>
  <c r="AP38" i="25"/>
  <c r="AP38" i="24"/>
  <c r="C49" i="24"/>
  <c r="C49" i="25"/>
  <c r="BU21" i="24"/>
  <c r="BU21" i="25"/>
  <c r="AR41" i="24"/>
  <c r="AR41" i="25"/>
  <c r="BZ51" i="24"/>
  <c r="BZ51" i="25"/>
  <c r="BN37" i="24"/>
  <c r="BN37" i="25"/>
  <c r="AJ48" i="24"/>
  <c r="AJ48" i="25"/>
  <c r="P34" i="25"/>
  <c r="P34" i="24"/>
  <c r="CC32" i="24"/>
  <c r="CC32" i="25"/>
  <c r="R37" i="24"/>
  <c r="R37" i="25"/>
  <c r="BD41" i="25"/>
  <c r="BD41" i="24"/>
  <c r="AY23" i="25"/>
  <c r="AY23" i="24"/>
  <c r="BS34" i="25"/>
  <c r="BS34" i="24"/>
  <c r="W33" i="25"/>
  <c r="W33" i="24"/>
  <c r="CK27" i="25"/>
  <c r="CK27" i="24"/>
  <c r="AO48" i="25"/>
  <c r="AO48" i="24"/>
  <c r="T27" i="24"/>
  <c r="T27" i="25"/>
  <c r="AY14" i="25"/>
  <c r="AY14" i="24"/>
  <c r="CB47" i="24"/>
  <c r="CB47" i="25"/>
  <c r="AN34" i="24"/>
  <c r="AN34" i="25"/>
  <c r="BN50" i="25"/>
  <c r="BN50" i="24"/>
  <c r="CG50" i="24"/>
  <c r="CG50" i="25"/>
  <c r="W7" i="25"/>
  <c r="W7" i="24"/>
  <c r="AH14" i="24"/>
  <c r="AH14" i="25"/>
  <c r="R49" i="25"/>
  <c r="R49" i="24"/>
  <c r="R32" i="25"/>
  <c r="R32" i="24"/>
  <c r="CM43" i="24"/>
  <c r="CM43" i="25"/>
  <c r="BB37" i="24"/>
  <c r="BB37" i="25"/>
  <c r="Q31" i="24"/>
  <c r="Q31" i="25"/>
  <c r="BF49" i="24"/>
  <c r="BF49" i="25"/>
  <c r="CL38" i="24"/>
  <c r="CL38" i="25"/>
  <c r="BU41" i="24"/>
  <c r="BU41" i="25"/>
  <c r="AX35" i="25"/>
  <c r="AX35" i="24"/>
  <c r="N49" i="25"/>
  <c r="N49" i="24"/>
  <c r="BR10" i="25"/>
  <c r="BR10" i="24"/>
  <c r="R21" i="24"/>
  <c r="R21" i="25"/>
  <c r="AD35" i="24"/>
  <c r="AD35" i="25"/>
  <c r="AY15" i="24"/>
  <c r="AY15" i="25"/>
  <c r="BM44" i="24"/>
  <c r="BM44" i="25"/>
  <c r="AW26" i="24"/>
  <c r="AW26" i="25"/>
  <c r="AK33" i="24"/>
  <c r="AK33" i="25"/>
  <c r="CF23" i="25"/>
  <c r="CF23" i="24"/>
  <c r="B27" i="25"/>
  <c r="B27" i="24"/>
  <c r="CJ43" i="24"/>
  <c r="CJ43" i="25"/>
  <c r="AE19" i="25"/>
  <c r="AE19" i="24"/>
  <c r="CD40" i="24"/>
  <c r="CD40" i="25"/>
  <c r="BL41" i="25"/>
  <c r="BL41" i="24"/>
  <c r="B39" i="24"/>
  <c r="B39" i="25"/>
  <c r="B8" i="25"/>
  <c r="B8" i="24"/>
  <c r="CJ46" i="25"/>
  <c r="CJ46" i="24"/>
  <c r="BY50" i="24"/>
  <c r="BY50" i="25"/>
  <c r="CL34" i="24"/>
  <c r="CL34" i="25"/>
  <c r="G30" i="24"/>
  <c r="G30" i="25"/>
  <c r="AD47" i="24"/>
  <c r="AD47" i="25"/>
  <c r="S16" i="25"/>
  <c r="S16" i="24"/>
  <c r="CL16" i="24"/>
  <c r="CL16" i="25"/>
  <c r="BG39" i="24"/>
  <c r="BG39" i="25"/>
  <c r="AB41" i="25"/>
  <c r="AB41" i="24"/>
  <c r="BT43" i="25"/>
  <c r="BT43" i="24"/>
  <c r="CH44" i="24"/>
  <c r="CH44" i="25"/>
  <c r="AH25" i="24"/>
  <c r="AH25" i="25"/>
  <c r="AN25" i="24"/>
  <c r="AN25" i="25"/>
  <c r="CT27" i="24"/>
  <c r="CT27" i="25"/>
  <c r="AH34" i="25"/>
  <c r="AH34" i="24"/>
  <c r="CO43" i="25"/>
  <c r="CO43" i="24"/>
  <c r="AA43" i="25"/>
  <c r="AA43" i="24"/>
  <c r="CB51" i="24"/>
  <c r="CB51" i="25"/>
  <c r="V22" i="25"/>
  <c r="V22" i="24"/>
  <c r="CD48" i="24"/>
  <c r="CD48" i="25"/>
  <c r="BJ40" i="25"/>
  <c r="BJ40" i="24"/>
  <c r="AQ35" i="24"/>
  <c r="AQ35" i="25"/>
  <c r="AS46" i="24"/>
  <c r="AS46" i="25"/>
  <c r="D27" i="25"/>
  <c r="D27" i="24"/>
  <c r="J27" i="24"/>
  <c r="J27" i="25"/>
  <c r="BS25" i="24"/>
  <c r="BS25" i="25"/>
  <c r="BT12" i="24"/>
  <c r="BT12" i="25"/>
  <c r="BY33" i="24"/>
  <c r="BY33" i="25"/>
  <c r="CC40" i="24"/>
  <c r="CC40" i="25"/>
  <c r="C43" i="25"/>
  <c r="C43" i="24"/>
  <c r="H18" i="25"/>
  <c r="H18" i="24"/>
  <c r="BX30" i="24"/>
  <c r="BX30" i="25"/>
  <c r="BW5" i="25"/>
  <c r="BW5" i="24"/>
  <c r="CJ39" i="24"/>
  <c r="CJ39" i="25"/>
  <c r="BG37" i="24"/>
  <c r="BG37" i="25"/>
  <c r="CC36" i="24"/>
  <c r="CC36" i="25"/>
  <c r="BX28" i="24"/>
  <c r="BX28" i="25"/>
  <c r="B10" i="24"/>
  <c r="B10" i="25"/>
  <c r="BV33" i="25"/>
  <c r="BV33" i="24"/>
  <c r="BW6" i="24"/>
  <c r="BW6" i="25"/>
  <c r="D26" i="25"/>
  <c r="D26" i="24"/>
  <c r="BC48" i="24"/>
  <c r="BC48" i="25"/>
  <c r="CO42" i="25"/>
  <c r="CO42" i="24"/>
  <c r="AE24" i="25"/>
  <c r="AE24" i="24"/>
  <c r="CW33" i="24"/>
  <c r="CW33" i="25"/>
  <c r="K41" i="24"/>
  <c r="K41" i="25"/>
  <c r="BV40" i="24"/>
  <c r="BV40" i="25"/>
  <c r="X43" i="24"/>
  <c r="X43" i="25"/>
  <c r="AC34" i="24"/>
  <c r="AC34" i="25"/>
  <c r="P24" i="25"/>
  <c r="P24" i="24"/>
  <c r="AT50" i="24"/>
  <c r="AT50" i="25"/>
  <c r="N33" i="25"/>
  <c r="N33" i="24"/>
  <c r="BB43" i="24"/>
  <c r="BB43" i="25"/>
  <c r="BX44" i="24"/>
  <c r="BX44" i="25"/>
  <c r="AM34" i="25"/>
  <c r="AM34" i="24"/>
  <c r="U37" i="24"/>
  <c r="U37" i="25"/>
  <c r="BO13" i="25"/>
  <c r="BO13" i="24"/>
  <c r="X15" i="25"/>
  <c r="X15" i="24"/>
  <c r="CO8" i="24"/>
  <c r="CO8" i="25"/>
  <c r="BT15" i="24"/>
  <c r="BT15" i="25"/>
  <c r="AP27" i="25"/>
  <c r="AP27" i="24"/>
  <c r="CT6" i="25"/>
  <c r="CT6" i="24"/>
  <c r="FF4" i="24"/>
  <c r="FF5" i="24" s="1"/>
  <c r="FF6" i="24" s="1"/>
  <c r="FF7" i="24" s="1"/>
  <c r="FF8" i="24" s="1"/>
  <c r="BL8" i="24"/>
  <c r="BL8" i="25"/>
  <c r="AC14" i="24"/>
  <c r="AC14" i="25"/>
  <c r="L9" i="24"/>
  <c r="L9" i="25"/>
  <c r="AD15" i="25"/>
  <c r="AD15" i="24"/>
  <c r="BH32" i="24"/>
  <c r="BH32" i="25"/>
  <c r="Z22" i="24"/>
  <c r="Z22" i="25"/>
  <c r="AH12" i="25"/>
  <c r="AH12" i="24"/>
  <c r="Q7" i="25"/>
  <c r="Q7" i="24"/>
  <c r="AM6" i="24"/>
  <c r="AM6" i="25"/>
  <c r="AA7" i="24"/>
  <c r="AA7" i="25"/>
  <c r="U15" i="24"/>
  <c r="U15" i="25"/>
  <c r="AZ32" i="25"/>
  <c r="AZ32" i="24"/>
  <c r="CG16" i="25"/>
  <c r="CG16" i="24"/>
  <c r="AV11" i="25"/>
  <c r="AV11" i="24"/>
  <c r="T5" i="24"/>
  <c r="T5" i="25"/>
  <c r="AS21" i="24"/>
  <c r="AS21" i="25"/>
  <c r="AJ6" i="24"/>
  <c r="AJ6" i="25"/>
  <c r="CO6" i="25"/>
  <c r="CO6" i="24"/>
  <c r="CA6" i="25"/>
  <c r="CA6" i="24"/>
  <c r="BO7" i="24"/>
  <c r="BO7" i="25"/>
  <c r="CJ44" i="24"/>
  <c r="CJ44" i="25"/>
  <c r="AN32" i="25"/>
  <c r="AN32" i="24"/>
  <c r="AE48" i="24"/>
  <c r="AE48" i="25"/>
  <c r="BH37" i="24"/>
  <c r="BH37" i="25"/>
  <c r="BS43" i="24"/>
  <c r="BS43" i="25"/>
  <c r="BC45" i="25"/>
  <c r="BC45" i="24"/>
  <c r="BL33" i="24"/>
  <c r="BL33" i="25"/>
  <c r="BU16" i="24"/>
  <c r="BU16" i="25"/>
  <c r="BT36" i="24"/>
  <c r="BT36" i="25"/>
  <c r="BW23" i="25"/>
  <c r="BW23" i="24"/>
  <c r="N30" i="24"/>
  <c r="N30" i="25"/>
  <c r="AF7" i="24"/>
  <c r="AF7" i="25"/>
  <c r="BC25" i="24"/>
  <c r="BC25" i="25"/>
  <c r="CO38" i="24"/>
  <c r="CO38" i="25"/>
  <c r="CU26" i="24"/>
  <c r="CU26" i="25"/>
  <c r="CW26" i="25"/>
  <c r="CW26" i="24"/>
  <c r="CF21" i="25"/>
  <c r="CF21" i="24"/>
  <c r="CG8" i="24"/>
  <c r="CG8" i="25"/>
  <c r="AX20" i="25"/>
  <c r="AX20" i="24"/>
  <c r="R6" i="25"/>
  <c r="R6" i="24"/>
  <c r="BZ21" i="25"/>
  <c r="BZ21" i="24"/>
  <c r="BW8" i="24"/>
  <c r="BW8" i="25"/>
  <c r="W23" i="24"/>
  <c r="W23" i="25"/>
  <c r="BL11" i="25"/>
  <c r="BL11" i="24"/>
  <c r="AJ7" i="24"/>
  <c r="AJ7" i="25"/>
  <c r="X8" i="24"/>
  <c r="X8" i="25"/>
  <c r="AG43" i="25"/>
  <c r="AG43" i="24"/>
  <c r="AN43" i="24"/>
  <c r="AN43" i="25"/>
  <c r="AP48" i="25"/>
  <c r="AP48" i="24"/>
  <c r="O43" i="24"/>
  <c r="O43" i="25"/>
  <c r="CS49" i="24"/>
  <c r="CS49" i="25"/>
  <c r="P44" i="24"/>
  <c r="P44" i="25"/>
  <c r="CB30" i="24"/>
  <c r="CB30" i="25"/>
  <c r="K17" i="25"/>
  <c r="K17" i="24"/>
  <c r="BF47" i="24"/>
  <c r="BF47" i="25"/>
  <c r="AO42" i="24"/>
  <c r="AO42" i="25"/>
  <c r="BV36" i="24"/>
  <c r="BV36" i="25"/>
  <c r="BI25" i="24"/>
  <c r="BI25" i="25"/>
  <c r="CW41" i="24"/>
  <c r="CW41" i="25"/>
  <c r="CU49" i="24"/>
  <c r="CU49" i="25"/>
  <c r="CD44" i="25"/>
  <c r="CD44" i="24"/>
  <c r="BA39" i="24"/>
  <c r="BA39" i="25"/>
  <c r="AD32" i="25"/>
  <c r="AD32" i="24"/>
  <c r="AF48" i="24"/>
  <c r="AF48" i="25"/>
  <c r="BY32" i="25"/>
  <c r="BY32" i="24"/>
  <c r="CV51" i="24"/>
  <c r="CV51" i="25"/>
  <c r="CE46" i="25"/>
  <c r="CE46" i="24"/>
  <c r="BN41" i="25"/>
  <c r="BN41" i="24"/>
  <c r="BW35" i="24"/>
  <c r="BW35" i="25"/>
  <c r="BD22" i="25"/>
  <c r="BD22" i="24"/>
  <c r="CF30" i="24"/>
  <c r="CF30" i="25"/>
  <c r="AD22" i="24"/>
  <c r="AD22" i="25"/>
  <c r="CA9" i="24"/>
  <c r="CA9" i="25"/>
  <c r="BB5" i="25"/>
  <c r="BB5" i="24"/>
  <c r="Y15" i="24"/>
  <c r="Y15" i="25"/>
  <c r="AG12" i="25"/>
  <c r="AG12" i="24"/>
  <c r="R29" i="24"/>
  <c r="R29" i="25"/>
  <c r="BJ19" i="24"/>
  <c r="BJ19" i="25"/>
  <c r="AO4" i="25"/>
  <c r="EN4" i="25" s="1"/>
  <c r="AO4" i="24"/>
  <c r="CJ31" i="24"/>
  <c r="CJ31" i="25"/>
  <c r="J24" i="25"/>
  <c r="J24" i="24"/>
  <c r="C13" i="25"/>
  <c r="C13" i="24"/>
  <c r="U38" i="25"/>
  <c r="U38" i="24"/>
  <c r="BR32" i="25"/>
  <c r="BR32" i="24"/>
  <c r="BB25" i="24"/>
  <c r="BB25" i="25"/>
  <c r="CA14" i="24"/>
  <c r="CA14" i="25"/>
  <c r="AC26" i="24"/>
  <c r="AC26" i="25"/>
  <c r="L21" i="25"/>
  <c r="L21" i="24"/>
  <c r="BL15" i="24"/>
  <c r="BL15" i="25"/>
  <c r="AN7" i="25"/>
  <c r="AN7" i="24"/>
  <c r="CP24" i="24"/>
  <c r="CP24" i="25"/>
  <c r="BY19" i="24"/>
  <c r="BY19" i="25"/>
  <c r="K14" i="24"/>
  <c r="K14" i="25"/>
  <c r="BT4" i="24"/>
  <c r="FS4" i="24" s="1"/>
  <c r="BT4" i="25"/>
  <c r="FS4" i="25" s="1"/>
  <c r="W26" i="24"/>
  <c r="W26" i="25"/>
  <c r="F21" i="25"/>
  <c r="F21" i="24"/>
  <c r="BE15" i="24"/>
  <c r="BE15" i="25"/>
  <c r="AD7" i="24"/>
  <c r="AD7" i="25"/>
  <c r="CF32" i="25"/>
  <c r="CF32" i="24"/>
  <c r="BO27" i="24"/>
  <c r="BO27" i="25"/>
  <c r="AX22" i="24"/>
  <c r="AX22" i="25"/>
  <c r="W17" i="24"/>
  <c r="W17" i="25"/>
  <c r="T10" i="24"/>
  <c r="T10" i="25"/>
  <c r="BF12" i="25"/>
  <c r="BF12" i="24"/>
  <c r="AO7" i="25"/>
  <c r="AO7" i="24"/>
  <c r="BK6" i="24"/>
  <c r="BK6" i="25"/>
  <c r="BP12" i="24"/>
  <c r="BP12" i="25"/>
  <c r="AY7" i="24"/>
  <c r="AY7" i="25"/>
  <c r="CT7" i="24"/>
  <c r="CT7" i="25"/>
  <c r="BK26" i="25"/>
  <c r="BK26" i="24"/>
  <c r="K16" i="24"/>
  <c r="K16" i="25"/>
  <c r="AI26" i="24"/>
  <c r="AI26" i="25"/>
  <c r="C6" i="24"/>
  <c r="C6" i="25"/>
  <c r="AO11" i="24"/>
  <c r="AO11" i="25"/>
  <c r="AD36" i="24"/>
  <c r="AD36" i="25"/>
  <c r="D33" i="24"/>
  <c r="D33" i="25"/>
  <c r="W37" i="25"/>
  <c r="W37" i="24"/>
  <c r="BD44" i="24"/>
  <c r="BD44" i="25"/>
  <c r="CN26" i="25"/>
  <c r="CN26" i="24"/>
  <c r="W46" i="24"/>
  <c r="W46" i="25"/>
  <c r="CE42" i="24"/>
  <c r="CE42" i="25"/>
  <c r="AT41" i="24"/>
  <c r="AT41" i="25"/>
  <c r="AW35" i="24"/>
  <c r="AW35" i="25"/>
  <c r="BK29" i="24"/>
  <c r="BK29" i="25"/>
  <c r="H6" i="25"/>
  <c r="H6" i="24"/>
  <c r="CS39" i="24"/>
  <c r="CS39" i="25"/>
  <c r="AP46" i="24"/>
  <c r="AP46" i="25"/>
  <c r="AN40" i="24"/>
  <c r="AN40" i="25"/>
  <c r="BS42" i="24"/>
  <c r="BS42" i="25"/>
  <c r="AG41" i="25"/>
  <c r="AG41" i="24"/>
  <c r="K33" i="24"/>
  <c r="K33" i="25"/>
  <c r="BF32" i="25"/>
  <c r="BF32" i="24"/>
  <c r="CG17" i="25"/>
  <c r="CG17" i="24"/>
  <c r="P43" i="24"/>
  <c r="P43" i="25"/>
  <c r="AY16" i="24"/>
  <c r="AY16" i="25"/>
  <c r="E18" i="24"/>
  <c r="E18" i="25"/>
  <c r="D29" i="25"/>
  <c r="D29" i="24"/>
  <c r="BE12" i="24"/>
  <c r="BE12" i="25"/>
  <c r="AG9" i="24"/>
  <c r="AG9" i="25"/>
  <c r="X33" i="24"/>
  <c r="X33" i="25"/>
  <c r="AF38" i="24"/>
  <c r="AF38" i="25"/>
  <c r="K40" i="24"/>
  <c r="K40" i="25"/>
  <c r="CN46" i="24"/>
  <c r="CN46" i="25"/>
  <c r="Q39" i="25"/>
  <c r="Q39" i="24"/>
  <c r="Z46" i="24"/>
  <c r="Z46" i="25"/>
  <c r="B18" i="24"/>
  <c r="B18" i="25"/>
  <c r="AS23" i="25"/>
  <c r="AS23" i="24"/>
  <c r="AO18" i="25"/>
  <c r="AO18" i="24"/>
  <c r="B46" i="25"/>
  <c r="B46" i="24"/>
  <c r="BB41" i="25"/>
  <c r="BB41" i="24"/>
  <c r="AN24" i="25"/>
  <c r="AN24" i="24"/>
  <c r="CI40" i="24"/>
  <c r="CI40" i="25"/>
  <c r="AU29" i="24"/>
  <c r="AU29" i="25"/>
  <c r="T48" i="24"/>
  <c r="T48" i="25"/>
  <c r="BS20" i="24"/>
  <c r="BS20" i="25"/>
  <c r="CP20" i="24"/>
  <c r="CP20" i="25"/>
  <c r="AI47" i="24"/>
  <c r="AI47" i="25"/>
  <c r="BG49" i="24"/>
  <c r="BG49" i="25"/>
  <c r="B38" i="24"/>
  <c r="B38" i="25"/>
  <c r="N35" i="24"/>
  <c r="N35" i="25"/>
  <c r="X41" i="25"/>
  <c r="X41" i="24"/>
  <c r="AE41" i="24"/>
  <c r="AE41" i="25"/>
  <c r="B21" i="25"/>
  <c r="B21" i="24"/>
  <c r="AV7" i="25"/>
  <c r="AV7" i="24"/>
  <c r="BA17" i="24"/>
  <c r="BA17" i="25"/>
  <c r="BB7" i="25"/>
  <c r="BB7" i="24"/>
  <c r="CM17" i="24"/>
  <c r="CM17" i="25"/>
  <c r="AG39" i="25"/>
  <c r="AG39" i="24"/>
  <c r="BF42" i="25"/>
  <c r="BF42" i="24"/>
  <c r="CC47" i="24"/>
  <c r="CC47" i="25"/>
  <c r="S40" i="24"/>
  <c r="S40" i="25"/>
  <c r="Q36" i="24"/>
  <c r="Q36" i="25"/>
  <c r="AP26" i="25"/>
  <c r="AP26" i="24"/>
  <c r="BC38" i="24"/>
  <c r="BC38" i="25"/>
  <c r="AK30" i="24"/>
  <c r="AK30" i="25"/>
  <c r="BM46" i="25"/>
  <c r="BM46" i="24"/>
  <c r="AW39" i="24"/>
  <c r="AW39" i="25"/>
  <c r="D39" i="24"/>
  <c r="D39" i="25"/>
  <c r="CP38" i="24"/>
  <c r="CP38" i="25"/>
  <c r="U39" i="24"/>
  <c r="U39" i="25"/>
  <c r="AT21" i="24"/>
  <c r="AT21" i="25"/>
  <c r="P14" i="24"/>
  <c r="P14" i="25"/>
  <c r="AF24" i="25"/>
  <c r="AF24" i="24"/>
  <c r="BZ36" i="25"/>
  <c r="BZ36" i="24"/>
  <c r="BO45" i="24"/>
  <c r="BO45" i="25"/>
  <c r="BO51" i="25"/>
  <c r="BO51" i="24"/>
  <c r="AC19" i="24"/>
  <c r="AC19" i="25"/>
  <c r="BK20" i="24"/>
  <c r="BK20" i="25"/>
  <c r="O32" i="24"/>
  <c r="O32" i="25"/>
  <c r="AQ11" i="25"/>
  <c r="AQ11" i="24"/>
  <c r="BM18" i="24"/>
  <c r="BM18" i="25"/>
  <c r="BH10" i="25"/>
  <c r="BH10" i="24"/>
  <c r="AG21" i="24"/>
  <c r="AG21" i="25"/>
  <c r="R41" i="25"/>
  <c r="R41" i="24"/>
  <c r="CS38" i="25"/>
  <c r="CS38" i="24"/>
  <c r="BO23" i="24"/>
  <c r="BO23" i="25"/>
  <c r="B30" i="24"/>
  <c r="B30" i="25"/>
  <c r="CF48" i="24"/>
  <c r="CF48" i="25"/>
  <c r="BW34" i="25"/>
  <c r="BW34" i="24"/>
  <c r="AC8" i="24"/>
  <c r="AC8" i="25"/>
  <c r="Y41" i="25"/>
  <c r="Y41" i="24"/>
  <c r="BF48" i="24"/>
  <c r="BF48" i="25"/>
  <c r="BY37" i="24"/>
  <c r="BY37" i="25"/>
  <c r="J45" i="24"/>
  <c r="J45" i="25"/>
  <c r="CB49" i="24"/>
  <c r="CB49" i="25"/>
  <c r="CC20" i="24"/>
  <c r="CC20" i="25"/>
  <c r="CQ21" i="24"/>
  <c r="CQ21" i="25"/>
  <c r="BD19" i="24"/>
  <c r="BD19" i="25"/>
  <c r="L18" i="24"/>
  <c r="L18" i="25"/>
  <c r="CT23" i="24"/>
  <c r="CT23" i="25"/>
  <c r="BN26" i="25"/>
  <c r="BN26" i="24"/>
  <c r="CF43" i="25"/>
  <c r="CF43" i="24"/>
  <c r="CE41" i="25"/>
  <c r="CE41" i="24"/>
  <c r="CC31" i="25"/>
  <c r="CC31" i="24"/>
  <c r="BI20" i="24"/>
  <c r="BI20" i="25"/>
  <c r="Q41" i="24"/>
  <c r="Q41" i="25"/>
  <c r="AY51" i="25"/>
  <c r="AY51" i="24"/>
  <c r="BK41" i="24"/>
  <c r="BK41" i="25"/>
  <c r="AL36" i="24"/>
  <c r="AL36" i="25"/>
  <c r="Y48" i="24"/>
  <c r="Y48" i="25"/>
  <c r="CC46" i="25"/>
  <c r="CC46" i="24"/>
  <c r="AS42" i="24"/>
  <c r="AS42" i="25"/>
  <c r="C34" i="25"/>
  <c r="C34" i="24"/>
  <c r="B33" i="25"/>
  <c r="B33" i="24"/>
  <c r="CB11" i="24"/>
  <c r="CB11" i="25"/>
  <c r="AG23" i="24"/>
  <c r="AG23" i="25"/>
  <c r="CA13" i="25"/>
  <c r="CA13" i="24"/>
  <c r="BO24" i="25"/>
  <c r="BO24" i="24"/>
  <c r="AE22" i="25"/>
  <c r="AE22" i="24"/>
  <c r="AU40" i="24"/>
  <c r="AU40" i="25"/>
  <c r="K13" i="24"/>
  <c r="K13" i="25"/>
  <c r="AU30" i="24"/>
  <c r="AU30" i="25"/>
  <c r="AK28" i="24"/>
  <c r="AK28" i="25"/>
  <c r="O19" i="25"/>
  <c r="O19" i="24"/>
  <c r="K26" i="24"/>
  <c r="K26" i="25"/>
  <c r="BU30" i="24"/>
  <c r="BU30" i="25"/>
  <c r="AT49" i="24"/>
  <c r="AT49" i="25"/>
  <c r="AI48" i="24"/>
  <c r="AI48" i="25"/>
  <c r="S30" i="25"/>
  <c r="S30" i="24"/>
  <c r="Z39" i="24"/>
  <c r="Z39" i="25"/>
  <c r="BE4" i="25"/>
  <c r="FD4" i="25" s="1"/>
  <c r="BE4" i="24"/>
  <c r="FD4" i="24" s="1"/>
  <c r="BX51" i="24"/>
  <c r="BX51" i="25"/>
  <c r="I29" i="24"/>
  <c r="I29" i="25"/>
  <c r="AL33" i="24"/>
  <c r="AL33" i="25"/>
  <c r="CB24" i="25"/>
  <c r="CB24" i="24"/>
  <c r="AY40" i="24"/>
  <c r="AY40" i="25"/>
  <c r="BR45" i="25"/>
  <c r="BR45" i="24"/>
  <c r="J33" i="25"/>
  <c r="J33" i="24"/>
  <c r="AF44" i="24"/>
  <c r="AF44" i="25"/>
  <c r="E28" i="24"/>
  <c r="E28" i="25"/>
  <c r="BN24" i="25"/>
  <c r="BN24" i="24"/>
  <c r="E35" i="24"/>
  <c r="E35" i="25"/>
  <c r="BT51" i="25"/>
  <c r="BT51" i="24"/>
  <c r="K38" i="25"/>
  <c r="K38" i="24"/>
  <c r="O44" i="24"/>
  <c r="O44" i="25"/>
  <c r="CF18" i="24"/>
  <c r="CF18" i="25"/>
  <c r="AY48" i="24"/>
  <c r="AY48" i="25"/>
  <c r="AF40" i="24"/>
  <c r="AF40" i="25"/>
  <c r="BQ49" i="25"/>
  <c r="BQ49" i="24"/>
  <c r="CU34" i="24"/>
  <c r="CU34" i="25"/>
  <c r="BY36" i="25"/>
  <c r="BY36" i="24"/>
  <c r="AZ48" i="24"/>
  <c r="AZ48" i="25"/>
  <c r="AI43" i="24"/>
  <c r="AI43" i="25"/>
  <c r="CF37" i="24"/>
  <c r="CF37" i="25"/>
  <c r="BY28" i="24"/>
  <c r="BY28" i="25"/>
  <c r="CP51" i="24"/>
  <c r="CP51" i="25"/>
  <c r="BY46" i="24"/>
  <c r="BY46" i="25"/>
  <c r="BH41" i="25"/>
  <c r="BH41" i="24"/>
  <c r="BO35" i="24"/>
  <c r="BO35" i="25"/>
  <c r="AL22" i="25"/>
  <c r="AL22" i="24"/>
  <c r="CW39" i="25"/>
  <c r="CW39" i="24"/>
  <c r="S49" i="25"/>
  <c r="S49" i="24"/>
  <c r="CW43" i="24"/>
  <c r="CW43" i="25"/>
  <c r="BH38" i="25"/>
  <c r="BH38" i="24"/>
  <c r="AT30" i="24"/>
  <c r="AT30" i="25"/>
  <c r="BJ46" i="24"/>
  <c r="BJ46" i="25"/>
  <c r="BA30" i="24"/>
  <c r="BA30" i="25"/>
  <c r="T51" i="24"/>
  <c r="T51" i="25"/>
  <c r="C46" i="24"/>
  <c r="C46" i="25"/>
  <c r="CG40" i="24"/>
  <c r="CG40" i="25"/>
  <c r="AX34" i="25"/>
  <c r="AX34" i="24"/>
  <c r="AG19" i="24"/>
  <c r="AG19" i="25"/>
  <c r="CK29" i="25"/>
  <c r="CK29" i="24"/>
  <c r="BP20" i="24"/>
  <c r="BP20" i="25"/>
  <c r="BD6" i="25"/>
  <c r="BD6" i="24"/>
  <c r="ED4" i="24"/>
  <c r="AJ13" i="24"/>
  <c r="AJ13" i="25"/>
  <c r="AE9" i="25"/>
  <c r="AE9" i="24"/>
  <c r="K28" i="25"/>
  <c r="K28" i="24"/>
  <c r="CU17" i="24"/>
  <c r="CU17" i="25"/>
  <c r="BP36" i="25"/>
  <c r="BP36" i="24"/>
  <c r="CQ30" i="24"/>
  <c r="CQ30" i="25"/>
  <c r="AV22" i="24"/>
  <c r="AV22" i="25"/>
  <c r="N10" i="25"/>
  <c r="N10" i="24"/>
  <c r="AN37" i="24"/>
  <c r="AN37" i="25"/>
  <c r="BY31" i="24"/>
  <c r="BY31" i="25"/>
  <c r="CN23" i="24"/>
  <c r="CN23" i="25"/>
  <c r="BU12" i="24"/>
  <c r="BU12" i="25"/>
  <c r="AV25" i="24"/>
  <c r="AV25" i="25"/>
  <c r="AE20" i="24"/>
  <c r="AE20" i="25"/>
  <c r="BT14" i="24"/>
  <c r="BT14" i="25"/>
  <c r="BZ5" i="25"/>
  <c r="BZ5" i="24"/>
  <c r="N24" i="25"/>
  <c r="N24" i="24"/>
  <c r="CR18" i="25"/>
  <c r="CR18" i="24"/>
  <c r="J13" i="24"/>
  <c r="J13" i="25"/>
  <c r="AP25" i="24"/>
  <c r="AP25" i="25"/>
  <c r="Y20" i="24"/>
  <c r="Y20" i="25"/>
  <c r="BM14" i="24"/>
  <c r="BM14" i="25"/>
  <c r="BP5" i="25"/>
  <c r="BP5" i="24"/>
  <c r="D32" i="25"/>
  <c r="D32" i="24"/>
  <c r="CH26" i="24"/>
  <c r="CH26" i="25"/>
  <c r="BQ21" i="24"/>
  <c r="BQ21" i="25"/>
  <c r="AD16" i="24"/>
  <c r="AD16" i="25"/>
  <c r="BF8" i="24"/>
  <c r="BF8" i="25"/>
  <c r="BY11" i="25"/>
  <c r="BY11" i="24"/>
  <c r="BH6" i="25"/>
  <c r="BH6" i="24"/>
  <c r="CU10" i="25"/>
  <c r="CU10" i="24"/>
  <c r="CD5" i="25"/>
  <c r="CD5" i="24"/>
  <c r="CI11" i="25"/>
  <c r="CI11" i="24"/>
  <c r="BR6" i="25"/>
  <c r="BR6" i="24"/>
  <c r="AZ17" i="25"/>
  <c r="AZ17" i="24"/>
  <c r="AI12" i="25"/>
  <c r="AI12" i="24"/>
  <c r="R7" i="25"/>
  <c r="R7" i="24"/>
  <c r="CI18" i="24"/>
  <c r="CI18" i="25"/>
  <c r="CP12" i="24"/>
  <c r="CP12" i="25"/>
  <c r="GN3" i="24"/>
  <c r="GN4" i="24" s="1"/>
  <c r="BN30" i="24"/>
  <c r="BN30" i="25"/>
  <c r="AW25" i="24"/>
  <c r="AW25" i="25"/>
  <c r="AF20" i="24"/>
  <c r="AF20" i="25"/>
  <c r="BU14" i="24"/>
  <c r="BU14" i="25"/>
  <c r="CE5" i="25"/>
  <c r="CE5" i="24"/>
  <c r="AN10" i="24"/>
  <c r="AN10" i="25"/>
  <c r="W5" i="24"/>
  <c r="W5" i="25"/>
  <c r="BJ9" i="24"/>
  <c r="BJ9" i="25"/>
  <c r="AS4" i="24"/>
  <c r="AS4" i="25"/>
  <c r="ER4" i="25" s="1"/>
  <c r="ER5" i="25" s="1"/>
  <c r="AX10" i="24"/>
  <c r="AX10" i="25"/>
  <c r="AG5" i="24"/>
  <c r="AG5" i="25"/>
  <c r="O16" i="24"/>
  <c r="O16" i="25"/>
  <c r="CS10" i="24"/>
  <c r="CS10" i="25"/>
  <c r="CB5" i="24"/>
  <c r="CB5" i="25"/>
  <c r="CR23" i="25"/>
  <c r="CR23" i="24"/>
  <c r="CA18" i="25"/>
  <c r="CA18" i="24"/>
  <c r="CB12" i="25"/>
  <c r="CB12" i="24"/>
  <c r="BF30" i="24"/>
  <c r="BF30" i="25"/>
  <c r="AO25" i="24"/>
  <c r="AO25" i="25"/>
  <c r="X20" i="25"/>
  <c r="X20" i="24"/>
  <c r="BL14" i="24"/>
  <c r="BL14" i="25"/>
  <c r="BO5" i="24"/>
  <c r="BO5" i="25"/>
  <c r="AF10" i="25"/>
  <c r="AF10" i="24"/>
  <c r="O5" i="25"/>
  <c r="O5" i="24"/>
  <c r="BB9" i="24"/>
  <c r="BB9" i="25"/>
  <c r="AK4" i="24"/>
  <c r="AK4" i="25"/>
  <c r="EJ4" i="25" s="1"/>
  <c r="AP10" i="25"/>
  <c r="AP10" i="24"/>
  <c r="Y5" i="25"/>
  <c r="Y5" i="24"/>
  <c r="G16" i="25"/>
  <c r="G16" i="24"/>
  <c r="CK10" i="25"/>
  <c r="CK10" i="24"/>
  <c r="BT5" i="25"/>
  <c r="BT5" i="24"/>
  <c r="X23" i="25"/>
  <c r="X23" i="24"/>
  <c r="G18" i="25"/>
  <c r="G18" i="24"/>
  <c r="BM11" i="24"/>
  <c r="BM11" i="25"/>
  <c r="C35" i="25"/>
  <c r="C35" i="24"/>
  <c r="CG29" i="25"/>
  <c r="CG29" i="24"/>
  <c r="BP24" i="24"/>
  <c r="BP24" i="25"/>
  <c r="AY19" i="24"/>
  <c r="AY19" i="25"/>
  <c r="CC13" i="24"/>
  <c r="CC13" i="25"/>
  <c r="V4" i="24"/>
  <c r="V4" i="25"/>
  <c r="DU4" i="25" s="1"/>
  <c r="BG9" i="25"/>
  <c r="BG9" i="24"/>
  <c r="AP4" i="25"/>
  <c r="EO4" i="25" s="1"/>
  <c r="AP4" i="24"/>
  <c r="EO4" i="24" s="1"/>
  <c r="CC8" i="24"/>
  <c r="CC8" i="25"/>
  <c r="BQ9" i="24"/>
  <c r="BQ9" i="25"/>
  <c r="AZ4" i="24"/>
  <c r="AZ4" i="25"/>
  <c r="EY4" i="25" s="1"/>
  <c r="EY5" i="25" s="1"/>
  <c r="EY6" i="25" s="1"/>
  <c r="AH15" i="25"/>
  <c r="AH15" i="24"/>
  <c r="Q10" i="25"/>
  <c r="Q10" i="24"/>
  <c r="CU4" i="25"/>
  <c r="GT4" i="25" s="1"/>
  <c r="CU4" i="24"/>
  <c r="GT4" i="24" s="1"/>
  <c r="AB19" i="24"/>
  <c r="AB19" i="25"/>
  <c r="AZ13" i="24"/>
  <c r="AZ13" i="25"/>
  <c r="G31" i="24"/>
  <c r="G31" i="25"/>
  <c r="CK25" i="24"/>
  <c r="CK25" i="25"/>
  <c r="BT20" i="24"/>
  <c r="BT20" i="25"/>
  <c r="T15" i="24"/>
  <c r="T15" i="25"/>
  <c r="BL6" i="24"/>
  <c r="BL6" i="25"/>
  <c r="CB10" i="24"/>
  <c r="CB10" i="25"/>
  <c r="BK5" i="24"/>
  <c r="BK5" i="25"/>
  <c r="C10" i="25"/>
  <c r="C10" i="24"/>
  <c r="CG4" i="25"/>
  <c r="GF4" i="25" s="1"/>
  <c r="CG4" i="24"/>
  <c r="CL10" i="25"/>
  <c r="CL10" i="24"/>
  <c r="BU5" i="25"/>
  <c r="BU5" i="24"/>
  <c r="BC16" i="24"/>
  <c r="BC16" i="25"/>
  <c r="AL11" i="24"/>
  <c r="AL11" i="25"/>
  <c r="U6" i="24"/>
  <c r="U6" i="25"/>
  <c r="CU32" i="24"/>
  <c r="CU32" i="25"/>
  <c r="CT34" i="25"/>
  <c r="CT34" i="24"/>
  <c r="L48" i="24"/>
  <c r="L48" i="25"/>
  <c r="CP42" i="24"/>
  <c r="CP42" i="25"/>
  <c r="AL37" i="25"/>
  <c r="AL37" i="24"/>
  <c r="BM27" i="25"/>
  <c r="BM27" i="24"/>
  <c r="BB51" i="24"/>
  <c r="BB51" i="25"/>
  <c r="AK46" i="25"/>
  <c r="AK46" i="24"/>
  <c r="T41" i="25"/>
  <c r="T41" i="24"/>
  <c r="I35" i="24"/>
  <c r="I35" i="25"/>
  <c r="BX20" i="24"/>
  <c r="BX20" i="25"/>
  <c r="BB38" i="24"/>
  <c r="BB38" i="25"/>
  <c r="BZ48" i="24"/>
  <c r="BZ48" i="25"/>
  <c r="BI43" i="24"/>
  <c r="BI43" i="25"/>
  <c r="O38" i="24"/>
  <c r="O38" i="25"/>
  <c r="AR29" i="24"/>
  <c r="AR29" i="25"/>
  <c r="AO45" i="24"/>
  <c r="AO45" i="25"/>
  <c r="J29" i="24"/>
  <c r="J29" i="25"/>
  <c r="CA50" i="24"/>
  <c r="CA50" i="25"/>
  <c r="BJ45" i="25"/>
  <c r="BJ45" i="24"/>
  <c r="AR40" i="24"/>
  <c r="AR40" i="25"/>
  <c r="BX33" i="24"/>
  <c r="BX33" i="25"/>
  <c r="BN17" i="24"/>
  <c r="BN17" i="25"/>
  <c r="AI29" i="24"/>
  <c r="AI29" i="25"/>
  <c r="CI19" i="24"/>
  <c r="CI19" i="25"/>
  <c r="CP4" i="25"/>
  <c r="GO4" i="25" s="1"/>
  <c r="CP4" i="24"/>
  <c r="H15" i="24"/>
  <c r="H15" i="25"/>
  <c r="I12" i="25"/>
  <c r="I12" i="24"/>
  <c r="BQ7" i="25"/>
  <c r="BQ7" i="24"/>
  <c r="AW27" i="24"/>
  <c r="AW27" i="25"/>
  <c r="H17" i="24"/>
  <c r="H17" i="25"/>
  <c r="AB36" i="25"/>
  <c r="AB36" i="24"/>
  <c r="AW30" i="25"/>
  <c r="AW30" i="24"/>
  <c r="BO21" i="24"/>
  <c r="BO21" i="25"/>
  <c r="AZ8" i="25"/>
  <c r="AZ8" i="24"/>
  <c r="CU36" i="24"/>
  <c r="CU36" i="25"/>
  <c r="AF31" i="24"/>
  <c r="AF31" i="25"/>
  <c r="L23" i="25"/>
  <c r="L23" i="24"/>
  <c r="AP11" i="25"/>
  <c r="AP11" i="24"/>
  <c r="H25" i="25"/>
  <c r="H25" i="24"/>
  <c r="CL19" i="24"/>
  <c r="CL19" i="25"/>
  <c r="Z14" i="24"/>
  <c r="Z14" i="25"/>
  <c r="CS4" i="25"/>
  <c r="GR4" i="25" s="1"/>
  <c r="GR5" i="25" s="1"/>
  <c r="CS4" i="24"/>
  <c r="GR4" i="24" s="1"/>
  <c r="BU23" i="25"/>
  <c r="BU23" i="24"/>
  <c r="BD18" i="24"/>
  <c r="BD18" i="25"/>
  <c r="AS12" i="24"/>
  <c r="AS12" i="25"/>
  <c r="EC3" i="24"/>
  <c r="CW24" i="25"/>
  <c r="CW24" i="24"/>
  <c r="CF19" i="25"/>
  <c r="CF19" i="24"/>
  <c r="S14" i="24"/>
  <c r="S14" i="25"/>
  <c r="CI4" i="24"/>
  <c r="CI4" i="25"/>
  <c r="GH4" i="25" s="1"/>
  <c r="GH5" i="25" s="1"/>
  <c r="BK31" i="24"/>
  <c r="BK31" i="25"/>
  <c r="AT26" i="24"/>
  <c r="AT26" i="25"/>
  <c r="AC21" i="24"/>
  <c r="AC21" i="25"/>
  <c r="CF15" i="24"/>
  <c r="CF15" i="25"/>
  <c r="BY7" i="24"/>
  <c r="BY7" i="25"/>
  <c r="AK11" i="24"/>
  <c r="AK11" i="25"/>
  <c r="T6" i="24"/>
  <c r="T6" i="25"/>
  <c r="BG10" i="24"/>
  <c r="BG10" i="25"/>
  <c r="AP5" i="24"/>
  <c r="AP5" i="25"/>
  <c r="AU11" i="24"/>
  <c r="AU11" i="25"/>
  <c r="AD6" i="24"/>
  <c r="AD6" i="25"/>
  <c r="L17" i="25"/>
  <c r="L17" i="24"/>
  <c r="CP11" i="24"/>
  <c r="CP11" i="25"/>
  <c r="BY6" i="24"/>
  <c r="BY6" i="25"/>
  <c r="N40" i="25"/>
  <c r="N40" i="24"/>
  <c r="CT28" i="25"/>
  <c r="CT28" i="24"/>
  <c r="D35" i="24"/>
  <c r="D35" i="25"/>
  <c r="CN42" i="24"/>
  <c r="CN42" i="25"/>
  <c r="BV37" i="24"/>
  <c r="BV37" i="25"/>
  <c r="BE34" i="25"/>
  <c r="BE34" i="24"/>
  <c r="D48" i="24"/>
  <c r="D48" i="25"/>
  <c r="V42" i="24"/>
  <c r="V42" i="25"/>
  <c r="AW36" i="24"/>
  <c r="AW36" i="25"/>
  <c r="CC24" i="24"/>
  <c r="CC24" i="25"/>
  <c r="CC50" i="24"/>
  <c r="CC50" i="25"/>
  <c r="BL45" i="25"/>
  <c r="BL45" i="24"/>
  <c r="AT40" i="25"/>
  <c r="AT40" i="24"/>
  <c r="BZ33" i="24"/>
  <c r="BZ33" i="25"/>
  <c r="CD17" i="25"/>
  <c r="CD17" i="24"/>
  <c r="CV35" i="24"/>
  <c r="CV35" i="25"/>
  <c r="F48" i="24"/>
  <c r="F48" i="25"/>
  <c r="CJ42" i="24"/>
  <c r="CJ42" i="25"/>
  <c r="AE37" i="25"/>
  <c r="AE37" i="24"/>
  <c r="AS27" i="25"/>
  <c r="AS27" i="24"/>
  <c r="G43" i="24"/>
  <c r="G43" i="25"/>
  <c r="CM26" i="25"/>
  <c r="CM26" i="24"/>
  <c r="G50" i="24"/>
  <c r="G50" i="25"/>
  <c r="CK44" i="25"/>
  <c r="CK44" i="24"/>
  <c r="BI39" i="24"/>
  <c r="BI39" i="25"/>
  <c r="AS32" i="25"/>
  <c r="AS32" i="24"/>
  <c r="BA34" i="24"/>
  <c r="BA34" i="25"/>
  <c r="AL28" i="24"/>
  <c r="AL28" i="25"/>
  <c r="AP18" i="24"/>
  <c r="AP18" i="25"/>
  <c r="DC3" i="24"/>
  <c r="AK13" i="24"/>
  <c r="AK13" i="25"/>
  <c r="AF9" i="24"/>
  <c r="AF9" i="25"/>
  <c r="BZ4" i="25"/>
  <c r="FY4" i="25" s="1"/>
  <c r="BZ4" i="24"/>
  <c r="I26" i="24"/>
  <c r="I26" i="25"/>
  <c r="AO15" i="24"/>
  <c r="AO15" i="25"/>
  <c r="BC35" i="24"/>
  <c r="BC35" i="25"/>
  <c r="BG29" i="24"/>
  <c r="BG29" i="25"/>
  <c r="V20" i="25"/>
  <c r="V20" i="24"/>
  <c r="BI5" i="24"/>
  <c r="BI5" i="25"/>
  <c r="AA36" i="25"/>
  <c r="AA36" i="24"/>
  <c r="AV30" i="24"/>
  <c r="AV30" i="25"/>
  <c r="BN21" i="24"/>
  <c r="BN21" i="25"/>
  <c r="AY8" i="25"/>
  <c r="AY8" i="24"/>
  <c r="AI24" i="24"/>
  <c r="AI24" i="25"/>
  <c r="R19" i="25"/>
  <c r="R19" i="24"/>
  <c r="AL13" i="24"/>
  <c r="AL13" i="25"/>
  <c r="CV22" i="25"/>
  <c r="CV22" i="24"/>
  <c r="CB17" i="24"/>
  <c r="CB17" i="25"/>
  <c r="S11" i="24"/>
  <c r="S11" i="25"/>
  <c r="AT29" i="24"/>
  <c r="AT29" i="25"/>
  <c r="AC24" i="25"/>
  <c r="AC24" i="24"/>
  <c r="L19" i="25"/>
  <c r="L19" i="24"/>
  <c r="AD13" i="25"/>
  <c r="AD13" i="24"/>
  <c r="CL30" i="24"/>
  <c r="CL30" i="25"/>
  <c r="BU25" i="24"/>
  <c r="BU25" i="25"/>
  <c r="BD20" i="24"/>
  <c r="BD20" i="25"/>
  <c r="CV14" i="24"/>
  <c r="CV14" i="25"/>
  <c r="AF6" i="24"/>
  <c r="AF6" i="25"/>
  <c r="BL10" i="25"/>
  <c r="BL10" i="24"/>
  <c r="AU5" i="25"/>
  <c r="AU5" i="24"/>
  <c r="CH9" i="24"/>
  <c r="CH9" i="25"/>
  <c r="BQ4" i="24"/>
  <c r="BQ4" i="25"/>
  <c r="FP4" i="25" s="1"/>
  <c r="FP5" i="25" s="1"/>
  <c r="BV10" i="24"/>
  <c r="BV10" i="25"/>
  <c r="BE5" i="24"/>
  <c r="BE5" i="25"/>
  <c r="AM16" i="25"/>
  <c r="AM16" i="24"/>
  <c r="V11" i="24"/>
  <c r="V11" i="25"/>
  <c r="E6" i="24"/>
  <c r="E6" i="25"/>
  <c r="AW19" i="24"/>
  <c r="AW19" i="25"/>
  <c r="AN41" i="24"/>
  <c r="AN41" i="25"/>
  <c r="BO32" i="24"/>
  <c r="BO32" i="25"/>
  <c r="BC30" i="24"/>
  <c r="BC30" i="25"/>
  <c r="BI44" i="24"/>
  <c r="BI44" i="25"/>
  <c r="BG40" i="25"/>
  <c r="BG40" i="24"/>
  <c r="BL17" i="24"/>
  <c r="BL17" i="25"/>
  <c r="BK49" i="24"/>
  <c r="BK49" i="25"/>
  <c r="BA47" i="24"/>
  <c r="BA47" i="25"/>
  <c r="BT30" i="24"/>
  <c r="BT30" i="25"/>
  <c r="F36" i="25"/>
  <c r="F36" i="24"/>
  <c r="CI49" i="24"/>
  <c r="CI49" i="25"/>
  <c r="AN35" i="24"/>
  <c r="AN35" i="25"/>
  <c r="B47" i="25"/>
  <c r="B47" i="24"/>
  <c r="L39" i="25"/>
  <c r="L39" i="24"/>
  <c r="AL44" i="24"/>
  <c r="AL44" i="25"/>
  <c r="BK19" i="25"/>
  <c r="BK19" i="24"/>
  <c r="AM49" i="24"/>
  <c r="AM49" i="25"/>
  <c r="BE40" i="24"/>
  <c r="BE40" i="25"/>
  <c r="CG49" i="24"/>
  <c r="CG49" i="25"/>
  <c r="AB35" i="24"/>
  <c r="AB35" i="25"/>
  <c r="F37" i="25"/>
  <c r="F37" i="24"/>
  <c r="BH48" i="24"/>
  <c r="BH48" i="25"/>
  <c r="AQ43" i="24"/>
  <c r="AQ43" i="25"/>
  <c r="CO37" i="24"/>
  <c r="CO37" i="25"/>
  <c r="CU28" i="24"/>
  <c r="CU28" i="25"/>
  <c r="B6" i="25"/>
  <c r="B6" i="24"/>
  <c r="CG46" i="25"/>
  <c r="CG46" i="24"/>
  <c r="BP41" i="25"/>
  <c r="BP41" i="24"/>
  <c r="BY35" i="25"/>
  <c r="BY35" i="24"/>
  <c r="BR22" i="24"/>
  <c r="BR22" i="25"/>
  <c r="T40" i="24"/>
  <c r="T40" i="25"/>
  <c r="AA49" i="25"/>
  <c r="AA49" i="24"/>
  <c r="J44" i="25"/>
  <c r="J44" i="24"/>
  <c r="BR38" i="24"/>
  <c r="BR38" i="25"/>
  <c r="BL30" i="24"/>
  <c r="BL30" i="25"/>
  <c r="CH46" i="24"/>
  <c r="CH46" i="25"/>
  <c r="BS30" i="24"/>
  <c r="BS30" i="25"/>
  <c r="AB51" i="24"/>
  <c r="AB51" i="25"/>
  <c r="K46" i="25"/>
  <c r="K46" i="24"/>
  <c r="CO40" i="25"/>
  <c r="CO40" i="24"/>
  <c r="BN34" i="24"/>
  <c r="BN34" i="25"/>
  <c r="BM19" i="24"/>
  <c r="BM19" i="25"/>
  <c r="CU29" i="24"/>
  <c r="CU29" i="25"/>
  <c r="CF20" i="24"/>
  <c r="CF20" i="25"/>
  <c r="CJ6" i="24"/>
  <c r="CJ6" i="25"/>
  <c r="FJ3" i="24"/>
  <c r="BF13" i="25"/>
  <c r="BF13" i="24"/>
  <c r="BK9" i="25"/>
  <c r="BK9" i="24"/>
  <c r="U28" i="25"/>
  <c r="U28" i="24"/>
  <c r="Q18" i="24"/>
  <c r="Q18" i="25"/>
  <c r="BX36" i="24"/>
  <c r="BX36" i="25"/>
  <c r="E31" i="24"/>
  <c r="E31" i="25"/>
  <c r="BL22" i="24"/>
  <c r="BL22" i="25"/>
  <c r="AT10" i="25"/>
  <c r="AT10" i="24"/>
  <c r="AV37" i="25"/>
  <c r="AV37" i="24"/>
  <c r="CH31" i="24"/>
  <c r="CH31" i="25"/>
  <c r="I24" i="25"/>
  <c r="I24" i="24"/>
  <c r="CW12" i="24"/>
  <c r="CW12" i="25"/>
  <c r="BD25" i="25"/>
  <c r="BD25" i="24"/>
  <c r="AM20" i="24"/>
  <c r="AM20" i="25"/>
  <c r="CC14" i="24"/>
  <c r="CC14" i="25"/>
  <c r="CP5" i="25"/>
  <c r="CP5" i="24"/>
  <c r="V24" i="24"/>
  <c r="V24" i="25"/>
  <c r="E19" i="24"/>
  <c r="E19" i="25"/>
  <c r="U13" i="24"/>
  <c r="U13" i="25"/>
  <c r="AX25" i="24"/>
  <c r="AX25" i="25"/>
  <c r="AG20" i="24"/>
  <c r="AG20" i="25"/>
  <c r="BV14" i="25"/>
  <c r="BV14" i="24"/>
  <c r="CF5" i="25"/>
  <c r="CF5" i="24"/>
  <c r="L32" i="24"/>
  <c r="L32" i="25"/>
  <c r="CP26" i="24"/>
  <c r="CP26" i="25"/>
  <c r="BY21" i="24"/>
  <c r="BY21" i="25"/>
  <c r="AN16" i="25"/>
  <c r="AN16" i="24"/>
  <c r="BV8" i="24"/>
  <c r="BV8" i="25"/>
  <c r="CG11" i="24"/>
  <c r="CG11" i="25"/>
  <c r="BP6" i="24"/>
  <c r="BP6" i="25"/>
  <c r="H11" i="24"/>
  <c r="H11" i="25"/>
  <c r="CL5" i="24"/>
  <c r="CL5" i="25"/>
  <c r="CQ11" i="24"/>
  <c r="CQ11" i="25"/>
  <c r="BZ6" i="24"/>
  <c r="BZ6" i="25"/>
  <c r="BH17" i="25"/>
  <c r="BH17" i="24"/>
  <c r="AQ12" i="25"/>
  <c r="AQ12" i="24"/>
  <c r="Z7" i="25"/>
  <c r="Z7" i="24"/>
  <c r="DH3" i="24"/>
  <c r="X4" i="25"/>
  <c r="DW4" i="25" s="1"/>
  <c r="X4" i="24"/>
  <c r="DW4" i="24" s="1"/>
  <c r="CD20" i="25"/>
  <c r="CD20" i="24"/>
  <c r="AK15" i="25"/>
  <c r="AK15" i="24"/>
  <c r="E26" i="25"/>
  <c r="E26" i="24"/>
  <c r="F25" i="24"/>
  <c r="F25" i="25"/>
  <c r="BP27" i="25"/>
  <c r="BP27" i="24"/>
  <c r="BY15" i="24"/>
  <c r="BY15" i="25"/>
  <c r="AN26" i="25"/>
  <c r="AN26" i="24"/>
  <c r="AE17" i="24"/>
  <c r="AE17" i="25"/>
  <c r="BV27" i="25"/>
  <c r="BV27" i="24"/>
  <c r="S28" i="24"/>
  <c r="S28" i="25"/>
  <c r="BN39" i="24"/>
  <c r="BN39" i="25"/>
  <c r="CV26" i="25"/>
  <c r="CV26" i="24"/>
  <c r="W10" i="25"/>
  <c r="W10" i="24"/>
  <c r="CR30" i="24"/>
  <c r="CR30" i="25"/>
  <c r="BV6" i="24"/>
  <c r="BV6" i="25"/>
  <c r="AO14" i="25"/>
  <c r="AO14" i="24"/>
  <c r="N28" i="24"/>
  <c r="N28" i="25"/>
  <c r="AC48" i="25"/>
  <c r="AC48" i="24"/>
  <c r="F29" i="24"/>
  <c r="F29" i="25"/>
  <c r="AH17" i="24"/>
  <c r="AH17" i="25"/>
  <c r="FR3" i="24"/>
  <c r="BY18" i="25"/>
  <c r="BY18" i="24"/>
  <c r="CK6" i="24"/>
  <c r="CK6" i="25"/>
  <c r="CV29" i="25"/>
  <c r="CV29" i="24"/>
  <c r="G29" i="24"/>
  <c r="G29" i="25"/>
  <c r="AW14" i="24"/>
  <c r="AW14" i="25"/>
  <c r="M12" i="24"/>
  <c r="M12" i="25"/>
  <c r="BC17" i="24"/>
  <c r="BC17" i="25"/>
  <c r="H34" i="24"/>
  <c r="H34" i="25"/>
  <c r="O39" i="25"/>
  <c r="O39" i="24"/>
  <c r="BN49" i="25"/>
  <c r="BN49" i="24"/>
  <c r="J42" i="25"/>
  <c r="J42" i="24"/>
  <c r="AK5" i="25"/>
  <c r="AK5" i="24"/>
  <c r="J20" i="24"/>
  <c r="J20" i="25"/>
  <c r="E8" i="24"/>
  <c r="E8" i="25"/>
  <c r="AR21" i="25"/>
  <c r="AR21" i="24"/>
  <c r="BA15" i="24"/>
  <c r="BA15" i="25"/>
  <c r="G33" i="24"/>
  <c r="G33" i="25"/>
  <c r="CI13" i="25"/>
  <c r="CI13" i="24"/>
  <c r="Y32" i="25"/>
  <c r="Y32" i="24"/>
  <c r="AA20" i="24"/>
  <c r="AA20" i="25"/>
  <c r="AI13" i="25"/>
  <c r="AI13" i="24"/>
  <c r="CE6" i="25"/>
  <c r="CE6" i="24"/>
  <c r="CP22" i="25"/>
  <c r="CP22" i="24"/>
  <c r="CG23" i="24"/>
  <c r="CG23" i="25"/>
  <c r="CT41" i="24"/>
  <c r="CT41" i="25"/>
  <c r="B28" i="24"/>
  <c r="B28" i="25"/>
  <c r="U49" i="24"/>
  <c r="U49" i="25"/>
  <c r="CK39" i="25"/>
  <c r="CK39" i="24"/>
  <c r="AF50" i="24"/>
  <c r="AF50" i="25"/>
  <c r="CL26" i="24"/>
  <c r="CL26" i="25"/>
  <c r="BU42" i="25"/>
  <c r="BU42" i="24"/>
  <c r="AZ18" i="24"/>
  <c r="AZ18" i="25"/>
  <c r="N39" i="24"/>
  <c r="N39" i="25"/>
  <c r="BM49" i="25"/>
  <c r="BM49" i="24"/>
  <c r="AV38" i="25"/>
  <c r="AV38" i="24"/>
  <c r="AJ37" i="25"/>
  <c r="AJ37" i="24"/>
  <c r="BK46" i="24"/>
  <c r="BK46" i="25"/>
  <c r="CR43" i="24"/>
  <c r="CR43" i="25"/>
  <c r="CI34" i="25"/>
  <c r="CI34" i="24"/>
  <c r="BD38" i="24"/>
  <c r="BD38" i="25"/>
  <c r="CI41" i="24"/>
  <c r="CI41" i="25"/>
  <c r="BC32" i="25"/>
  <c r="BC32" i="24"/>
  <c r="M50" i="24"/>
  <c r="M50" i="25"/>
  <c r="CB33" i="25"/>
  <c r="CB33" i="24"/>
  <c r="Y4" i="25"/>
  <c r="DX4" i="25" s="1"/>
  <c r="Y4" i="24"/>
  <c r="CE17" i="24"/>
  <c r="CE17" i="25"/>
  <c r="CA40" i="25"/>
  <c r="CA40" i="24"/>
  <c r="K39" i="24"/>
  <c r="K39" i="25"/>
  <c r="H51" i="24"/>
  <c r="H51" i="25"/>
  <c r="C21" i="24"/>
  <c r="C21" i="25"/>
  <c r="AJ23" i="24"/>
  <c r="AJ23" i="25"/>
  <c r="AS39" i="25"/>
  <c r="AS39" i="24"/>
  <c r="I49" i="24"/>
  <c r="I49" i="25"/>
  <c r="P51" i="25"/>
  <c r="P51" i="24"/>
  <c r="AT37" i="25"/>
  <c r="AT37" i="24"/>
  <c r="CS24" i="25"/>
  <c r="CS24" i="24"/>
  <c r="AS49" i="24"/>
  <c r="AS49" i="25"/>
  <c r="CL46" i="25"/>
  <c r="CL46" i="24"/>
  <c r="BX50" i="25"/>
  <c r="BX50" i="24"/>
  <c r="AG40" i="24"/>
  <c r="AG40" i="25"/>
  <c r="BE14" i="25"/>
  <c r="BE14" i="24"/>
  <c r="BQ26" i="24"/>
  <c r="BQ26" i="25"/>
  <c r="BI38" i="24"/>
  <c r="BI38" i="25"/>
  <c r="CL24" i="24"/>
  <c r="CL24" i="25"/>
  <c r="BT29" i="24"/>
  <c r="BT29" i="25"/>
  <c r="AD31" i="25"/>
  <c r="AD31" i="24"/>
  <c r="BQ34" i="25"/>
  <c r="BQ34" i="24"/>
  <c r="W43" i="25"/>
  <c r="W43" i="24"/>
  <c r="BU31" i="25"/>
  <c r="BU31" i="24"/>
  <c r="R50" i="24"/>
  <c r="R50" i="25"/>
  <c r="AK50" i="24"/>
  <c r="AK50" i="25"/>
  <c r="AY35" i="24"/>
  <c r="AY35" i="25"/>
  <c r="AJ30" i="24"/>
  <c r="AJ30" i="25"/>
  <c r="AS50" i="24"/>
  <c r="AS50" i="25"/>
  <c r="CT31" i="24"/>
  <c r="CT31" i="25"/>
  <c r="AE40" i="25"/>
  <c r="AE40" i="24"/>
  <c r="BR31" i="24"/>
  <c r="BR31" i="25"/>
  <c r="CJ15" i="25"/>
  <c r="CJ15" i="24"/>
  <c r="CO48" i="25"/>
  <c r="CO48" i="24"/>
  <c r="CJ35" i="25"/>
  <c r="CJ35" i="24"/>
  <c r="BO47" i="24"/>
  <c r="BO47" i="25"/>
  <c r="CO34" i="24"/>
  <c r="CO34" i="25"/>
  <c r="M49" i="24"/>
  <c r="M49" i="25"/>
  <c r="AM38" i="24"/>
  <c r="AM38" i="25"/>
  <c r="Z16" i="24"/>
  <c r="Z16" i="25"/>
  <c r="AS37" i="24"/>
  <c r="AS37" i="25"/>
  <c r="BD34" i="24"/>
  <c r="BD34" i="25"/>
  <c r="BW47" i="25"/>
  <c r="BW47" i="24"/>
  <c r="AW40" i="24"/>
  <c r="AW40" i="25"/>
  <c r="BC33" i="24"/>
  <c r="BC33" i="25"/>
  <c r="AX42" i="24"/>
  <c r="AX42" i="25"/>
  <c r="AF51" i="24"/>
  <c r="AF51" i="25"/>
  <c r="CH13" i="24"/>
  <c r="CH13" i="25"/>
  <c r="AE38" i="24"/>
  <c r="AE38" i="25"/>
  <c r="BX13" i="24"/>
  <c r="BX13" i="25"/>
  <c r="V29" i="25"/>
  <c r="V29" i="24"/>
  <c r="CO18" i="24"/>
  <c r="CO18" i="25"/>
  <c r="U30" i="24"/>
  <c r="U30" i="25"/>
  <c r="BL4" i="25"/>
  <c r="FK4" i="25" s="1"/>
  <c r="BL4" i="24"/>
  <c r="FK4" i="24" s="1"/>
  <c r="FK5" i="24" s="1"/>
  <c r="AA29" i="25"/>
  <c r="AA29" i="24"/>
  <c r="CH14" i="24"/>
  <c r="CH14" i="25"/>
  <c r="BK12" i="24"/>
  <c r="BK12" i="25"/>
  <c r="Z34" i="25"/>
  <c r="Z34" i="24"/>
  <c r="CD49" i="24"/>
  <c r="CD49" i="25"/>
  <c r="D37" i="24"/>
  <c r="D37" i="25"/>
  <c r="BT16" i="25"/>
  <c r="BT16" i="24"/>
  <c r="BE50" i="24"/>
  <c r="BE50" i="25"/>
  <c r="O47" i="24"/>
  <c r="O47" i="25"/>
  <c r="BD27" i="24"/>
  <c r="BD27" i="25"/>
  <c r="BV50" i="24"/>
  <c r="BV50" i="25"/>
  <c r="P49" i="24"/>
  <c r="P49" i="25"/>
  <c r="O49" i="24"/>
  <c r="O49" i="25"/>
  <c r="AB20" i="25"/>
  <c r="AB20" i="24"/>
  <c r="B16" i="25"/>
  <c r="B16" i="24"/>
  <c r="CM38" i="25"/>
  <c r="CM38" i="24"/>
  <c r="CE32" i="24"/>
  <c r="CE32" i="25"/>
  <c r="BF43" i="25"/>
  <c r="BF43" i="24"/>
  <c r="J49" i="24"/>
  <c r="J49" i="25"/>
  <c r="AD10" i="24"/>
  <c r="AD10" i="25"/>
  <c r="W28" i="25"/>
  <c r="W28" i="24"/>
  <c r="BL24" i="25"/>
  <c r="BL24" i="24"/>
  <c r="Y18" i="24"/>
  <c r="Y18" i="25"/>
  <c r="AM46" i="25"/>
  <c r="AM46" i="24"/>
  <c r="AS51" i="24"/>
  <c r="AS51" i="25"/>
  <c r="AQ40" i="24"/>
  <c r="AQ40" i="25"/>
  <c r="CN38" i="24"/>
  <c r="CN38" i="25"/>
  <c r="BM38" i="25"/>
  <c r="BM38" i="24"/>
  <c r="AQ6" i="24"/>
  <c r="AQ6" i="25"/>
  <c r="BP13" i="25"/>
  <c r="BP13" i="24"/>
  <c r="AG31" i="25"/>
  <c r="AG31" i="24"/>
  <c r="BJ20" i="25"/>
  <c r="BJ20" i="24"/>
  <c r="AZ51" i="24"/>
  <c r="AZ51" i="25"/>
  <c r="AA47" i="24"/>
  <c r="AA47" i="25"/>
  <c r="AY49" i="24"/>
  <c r="AY49" i="25"/>
  <c r="CN41" i="25"/>
  <c r="CN41" i="24"/>
  <c r="V38" i="24"/>
  <c r="V38" i="25"/>
  <c r="P36" i="24"/>
  <c r="P36" i="25"/>
  <c r="C42" i="24"/>
  <c r="C42" i="25"/>
  <c r="AQ33" i="25"/>
  <c r="AQ33" i="24"/>
  <c r="CM41" i="24"/>
  <c r="CM41" i="25"/>
  <c r="BF33" i="25"/>
  <c r="BF33" i="24"/>
  <c r="BT21" i="25"/>
  <c r="BT21" i="24"/>
  <c r="BX26" i="24"/>
  <c r="BX26" i="25"/>
  <c r="CV15" i="25"/>
  <c r="CV15" i="24"/>
  <c r="AE39" i="24"/>
  <c r="AE39" i="25"/>
  <c r="B12" i="24"/>
  <c r="B12" i="25"/>
  <c r="CQ36" i="25"/>
  <c r="CQ36" i="24"/>
  <c r="AN33" i="25"/>
  <c r="AN33" i="24"/>
  <c r="Q30" i="24"/>
  <c r="Q30" i="25"/>
  <c r="I9" i="24"/>
  <c r="I9" i="25"/>
  <c r="BV11" i="24"/>
  <c r="BV11" i="25"/>
  <c r="AD23" i="24"/>
  <c r="AD23" i="25"/>
  <c r="T35" i="24"/>
  <c r="T35" i="25"/>
  <c r="AK34" i="25"/>
  <c r="AK34" i="24"/>
  <c r="L5" i="24"/>
  <c r="L5" i="25"/>
  <c r="BN13" i="24"/>
  <c r="BN13" i="25"/>
  <c r="H30" i="24"/>
  <c r="H30" i="25"/>
  <c r="BS22" i="25"/>
  <c r="BS22" i="24"/>
  <c r="Z23" i="25"/>
  <c r="Z23" i="24"/>
  <c r="B13" i="25"/>
  <c r="B13" i="24"/>
  <c r="BG44" i="25"/>
  <c r="BG44" i="24"/>
  <c r="AQ42" i="24"/>
  <c r="AQ42" i="25"/>
  <c r="BS49" i="24"/>
  <c r="BS49" i="25"/>
  <c r="GO3" i="24"/>
  <c r="CJ18" i="25"/>
  <c r="CJ18" i="24"/>
  <c r="BJ5" i="24"/>
  <c r="BJ5" i="25"/>
  <c r="W20" i="24"/>
  <c r="W20" i="25"/>
  <c r="AV12" i="24"/>
  <c r="AV12" i="25"/>
  <c r="BP31" i="25"/>
  <c r="BP31" i="24"/>
  <c r="CC9" i="25"/>
  <c r="CC9" i="24"/>
  <c r="CH30" i="25"/>
  <c r="CH30" i="24"/>
  <c r="CC17" i="25"/>
  <c r="CC17" i="24"/>
  <c r="CT8" i="25"/>
  <c r="CT8" i="24"/>
  <c r="CC15" i="25"/>
  <c r="CC15" i="24"/>
  <c r="AZ20" i="25"/>
  <c r="AZ20" i="24"/>
  <c r="CV18" i="24"/>
  <c r="CV18" i="25"/>
  <c r="BY40" i="24"/>
  <c r="BY40" i="25"/>
  <c r="L51" i="25"/>
  <c r="L51" i="24"/>
  <c r="AD46" i="24"/>
  <c r="AD46" i="25"/>
  <c r="AY38" i="24"/>
  <c r="AY38" i="25"/>
  <c r="K49" i="24"/>
  <c r="K49" i="25"/>
  <c r="F22" i="24"/>
  <c r="F22" i="25"/>
  <c r="AZ41" i="24"/>
  <c r="AZ41" i="25"/>
  <c r="CH51" i="24"/>
  <c r="CH51" i="25"/>
  <c r="BW37" i="25"/>
  <c r="BW37" i="24"/>
  <c r="AR48" i="24"/>
  <c r="AR48" i="25"/>
  <c r="BG34" i="24"/>
  <c r="BG34" i="25"/>
  <c r="M33" i="25"/>
  <c r="M33" i="24"/>
  <c r="BM37" i="24"/>
  <c r="BM37" i="25"/>
  <c r="CA41" i="24"/>
  <c r="CA41" i="25"/>
  <c r="AM24" i="24"/>
  <c r="AM24" i="25"/>
  <c r="CO35" i="25"/>
  <c r="CO35" i="24"/>
  <c r="AP34" i="24"/>
  <c r="AP34" i="25"/>
  <c r="AU28" i="24"/>
  <c r="AU28" i="25"/>
  <c r="BG48" i="25"/>
  <c r="BG48" i="24"/>
  <c r="V41" i="25"/>
  <c r="V41" i="24"/>
  <c r="C45" i="24"/>
  <c r="C45" i="25"/>
  <c r="Q46" i="24"/>
  <c r="Q46" i="25"/>
  <c r="AA42" i="24"/>
  <c r="AA42" i="25"/>
  <c r="AU41" i="24"/>
  <c r="AU41" i="25"/>
  <c r="H41" i="24"/>
  <c r="H41" i="25"/>
  <c r="CL50" i="24"/>
  <c r="CL50" i="25"/>
  <c r="Y43" i="24"/>
  <c r="Y43" i="25"/>
  <c r="R39" i="24"/>
  <c r="R39" i="25"/>
  <c r="D23" i="24"/>
  <c r="D23" i="25"/>
  <c r="CI37" i="25"/>
  <c r="CI37" i="24"/>
  <c r="BZ20" i="24"/>
  <c r="BZ20" i="25"/>
  <c r="CF38" i="24"/>
  <c r="CF38" i="25"/>
  <c r="AR18" i="24"/>
  <c r="AR18" i="25"/>
  <c r="C14" i="24"/>
  <c r="C14" i="25"/>
  <c r="CJ40" i="24"/>
  <c r="CJ40" i="25"/>
  <c r="AP36" i="24"/>
  <c r="AP36" i="25"/>
  <c r="BB19" i="24"/>
  <c r="BB19" i="25"/>
  <c r="G41" i="24"/>
  <c r="G41" i="25"/>
  <c r="BJ22" i="24"/>
  <c r="BJ22" i="25"/>
  <c r="BM45" i="24"/>
  <c r="BM45" i="25"/>
  <c r="BI45" i="24"/>
  <c r="BI45" i="25"/>
  <c r="AP33" i="25"/>
  <c r="AP33" i="24"/>
  <c r="CA49" i="25"/>
  <c r="CA49" i="24"/>
  <c r="AH6" i="25"/>
  <c r="AH6" i="24"/>
  <c r="BF20" i="24"/>
  <c r="BF20" i="25"/>
  <c r="CW8" i="24"/>
  <c r="CW8" i="25"/>
  <c r="CN21" i="25"/>
  <c r="CN21" i="24"/>
  <c r="BL16" i="24"/>
  <c r="BL16" i="25"/>
  <c r="BJ33" i="24"/>
  <c r="BJ33" i="25"/>
  <c r="CT14" i="24"/>
  <c r="CT14" i="25"/>
  <c r="CB32" i="25"/>
  <c r="CB32" i="24"/>
  <c r="X21" i="24"/>
  <c r="X21" i="25"/>
  <c r="AX14" i="24"/>
  <c r="AX14" i="25"/>
  <c r="BY8" i="25"/>
  <c r="BY8" i="24"/>
  <c r="CM23" i="24"/>
  <c r="CM23" i="25"/>
  <c r="CA25" i="24"/>
  <c r="CA25" i="25"/>
  <c r="AU42" i="24"/>
  <c r="AU42" i="25"/>
  <c r="J17" i="24"/>
  <c r="J17" i="25"/>
  <c r="BT17" i="24"/>
  <c r="BT17" i="25"/>
  <c r="AS40" i="25"/>
  <c r="AS40" i="24"/>
  <c r="CB50" i="24"/>
  <c r="CB50" i="25"/>
  <c r="AR28" i="24"/>
  <c r="AR28" i="25"/>
  <c r="V43" i="24"/>
  <c r="V43" i="25"/>
  <c r="CL17" i="25"/>
  <c r="CL17" i="24"/>
  <c r="BQ39" i="24"/>
  <c r="BQ39" i="25"/>
  <c r="N50" i="24"/>
  <c r="N50" i="25"/>
  <c r="CV38" i="25"/>
  <c r="CV38" i="24"/>
  <c r="CE37" i="24"/>
  <c r="CE37" i="25"/>
  <c r="J26" i="24"/>
  <c r="J26" i="25"/>
  <c r="O24" i="24"/>
  <c r="O24" i="25"/>
  <c r="AA30" i="25"/>
  <c r="AA30" i="24"/>
  <c r="AL48" i="25"/>
  <c r="AL48" i="24"/>
  <c r="BS47" i="25"/>
  <c r="BS47" i="24"/>
  <c r="V49" i="24"/>
  <c r="V49" i="25"/>
  <c r="L22" i="25"/>
  <c r="L22" i="24"/>
  <c r="AY30" i="25"/>
  <c r="AY30" i="24"/>
  <c r="L37" i="24"/>
  <c r="L37" i="25"/>
  <c r="AC43" i="24"/>
  <c r="AC43" i="25"/>
  <c r="Y30" i="24"/>
  <c r="Y30" i="25"/>
  <c r="AH45" i="24"/>
  <c r="AH45" i="25"/>
  <c r="CM37" i="24"/>
  <c r="CM37" i="25"/>
  <c r="AI38" i="25"/>
  <c r="AI38" i="24"/>
  <c r="CH43" i="25"/>
  <c r="CH43" i="24"/>
  <c r="G46" i="24"/>
  <c r="G46" i="25"/>
  <c r="CH33" i="24"/>
  <c r="CH33" i="25"/>
  <c r="BD51" i="24"/>
  <c r="BD51" i="25"/>
  <c r="CB23" i="24"/>
  <c r="CB23" i="25"/>
  <c r="BN11" i="24"/>
  <c r="BN11" i="25"/>
  <c r="Y23" i="24"/>
  <c r="Y23" i="25"/>
  <c r="BR13" i="25"/>
  <c r="BR13" i="24"/>
  <c r="BG24" i="24"/>
  <c r="BG24" i="25"/>
  <c r="O22" i="24"/>
  <c r="O22" i="25"/>
  <c r="AY36" i="24"/>
  <c r="AY36" i="25"/>
  <c r="BR20" i="24"/>
  <c r="BR20" i="25"/>
  <c r="CA35" i="24"/>
  <c r="CA35" i="25"/>
  <c r="BE26" i="24"/>
  <c r="BE26" i="25"/>
  <c r="AC10" i="24"/>
  <c r="AC10" i="25"/>
  <c r="BR28" i="24"/>
  <c r="BR28" i="25"/>
  <c r="CH32" i="25"/>
  <c r="CH32" i="24"/>
  <c r="N45" i="25"/>
  <c r="N45" i="24"/>
  <c r="CA27" i="24"/>
  <c r="CA27" i="25"/>
  <c r="O28" i="24"/>
  <c r="O28" i="25"/>
  <c r="M43" i="25"/>
  <c r="M43" i="24"/>
  <c r="CR36" i="24"/>
  <c r="CR36" i="25"/>
  <c r="X34" i="25"/>
  <c r="X34" i="24"/>
  <c r="CJ45" i="25"/>
  <c r="CJ45" i="24"/>
  <c r="BZ25" i="25"/>
  <c r="BZ25" i="24"/>
  <c r="AT42" i="24"/>
  <c r="AT42" i="25"/>
  <c r="BL32" i="25"/>
  <c r="BL32" i="24"/>
  <c r="AQ45" i="24"/>
  <c r="AQ45" i="25"/>
  <c r="CS46" i="25"/>
  <c r="CS46" i="24"/>
  <c r="BX45" i="24"/>
  <c r="BX45" i="25"/>
  <c r="AI50" i="24"/>
  <c r="AI50" i="25"/>
  <c r="K21" i="24"/>
  <c r="K21" i="25"/>
  <c r="AX45" i="24"/>
  <c r="AX45" i="25"/>
  <c r="AO43" i="24"/>
  <c r="AO43" i="25"/>
  <c r="AM51" i="24"/>
  <c r="AM51" i="25"/>
  <c r="BV13" i="24"/>
  <c r="BV13" i="25"/>
  <c r="BJ24" i="24"/>
  <c r="BJ24" i="25"/>
  <c r="AB15" i="25"/>
  <c r="AB15" i="24"/>
  <c r="CR25" i="25"/>
  <c r="CR25" i="24"/>
  <c r="CK24" i="24"/>
  <c r="CK24" i="25"/>
  <c r="CL6" i="25"/>
  <c r="CL6" i="24"/>
  <c r="BD21" i="24"/>
  <c r="BD21" i="25"/>
  <c r="AA21" i="24"/>
  <c r="AA21" i="25"/>
  <c r="I36" i="25"/>
  <c r="I36" i="24"/>
  <c r="CU31" i="24"/>
  <c r="CU31" i="25"/>
  <c r="Q35" i="25"/>
  <c r="Q35" i="24"/>
  <c r="V40" i="24"/>
  <c r="V40" i="25"/>
  <c r="BN32" i="24"/>
  <c r="BN32" i="25"/>
  <c r="L33" i="24"/>
  <c r="L33" i="25"/>
  <c r="AU39" i="24"/>
  <c r="AU39" i="25"/>
  <c r="BB15" i="24"/>
  <c r="BB15" i="25"/>
  <c r="CD8" i="24"/>
  <c r="CD8" i="25"/>
  <c r="CV31" i="24"/>
  <c r="CV31" i="25"/>
  <c r="CS37" i="24"/>
  <c r="CS37" i="25"/>
  <c r="AB31" i="25"/>
  <c r="AB31" i="24"/>
  <c r="X40" i="25"/>
  <c r="X40" i="24"/>
  <c r="CF50" i="24"/>
  <c r="CF50" i="25"/>
  <c r="CI50" i="24"/>
  <c r="CI50" i="25"/>
  <c r="I21" i="24"/>
  <c r="I21" i="25"/>
  <c r="AW49" i="25"/>
  <c r="AW49" i="24"/>
  <c r="AX43" i="25"/>
  <c r="AX43" i="24"/>
  <c r="CP39" i="25"/>
  <c r="CP39" i="24"/>
  <c r="C48" i="24"/>
  <c r="C48" i="25"/>
  <c r="CF31" i="24"/>
  <c r="CF31" i="25"/>
  <c r="AT47" i="25"/>
  <c r="AT47" i="24"/>
  <c r="CD51" i="25"/>
  <c r="CD51" i="24"/>
  <c r="AR42" i="24"/>
  <c r="AR42" i="25"/>
  <c r="CI46" i="25"/>
  <c r="CI46" i="24"/>
  <c r="K42" i="24"/>
  <c r="K42" i="25"/>
  <c r="AJ38" i="24"/>
  <c r="AJ38" i="25"/>
  <c r="CV47" i="24"/>
  <c r="CV47" i="25"/>
  <c r="BT31" i="25"/>
  <c r="BT31" i="24"/>
  <c r="BO33" i="25"/>
  <c r="BO33" i="24"/>
  <c r="CI47" i="24"/>
  <c r="CI47" i="25"/>
  <c r="BR42" i="25"/>
  <c r="BR42" i="24"/>
  <c r="K37" i="24"/>
  <c r="K37" i="25"/>
  <c r="BW26" i="24"/>
  <c r="BW26" i="25"/>
  <c r="AD51" i="24"/>
  <c r="AD51" i="25"/>
  <c r="M46" i="25"/>
  <c r="M46" i="24"/>
  <c r="CQ40" i="24"/>
  <c r="CQ40" i="25"/>
  <c r="BP34" i="24"/>
  <c r="BP34" i="25"/>
  <c r="CA19" i="25"/>
  <c r="CA19" i="24"/>
  <c r="CK37" i="24"/>
  <c r="CK37" i="25"/>
  <c r="BB48" i="24"/>
  <c r="BB48" i="25"/>
  <c r="AK43" i="24"/>
  <c r="AK43" i="25"/>
  <c r="CH37" i="24"/>
  <c r="CH37" i="25"/>
  <c r="CA28" i="24"/>
  <c r="CA28" i="25"/>
  <c r="BP44" i="24"/>
  <c r="BP44" i="25"/>
  <c r="AS28" i="24"/>
  <c r="AS28" i="25"/>
  <c r="BC50" i="24"/>
  <c r="BC50" i="25"/>
  <c r="AL45" i="24"/>
  <c r="AL45" i="25"/>
  <c r="Q40" i="24"/>
  <c r="Q40" i="25"/>
  <c r="AE33" i="24"/>
  <c r="AE33" i="25"/>
  <c r="BD16" i="24"/>
  <c r="BD16" i="25"/>
  <c r="C29" i="24"/>
  <c r="C29" i="25"/>
  <c r="AM19" i="24"/>
  <c r="AM19" i="25"/>
  <c r="AZ14" i="25"/>
  <c r="AZ14" i="24"/>
  <c r="Z11" i="24"/>
  <c r="Z11" i="25"/>
  <c r="BT6" i="25"/>
  <c r="BT6" i="24"/>
  <c r="F27" i="24"/>
  <c r="F27" i="25"/>
  <c r="AZ16" i="24"/>
  <c r="AZ16" i="25"/>
  <c r="D36" i="24"/>
  <c r="D36" i="25"/>
  <c r="V30" i="25"/>
  <c r="V30" i="24"/>
  <c r="S21" i="25"/>
  <c r="S21" i="24"/>
  <c r="BC7" i="25"/>
  <c r="BC7" i="24"/>
  <c r="BW36" i="25"/>
  <c r="BW36" i="24"/>
  <c r="D31" i="24"/>
  <c r="D31" i="25"/>
  <c r="BK22" i="25"/>
  <c r="BK22" i="24"/>
  <c r="AS10" i="24"/>
  <c r="AS10" i="25"/>
  <c r="CE24" i="24"/>
  <c r="CE24" i="25"/>
  <c r="BN19" i="24"/>
  <c r="BN19" i="25"/>
  <c r="CT13" i="24"/>
  <c r="CT13" i="25"/>
  <c r="AW4" i="25"/>
  <c r="EV4" i="25" s="1"/>
  <c r="AW4" i="24"/>
  <c r="EV4" i="24" s="1"/>
  <c r="AW23" i="24"/>
  <c r="AW23" i="25"/>
  <c r="AF18" i="25"/>
  <c r="AF18" i="24"/>
  <c r="F12" i="24"/>
  <c r="F12" i="25"/>
  <c r="CP29" i="24"/>
  <c r="CP29" i="25"/>
  <c r="BY24" i="24"/>
  <c r="BY24" i="25"/>
  <c r="BH19" i="24"/>
  <c r="BH19" i="25"/>
  <c r="CM13" i="24"/>
  <c r="CM13" i="25"/>
  <c r="AM4" i="24"/>
  <c r="EL4" i="24" s="1"/>
  <c r="AM4" i="25"/>
  <c r="EL4" i="25" s="1"/>
  <c r="AM31" i="24"/>
  <c r="AM31" i="25"/>
  <c r="V26" i="24"/>
  <c r="V26" i="25"/>
  <c r="E21" i="24"/>
  <c r="E21" i="25"/>
  <c r="BD15" i="25"/>
  <c r="BD15" i="24"/>
  <c r="AC7" i="24"/>
  <c r="AC7" i="25"/>
  <c r="M11" i="24"/>
  <c r="M11" i="25"/>
  <c r="CQ5" i="24"/>
  <c r="CQ5" i="25"/>
  <c r="AI10" i="25"/>
  <c r="AI10" i="24"/>
  <c r="R5" i="25"/>
  <c r="R5" i="24"/>
  <c r="W11" i="24"/>
  <c r="W11" i="25"/>
  <c r="F6" i="24"/>
  <c r="F6" i="25"/>
  <c r="CI16" i="25"/>
  <c r="CI16" i="24"/>
  <c r="BR11" i="24"/>
  <c r="BR11" i="25"/>
  <c r="BA6" i="24"/>
  <c r="BA6" i="25"/>
  <c r="W18" i="25"/>
  <c r="W18" i="24"/>
  <c r="CL11" i="24"/>
  <c r="CL11" i="25"/>
  <c r="S35" i="24"/>
  <c r="S35" i="25"/>
  <c r="CW29" i="24"/>
  <c r="CW29" i="25"/>
  <c r="CF24" i="24"/>
  <c r="CF24" i="25"/>
  <c r="BO19" i="24"/>
  <c r="BO19" i="25"/>
  <c r="CU13" i="24"/>
  <c r="CU13" i="25"/>
  <c r="BB4" i="24"/>
  <c r="FA4" i="24" s="1"/>
  <c r="BB4" i="25"/>
  <c r="FA4" i="25" s="1"/>
  <c r="BW9" i="25"/>
  <c r="BW9" i="24"/>
  <c r="BF4" i="25"/>
  <c r="FE4" i="25" s="1"/>
  <c r="FE5" i="25" s="1"/>
  <c r="BF4" i="24"/>
  <c r="FE4" i="24" s="1"/>
  <c r="FE5" i="24" s="1"/>
  <c r="CS8" i="24"/>
  <c r="CS8" i="25"/>
  <c r="CG9" i="24"/>
  <c r="CG9" i="25"/>
  <c r="BP4" i="24"/>
  <c r="BP4" i="25"/>
  <c r="FO4" i="25" s="1"/>
  <c r="AX15" i="24"/>
  <c r="AX15" i="25"/>
  <c r="AG10" i="24"/>
  <c r="AG10" i="25"/>
  <c r="P5" i="24"/>
  <c r="P5" i="25"/>
  <c r="AF23" i="25"/>
  <c r="AF23" i="24"/>
  <c r="O18" i="25"/>
  <c r="O18" i="24"/>
  <c r="BX11" i="24"/>
  <c r="BX11" i="25"/>
  <c r="K35" i="25"/>
  <c r="K35" i="24"/>
  <c r="CO29" i="24"/>
  <c r="CO29" i="25"/>
  <c r="BX24" i="24"/>
  <c r="BX24" i="25"/>
  <c r="BG19" i="25"/>
  <c r="BG19" i="24"/>
  <c r="CL13" i="25"/>
  <c r="CL13" i="24"/>
  <c r="AL4" i="24"/>
  <c r="EK4" i="24" s="1"/>
  <c r="AL4" i="25"/>
  <c r="EK4" i="25" s="1"/>
  <c r="EK5" i="25" s="1"/>
  <c r="BO9" i="25"/>
  <c r="BO9" i="24"/>
  <c r="AX4" i="25"/>
  <c r="EW4" i="25" s="1"/>
  <c r="EW5" i="25" s="1"/>
  <c r="EW6" i="25" s="1"/>
  <c r="EW7" i="25" s="1"/>
  <c r="AX4" i="24"/>
  <c r="EW4" i="24" s="1"/>
  <c r="EW5" i="24" s="1"/>
  <c r="EW6" i="24" s="1"/>
  <c r="EW7" i="24" s="1"/>
  <c r="CK8" i="24"/>
  <c r="CK8" i="25"/>
  <c r="BY9" i="24"/>
  <c r="BY9" i="25"/>
  <c r="BH4" i="24"/>
  <c r="BH4" i="25"/>
  <c r="FG4" i="25" s="1"/>
  <c r="AP15" i="24"/>
  <c r="AP15" i="25"/>
  <c r="Y10" i="24"/>
  <c r="Y10" i="25"/>
  <c r="H5" i="24"/>
  <c r="H5" i="25"/>
  <c r="BG22" i="24"/>
  <c r="BG22" i="25"/>
  <c r="AG17" i="25"/>
  <c r="AG17" i="24"/>
  <c r="AK10" i="25"/>
  <c r="AK10" i="24"/>
  <c r="AL34" i="24"/>
  <c r="AL34" i="25"/>
  <c r="U29" i="24"/>
  <c r="U29" i="25"/>
  <c r="D24" i="24"/>
  <c r="D24" i="25"/>
  <c r="CH18" i="24"/>
  <c r="CH18" i="25"/>
  <c r="CO12" i="25"/>
  <c r="CO12" i="24"/>
  <c r="GM3" i="24"/>
  <c r="CP8" i="24"/>
  <c r="CP8" i="25"/>
  <c r="Q8" i="24"/>
  <c r="Q8" i="25"/>
  <c r="E9" i="24"/>
  <c r="E9" i="25"/>
  <c r="BQ14" i="25"/>
  <c r="BQ14" i="24"/>
  <c r="AZ9" i="25"/>
  <c r="AZ9" i="24"/>
  <c r="AI4" i="25"/>
  <c r="EH4" i="25" s="1"/>
  <c r="AI4" i="24"/>
  <c r="EH4" i="24" s="1"/>
  <c r="BK18" i="24"/>
  <c r="BK18" i="25"/>
  <c r="BC12" i="24"/>
  <c r="BC12" i="25"/>
  <c r="ER3" i="24"/>
  <c r="AP30" i="24"/>
  <c r="AP30" i="25"/>
  <c r="Y25" i="25"/>
  <c r="Y25" i="24"/>
  <c r="H20" i="24"/>
  <c r="H20" i="25"/>
  <c r="AT14" i="25"/>
  <c r="AT14" i="24"/>
  <c r="AI5" i="24"/>
  <c r="AI5" i="25"/>
  <c r="P10" i="24"/>
  <c r="P10" i="25"/>
  <c r="CT4" i="24"/>
  <c r="CT4" i="25"/>
  <c r="GS4" i="25" s="1"/>
  <c r="GS5" i="25" s="1"/>
  <c r="GS6" i="25" s="1"/>
  <c r="AL9" i="25"/>
  <c r="AL9" i="24"/>
  <c r="U4" i="25"/>
  <c r="DT4" i="25" s="1"/>
  <c r="U4" i="24"/>
  <c r="Z10" i="24"/>
  <c r="Z10" i="25"/>
  <c r="I5" i="24"/>
  <c r="I5" i="25"/>
  <c r="CL15" i="24"/>
  <c r="CL15" i="25"/>
  <c r="BU10" i="24"/>
  <c r="BU10" i="25"/>
  <c r="BD5" i="24"/>
  <c r="BD5" i="25"/>
  <c r="L29" i="24"/>
  <c r="L29" i="25"/>
  <c r="BV29" i="24"/>
  <c r="BV29" i="25"/>
  <c r="AU47" i="24"/>
  <c r="AU47" i="25"/>
  <c r="AD42" i="24"/>
  <c r="AD42" i="25"/>
  <c r="BI36" i="24"/>
  <c r="BI36" i="25"/>
  <c r="N25" i="25"/>
  <c r="N25" i="24"/>
  <c r="CK50" i="24"/>
  <c r="CK50" i="25"/>
  <c r="BT45" i="25"/>
  <c r="BT45" i="24"/>
  <c r="BC40" i="24"/>
  <c r="BC40" i="25"/>
  <c r="CP33" i="25"/>
  <c r="CP33" i="24"/>
  <c r="R18" i="24"/>
  <c r="R18" i="25"/>
  <c r="AG36" i="25"/>
  <c r="AG36" i="24"/>
  <c r="N48" i="25"/>
  <c r="N48" i="24"/>
  <c r="CR42" i="25"/>
  <c r="CR42" i="24"/>
  <c r="AO37" i="24"/>
  <c r="AO37" i="25"/>
  <c r="BR27" i="24"/>
  <c r="BR27" i="25"/>
  <c r="AM43" i="24"/>
  <c r="AM43" i="25"/>
  <c r="X27" i="24"/>
  <c r="X27" i="25"/>
  <c r="O50" i="24"/>
  <c r="O50" i="25"/>
  <c r="CS44" i="25"/>
  <c r="CS44" i="24"/>
  <c r="BR39" i="24"/>
  <c r="BR39" i="25"/>
  <c r="BE32" i="25"/>
  <c r="BE32" i="24"/>
  <c r="BK34" i="24"/>
  <c r="BK34" i="25"/>
  <c r="AX28" i="24"/>
  <c r="AX28" i="25"/>
  <c r="BF18" i="24"/>
  <c r="BF18" i="25"/>
  <c r="BG13" i="24"/>
  <c r="BG13" i="25"/>
  <c r="BL9" i="24"/>
  <c r="BL9" i="25"/>
  <c r="K5" i="25"/>
  <c r="K5" i="24"/>
  <c r="Y26" i="24"/>
  <c r="Y26" i="25"/>
  <c r="BH15" i="25"/>
  <c r="BH15" i="24"/>
  <c r="BK35" i="24"/>
  <c r="BK35" i="25"/>
  <c r="BS29" i="24"/>
  <c r="BS29" i="25"/>
  <c r="AL20" i="24"/>
  <c r="AL20" i="25"/>
  <c r="CO5" i="25"/>
  <c r="CO5" i="24"/>
  <c r="AI36" i="24"/>
  <c r="AI36" i="25"/>
  <c r="BE30" i="24"/>
  <c r="BE30" i="25"/>
  <c r="CD21" i="25"/>
  <c r="CD21" i="24"/>
  <c r="CE8" i="25"/>
  <c r="CE8" i="24"/>
  <c r="AQ24" i="25"/>
  <c r="AQ24" i="24"/>
  <c r="Z19" i="25"/>
  <c r="Z19" i="24"/>
  <c r="AX13" i="24"/>
  <c r="AX13" i="25"/>
  <c r="FO3" i="24"/>
  <c r="I23" i="25"/>
  <c r="I23" i="24"/>
  <c r="CK17" i="24"/>
  <c r="CK17" i="25"/>
  <c r="AI11" i="25"/>
  <c r="AI11" i="24"/>
  <c r="BB29" i="25"/>
  <c r="BB29" i="24"/>
  <c r="AK24" i="25"/>
  <c r="AK24" i="24"/>
  <c r="T19" i="25"/>
  <c r="T19" i="24"/>
  <c r="AP13" i="24"/>
  <c r="AP13" i="25"/>
  <c r="CT30" i="24"/>
  <c r="CT30" i="25"/>
  <c r="CC25" i="24"/>
  <c r="CC25" i="25"/>
  <c r="BL20" i="24"/>
  <c r="BL20" i="25"/>
  <c r="K15" i="24"/>
  <c r="K15" i="25"/>
  <c r="AV6" i="24"/>
  <c r="AV6" i="25"/>
  <c r="BT10" i="25"/>
  <c r="BT10" i="24"/>
  <c r="BC5" i="25"/>
  <c r="BC5" i="24"/>
  <c r="CP9" i="24"/>
  <c r="CP9" i="25"/>
  <c r="BY4" i="24"/>
  <c r="FX4" i="24" s="1"/>
  <c r="FX5" i="24" s="1"/>
  <c r="BY4" i="25"/>
  <c r="FX4" i="25" s="1"/>
  <c r="FX5" i="25" s="1"/>
  <c r="CD10" i="24"/>
  <c r="CD10" i="25"/>
  <c r="BM5" i="24"/>
  <c r="BM5" i="25"/>
  <c r="AU16" i="24"/>
  <c r="AU16" i="25"/>
  <c r="AD11" i="24"/>
  <c r="AD11" i="25"/>
  <c r="M6" i="24"/>
  <c r="M6" i="25"/>
  <c r="CL36" i="24"/>
  <c r="CL36" i="25"/>
  <c r="BL43" i="24"/>
  <c r="BL43" i="25"/>
  <c r="AM27" i="24"/>
  <c r="AM27" i="25"/>
  <c r="CE38" i="25"/>
  <c r="CE38" i="24"/>
  <c r="BM32" i="24"/>
  <c r="BM32" i="25"/>
  <c r="B51" i="25"/>
  <c r="B51" i="24"/>
  <c r="AM47" i="24"/>
  <c r="AM47" i="25"/>
  <c r="BE41" i="24"/>
  <c r="BE41" i="25"/>
  <c r="BL35" i="24"/>
  <c r="BL35" i="25"/>
  <c r="W22" i="24"/>
  <c r="W22" i="25"/>
  <c r="Q50" i="24"/>
  <c r="Q50" i="25"/>
  <c r="CU44" i="25"/>
  <c r="CU44" i="24"/>
  <c r="BT39" i="25"/>
  <c r="BT39" i="24"/>
  <c r="BK32" i="24"/>
  <c r="BK32" i="25"/>
  <c r="E49" i="25"/>
  <c r="E49" i="24"/>
  <c r="P30" i="24"/>
  <c r="P30" i="25"/>
  <c r="AO47" i="25"/>
  <c r="AO47" i="24"/>
  <c r="X42" i="25"/>
  <c r="X42" i="24"/>
  <c r="BA36" i="24"/>
  <c r="BA36" i="25"/>
  <c r="CI24" i="25"/>
  <c r="CI24" i="24"/>
  <c r="AS41" i="25"/>
  <c r="AS41" i="24"/>
  <c r="AG24" i="24"/>
  <c r="AG24" i="25"/>
  <c r="AP49" i="24"/>
  <c r="AP49" i="25"/>
  <c r="Y44" i="25"/>
  <c r="Y44" i="24"/>
  <c r="CI38" i="24"/>
  <c r="CI38" i="25"/>
  <c r="CV30" i="24"/>
  <c r="CV30" i="25"/>
  <c r="CA33" i="25"/>
  <c r="CA33" i="24"/>
  <c r="AT27" i="24"/>
  <c r="AT27" i="25"/>
  <c r="CU16" i="25"/>
  <c r="CU16" i="24"/>
  <c r="BF14" i="25"/>
  <c r="BF14" i="24"/>
  <c r="AA11" i="24"/>
  <c r="AA11" i="25"/>
  <c r="BU6" i="24"/>
  <c r="BU6" i="25"/>
  <c r="CA24" i="24"/>
  <c r="CA24" i="25"/>
  <c r="CO13" i="24"/>
  <c r="CO13" i="25"/>
  <c r="CE34" i="24"/>
  <c r="CE34" i="25"/>
  <c r="BV28" i="24"/>
  <c r="BV28" i="25"/>
  <c r="CN18" i="25"/>
  <c r="CN18" i="24"/>
  <c r="BJ35" i="25"/>
  <c r="BJ35" i="24"/>
  <c r="BP29" i="24"/>
  <c r="BP29" i="25"/>
  <c r="AK20" i="25"/>
  <c r="AK20" i="24"/>
  <c r="CN5" i="25"/>
  <c r="CN5" i="24"/>
  <c r="BR23" i="25"/>
  <c r="BR23" i="24"/>
  <c r="BA18" i="24"/>
  <c r="BA18" i="25"/>
  <c r="AM12" i="25"/>
  <c r="AM12" i="24"/>
  <c r="DV3" i="24"/>
  <c r="DV4" i="24" s="1"/>
  <c r="AJ22" i="24"/>
  <c r="AJ22" i="25"/>
  <c r="G17" i="25"/>
  <c r="G17" i="24"/>
  <c r="CK9" i="24"/>
  <c r="CK9" i="25"/>
  <c r="CC28" i="24"/>
  <c r="CC28" i="25"/>
  <c r="BL23" i="25"/>
  <c r="BL23" i="24"/>
  <c r="AU18" i="25"/>
  <c r="AU18" i="24"/>
  <c r="AD12" i="24"/>
  <c r="AD12" i="25"/>
  <c r="DL3" i="24"/>
  <c r="Z30" i="24"/>
  <c r="Z30" i="25"/>
  <c r="I25" i="24"/>
  <c r="I25" i="25"/>
  <c r="CM19" i="24"/>
  <c r="CM19" i="25"/>
  <c r="AA14" i="25"/>
  <c r="AA14" i="24"/>
  <c r="C5" i="24"/>
  <c r="C5" i="25"/>
  <c r="CU9" i="25"/>
  <c r="CU9" i="24"/>
  <c r="CD4" i="25"/>
  <c r="GC4" i="25" s="1"/>
  <c r="CD4" i="24"/>
  <c r="V9" i="24"/>
  <c r="V9" i="25"/>
  <c r="E4" i="24"/>
  <c r="E4" i="25"/>
  <c r="DD4" i="25" s="1"/>
  <c r="J10" i="24"/>
  <c r="J10" i="25"/>
  <c r="CN4" i="24"/>
  <c r="CN4" i="25"/>
  <c r="GM4" i="25" s="1"/>
  <c r="BV15" i="24"/>
  <c r="BV15" i="25"/>
  <c r="BE10" i="24"/>
  <c r="BE10" i="25"/>
  <c r="AN5" i="24"/>
  <c r="AN5" i="25"/>
  <c r="AO46" i="24"/>
  <c r="AO46" i="25"/>
  <c r="AG51" i="25"/>
  <c r="AG51" i="24"/>
  <c r="BQ28" i="25"/>
  <c r="BQ28" i="24"/>
  <c r="BT22" i="25"/>
  <c r="BT22" i="24"/>
  <c r="O41" i="24"/>
  <c r="O41" i="25"/>
  <c r="J50" i="24"/>
  <c r="J50" i="25"/>
  <c r="CW49" i="25"/>
  <c r="CW49" i="24"/>
  <c r="CP41" i="24"/>
  <c r="CP41" i="25"/>
  <c r="CD45" i="24"/>
  <c r="CD45" i="25"/>
  <c r="AS25" i="25"/>
  <c r="AS25" i="24"/>
  <c r="BI49" i="24"/>
  <c r="BI49" i="25"/>
  <c r="Z48" i="24"/>
  <c r="Z48" i="25"/>
  <c r="AK32" i="24"/>
  <c r="AK32" i="25"/>
  <c r="K48" i="25"/>
  <c r="K48" i="24"/>
  <c r="AA28" i="24"/>
  <c r="AA28" i="25"/>
  <c r="BO42" i="25"/>
  <c r="BO42" i="24"/>
  <c r="CO47" i="24"/>
  <c r="CO47" i="25"/>
  <c r="BW42" i="24"/>
  <c r="BW42" i="25"/>
  <c r="BE38" i="25"/>
  <c r="BE38" i="24"/>
  <c r="S48" i="24"/>
  <c r="S48" i="25"/>
  <c r="V32" i="24"/>
  <c r="V32" i="25"/>
  <c r="L34" i="24"/>
  <c r="L34" i="25"/>
  <c r="CQ47" i="24"/>
  <c r="CQ47" i="25"/>
  <c r="BZ42" i="24"/>
  <c r="BZ42" i="25"/>
  <c r="T37" i="24"/>
  <c r="T37" i="25"/>
  <c r="H27" i="25"/>
  <c r="H27" i="24"/>
  <c r="AL51" i="24"/>
  <c r="AL51" i="25"/>
  <c r="U46" i="25"/>
  <c r="U46" i="24"/>
  <c r="D41" i="25"/>
  <c r="D41" i="24"/>
  <c r="CF34" i="25"/>
  <c r="CF34" i="24"/>
  <c r="L20" i="24"/>
  <c r="L20" i="25"/>
  <c r="H38" i="24"/>
  <c r="H38" i="25"/>
  <c r="BJ48" i="25"/>
  <c r="BJ48" i="24"/>
  <c r="AS43" i="25"/>
  <c r="AS43" i="24"/>
  <c r="CQ37" i="24"/>
  <c r="CQ37" i="25"/>
  <c r="CW28" i="24"/>
  <c r="CW28" i="25"/>
  <c r="CN44" i="24"/>
  <c r="CN44" i="25"/>
  <c r="BO28" i="24"/>
  <c r="BO28" i="25"/>
  <c r="BK50" i="25"/>
  <c r="BK50" i="24"/>
  <c r="AT45" i="25"/>
  <c r="AT45" i="24"/>
  <c r="Z40" i="24"/>
  <c r="Z40" i="25"/>
  <c r="AU33" i="24"/>
  <c r="AU33" i="25"/>
  <c r="CN16" i="24"/>
  <c r="CN16" i="25"/>
  <c r="O29" i="25"/>
  <c r="O29" i="24"/>
  <c r="BC19" i="25"/>
  <c r="BC19" i="24"/>
  <c r="AD4" i="24"/>
  <c r="AD4" i="25"/>
  <c r="EC4" i="25" s="1"/>
  <c r="BS14" i="25"/>
  <c r="BS14" i="24"/>
  <c r="BF11" i="24"/>
  <c r="BF11" i="25"/>
  <c r="E7" i="25"/>
  <c r="E7" i="24"/>
  <c r="V27" i="24"/>
  <c r="V27" i="25"/>
  <c r="BR16" i="24"/>
  <c r="BR16" i="25"/>
  <c r="L36" i="24"/>
  <c r="L36" i="25"/>
  <c r="AE30" i="24"/>
  <c r="AE30" i="25"/>
  <c r="AI21" i="24"/>
  <c r="AI21" i="25"/>
  <c r="CI7" i="25"/>
  <c r="CI7" i="24"/>
  <c r="CE36" i="24"/>
  <c r="CE36" i="25"/>
  <c r="M31" i="24"/>
  <c r="M31" i="25"/>
  <c r="CA22" i="24"/>
  <c r="CA22" i="25"/>
  <c r="BY10" i="24"/>
  <c r="BY10" i="25"/>
  <c r="CM24" i="24"/>
  <c r="CM24" i="25"/>
  <c r="BV19" i="25"/>
  <c r="BV19" i="24"/>
  <c r="H14" i="24"/>
  <c r="H14" i="25"/>
  <c r="BM4" i="25"/>
  <c r="FL4" i="25" s="1"/>
  <c r="BM4" i="24"/>
  <c r="FL4" i="24" s="1"/>
  <c r="BE23" i="24"/>
  <c r="BE23" i="25"/>
  <c r="AN18" i="24"/>
  <c r="AN18" i="25"/>
  <c r="Q12" i="24"/>
  <c r="Q12" i="25"/>
  <c r="C30" i="24"/>
  <c r="C30" i="25"/>
  <c r="CG24" i="25"/>
  <c r="CG24" i="24"/>
  <c r="BP19" i="25"/>
  <c r="BP19" i="24"/>
  <c r="CV13" i="25"/>
  <c r="CV13" i="24"/>
  <c r="BC4" i="25"/>
  <c r="FB4" i="25" s="1"/>
  <c r="FB5" i="25" s="1"/>
  <c r="FB6" i="25" s="1"/>
  <c r="BC4" i="24"/>
  <c r="AU31" i="24"/>
  <c r="AU31" i="25"/>
  <c r="AD26" i="24"/>
  <c r="AD26" i="25"/>
  <c r="M21" i="24"/>
  <c r="M21" i="25"/>
  <c r="BM15" i="25"/>
  <c r="BM15" i="24"/>
  <c r="AS7" i="25"/>
  <c r="AS7" i="24"/>
  <c r="U11" i="25"/>
  <c r="U11" i="24"/>
  <c r="D6" i="25"/>
  <c r="D6" i="24"/>
  <c r="AQ10" i="24"/>
  <c r="AQ10" i="25"/>
  <c r="Z5" i="24"/>
  <c r="Z5" i="25"/>
  <c r="AE11" i="24"/>
  <c r="AE11" i="25"/>
  <c r="N6" i="24"/>
  <c r="N6" i="25"/>
  <c r="CQ16" i="24"/>
  <c r="CQ16" i="25"/>
  <c r="BZ11" i="25"/>
  <c r="BZ11" i="24"/>
  <c r="BI6" i="25"/>
  <c r="BI6" i="24"/>
  <c r="CD6" i="25"/>
  <c r="CD6" i="24"/>
  <c r="CU25" i="24"/>
  <c r="CU25" i="25"/>
  <c r="CF16" i="24"/>
  <c r="CF16" i="25"/>
  <c r="AH27" i="25"/>
  <c r="AH27" i="24"/>
  <c r="BI27" i="25"/>
  <c r="BI27" i="24"/>
  <c r="CS28" i="24"/>
  <c r="CS28" i="25"/>
  <c r="Y17" i="24"/>
  <c r="Y17" i="25"/>
  <c r="FB3" i="24"/>
  <c r="BQ18" i="24"/>
  <c r="BQ18" i="25"/>
  <c r="BE6" i="24"/>
  <c r="BE6" i="25"/>
  <c r="CL29" i="24"/>
  <c r="CL29" i="25"/>
  <c r="CP28" i="25"/>
  <c r="CP28" i="24"/>
  <c r="AE14" i="24"/>
  <c r="AE14" i="25"/>
  <c r="CF11" i="24"/>
  <c r="CF11" i="25"/>
  <c r="AK17" i="24"/>
  <c r="AK17" i="25"/>
  <c r="AK31" i="24"/>
  <c r="AK31" i="25"/>
  <c r="BN29" i="25"/>
  <c r="BN29" i="24"/>
  <c r="BT18" i="24"/>
  <c r="BT18" i="25"/>
  <c r="AD5" i="24"/>
  <c r="AD5" i="25"/>
  <c r="G20" i="25"/>
  <c r="G20" i="24"/>
  <c r="CS11" i="25"/>
  <c r="CS11" i="24"/>
  <c r="AX31" i="24"/>
  <c r="AX31" i="25"/>
  <c r="Q9" i="25"/>
  <c r="Q9" i="24"/>
  <c r="BP30" i="25"/>
  <c r="BP30" i="24"/>
  <c r="AS17" i="25"/>
  <c r="AS17" i="24"/>
  <c r="AH8" i="25"/>
  <c r="AH8" i="24"/>
  <c r="AS15" i="25"/>
  <c r="AS15" i="24"/>
  <c r="T20" i="24"/>
  <c r="T20" i="25"/>
  <c r="AJ18" i="24"/>
  <c r="AJ18" i="25"/>
  <c r="BI40" i="25"/>
  <c r="BI40" i="24"/>
  <c r="CQ50" i="25"/>
  <c r="CQ50" i="24"/>
  <c r="CS45" i="24"/>
  <c r="CS45" i="25"/>
  <c r="CQ7" i="25"/>
  <c r="CQ7" i="24"/>
  <c r="AM21" i="24"/>
  <c r="AM21" i="25"/>
  <c r="BK10" i="25"/>
  <c r="BK10" i="24"/>
  <c r="BU22" i="24"/>
  <c r="BU22" i="25"/>
  <c r="AQ18" i="25"/>
  <c r="AQ18" i="24"/>
  <c r="BC34" i="25"/>
  <c r="BC34" i="24"/>
  <c r="CE16" i="24"/>
  <c r="CE16" i="25"/>
  <c r="BT33" i="24"/>
  <c r="BT33" i="25"/>
  <c r="CG22" i="24"/>
  <c r="CG22" i="25"/>
  <c r="GF3" i="24"/>
  <c r="CN11" i="25"/>
  <c r="CN11" i="24"/>
  <c r="BA25" i="25"/>
  <c r="BA25" i="24"/>
  <c r="BF28" i="25"/>
  <c r="BF28" i="24"/>
  <c r="AB43" i="25"/>
  <c r="AB43" i="24"/>
  <c r="AS20" i="24"/>
  <c r="AS20" i="25"/>
  <c r="CU20" i="25"/>
  <c r="CU20" i="24"/>
  <c r="AA41" i="24"/>
  <c r="AA41" i="25"/>
  <c r="BI51" i="24"/>
  <c r="BI51" i="25"/>
  <c r="AZ30" i="24"/>
  <c r="AZ30" i="25"/>
  <c r="C44" i="24"/>
  <c r="C44" i="25"/>
  <c r="AI18" i="24"/>
  <c r="AI18" i="25"/>
  <c r="BH40" i="25"/>
  <c r="BH40" i="24"/>
  <c r="CP50" i="24"/>
  <c r="CP50" i="25"/>
  <c r="BZ41" i="25"/>
  <c r="BZ41" i="24"/>
  <c r="E40" i="24"/>
  <c r="E40" i="25"/>
  <c r="BQ23" i="24"/>
  <c r="BQ23" i="25"/>
  <c r="CQ46" i="24"/>
  <c r="CQ46" i="25"/>
  <c r="L45" i="24"/>
  <c r="L45" i="25"/>
  <c r="CB41" i="25"/>
  <c r="CB41" i="24"/>
  <c r="CS26" i="24"/>
  <c r="CS26" i="25"/>
  <c r="CE35" i="24"/>
  <c r="CE35" i="25"/>
  <c r="BF51" i="25"/>
  <c r="BF51" i="24"/>
  <c r="CH20" i="25"/>
  <c r="CH20" i="24"/>
  <c r="AX8" i="25"/>
  <c r="AX8" i="24"/>
  <c r="CI36" i="24"/>
  <c r="CI36" i="25"/>
  <c r="Z47" i="25"/>
  <c r="Z47" i="24"/>
  <c r="W44" i="25"/>
  <c r="W44" i="24"/>
  <c r="BF34" i="24"/>
  <c r="BF34" i="25"/>
  <c r="M30" i="24"/>
  <c r="M30" i="25"/>
  <c r="W19" i="24"/>
  <c r="W19" i="25"/>
  <c r="BU18" i="25"/>
  <c r="BU18" i="24"/>
  <c r="AT43" i="24"/>
  <c r="AT43" i="25"/>
  <c r="I39" i="25"/>
  <c r="I39" i="24"/>
  <c r="BA31" i="24"/>
  <c r="BA31" i="25"/>
  <c r="BN43" i="24"/>
  <c r="BN43" i="25"/>
  <c r="CO41" i="24"/>
  <c r="CO41" i="25"/>
  <c r="CM32" i="25"/>
  <c r="CM32" i="24"/>
  <c r="BZ50" i="24"/>
  <c r="BZ50" i="25"/>
  <c r="AX40" i="24"/>
  <c r="AX40" i="25"/>
  <c r="BY22" i="24"/>
  <c r="BY22" i="25"/>
  <c r="BX22" i="25"/>
  <c r="BX22" i="24"/>
  <c r="AV41" i="24"/>
  <c r="AV41" i="25"/>
  <c r="BF6" i="25"/>
  <c r="BF6" i="24"/>
  <c r="CS13" i="24"/>
  <c r="CS13" i="25"/>
  <c r="BS40" i="24"/>
  <c r="BS40" i="25"/>
  <c r="AQ37" i="24"/>
  <c r="AQ37" i="25"/>
  <c r="BA5" i="25"/>
  <c r="BA5" i="24"/>
  <c r="R20" i="25"/>
  <c r="R20" i="24"/>
  <c r="U8" i="24"/>
  <c r="U8" i="25"/>
  <c r="AZ21" i="25"/>
  <c r="AZ21" i="24"/>
  <c r="BS15" i="25"/>
  <c r="BS15" i="24"/>
  <c r="P33" i="24"/>
  <c r="P33" i="25"/>
  <c r="G14" i="25"/>
  <c r="G14" i="24"/>
  <c r="AH32" i="24"/>
  <c r="AH32" i="25"/>
  <c r="AQ20" i="24"/>
  <c r="AQ20" i="25"/>
  <c r="BE13" i="24"/>
  <c r="BE13" i="25"/>
  <c r="P7" i="25"/>
  <c r="P7" i="24"/>
  <c r="K23" i="25"/>
  <c r="K23" i="24"/>
  <c r="R24" i="24"/>
  <c r="R24" i="25"/>
  <c r="G42" i="24"/>
  <c r="G42" i="25"/>
  <c r="B36" i="25"/>
  <c r="B36" i="24"/>
  <c r="BA49" i="25"/>
  <c r="BA49" i="24"/>
  <c r="CU39" i="24"/>
  <c r="CU39" i="25"/>
  <c r="AN50" i="24"/>
  <c r="AN50" i="25"/>
  <c r="W27" i="24"/>
  <c r="W27" i="25"/>
  <c r="CC42" i="25"/>
  <c r="CC42" i="24"/>
  <c r="F16" i="24"/>
  <c r="F16" i="25"/>
  <c r="W39" i="24"/>
  <c r="W39" i="25"/>
  <c r="BU49" i="24"/>
  <c r="BU49" i="25"/>
  <c r="BV38" i="24"/>
  <c r="BV38" i="25"/>
  <c r="BJ37" i="24"/>
  <c r="BJ37" i="25"/>
  <c r="E47" i="24"/>
  <c r="E47" i="25"/>
  <c r="CA44" i="24"/>
  <c r="CA44" i="25"/>
  <c r="CC35" i="24"/>
  <c r="CC35" i="25"/>
  <c r="CD38" i="24"/>
  <c r="CD38" i="25"/>
  <c r="E44" i="24"/>
  <c r="E44" i="25"/>
  <c r="CQ32" i="24"/>
  <c r="CQ32" i="25"/>
  <c r="AC50" i="25"/>
  <c r="AC50" i="24"/>
  <c r="BC51" i="24"/>
  <c r="BC51" i="25"/>
  <c r="AK47" i="24"/>
  <c r="AK47" i="25"/>
  <c r="S20" i="24"/>
  <c r="S20" i="25"/>
  <c r="BI47" i="24"/>
  <c r="BI47" i="25"/>
  <c r="CP49" i="24"/>
  <c r="CP49" i="25"/>
  <c r="CW42" i="25"/>
  <c r="CW42" i="24"/>
  <c r="M34" i="24"/>
  <c r="M34" i="25"/>
  <c r="S45" i="25"/>
  <c r="S45" i="24"/>
  <c r="D30" i="25"/>
  <c r="D30" i="24"/>
  <c r="G19" i="25"/>
  <c r="G19" i="24"/>
  <c r="CB40" i="25"/>
  <c r="CB40" i="24"/>
  <c r="AL43" i="24"/>
  <c r="AL43" i="25"/>
  <c r="BJ47" i="25"/>
  <c r="BJ47" i="24"/>
  <c r="AT38" i="24"/>
  <c r="AT38" i="25"/>
  <c r="AP28" i="25"/>
  <c r="AP28" i="24"/>
  <c r="AR16" i="24"/>
  <c r="AR16" i="25"/>
  <c r="CL23" i="25"/>
  <c r="CL23" i="24"/>
  <c r="Q42" i="25"/>
  <c r="Q42" i="24"/>
  <c r="AW43" i="24"/>
  <c r="AW43" i="25"/>
  <c r="I37" i="24"/>
  <c r="I37" i="25"/>
  <c r="CU46" i="24"/>
  <c r="CU46" i="25"/>
  <c r="O30" i="24"/>
  <c r="O30" i="25"/>
  <c r="AW46" i="24"/>
  <c r="AW46" i="25"/>
  <c r="BU37" i="24"/>
  <c r="BU37" i="25"/>
  <c r="Q20" i="24"/>
  <c r="Q20" i="25"/>
  <c r="CI21" i="24"/>
  <c r="CI21" i="25"/>
  <c r="AN19" i="24"/>
  <c r="AN19" i="25"/>
  <c r="CP17" i="25"/>
  <c r="CP17" i="24"/>
  <c r="CD23" i="24"/>
  <c r="CD23" i="25"/>
  <c r="AR13" i="24"/>
  <c r="AR13" i="25"/>
  <c r="CI29" i="24"/>
  <c r="CI29" i="25"/>
  <c r="CO22" i="25"/>
  <c r="CO22" i="24"/>
  <c r="B5" i="24"/>
  <c r="B5" i="25"/>
  <c r="AC20" i="24"/>
  <c r="AC20" i="25"/>
  <c r="AQ51" i="24"/>
  <c r="AQ51" i="25"/>
  <c r="BK44" i="24"/>
  <c r="BK44" i="25"/>
  <c r="CK31" i="24"/>
  <c r="CK31" i="25"/>
  <c r="BT38" i="25"/>
  <c r="BT38" i="24"/>
  <c r="CL33" i="24"/>
  <c r="CL33" i="25"/>
  <c r="AP41" i="25"/>
  <c r="AP41" i="24"/>
  <c r="L50" i="24"/>
  <c r="L50" i="25"/>
  <c r="AI20" i="25"/>
  <c r="AI20" i="24"/>
  <c r="CL31" i="24"/>
  <c r="CL31" i="25"/>
  <c r="CD25" i="25"/>
  <c r="CD25" i="24"/>
  <c r="AG14" i="24"/>
  <c r="AG14" i="25"/>
  <c r="R35" i="25"/>
  <c r="R35" i="24"/>
  <c r="AS31" i="24"/>
  <c r="AS31" i="25"/>
  <c r="AP44" i="25"/>
  <c r="AP44" i="24"/>
  <c r="R47" i="25"/>
  <c r="R47" i="24"/>
  <c r="BW43" i="24"/>
  <c r="BW43" i="25"/>
  <c r="BY47" i="25"/>
  <c r="BY47" i="24"/>
  <c r="J23" i="24"/>
  <c r="J23" i="25"/>
  <c r="CF47" i="24"/>
  <c r="CF47" i="25"/>
  <c r="E24" i="24"/>
  <c r="E24" i="25"/>
  <c r="BW16" i="24"/>
  <c r="BW16" i="25"/>
  <c r="AU27" i="25"/>
  <c r="AU27" i="24"/>
  <c r="AO30" i="24"/>
  <c r="AO30" i="25"/>
  <c r="AF36" i="24"/>
  <c r="AF36" i="25"/>
  <c r="BM48" i="24"/>
  <c r="BM48" i="25"/>
  <c r="AV43" i="24"/>
  <c r="AV43" i="25"/>
  <c r="CC21" i="24"/>
  <c r="CC21" i="25"/>
  <c r="CE45" i="24"/>
  <c r="CE45" i="25"/>
  <c r="BP47" i="24"/>
  <c r="BP47" i="25"/>
  <c r="AQ38" i="24"/>
  <c r="AQ38" i="25"/>
  <c r="CP47" i="24"/>
  <c r="CP47" i="25"/>
  <c r="BC27" i="24"/>
  <c r="BC27" i="25"/>
  <c r="U47" i="25"/>
  <c r="U47" i="24"/>
  <c r="BO39" i="24"/>
  <c r="BO39" i="25"/>
  <c r="Z36" i="25"/>
  <c r="Z36" i="24"/>
  <c r="AD27" i="24"/>
  <c r="AD27" i="25"/>
  <c r="W47" i="24"/>
  <c r="W47" i="25"/>
  <c r="AC36" i="24"/>
  <c r="AC36" i="25"/>
  <c r="AV45" i="24"/>
  <c r="AV45" i="25"/>
  <c r="AX33" i="24"/>
  <c r="AX33" i="25"/>
  <c r="X35" i="24"/>
  <c r="X35" i="25"/>
  <c r="M37" i="25"/>
  <c r="M37" i="24"/>
  <c r="CD42" i="25"/>
  <c r="CD42" i="24"/>
  <c r="BU44" i="25"/>
  <c r="BU44" i="24"/>
  <c r="K32" i="25"/>
  <c r="K32" i="24"/>
  <c r="R28" i="24"/>
  <c r="R28" i="25"/>
  <c r="BQ15" i="24"/>
  <c r="BQ15" i="25"/>
  <c r="BO8" i="24"/>
  <c r="BO8" i="25"/>
  <c r="N4" i="25"/>
  <c r="DM4" i="25" s="1"/>
  <c r="N4" i="24"/>
  <c r="E15" i="25"/>
  <c r="E15" i="24"/>
  <c r="AM35" i="24"/>
  <c r="AM35" i="25"/>
  <c r="AM29" i="25"/>
  <c r="AM29" i="24"/>
  <c r="CK19" i="24"/>
  <c r="CK19" i="25"/>
  <c r="CR4" i="25"/>
  <c r="GQ4" i="25" s="1"/>
  <c r="CR4" i="24"/>
  <c r="GQ4" i="24" s="1"/>
  <c r="K36" i="24"/>
  <c r="K36" i="25"/>
  <c r="AD30" i="24"/>
  <c r="AD30" i="25"/>
  <c r="AH21" i="24"/>
  <c r="AH21" i="25"/>
  <c r="CH7" i="24"/>
  <c r="CH7" i="25"/>
  <c r="S24" i="25"/>
  <c r="S24" i="24"/>
  <c r="CW18" i="24"/>
  <c r="CW18" i="25"/>
  <c r="R13" i="24"/>
  <c r="R13" i="25"/>
  <c r="DS4" i="24"/>
  <c r="DS5" i="24" s="1"/>
  <c r="DS6" i="24" s="1"/>
  <c r="DS7" i="24" s="1"/>
  <c r="DS8" i="24" s="1"/>
  <c r="DS9" i="24" s="1"/>
  <c r="DS10" i="24" s="1"/>
  <c r="DS11" i="24" s="1"/>
  <c r="DS12" i="24" s="1"/>
  <c r="CF22" i="24"/>
  <c r="CF22" i="25"/>
  <c r="BJ17" i="25"/>
  <c r="BJ17" i="24"/>
  <c r="CH10" i="25"/>
  <c r="CH10" i="24"/>
  <c r="AD29" i="24"/>
  <c r="AD29" i="25"/>
  <c r="M24" i="25"/>
  <c r="M24" i="24"/>
  <c r="CQ18" i="24"/>
  <c r="CQ18" i="25"/>
  <c r="F13" i="25"/>
  <c r="F13" i="24"/>
  <c r="BV30" i="24"/>
  <c r="BV30" i="25"/>
  <c r="BE25" i="24"/>
  <c r="BE25" i="25"/>
  <c r="AN20" i="24"/>
  <c r="AN20" i="25"/>
  <c r="CD14" i="24"/>
  <c r="CD14" i="25"/>
  <c r="CU5" i="24"/>
  <c r="CU5" i="25"/>
  <c r="AV10" i="25"/>
  <c r="AV10" i="24"/>
  <c r="AE5" i="25"/>
  <c r="AE5" i="24"/>
  <c r="BR9" i="25"/>
  <c r="BR9" i="24"/>
  <c r="BA4" i="25"/>
  <c r="EZ4" i="25" s="1"/>
  <c r="BA4" i="24"/>
  <c r="BF10" i="24"/>
  <c r="BF10" i="25"/>
  <c r="W16" i="24"/>
  <c r="W16" i="25"/>
  <c r="F11" i="24"/>
  <c r="F11" i="25"/>
  <c r="CJ5" i="24"/>
  <c r="CJ5" i="25"/>
  <c r="AY17" i="25"/>
  <c r="AY17" i="24"/>
  <c r="BQ10" i="25"/>
  <c r="BQ10" i="24"/>
  <c r="BB34" i="24"/>
  <c r="BB34" i="25"/>
  <c r="AK29" i="24"/>
  <c r="AK29" i="25"/>
  <c r="T24" i="24"/>
  <c r="T24" i="25"/>
  <c r="C19" i="24"/>
  <c r="C19" i="25"/>
  <c r="S13" i="24"/>
  <c r="S13" i="25"/>
  <c r="K9" i="24"/>
  <c r="K9" i="25"/>
  <c r="AG8" i="24"/>
  <c r="AG8" i="25"/>
  <c r="U9" i="24"/>
  <c r="U9" i="25"/>
  <c r="D4" i="24"/>
  <c r="D4" i="25"/>
  <c r="DC4" i="25" s="1"/>
  <c r="DC5" i="25" s="1"/>
  <c r="CG14" i="24"/>
  <c r="CG14" i="25"/>
  <c r="BP9" i="24"/>
  <c r="BP9" i="25"/>
  <c r="AY4" i="24"/>
  <c r="AY4" i="25"/>
  <c r="EX4" i="25" s="1"/>
  <c r="EX5" i="25" s="1"/>
  <c r="BO22" i="25"/>
  <c r="BO22" i="24"/>
  <c r="AP17" i="25"/>
  <c r="AP17" i="24"/>
  <c r="BA10" i="25"/>
  <c r="BA10" i="24"/>
  <c r="AT34" i="24"/>
  <c r="AT34" i="25"/>
  <c r="AC29" i="24"/>
  <c r="AC29" i="25"/>
  <c r="L24" i="24"/>
  <c r="L24" i="25"/>
  <c r="CP18" i="24"/>
  <c r="CP18" i="25"/>
  <c r="E13" i="24"/>
  <c r="E13" i="25"/>
  <c r="C9" i="25"/>
  <c r="C9" i="24"/>
  <c r="Y8" i="24"/>
  <c r="Y8" i="25"/>
  <c r="M9" i="24"/>
  <c r="M9" i="25"/>
  <c r="BY14" i="24"/>
  <c r="BY14" i="25"/>
  <c r="BH9" i="24"/>
  <c r="BH9" i="25"/>
  <c r="AQ4" i="24"/>
  <c r="AQ4" i="25"/>
  <c r="EP4" i="25" s="1"/>
  <c r="EP5" i="25" s="1"/>
  <c r="CP21" i="24"/>
  <c r="CP21" i="25"/>
  <c r="BG16" i="25"/>
  <c r="BG16" i="24"/>
  <c r="H9" i="24"/>
  <c r="H9" i="25"/>
  <c r="BU33" i="24"/>
  <c r="BU33" i="25"/>
  <c r="BD28" i="24"/>
  <c r="BD28" i="25"/>
  <c r="AM23" i="25"/>
  <c r="AM23" i="24"/>
  <c r="V18" i="24"/>
  <c r="V18" i="25"/>
  <c r="CK11" i="25"/>
  <c r="CK11" i="24"/>
  <c r="AU13" i="24"/>
  <c r="AU13" i="25"/>
  <c r="AD8" i="24"/>
  <c r="AD8" i="25"/>
  <c r="AZ7" i="24"/>
  <c r="AZ7" i="25"/>
  <c r="AN8" i="24"/>
  <c r="AN8" i="25"/>
  <c r="E14" i="25"/>
  <c r="E14" i="24"/>
  <c r="CI8" i="25"/>
  <c r="CI8" i="24"/>
  <c r="CS17" i="25"/>
  <c r="CS17" i="24"/>
  <c r="AX11" i="25"/>
  <c r="AX11" i="24"/>
  <c r="CP34" i="24"/>
  <c r="CP34" i="25"/>
  <c r="BY29" i="24"/>
  <c r="BY29" i="25"/>
  <c r="BH24" i="24"/>
  <c r="BH24" i="25"/>
  <c r="AQ19" i="24"/>
  <c r="AQ19" i="25"/>
  <c r="BS13" i="24"/>
  <c r="BS13" i="25"/>
  <c r="F4" i="24"/>
  <c r="F4" i="25"/>
  <c r="DE4" i="25" s="1"/>
  <c r="DE5" i="25" s="1"/>
  <c r="AY9" i="24"/>
  <c r="AY9" i="25"/>
  <c r="AH4" i="25"/>
  <c r="EG4" i="25" s="1"/>
  <c r="EG5" i="25" s="1"/>
  <c r="AH4" i="24"/>
  <c r="EG4" i="24" s="1"/>
  <c r="EG5" i="24" s="1"/>
  <c r="BU8" i="25"/>
  <c r="BU8" i="24"/>
  <c r="BI9" i="24"/>
  <c r="BI9" i="25"/>
  <c r="AR4" i="24"/>
  <c r="AR4" i="25"/>
  <c r="EQ4" i="25" s="1"/>
  <c r="Z15" i="24"/>
  <c r="Z15" i="25"/>
  <c r="I10" i="24"/>
  <c r="I10" i="25"/>
  <c r="CM4" i="24"/>
  <c r="CM4" i="25"/>
  <c r="GL4" i="25" s="1"/>
  <c r="E23" i="24"/>
  <c r="E23" i="25"/>
  <c r="CU51" i="24"/>
  <c r="CU51" i="25"/>
  <c r="CD46" i="24"/>
  <c r="CD46" i="25"/>
  <c r="BM41" i="24"/>
  <c r="BM41" i="25"/>
  <c r="BV35" i="24"/>
  <c r="BV35" i="25"/>
  <c r="BC22" i="24"/>
  <c r="BC22" i="25"/>
  <c r="Y50" i="24"/>
  <c r="Y50" i="25"/>
  <c r="H45" i="25"/>
  <c r="H45" i="24"/>
  <c r="CC39" i="24"/>
  <c r="CC39" i="25"/>
  <c r="BW32" i="24"/>
  <c r="BW32" i="25"/>
  <c r="AC49" i="24"/>
  <c r="AC49" i="25"/>
  <c r="AI32" i="24"/>
  <c r="AI32" i="25"/>
  <c r="AW47" i="24"/>
  <c r="AW47" i="25"/>
  <c r="AF42" i="24"/>
  <c r="AF42" i="25"/>
  <c r="BK36" i="24"/>
  <c r="BK36" i="25"/>
  <c r="T25" i="24"/>
  <c r="T25" i="25"/>
  <c r="BY41" i="24"/>
  <c r="BY41" i="25"/>
  <c r="BM24" i="24"/>
  <c r="BM24" i="25"/>
  <c r="AX49" i="24"/>
  <c r="AX49" i="25"/>
  <c r="AG44" i="24"/>
  <c r="AG44" i="25"/>
  <c r="CR38" i="24"/>
  <c r="CR38" i="25"/>
  <c r="S31" i="24"/>
  <c r="S31" i="25"/>
  <c r="CJ33" i="25"/>
  <c r="CJ33" i="24"/>
  <c r="BE27" i="24"/>
  <c r="BE27" i="25"/>
  <c r="R17" i="25"/>
  <c r="R17" i="24"/>
  <c r="BX14" i="24"/>
  <c r="BX14" i="25"/>
  <c r="BG11" i="24"/>
  <c r="BG11" i="25"/>
  <c r="F7" i="24"/>
  <c r="F7" i="25"/>
  <c r="EY4" i="24"/>
  <c r="EY5" i="24" s="1"/>
  <c r="EY6" i="24" s="1"/>
  <c r="CQ24" i="24"/>
  <c r="CQ24" i="25"/>
  <c r="L14" i="24"/>
  <c r="L14" i="25"/>
  <c r="CN34" i="24"/>
  <c r="CN34" i="25"/>
  <c r="CF28" i="25"/>
  <c r="CF28" i="24"/>
  <c r="I19" i="24"/>
  <c r="I19" i="25"/>
  <c r="BR35" i="24"/>
  <c r="BR35" i="25"/>
  <c r="CB29" i="24"/>
  <c r="CB29" i="25"/>
  <c r="BA20" i="25"/>
  <c r="BA20" i="24"/>
  <c r="Y6" i="25"/>
  <c r="Y6" i="24"/>
  <c r="BZ23" i="24"/>
  <c r="BZ23" i="25"/>
  <c r="BI18" i="24"/>
  <c r="BI18" i="25"/>
  <c r="BA12" i="24"/>
  <c r="BA12" i="25"/>
  <c r="AR22" i="25"/>
  <c r="AR22" i="24"/>
  <c r="P17" i="25"/>
  <c r="P17" i="24"/>
  <c r="F10" i="25"/>
  <c r="F10" i="24"/>
  <c r="CK28" i="25"/>
  <c r="CK28" i="24"/>
  <c r="BT23" i="24"/>
  <c r="BT23" i="25"/>
  <c r="BC18" i="24"/>
  <c r="BC18" i="25"/>
  <c r="AO12" i="24"/>
  <c r="AO12" i="25"/>
  <c r="EB4" i="24"/>
  <c r="AH30" i="24"/>
  <c r="AH30" i="25"/>
  <c r="Q25" i="24"/>
  <c r="Q25" i="25"/>
  <c r="CU19" i="24"/>
  <c r="CU19" i="25"/>
  <c r="AJ14" i="25"/>
  <c r="AJ14" i="24"/>
  <c r="S5" i="24"/>
  <c r="S5" i="25"/>
  <c r="H10" i="24"/>
  <c r="H10" i="25"/>
  <c r="CL4" i="24"/>
  <c r="GK4" i="24" s="1"/>
  <c r="CL4" i="25"/>
  <c r="GK4" i="25" s="1"/>
  <c r="AD9" i="24"/>
  <c r="AD9" i="25"/>
  <c r="M4" i="24"/>
  <c r="M4" i="25"/>
  <c r="DL4" i="25" s="1"/>
  <c r="R10" i="25"/>
  <c r="R10" i="24"/>
  <c r="CV4" i="25"/>
  <c r="GU4" i="25" s="1"/>
  <c r="GU5" i="25" s="1"/>
  <c r="GU6" i="25" s="1"/>
  <c r="GU7" i="25" s="1"/>
  <c r="CV4" i="24"/>
  <c r="GU4" i="24" s="1"/>
  <c r="GU5" i="24" s="1"/>
  <c r="GU6" i="24" s="1"/>
  <c r="GU7" i="24" s="1"/>
  <c r="CD15" i="24"/>
  <c r="CD15" i="25"/>
  <c r="BM10" i="24"/>
  <c r="BM10" i="25"/>
  <c r="AV5" i="24"/>
  <c r="AV5" i="25"/>
  <c r="Q37" i="25"/>
  <c r="Q37" i="24"/>
  <c r="CI51" i="24"/>
  <c r="CI51" i="25"/>
  <c r="CC48" i="24"/>
  <c r="CC48" i="25"/>
  <c r="AF34" i="24"/>
  <c r="AF34" i="25"/>
  <c r="BB28" i="24"/>
  <c r="BB28" i="25"/>
  <c r="CM51" i="24"/>
  <c r="CM51" i="25"/>
  <c r="J46" i="24"/>
  <c r="J46" i="25"/>
  <c r="CN40" i="24"/>
  <c r="CN40" i="25"/>
  <c r="BI34" i="24"/>
  <c r="BI34" i="25"/>
  <c r="BL19" i="25"/>
  <c r="BL19" i="24"/>
  <c r="AZ49" i="24"/>
  <c r="AZ49" i="25"/>
  <c r="AI44" i="25"/>
  <c r="AI44" i="24"/>
  <c r="CT38" i="25"/>
  <c r="CT38" i="24"/>
  <c r="Z31" i="24"/>
  <c r="Z31" i="25"/>
  <c r="C47" i="24"/>
  <c r="C47" i="25"/>
  <c r="CO51" i="24"/>
  <c r="CO51" i="25"/>
  <c r="BX46" i="24"/>
  <c r="BX46" i="25"/>
  <c r="BG41" i="24"/>
  <c r="BG41" i="25"/>
  <c r="BN35" i="25"/>
  <c r="BN35" i="24"/>
  <c r="AC22" i="25"/>
  <c r="AC22" i="24"/>
  <c r="BU39" i="25"/>
  <c r="BU39" i="24"/>
  <c r="BV21" i="24"/>
  <c r="BV21" i="25"/>
  <c r="BY48" i="24"/>
  <c r="BY48" i="25"/>
  <c r="BH43" i="24"/>
  <c r="BH43" i="25"/>
  <c r="N38" i="25"/>
  <c r="N38" i="24"/>
  <c r="AQ29" i="24"/>
  <c r="AQ29" i="25"/>
  <c r="F33" i="24"/>
  <c r="F33" i="25"/>
  <c r="R26" i="25"/>
  <c r="R26" i="24"/>
  <c r="AZ15" i="25"/>
  <c r="AZ15" i="24"/>
  <c r="CR12" i="24"/>
  <c r="CR12" i="25"/>
  <c r="BP8" i="24"/>
  <c r="BP8" i="25"/>
  <c r="O4" i="25"/>
  <c r="DN4" i="25" s="1"/>
  <c r="DN5" i="25" s="1"/>
  <c r="DN6" i="25" s="1"/>
  <c r="DN7" i="25" s="1"/>
  <c r="DN8" i="25" s="1"/>
  <c r="DN9" i="25" s="1"/>
  <c r="DN10" i="25" s="1"/>
  <c r="DN11" i="25" s="1"/>
  <c r="O4" i="24"/>
  <c r="AZ31" i="24"/>
  <c r="AZ31" i="25"/>
  <c r="AX23" i="24"/>
  <c r="AX23" i="25"/>
  <c r="G12" i="24"/>
  <c r="G12" i="25"/>
  <c r="J34" i="24"/>
  <c r="J34" i="25"/>
  <c r="CI27" i="25"/>
  <c r="CI27" i="24"/>
  <c r="BE17" i="24"/>
  <c r="BE17" i="25"/>
  <c r="O40" i="25"/>
  <c r="O40" i="24"/>
  <c r="CM34" i="24"/>
  <c r="CM34" i="25"/>
  <c r="CE28" i="24"/>
  <c r="CE28" i="25"/>
  <c r="H19" i="24"/>
  <c r="H19" i="25"/>
  <c r="F23" i="24"/>
  <c r="F23" i="25"/>
  <c r="CH17" i="24"/>
  <c r="CH17" i="25"/>
  <c r="AB11" i="24"/>
  <c r="AB11" i="25"/>
  <c r="CJ26" i="25"/>
  <c r="CJ26" i="24"/>
  <c r="BS21" i="24"/>
  <c r="BS21" i="25"/>
  <c r="AG16" i="25"/>
  <c r="AG16" i="24"/>
  <c r="BH8" i="24"/>
  <c r="BH8" i="25"/>
  <c r="Q28" i="25"/>
  <c r="Q28" i="24"/>
  <c r="CU22" i="25"/>
  <c r="CU22" i="24"/>
  <c r="CA17" i="24"/>
  <c r="CA17" i="25"/>
  <c r="R11" i="24"/>
  <c r="R11" i="25"/>
  <c r="BZ34" i="25"/>
  <c r="BZ34" i="24"/>
  <c r="BI29" i="24"/>
  <c r="BI29" i="25"/>
  <c r="AR24" i="24"/>
  <c r="AR24" i="25"/>
  <c r="AA19" i="24"/>
  <c r="AA19" i="25"/>
  <c r="AY13" i="24"/>
  <c r="AY13" i="25"/>
  <c r="AI9" i="25"/>
  <c r="AI9" i="24"/>
  <c r="R4" i="25"/>
  <c r="DQ4" i="25" s="1"/>
  <c r="R4" i="24"/>
  <c r="BE8" i="24"/>
  <c r="BE8" i="25"/>
  <c r="AS9" i="25"/>
  <c r="AS9" i="24"/>
  <c r="AB4" i="25"/>
  <c r="EA4" i="25" s="1"/>
  <c r="AB4" i="24"/>
  <c r="J15" i="24"/>
  <c r="J15" i="25"/>
  <c r="CN9" i="24"/>
  <c r="CN9" i="25"/>
  <c r="BW4" i="24"/>
  <c r="BW4" i="25"/>
  <c r="FV4" i="25" s="1"/>
  <c r="FV5" i="25" s="1"/>
  <c r="FV6" i="25" s="1"/>
  <c r="BI30" i="24"/>
  <c r="BI30" i="25"/>
  <c r="AW48" i="24"/>
  <c r="AW48" i="25"/>
  <c r="AN22" i="25"/>
  <c r="AN22" i="24"/>
  <c r="BV45" i="24"/>
  <c r="BV45" i="25"/>
  <c r="AB37" i="25"/>
  <c r="AB37" i="24"/>
  <c r="BK37" i="24"/>
  <c r="BK37" i="25"/>
  <c r="BS46" i="24"/>
  <c r="BS46" i="25"/>
  <c r="B31" i="25"/>
  <c r="B31" i="24"/>
  <c r="M44" i="24"/>
  <c r="M44" i="25"/>
  <c r="BE18" i="24"/>
  <c r="BE18" i="25"/>
  <c r="AZ42" i="24"/>
  <c r="AZ42" i="25"/>
  <c r="BC46" i="25"/>
  <c r="BC46" i="24"/>
  <c r="L28" i="25"/>
  <c r="L28" i="24"/>
  <c r="CU42" i="24"/>
  <c r="CU42" i="25"/>
  <c r="I48" i="25"/>
  <c r="I48" i="24"/>
  <c r="CM40" i="24"/>
  <c r="CM40" i="25"/>
  <c r="BM40" i="24"/>
  <c r="BM40" i="25"/>
  <c r="CK36" i="24"/>
  <c r="CK36" i="25"/>
  <c r="BE36" i="24"/>
  <c r="BE36" i="25"/>
  <c r="AV46" i="24"/>
  <c r="AV46" i="25"/>
  <c r="D28" i="24"/>
  <c r="D28" i="25"/>
  <c r="B43" i="24"/>
  <c r="B43" i="25"/>
  <c r="AE47" i="24"/>
  <c r="AE47" i="25"/>
  <c r="N42" i="24"/>
  <c r="N42" i="25"/>
  <c r="AM36" i="25"/>
  <c r="AM36" i="24"/>
  <c r="AW24" i="24"/>
  <c r="AW24" i="25"/>
  <c r="BU50" i="24"/>
  <c r="BU50" i="25"/>
  <c r="BD45" i="25"/>
  <c r="BD45" i="24"/>
  <c r="AK40" i="24"/>
  <c r="AK40" i="25"/>
  <c r="BN33" i="25"/>
  <c r="BN33" i="24"/>
  <c r="AT17" i="25"/>
  <c r="AT17" i="24"/>
  <c r="BF35" i="24"/>
  <c r="BF35" i="25"/>
  <c r="CS47" i="25"/>
  <c r="CS47" i="24"/>
  <c r="CB42" i="25"/>
  <c r="CB42" i="24"/>
  <c r="V37" i="25"/>
  <c r="V37" i="24"/>
  <c r="N27" i="24"/>
  <c r="N27" i="25"/>
  <c r="CL42" i="25"/>
  <c r="CL42" i="24"/>
  <c r="BG26" i="24"/>
  <c r="BG26" i="25"/>
  <c r="CT49" i="24"/>
  <c r="CT49" i="25"/>
  <c r="CC44" i="25"/>
  <c r="CC44" i="24"/>
  <c r="AZ39" i="25"/>
  <c r="AZ39" i="24"/>
  <c r="AC32" i="24"/>
  <c r="AC32" i="25"/>
  <c r="AR34" i="25"/>
  <c r="AR34" i="24"/>
  <c r="AB28" i="25"/>
  <c r="AB28" i="24"/>
  <c r="Z18" i="24"/>
  <c r="Z18" i="25"/>
  <c r="CI15" i="24"/>
  <c r="CI15" i="25"/>
  <c r="N13" i="24"/>
  <c r="N13" i="25"/>
  <c r="CU8" i="24"/>
  <c r="CU8" i="25"/>
  <c r="AT4" i="25"/>
  <c r="ES4" i="25" s="1"/>
  <c r="ES5" i="25" s="1"/>
  <c r="ES6" i="25" s="1"/>
  <c r="ES7" i="25" s="1"/>
  <c r="AT4" i="24"/>
  <c r="CN25" i="24"/>
  <c r="CN25" i="25"/>
  <c r="W15" i="24"/>
  <c r="W15" i="25"/>
  <c r="AU35" i="24"/>
  <c r="AU35" i="25"/>
  <c r="AW29" i="25"/>
  <c r="AW29" i="24"/>
  <c r="F20" i="24"/>
  <c r="F20" i="25"/>
  <c r="AC5" i="25"/>
  <c r="AC5" i="24"/>
  <c r="S36" i="25"/>
  <c r="S36" i="24"/>
  <c r="AM30" i="24"/>
  <c r="AM30" i="25"/>
  <c r="AX21" i="25"/>
  <c r="AX21" i="24"/>
  <c r="S8" i="24"/>
  <c r="S8" i="25"/>
  <c r="AA24" i="25"/>
  <c r="AA24" i="24"/>
  <c r="J19" i="24"/>
  <c r="J19" i="25"/>
  <c r="AB13" i="25"/>
  <c r="AB13" i="24"/>
  <c r="CN22" i="24"/>
  <c r="CN22" i="25"/>
  <c r="BS17" i="25"/>
  <c r="BS17" i="24"/>
  <c r="C11" i="25"/>
  <c r="C11" i="24"/>
  <c r="AL29" i="24"/>
  <c r="AL29" i="25"/>
  <c r="U24" i="24"/>
  <c r="U24" i="25"/>
  <c r="D19" i="24"/>
  <c r="D19" i="25"/>
  <c r="T13" i="24"/>
  <c r="T13" i="25"/>
  <c r="CD30" i="24"/>
  <c r="CD30" i="25"/>
  <c r="BM25" i="24"/>
  <c r="BM25" i="25"/>
  <c r="AV20" i="24"/>
  <c r="AV20" i="25"/>
  <c r="CM14" i="25"/>
  <c r="CM14" i="24"/>
  <c r="P6" i="24"/>
  <c r="P6" i="25"/>
  <c r="BD10" i="24"/>
  <c r="BD10" i="25"/>
  <c r="AM5" i="24"/>
  <c r="AM5" i="25"/>
  <c r="BZ9" i="24"/>
  <c r="BZ9" i="25"/>
  <c r="BI4" i="24"/>
  <c r="BI4" i="25"/>
  <c r="FH4" i="25" s="1"/>
  <c r="FH5" i="25" s="1"/>
  <c r="BN10" i="24"/>
  <c r="BN10" i="25"/>
  <c r="AW5" i="24"/>
  <c r="AW5" i="25"/>
  <c r="AE16" i="24"/>
  <c r="AE16" i="25"/>
  <c r="N11" i="25"/>
  <c r="N11" i="24"/>
  <c r="CR5" i="25"/>
  <c r="CR5" i="24"/>
  <c r="AO9" i="25"/>
  <c r="AO9" i="24"/>
  <c r="AC27" i="24"/>
  <c r="AC27" i="25"/>
  <c r="AC18" i="25"/>
  <c r="AC18" i="24"/>
  <c r="CQ4" i="25"/>
  <c r="GP4" i="25" s="1"/>
  <c r="CQ4" i="24"/>
  <c r="AL35" i="24"/>
  <c r="AL35" i="25"/>
  <c r="ES3" i="24"/>
  <c r="BL18" i="24"/>
  <c r="BL18" i="25"/>
  <c r="N5" i="25"/>
  <c r="N5" i="24"/>
  <c r="CT19" i="24"/>
  <c r="CT19" i="25"/>
  <c r="BT11" i="24"/>
  <c r="BT11" i="25"/>
  <c r="AO31" i="24"/>
  <c r="AO31" i="25"/>
  <c r="CF8" i="25"/>
  <c r="CF8" i="24"/>
  <c r="BG30" i="24"/>
  <c r="BG30" i="25"/>
  <c r="Z17" i="25"/>
  <c r="Z17" i="24"/>
  <c r="CW7" i="25"/>
  <c r="CW7" i="24"/>
  <c r="AA15" i="24"/>
  <c r="AA15" i="25"/>
  <c r="D20" i="24"/>
  <c r="D20" i="25"/>
  <c r="CN33" i="24"/>
  <c r="CN33" i="25"/>
  <c r="U5" i="24"/>
  <c r="U5" i="25"/>
  <c r="CW19" i="24"/>
  <c r="CW19" i="25"/>
  <c r="CJ7" i="24"/>
  <c r="CJ7" i="25"/>
  <c r="AJ21" i="24"/>
  <c r="AJ21" i="25"/>
  <c r="AI15" i="24"/>
  <c r="AI15" i="25"/>
  <c r="CS32" i="24"/>
  <c r="CS32" i="25"/>
  <c r="BQ13" i="24"/>
  <c r="BQ13" i="25"/>
  <c r="P32" i="25"/>
  <c r="P32" i="24"/>
  <c r="K20" i="24"/>
  <c r="K20" i="25"/>
  <c r="L13" i="25"/>
  <c r="L13" i="24"/>
  <c r="AY6" i="25"/>
  <c r="AY6" i="24"/>
  <c r="BZ22" i="24"/>
  <c r="BZ22" i="25"/>
  <c r="BA23" i="24"/>
  <c r="BA23" i="25"/>
  <c r="CL41" i="25"/>
  <c r="CL41" i="24"/>
  <c r="B20" i="25"/>
  <c r="B20" i="24"/>
  <c r="BW22" i="24"/>
  <c r="BW22" i="25"/>
  <c r="BB10" i="25"/>
  <c r="BB10" i="24"/>
  <c r="BP22" i="24"/>
  <c r="BP22" i="25"/>
  <c r="CK12" i="24"/>
  <c r="CK12" i="25"/>
  <c r="C24" i="24"/>
  <c r="C24" i="25"/>
  <c r="CW20" i="24"/>
  <c r="CW20" i="25"/>
  <c r="CP35" i="24"/>
  <c r="CP35" i="25"/>
  <c r="BE19" i="25"/>
  <c r="BE19" i="24"/>
  <c r="U35" i="24"/>
  <c r="U35" i="25"/>
  <c r="AR25" i="25"/>
  <c r="AR25" i="24"/>
  <c r="C8" i="24"/>
  <c r="C8" i="25"/>
  <c r="AF15" i="24"/>
  <c r="AF15" i="25"/>
  <c r="CQ27" i="24"/>
  <c r="CQ27" i="25"/>
  <c r="BV31" i="24"/>
  <c r="BV31" i="25"/>
  <c r="BE44" i="24"/>
  <c r="BE44" i="25"/>
  <c r="BJ25" i="24"/>
  <c r="BJ25" i="25"/>
  <c r="Q26" i="24"/>
  <c r="Q26" i="25"/>
  <c r="BD42" i="24"/>
  <c r="BD42" i="25"/>
  <c r="AO34" i="24"/>
  <c r="AO34" i="25"/>
  <c r="U33" i="24"/>
  <c r="U33" i="25"/>
  <c r="AF45" i="24"/>
  <c r="AF45" i="25"/>
  <c r="AZ23" i="24"/>
  <c r="AZ23" i="25"/>
  <c r="CK41" i="24"/>
  <c r="CK41" i="25"/>
  <c r="B19" i="24"/>
  <c r="B19" i="25"/>
  <c r="N44" i="24"/>
  <c r="N44" i="25"/>
  <c r="CB43" i="24"/>
  <c r="CB43" i="25"/>
  <c r="CV42" i="25"/>
  <c r="CV42" i="24"/>
  <c r="CH49" i="24"/>
  <c r="CH49" i="25"/>
  <c r="X51" i="24"/>
  <c r="X51" i="25"/>
  <c r="U44" i="24"/>
  <c r="U44" i="25"/>
  <c r="M40" i="24"/>
  <c r="M40" i="25"/>
  <c r="T38" i="24"/>
  <c r="T38" i="25"/>
  <c r="AM32" i="24"/>
  <c r="AM32" i="25"/>
  <c r="AY31" i="24"/>
  <c r="AY31" i="25"/>
  <c r="X24" i="24"/>
  <c r="X24" i="25"/>
  <c r="BF23" i="25"/>
  <c r="BF23" i="24"/>
  <c r="CO20" i="24"/>
  <c r="CO20" i="25"/>
  <c r="CW23" i="25"/>
  <c r="CW23" i="24"/>
  <c r="AP45" i="24"/>
  <c r="AP45" i="25"/>
  <c r="EQ3" i="24"/>
  <c r="CN28" i="24"/>
  <c r="CN28" i="25"/>
  <c r="U36" i="24"/>
  <c r="U36" i="25"/>
  <c r="AH47" i="24"/>
  <c r="AH47" i="25"/>
  <c r="CV36" i="24"/>
  <c r="CV36" i="25"/>
  <c r="BY25" i="24"/>
  <c r="BY25" i="25"/>
  <c r="BX47" i="24"/>
  <c r="BX47" i="25"/>
  <c r="AZ25" i="24"/>
  <c r="AZ25" i="25"/>
  <c r="CM39" i="24"/>
  <c r="CM39" i="25"/>
  <c r="U41" i="24"/>
  <c r="U41" i="25"/>
  <c r="CK48" i="24"/>
  <c r="CK48" i="25"/>
  <c r="BN31" i="24"/>
  <c r="BN31" i="25"/>
  <c r="P23" i="25"/>
  <c r="P23" i="24"/>
  <c r="K24" i="24"/>
  <c r="K24" i="25"/>
  <c r="BU19" i="24"/>
  <c r="BU19" i="25"/>
  <c r="BH25" i="24"/>
  <c r="BH25" i="25"/>
  <c r="F28" i="24"/>
  <c r="F28" i="25"/>
  <c r="CP25" i="25"/>
  <c r="CP25" i="24"/>
  <c r="CG34" i="24"/>
  <c r="CG34" i="25"/>
  <c r="AN45" i="24"/>
  <c r="AN45" i="25"/>
  <c r="CS41" i="24"/>
  <c r="CS41" i="25"/>
  <c r="CT43" i="24"/>
  <c r="CT43" i="25"/>
  <c r="C50" i="24"/>
  <c r="C50" i="25"/>
  <c r="AM44" i="24"/>
  <c r="AM44" i="25"/>
  <c r="AU38" i="24"/>
  <c r="AU38" i="25"/>
  <c r="Y35" i="24"/>
  <c r="Y35" i="25"/>
  <c r="F47" i="24"/>
  <c r="F47" i="25"/>
  <c r="BA44" i="25"/>
  <c r="BA44" i="24"/>
  <c r="B48" i="25"/>
  <c r="B48" i="24"/>
  <c r="CS18" i="24"/>
  <c r="CS18" i="25"/>
  <c r="BE31" i="24"/>
  <c r="BE31" i="25"/>
  <c r="AV36" i="24"/>
  <c r="AV36" i="25"/>
  <c r="AH16" i="25"/>
  <c r="AH16" i="24"/>
  <c r="BR40" i="25"/>
  <c r="BR40" i="24"/>
  <c r="AA48" i="25"/>
  <c r="AA48" i="24"/>
  <c r="CE33" i="25"/>
  <c r="CE33" i="24"/>
  <c r="AA50" i="24"/>
  <c r="AA50" i="25"/>
  <c r="CQ12" i="24"/>
  <c r="CQ12" i="25"/>
  <c r="BK14" i="24"/>
  <c r="BK14" i="25"/>
  <c r="AF37" i="24"/>
  <c r="AF37" i="25"/>
  <c r="AF22" i="25"/>
  <c r="AF22" i="24"/>
  <c r="M13" i="25"/>
  <c r="M13" i="24"/>
  <c r="CA29" i="25"/>
  <c r="CA29" i="24"/>
  <c r="AI30" i="25"/>
  <c r="AI30" i="24"/>
  <c r="BC39" i="24"/>
  <c r="BC39" i="25"/>
  <c r="BQ46" i="24"/>
  <c r="BQ46" i="25"/>
  <c r="AS36" i="24"/>
  <c r="AS36" i="25"/>
  <c r="B41" i="24"/>
  <c r="B41" i="25"/>
  <c r="CJ34" i="25"/>
  <c r="CJ34" i="24"/>
  <c r="AN49" i="24"/>
  <c r="AN49" i="25"/>
  <c r="Z50" i="24"/>
  <c r="Z50" i="25"/>
  <c r="S23" i="25"/>
  <c r="S23" i="24"/>
  <c r="P21" i="24"/>
  <c r="P21" i="25"/>
  <c r="BQ44" i="24"/>
  <c r="BQ44" i="25"/>
  <c r="C33" i="25"/>
  <c r="C33" i="24"/>
  <c r="AS44" i="24"/>
  <c r="AS44" i="25"/>
  <c r="CK26" i="24"/>
  <c r="CK26" i="25"/>
  <c r="AE35" i="24"/>
  <c r="AE35" i="25"/>
  <c r="CJ51" i="24"/>
  <c r="CJ51" i="25"/>
  <c r="AS22" i="25"/>
  <c r="AS22" i="24"/>
  <c r="CN50" i="24"/>
  <c r="CN50" i="25"/>
  <c r="BW25" i="25"/>
  <c r="BW25" i="24"/>
  <c r="BL7" i="25"/>
  <c r="BL7" i="24"/>
  <c r="CH22" i="25"/>
  <c r="CH22" i="24"/>
  <c r="CN8" i="25"/>
  <c r="CN8" i="24"/>
  <c r="BH11" i="24"/>
  <c r="BH11" i="25"/>
  <c r="V23" i="25"/>
  <c r="V23" i="24"/>
  <c r="J35" i="25"/>
  <c r="J35" i="24"/>
  <c r="AB34" i="24"/>
  <c r="AB34" i="25"/>
  <c r="CA4" i="24"/>
  <c r="CA4" i="25"/>
  <c r="FZ4" i="25" s="1"/>
  <c r="FZ5" i="25" s="1"/>
  <c r="FZ6" i="25" s="1"/>
  <c r="AX26" i="25"/>
  <c r="AX26" i="24"/>
  <c r="BX43" i="25"/>
  <c r="BX43" i="24"/>
  <c r="AM22" i="24"/>
  <c r="AM22" i="25"/>
  <c r="BW41" i="25"/>
  <c r="BW41" i="24"/>
  <c r="BJ31" i="25"/>
  <c r="BJ31" i="24"/>
  <c r="AY44" i="25"/>
  <c r="AY44" i="24"/>
  <c r="I41" i="24"/>
  <c r="I41" i="25"/>
  <c r="T42" i="24"/>
  <c r="T42" i="25"/>
  <c r="AA45" i="25"/>
  <c r="AA45" i="24"/>
  <c r="C37" i="25"/>
  <c r="C37" i="24"/>
  <c r="AC41" i="24"/>
  <c r="AC41" i="25"/>
  <c r="CB36" i="24"/>
  <c r="CB36" i="25"/>
  <c r="F15" i="24"/>
  <c r="F15" i="25"/>
  <c r="AT48" i="24"/>
  <c r="AT48" i="25"/>
  <c r="AW38" i="24"/>
  <c r="AW38" i="25"/>
  <c r="BV23" i="24"/>
  <c r="BV23" i="25"/>
  <c r="BV47" i="25"/>
  <c r="BV47" i="24"/>
  <c r="BV43" i="24"/>
  <c r="BV43" i="25"/>
  <c r="BM13" i="24"/>
  <c r="BM13" i="25"/>
  <c r="BB24" i="24"/>
  <c r="BB24" i="25"/>
  <c r="S15" i="24"/>
  <c r="S15" i="25"/>
  <c r="CJ25" i="24"/>
  <c r="CJ25" i="25"/>
  <c r="BU24" i="24"/>
  <c r="BU24" i="25"/>
  <c r="CB37" i="24"/>
  <c r="CB37" i="25"/>
  <c r="AC23" i="24"/>
  <c r="AC23" i="25"/>
  <c r="BK28" i="25"/>
  <c r="BK28" i="24"/>
  <c r="R8" i="24"/>
  <c r="R8" i="25"/>
  <c r="AL30" i="24"/>
  <c r="AL30" i="25"/>
  <c r="AQ46" i="25"/>
  <c r="AQ46" i="24"/>
  <c r="AL31" i="24"/>
  <c r="AL31" i="25"/>
  <c r="E41" i="24"/>
  <c r="E41" i="25"/>
  <c r="V36" i="24"/>
  <c r="V36" i="25"/>
  <c r="CF29" i="24"/>
  <c r="CF29" i="25"/>
  <c r="AR38" i="25"/>
  <c r="AR38" i="24"/>
  <c r="Q19" i="24"/>
  <c r="Q19" i="25"/>
  <c r="CH41" i="24"/>
  <c r="CH41" i="25"/>
  <c r="AN39" i="24"/>
  <c r="AN39" i="25"/>
  <c r="AQ50" i="25"/>
  <c r="AQ50" i="24"/>
  <c r="V15" i="24"/>
  <c r="V15" i="25"/>
  <c r="CM25" i="24"/>
  <c r="CM25" i="25"/>
  <c r="Z27" i="24"/>
  <c r="Z27" i="25"/>
  <c r="CT11" i="25"/>
  <c r="CT11" i="24"/>
  <c r="AF35" i="24"/>
  <c r="AF35" i="25"/>
  <c r="P39" i="24"/>
  <c r="P39" i="25"/>
  <c r="AN38" i="25"/>
  <c r="AN38" i="24"/>
  <c r="C40" i="25"/>
  <c r="C40" i="24"/>
  <c r="BP42" i="24"/>
  <c r="BP42" i="25"/>
  <c r="BI23" i="24"/>
  <c r="BI23" i="25"/>
  <c r="AJ44" i="25"/>
  <c r="AJ44" i="24"/>
  <c r="BW44" i="24"/>
  <c r="BW44" i="25"/>
  <c r="BN45" i="24"/>
  <c r="BN45" i="25"/>
  <c r="AF29" i="24"/>
  <c r="AF29" i="25"/>
  <c r="AL46" i="24"/>
  <c r="AL46" i="25"/>
  <c r="AG46" i="24"/>
  <c r="AG46" i="25"/>
  <c r="AF46" i="24"/>
  <c r="AF46" i="25"/>
  <c r="AI42" i="24"/>
  <c r="AI42" i="25"/>
  <c r="BU40" i="25"/>
  <c r="BU40" i="24"/>
  <c r="E36" i="24"/>
  <c r="E36" i="25"/>
  <c r="Y46" i="24"/>
  <c r="Y46" i="25"/>
  <c r="B35" i="24"/>
  <c r="B35" i="25"/>
  <c r="F42" i="24"/>
  <c r="F42" i="25"/>
  <c r="Q24" i="24"/>
  <c r="Q24" i="25"/>
  <c r="BM50" i="25"/>
  <c r="BM50" i="24"/>
  <c r="AB40" i="24"/>
  <c r="AB40" i="25"/>
  <c r="I17" i="24"/>
  <c r="I17" i="25"/>
  <c r="CK47" i="24"/>
  <c r="CK47" i="25"/>
  <c r="BT42" i="25"/>
  <c r="BT42" i="24"/>
  <c r="CC26" i="24"/>
  <c r="CC26" i="25"/>
  <c r="AA26" i="25"/>
  <c r="AA26" i="24"/>
  <c r="CL49" i="24"/>
  <c r="CL49" i="25"/>
  <c r="AQ39" i="25"/>
  <c r="AQ39" i="24"/>
  <c r="AI34" i="24"/>
  <c r="AI34" i="25"/>
  <c r="J18" i="24"/>
  <c r="J18" i="25"/>
  <c r="CJ12" i="24"/>
  <c r="CJ12" i="25"/>
  <c r="BX25" i="25"/>
  <c r="BX25" i="24"/>
  <c r="AO5" i="24"/>
  <c r="AO5" i="25"/>
  <c r="AZ19" i="24"/>
  <c r="AZ19" i="25"/>
  <c r="L8" i="25"/>
  <c r="L8" i="24"/>
  <c r="AU21" i="25"/>
  <c r="AU21" i="24"/>
  <c r="CA10" i="24"/>
  <c r="CA10" i="25"/>
  <c r="CC22" i="25"/>
  <c r="CC22" i="24"/>
  <c r="BG18" i="25"/>
  <c r="BG18" i="24"/>
  <c r="BL34" i="25"/>
  <c r="BL34" i="24"/>
  <c r="CW16" i="25"/>
  <c r="CW16" i="24"/>
  <c r="CD33" i="24"/>
  <c r="CD33" i="25"/>
  <c r="CW22" i="24"/>
  <c r="CW22" i="25"/>
  <c r="U12" i="24"/>
  <c r="U12" i="25"/>
  <c r="BQ25" i="24"/>
  <c r="BQ25" i="25"/>
  <c r="BZ28" i="24"/>
  <c r="BZ28" i="25"/>
  <c r="AJ43" i="24"/>
  <c r="AJ43" i="25"/>
  <c r="BY20" i="24"/>
  <c r="BY20" i="25"/>
  <c r="AF21" i="25"/>
  <c r="AF21" i="24"/>
  <c r="AI41" i="25"/>
  <c r="AI41" i="24"/>
  <c r="BQ51" i="25"/>
  <c r="BQ51" i="24"/>
  <c r="BR30" i="25"/>
  <c r="BR30" i="24"/>
  <c r="K44" i="24"/>
  <c r="K44" i="25"/>
  <c r="BO18" i="24"/>
  <c r="BO18" i="25"/>
  <c r="BP40" i="24"/>
  <c r="BP40" i="25"/>
  <c r="C51" i="25"/>
  <c r="C51" i="24"/>
  <c r="CR41" i="25"/>
  <c r="CR41" i="24"/>
  <c r="CT40" i="25"/>
  <c r="CT40" i="24"/>
  <c r="AT28" i="24"/>
  <c r="AT28" i="25"/>
  <c r="N47" i="24"/>
  <c r="N47" i="25"/>
  <c r="BW45" i="24"/>
  <c r="BW45" i="25"/>
  <c r="D42" i="25"/>
  <c r="D42" i="24"/>
  <c r="J31" i="24"/>
  <c r="J31" i="25"/>
  <c r="O36" i="24"/>
  <c r="O36" i="25"/>
  <c r="BV51" i="24"/>
  <c r="BV51" i="25"/>
  <c r="BQ47" i="24"/>
  <c r="BQ47" i="25"/>
  <c r="S50" i="24"/>
  <c r="S50" i="25"/>
  <c r="N36" i="24"/>
  <c r="N36" i="25"/>
  <c r="AJ50" i="25"/>
  <c r="AJ50" i="24"/>
  <c r="BQ36" i="24"/>
  <c r="BQ36" i="25"/>
  <c r="CQ44" i="24"/>
  <c r="CQ44" i="25"/>
  <c r="BL46" i="24"/>
  <c r="BL46" i="25"/>
  <c r="F49" i="24"/>
  <c r="F49" i="25"/>
  <c r="CD28" i="25"/>
  <c r="CD28" i="24"/>
  <c r="AY47" i="24"/>
  <c r="AY47" i="25"/>
  <c r="CF49" i="25"/>
  <c r="CF49" i="24"/>
  <c r="CJ41" i="24"/>
  <c r="CJ41" i="25"/>
  <c r="Z37" i="24"/>
  <c r="Z37" i="25"/>
  <c r="CQ35" i="25"/>
  <c r="CQ35" i="24"/>
  <c r="CT26" i="24"/>
  <c r="CT26" i="25"/>
  <c r="W34" i="24"/>
  <c r="W34" i="25"/>
  <c r="BK48" i="24"/>
  <c r="BK48" i="25"/>
  <c r="BE21" i="25"/>
  <c r="BE21" i="24"/>
  <c r="CL48" i="24"/>
  <c r="CL48" i="25"/>
  <c r="CB19" i="25"/>
  <c r="CB19" i="24"/>
  <c r="W35" i="24"/>
  <c r="W35" i="25"/>
  <c r="CE23" i="25"/>
  <c r="CE23" i="24"/>
  <c r="BE46" i="24"/>
  <c r="BE46" i="25"/>
  <c r="CV45" i="25"/>
  <c r="CV45" i="24"/>
  <c r="AN23" i="25"/>
  <c r="AN23" i="24"/>
  <c r="AY11" i="25"/>
  <c r="AY11" i="24"/>
  <c r="Q23" i="24"/>
  <c r="Q23" i="25"/>
  <c r="BH13" i="25"/>
  <c r="BH13" i="24"/>
  <c r="AY24" i="24"/>
  <c r="AY24" i="25"/>
  <c r="CT21" i="24"/>
  <c r="CT21" i="25"/>
  <c r="AQ36" i="24"/>
  <c r="AQ36" i="25"/>
  <c r="BB20" i="24"/>
  <c r="BB20" i="25"/>
  <c r="BS35" i="24"/>
  <c r="BS35" i="25"/>
  <c r="AO26" i="24"/>
  <c r="AO26" i="25"/>
  <c r="CR9" i="24"/>
  <c r="CR9" i="25"/>
  <c r="BH28" i="24"/>
  <c r="BH28" i="25"/>
  <c r="BU32" i="24"/>
  <c r="BU32" i="25"/>
  <c r="F45" i="24"/>
  <c r="F45" i="25"/>
  <c r="BB27" i="24"/>
  <c r="BB27" i="25"/>
  <c r="CP27" i="24"/>
  <c r="CP27" i="25"/>
  <c r="E43" i="24"/>
  <c r="E43" i="25"/>
  <c r="BM36" i="24"/>
  <c r="BM36" i="25"/>
  <c r="K34" i="24"/>
  <c r="K34" i="25"/>
  <c r="CB45" i="25"/>
  <c r="CB45" i="24"/>
  <c r="AT25" i="25"/>
  <c r="AT25" i="24"/>
  <c r="AL42" i="24"/>
  <c r="AL42" i="25"/>
  <c r="CD31" i="25"/>
  <c r="CD31" i="24"/>
  <c r="T45" i="24"/>
  <c r="T45" i="25"/>
  <c r="CW17" i="25"/>
  <c r="CW17" i="24"/>
  <c r="AM33" i="24"/>
  <c r="AM33" i="25"/>
  <c r="AR5" i="24"/>
  <c r="AR5" i="25"/>
  <c r="AY46" i="24"/>
  <c r="AY46" i="25"/>
  <c r="CH28" i="24"/>
  <c r="CH28" i="25"/>
  <c r="BI42" i="25"/>
  <c r="BI42" i="24"/>
  <c r="BP50" i="24"/>
  <c r="BP50" i="25"/>
  <c r="CR37" i="24"/>
  <c r="CR37" i="25"/>
  <c r="M5" i="24"/>
  <c r="M5" i="25"/>
  <c r="CJ47" i="24"/>
  <c r="CJ47" i="25"/>
  <c r="AZ37" i="24"/>
  <c r="AZ37" i="25"/>
  <c r="U45" i="25"/>
  <c r="U45" i="24"/>
  <c r="AF43" i="25"/>
  <c r="AF43" i="24"/>
  <c r="BT41" i="24"/>
  <c r="BT41" i="25"/>
  <c r="X38" i="25"/>
  <c r="X38" i="24"/>
  <c r="BM17" i="25"/>
  <c r="BM17" i="24"/>
  <c r="AH24" i="25"/>
  <c r="AH24" i="24"/>
  <c r="AW51" i="24"/>
  <c r="AW51" i="25"/>
  <c r="L27" i="24"/>
  <c r="L27" i="25"/>
  <c r="M15" i="25"/>
  <c r="M15" i="24"/>
  <c r="CE25" i="24"/>
  <c r="CE25" i="25"/>
  <c r="BN16" i="24"/>
  <c r="BN16" i="25"/>
  <c r="R27" i="24"/>
  <c r="R27" i="25"/>
  <c r="AF27" i="24"/>
  <c r="AF27" i="25"/>
  <c r="J39" i="24"/>
  <c r="J39" i="25"/>
  <c r="CI25" i="24"/>
  <c r="CI25" i="25"/>
  <c r="CR7" i="24"/>
  <c r="CR7" i="25"/>
  <c r="AF30" i="24"/>
  <c r="AF30" i="25"/>
  <c r="AV4" i="24"/>
  <c r="EU4" i="24" s="1"/>
  <c r="AV4" i="25"/>
  <c r="EU4" i="25" s="1"/>
  <c r="CS12" i="25"/>
  <c r="CS12" i="24"/>
  <c r="CG31" i="24"/>
  <c r="CG31" i="25"/>
  <c r="CO36" i="24"/>
  <c r="CO36" i="25"/>
  <c r="BT47" i="25"/>
  <c r="BT47" i="24"/>
  <c r="BC36" i="24"/>
  <c r="BC36" i="25"/>
  <c r="CO33" i="25"/>
  <c r="CO33" i="24"/>
  <c r="BS45" i="25"/>
  <c r="BS45" i="24"/>
  <c r="AB44" i="24"/>
  <c r="AB44" i="25"/>
  <c r="BZ37" i="24"/>
  <c r="BZ37" i="25"/>
  <c r="AU48" i="25"/>
  <c r="AU48" i="24"/>
  <c r="BT32" i="25"/>
  <c r="BT32" i="24"/>
  <c r="E45" i="24"/>
  <c r="E45" i="25"/>
  <c r="T44" i="25"/>
  <c r="T44" i="24"/>
  <c r="AX50" i="24"/>
  <c r="AX50" i="25"/>
  <c r="CS30" i="24"/>
  <c r="CS30" i="25"/>
  <c r="Z32" i="24"/>
  <c r="Z32" i="25"/>
  <c r="AH51" i="24"/>
  <c r="AH51" i="25"/>
  <c r="BR47" i="24"/>
  <c r="BR47" i="25"/>
  <c r="AZ50" i="24"/>
  <c r="AZ50" i="25"/>
  <c r="AC47" i="24"/>
  <c r="AC47" i="25"/>
  <c r="AW28" i="25"/>
  <c r="AW28" i="24"/>
  <c r="BQ16" i="24"/>
  <c r="BQ16" i="25"/>
  <c r="U27" i="25"/>
  <c r="U27" i="24"/>
  <c r="U18" i="24"/>
  <c r="U18" i="25"/>
  <c r="BK4" i="25"/>
  <c r="FJ4" i="25" s="1"/>
  <c r="FJ5" i="25" s="1"/>
  <c r="FJ6" i="25" s="1"/>
  <c r="FJ7" i="25" s="1"/>
  <c r="FJ8" i="25" s="1"/>
  <c r="FJ9" i="25" s="1"/>
  <c r="FJ10" i="25" s="1"/>
  <c r="FJ11" i="25" s="1"/>
  <c r="FJ12" i="25" s="1"/>
  <c r="BK4" i="24"/>
  <c r="Z29" i="24"/>
  <c r="Z29" i="25"/>
  <c r="AJ15" i="25"/>
  <c r="AJ15" i="24"/>
  <c r="CI14" i="25"/>
  <c r="CI14" i="24"/>
  <c r="AH41" i="24"/>
  <c r="AH41" i="25"/>
  <c r="U43" i="25"/>
  <c r="U43" i="24"/>
  <c r="I42" i="25"/>
  <c r="I42" i="24"/>
  <c r="BB42" i="24"/>
  <c r="BB42" i="25"/>
  <c r="AH29" i="24"/>
  <c r="AH29" i="25"/>
  <c r="AR45" i="24"/>
  <c r="AR45" i="25"/>
  <c r="BO48" i="24"/>
  <c r="BO48" i="25"/>
  <c r="AU49" i="25"/>
  <c r="AU49" i="24"/>
  <c r="H33" i="25"/>
  <c r="H33" i="24"/>
  <c r="BD30" i="25"/>
  <c r="BD30" i="24"/>
  <c r="BW31" i="24"/>
  <c r="BW31" i="25"/>
  <c r="CN49" i="24"/>
  <c r="CN49" i="25"/>
  <c r="AT31" i="24"/>
  <c r="AT31" i="25"/>
  <c r="AY45" i="24"/>
  <c r="AY45" i="25"/>
  <c r="CU48" i="24"/>
  <c r="CU48" i="25"/>
  <c r="BL48" i="24"/>
  <c r="BL48" i="25"/>
  <c r="P45" i="25"/>
  <c r="P45" i="24"/>
  <c r="BO40" i="25"/>
  <c r="BO40" i="24"/>
  <c r="AW32" i="24"/>
  <c r="AW32" i="25"/>
  <c r="V47" i="24"/>
  <c r="V47" i="25"/>
  <c r="BJ44" i="25"/>
  <c r="BJ44" i="24"/>
  <c r="BH20" i="25"/>
  <c r="BH20" i="24"/>
  <c r="BN36" i="24"/>
  <c r="BN36" i="25"/>
  <c r="CR51" i="25"/>
  <c r="CR51" i="24"/>
  <c r="BW38" i="24"/>
  <c r="BW38" i="25"/>
  <c r="K31" i="25"/>
  <c r="K31" i="24"/>
  <c r="CL28" i="24"/>
  <c r="CL28" i="25"/>
  <c r="BD33" i="24"/>
  <c r="BD33" i="25"/>
  <c r="BC44" i="24"/>
  <c r="BC44" i="25"/>
  <c r="AT20" i="24"/>
  <c r="AT20" i="25"/>
  <c r="BW51" i="24"/>
  <c r="BW51" i="25"/>
  <c r="BF46" i="24"/>
  <c r="BF46" i="25"/>
  <c r="AO41" i="24"/>
  <c r="AO41" i="25"/>
  <c r="AP35" i="24"/>
  <c r="AP35" i="25"/>
  <c r="BF21" i="24"/>
  <c r="BF21" i="25"/>
  <c r="CV49" i="24"/>
  <c r="CV49" i="25"/>
  <c r="CE44" i="24"/>
  <c r="CE44" i="25"/>
  <c r="BB39" i="25"/>
  <c r="BB39" i="24"/>
  <c r="AE32" i="24"/>
  <c r="AE32" i="25"/>
  <c r="BT48" i="25"/>
  <c r="BT48" i="24"/>
  <c r="B37" i="24"/>
  <c r="B37" i="25"/>
  <c r="Y47" i="25"/>
  <c r="Y47" i="24"/>
  <c r="H42" i="24"/>
  <c r="H42" i="25"/>
  <c r="AE36" i="24"/>
  <c r="AE36" i="25"/>
  <c r="W24" i="25"/>
  <c r="W24" i="24"/>
  <c r="CR40" i="24"/>
  <c r="CR40" i="25"/>
  <c r="BP23" i="24"/>
  <c r="BP23" i="25"/>
  <c r="Z49" i="24"/>
  <c r="Z49" i="25"/>
  <c r="I44" i="24"/>
  <c r="I44" i="25"/>
  <c r="BP38" i="24"/>
  <c r="BP38" i="25"/>
  <c r="BK30" i="24"/>
  <c r="BK30" i="25"/>
  <c r="BI33" i="24"/>
  <c r="BI33" i="25"/>
  <c r="O27" i="25"/>
  <c r="O27" i="24"/>
  <c r="BJ16" i="24"/>
  <c r="BJ16" i="25"/>
  <c r="V14" i="24"/>
  <c r="V14" i="25"/>
  <c r="BJ10" i="24"/>
  <c r="BJ10" i="25"/>
  <c r="I6" i="24"/>
  <c r="I6" i="25"/>
  <c r="H32" i="25"/>
  <c r="H32" i="24"/>
  <c r="AU24" i="24"/>
  <c r="AU24" i="25"/>
  <c r="BB13" i="25"/>
  <c r="BB13" i="24"/>
  <c r="BM34" i="24"/>
  <c r="BM34" i="25"/>
  <c r="AZ28" i="25"/>
  <c r="AZ28" i="24"/>
  <c r="BH18" i="25"/>
  <c r="BH18" i="24"/>
  <c r="AT35" i="24"/>
  <c r="AT35" i="25"/>
  <c r="AV29" i="24"/>
  <c r="AV29" i="25"/>
  <c r="E20" i="24"/>
  <c r="E20" i="25"/>
  <c r="AB5" i="24"/>
  <c r="AB5" i="25"/>
  <c r="BB23" i="24"/>
  <c r="BB23" i="25"/>
  <c r="AK18" i="24"/>
  <c r="AK18" i="25"/>
  <c r="N12" i="24"/>
  <c r="N12" i="25"/>
  <c r="AK27" i="24"/>
  <c r="AK27" i="25"/>
  <c r="T22" i="24"/>
  <c r="T22" i="25"/>
  <c r="CJ16" i="24"/>
  <c r="CJ16" i="25"/>
  <c r="BE9" i="25"/>
  <c r="BE9" i="24"/>
  <c r="BM28" i="25"/>
  <c r="BM28" i="24"/>
  <c r="AV23" i="24"/>
  <c r="AV23" i="25"/>
  <c r="AE18" i="24"/>
  <c r="AE18" i="25"/>
  <c r="E12" i="24"/>
  <c r="E12" i="25"/>
  <c r="AA35" i="24"/>
  <c r="AA35" i="25"/>
  <c r="J30" i="24"/>
  <c r="J30" i="25"/>
  <c r="CN24" i="24"/>
  <c r="CN24" i="25"/>
  <c r="BW19" i="24"/>
  <c r="BW19" i="25"/>
  <c r="I14" i="25"/>
  <c r="I14" i="24"/>
  <c r="BR4" i="24"/>
  <c r="BR4" i="25"/>
  <c r="FQ4" i="25" s="1"/>
  <c r="FQ5" i="25" s="1"/>
  <c r="FQ6" i="25" s="1"/>
  <c r="FQ7" i="25" s="1"/>
  <c r="CE9" i="24"/>
  <c r="CE9" i="25"/>
  <c r="BN4" i="24"/>
  <c r="FM4" i="24" s="1"/>
  <c r="FM5" i="24" s="1"/>
  <c r="FM6" i="24" s="1"/>
  <c r="FM7" i="24" s="1"/>
  <c r="FM8" i="24" s="1"/>
  <c r="FM9" i="24" s="1"/>
  <c r="BN4" i="25"/>
  <c r="FM4" i="25" s="1"/>
  <c r="FM5" i="25" s="1"/>
  <c r="FM6" i="25" s="1"/>
  <c r="FM7" i="25" s="1"/>
  <c r="FM8" i="25" s="1"/>
  <c r="FM9" i="25" s="1"/>
  <c r="F9" i="25"/>
  <c r="F9" i="24"/>
  <c r="CO9" i="24"/>
  <c r="CO9" i="25"/>
  <c r="BX4" i="24"/>
  <c r="BX4" i="25"/>
  <c r="FW4" i="25" s="1"/>
  <c r="FW5" i="25" s="1"/>
  <c r="FW6" i="25" s="1"/>
  <c r="FW7" i="25" s="1"/>
  <c r="BF15" i="24"/>
  <c r="BF15" i="25"/>
  <c r="AO10" i="24"/>
  <c r="AO10" i="25"/>
  <c r="X5" i="24"/>
  <c r="X5" i="25"/>
  <c r="BY16" i="24"/>
  <c r="BY16" i="25"/>
  <c r="AN9" i="25"/>
  <c r="AN9" i="24"/>
  <c r="CK33" i="24"/>
  <c r="CK33" i="25"/>
  <c r="BT28" i="24"/>
  <c r="BT28" i="25"/>
  <c r="BC23" i="25"/>
  <c r="BC23" i="24"/>
  <c r="AL18" i="24"/>
  <c r="AL18" i="25"/>
  <c r="O12" i="24"/>
  <c r="O12" i="25"/>
  <c r="BK13" i="25"/>
  <c r="BK13" i="24"/>
  <c r="AT8" i="25"/>
  <c r="AT8" i="24"/>
  <c r="BP7" i="24"/>
  <c r="BP7" i="25"/>
  <c r="EX3" i="24"/>
  <c r="BD8" i="25"/>
  <c r="BD8" i="24"/>
  <c r="U14" i="25"/>
  <c r="U14" i="24"/>
  <c r="D9" i="25"/>
  <c r="D9" i="24"/>
  <c r="C22" i="25"/>
  <c r="C22" i="24"/>
  <c r="BP16" i="25"/>
  <c r="BP16" i="24"/>
  <c r="X9" i="25"/>
  <c r="X9" i="24"/>
  <c r="CC33" i="25"/>
  <c r="CC33" i="24"/>
  <c r="BL28" i="24"/>
  <c r="BL28" i="25"/>
  <c r="AU23" i="24"/>
  <c r="AU23" i="25"/>
  <c r="AD18" i="24"/>
  <c r="AD18" i="25"/>
  <c r="CV11" i="25"/>
  <c r="CV11" i="24"/>
  <c r="BC13" i="25"/>
  <c r="BC13" i="24"/>
  <c r="AL8" i="25"/>
  <c r="AL8" i="24"/>
  <c r="BH7" i="25"/>
  <c r="BH7" i="24"/>
  <c r="EP3" i="24"/>
  <c r="AV8" i="24"/>
  <c r="AV8" i="25"/>
  <c r="M14" i="24"/>
  <c r="M14" i="25"/>
  <c r="CQ8" i="24"/>
  <c r="CQ8" i="25"/>
  <c r="FY4" i="24"/>
  <c r="FY5" i="24" s="1"/>
  <c r="FY6" i="24" s="1"/>
  <c r="AD21" i="25"/>
  <c r="AD21" i="24"/>
  <c r="CG15" i="24"/>
  <c r="CG15" i="25"/>
  <c r="BZ7" i="24"/>
  <c r="BZ7" i="25"/>
  <c r="I33" i="25"/>
  <c r="I33" i="24"/>
  <c r="CM27" i="24"/>
  <c r="CM27" i="25"/>
  <c r="BV22" i="25"/>
  <c r="BV22" i="24"/>
  <c r="AX17" i="25"/>
  <c r="AX17" i="24"/>
  <c r="BP10" i="24"/>
  <c r="BP10" i="25"/>
  <c r="CD12" i="24"/>
  <c r="CD12" i="25"/>
  <c r="BM7" i="24"/>
  <c r="BM7" i="25"/>
  <c r="CI6" i="24"/>
  <c r="CI6" i="25"/>
  <c r="CN12" i="24"/>
  <c r="CN12" i="25"/>
  <c r="BW7" i="24"/>
  <c r="BW7" i="25"/>
  <c r="AN13" i="25"/>
  <c r="AN13" i="24"/>
  <c r="W8" i="25"/>
  <c r="W8" i="24"/>
  <c r="DE3" i="24"/>
  <c r="X17" i="24"/>
  <c r="X17" i="25"/>
  <c r="U10" i="25"/>
  <c r="U10" i="24"/>
  <c r="AD34" i="24"/>
  <c r="AD34" i="25"/>
  <c r="M29" i="24"/>
  <c r="M29" i="25"/>
  <c r="CQ23" i="24"/>
  <c r="CQ23" i="25"/>
  <c r="BZ18" i="24"/>
  <c r="BZ18" i="25"/>
  <c r="CA12" i="25"/>
  <c r="CA12" i="24"/>
  <c r="FW3" i="24"/>
  <c r="CH8" i="25"/>
  <c r="CH8" i="24"/>
  <c r="I8" i="25"/>
  <c r="I8" i="24"/>
  <c r="GL3" i="24"/>
  <c r="CR8" i="24"/>
  <c r="CR8" i="25"/>
  <c r="BI14" i="24"/>
  <c r="BI14" i="25"/>
  <c r="AR9" i="24"/>
  <c r="AR9" i="25"/>
  <c r="AA4" i="24"/>
  <c r="DZ4" i="24" s="1"/>
  <c r="DZ5" i="24" s="1"/>
  <c r="DZ6" i="24" s="1"/>
  <c r="DZ7" i="24" s="1"/>
  <c r="DZ8" i="24" s="1"/>
  <c r="DZ9" i="24" s="1"/>
  <c r="DZ10" i="24" s="1"/>
  <c r="AA4" i="25"/>
  <c r="DZ4" i="25" s="1"/>
  <c r="DZ5" i="25" s="1"/>
  <c r="DZ6" i="25" s="1"/>
  <c r="DZ7" i="25" s="1"/>
  <c r="DZ8" i="25" s="1"/>
  <c r="DZ9" i="25" s="1"/>
  <c r="DZ10" i="25" s="1"/>
  <c r="CB48" i="24"/>
  <c r="CB48" i="25"/>
  <c r="AI51" i="24"/>
  <c r="AI51" i="25"/>
  <c r="R46" i="24"/>
  <c r="R46" i="25"/>
  <c r="CV40" i="24"/>
  <c r="CV40" i="25"/>
  <c r="BY34" i="25"/>
  <c r="BY34" i="24"/>
  <c r="CR19" i="25"/>
  <c r="CR19" i="24"/>
  <c r="BH49" i="25"/>
  <c r="BH49" i="24"/>
  <c r="AQ44" i="25"/>
  <c r="AQ44" i="24"/>
  <c r="H39" i="25"/>
  <c r="H39" i="24"/>
  <c r="AR31" i="24"/>
  <c r="AR31" i="25"/>
  <c r="AQ47" i="25"/>
  <c r="AQ47" i="24"/>
  <c r="CW51" i="25"/>
  <c r="CW51" i="24"/>
  <c r="CF46" i="25"/>
  <c r="CF46" i="24"/>
  <c r="BO41" i="25"/>
  <c r="BO41" i="24"/>
  <c r="BX35" i="25"/>
  <c r="BX35" i="24"/>
  <c r="BI22" i="25"/>
  <c r="BI22" i="24"/>
  <c r="CE39" i="24"/>
  <c r="CE39" i="25"/>
  <c r="G22" i="24"/>
  <c r="G22" i="25"/>
  <c r="CG48" i="24"/>
  <c r="CG48" i="25"/>
  <c r="BP43" i="24"/>
  <c r="BP43" i="25"/>
  <c r="W38" i="24"/>
  <c r="W38" i="25"/>
  <c r="BM29" i="24"/>
  <c r="BM29" i="25"/>
  <c r="O33" i="25"/>
  <c r="O33" i="24"/>
  <c r="AH26" i="24"/>
  <c r="AH26" i="25"/>
  <c r="BR15" i="25"/>
  <c r="BR15" i="24"/>
  <c r="V13" i="25"/>
  <c r="V13" i="24"/>
  <c r="CV8" i="24"/>
  <c r="CV8" i="25"/>
  <c r="AU4" i="24"/>
  <c r="AU4" i="25"/>
  <c r="ET4" i="25" s="1"/>
  <c r="ET5" i="25" s="1"/>
  <c r="ET6" i="25" s="1"/>
  <c r="ET7" i="25" s="1"/>
  <c r="ET8" i="25" s="1"/>
  <c r="ET9" i="25" s="1"/>
  <c r="BI31" i="25"/>
  <c r="BI31" i="24"/>
  <c r="BN23" i="24"/>
  <c r="BN23" i="25"/>
  <c r="AF12" i="25"/>
  <c r="AF12" i="24"/>
  <c r="S34" i="25"/>
  <c r="S34" i="24"/>
  <c r="CS27" i="25"/>
  <c r="CS27" i="24"/>
  <c r="BW17" i="25"/>
  <c r="BW17" i="24"/>
  <c r="W40" i="24"/>
  <c r="W40" i="25"/>
  <c r="CV34" i="24"/>
  <c r="CV34" i="25"/>
  <c r="CO28" i="24"/>
  <c r="CO28" i="25"/>
  <c r="X19" i="24"/>
  <c r="X19" i="25"/>
  <c r="N23" i="24"/>
  <c r="N23" i="25"/>
  <c r="CQ17" i="25"/>
  <c r="CQ17" i="24"/>
  <c r="AR11" i="24"/>
  <c r="AR11" i="25"/>
  <c r="CR26" i="25"/>
  <c r="CR26" i="24"/>
  <c r="CA21" i="25"/>
  <c r="CA21" i="24"/>
  <c r="AP16" i="24"/>
  <c r="AP16" i="25"/>
  <c r="BX8" i="25"/>
  <c r="BX8" i="24"/>
  <c r="Y28" i="25"/>
  <c r="Y28" i="24"/>
  <c r="H23" i="24"/>
  <c r="H23" i="25"/>
  <c r="CJ17" i="25"/>
  <c r="CJ17" i="24"/>
  <c r="AH11" i="24"/>
  <c r="AH11" i="25"/>
  <c r="CH34" i="25"/>
  <c r="CH34" i="24"/>
  <c r="BQ29" i="25"/>
  <c r="BQ29" i="24"/>
  <c r="AZ24" i="24"/>
  <c r="AZ24" i="25"/>
  <c r="AI19" i="24"/>
  <c r="AI19" i="25"/>
  <c r="BI13" i="24"/>
  <c r="BI13" i="25"/>
  <c r="AQ9" i="24"/>
  <c r="AQ9" i="25"/>
  <c r="Z4" i="25"/>
  <c r="DY4" i="25" s="1"/>
  <c r="Z4" i="24"/>
  <c r="BM8" i="24"/>
  <c r="BM8" i="25"/>
  <c r="BA9" i="24"/>
  <c r="BA9" i="25"/>
  <c r="AJ4" i="24"/>
  <c r="EI4" i="24" s="1"/>
  <c r="EI5" i="24" s="1"/>
  <c r="EI6" i="24" s="1"/>
  <c r="EI7" i="24" s="1"/>
  <c r="EI8" i="24" s="1"/>
  <c r="EI9" i="24" s="1"/>
  <c r="EI10" i="24" s="1"/>
  <c r="EI11" i="24" s="1"/>
  <c r="EI12" i="24" s="1"/>
  <c r="EI13" i="24" s="1"/>
  <c r="AJ4" i="25"/>
  <c r="EI4" i="25" s="1"/>
  <c r="EI5" i="25" s="1"/>
  <c r="EI6" i="25" s="1"/>
  <c r="EI7" i="25" s="1"/>
  <c r="EI8" i="25" s="1"/>
  <c r="EI9" i="25" s="1"/>
  <c r="EI10" i="25" s="1"/>
  <c r="EI11" i="25" s="1"/>
  <c r="EI12" i="25" s="1"/>
  <c r="EI13" i="25" s="1"/>
  <c r="R15" i="24"/>
  <c r="R15" i="25"/>
  <c r="CV9" i="24"/>
  <c r="CV9" i="25"/>
  <c r="CE4" i="24"/>
  <c r="CE4" i="25"/>
  <c r="GD4" i="25" s="1"/>
  <c r="GD5" i="25" s="1"/>
  <c r="CG47" i="25"/>
  <c r="CG47" i="24"/>
  <c r="CW31" i="24"/>
  <c r="CW31" i="25"/>
  <c r="BG50" i="24"/>
  <c r="BG50" i="25"/>
  <c r="CQ25" i="25"/>
  <c r="CQ25" i="24"/>
  <c r="BD48" i="24"/>
  <c r="BD48" i="25"/>
  <c r="AA51" i="24"/>
  <c r="AA51" i="25"/>
  <c r="AS45" i="24"/>
  <c r="AS45" i="25"/>
  <c r="Y40" i="24"/>
  <c r="Y40" i="25"/>
  <c r="AT33" i="24"/>
  <c r="AT33" i="25"/>
  <c r="CM16" i="24"/>
  <c r="CM16" i="25"/>
  <c r="CI48" i="25"/>
  <c r="CI48" i="24"/>
  <c r="BR43" i="25"/>
  <c r="BR43" i="24"/>
  <c r="Y38" i="25"/>
  <c r="Y38" i="24"/>
  <c r="BU29" i="24"/>
  <c r="BU29" i="25"/>
  <c r="Y45" i="24"/>
  <c r="Y45" i="25"/>
  <c r="AC51" i="24"/>
  <c r="AC51" i="25"/>
  <c r="L46" i="25"/>
  <c r="L46" i="24"/>
  <c r="CP40" i="24"/>
  <c r="CP40" i="25"/>
  <c r="BO34" i="24"/>
  <c r="BO34" i="25"/>
  <c r="BR19" i="25"/>
  <c r="BR19" i="24"/>
  <c r="CA37" i="25"/>
  <c r="CA37" i="24"/>
  <c r="P19" i="25"/>
  <c r="P19" i="24"/>
  <c r="M48" i="24"/>
  <c r="M48" i="25"/>
  <c r="CQ42" i="24"/>
  <c r="CQ42" i="25"/>
  <c r="AM37" i="24"/>
  <c r="AM37" i="25"/>
  <c r="BQ27" i="24"/>
  <c r="BQ27" i="25"/>
  <c r="AF32" i="24"/>
  <c r="AF32" i="25"/>
  <c r="CJ24" i="24"/>
  <c r="CJ24" i="25"/>
  <c r="D14" i="24"/>
  <c r="D14" i="25"/>
  <c r="BS10" i="25"/>
  <c r="BS10" i="24"/>
  <c r="J6" i="24"/>
  <c r="J6" i="25"/>
  <c r="BI15" i="24"/>
  <c r="BI15" i="25"/>
  <c r="BZ30" i="24"/>
  <c r="BZ30" i="25"/>
  <c r="U22" i="24"/>
  <c r="U22" i="25"/>
  <c r="BF9" i="24"/>
  <c r="BF9" i="25"/>
  <c r="AJ33" i="25"/>
  <c r="AJ33" i="24"/>
  <c r="BP26" i="25"/>
  <c r="BP26" i="24"/>
  <c r="J16" i="24"/>
  <c r="J16" i="25"/>
  <c r="AX39" i="25"/>
  <c r="AX39" i="24"/>
  <c r="R34" i="24"/>
  <c r="R34" i="25"/>
  <c r="CR27" i="24"/>
  <c r="CR27" i="25"/>
  <c r="BV17" i="25"/>
  <c r="BV17" i="24"/>
  <c r="BF27" i="24"/>
  <c r="BF27" i="25"/>
  <c r="AO22" i="24"/>
  <c r="AO22" i="25"/>
  <c r="M17" i="24"/>
  <c r="M17" i="25"/>
  <c r="CT9" i="24"/>
  <c r="CT9" i="25"/>
  <c r="X26" i="24"/>
  <c r="X26" i="25"/>
  <c r="G21" i="24"/>
  <c r="G21" i="25"/>
  <c r="BG15" i="25"/>
  <c r="BG15" i="24"/>
  <c r="AE7" i="24"/>
  <c r="AE7" i="25"/>
  <c r="AZ27" i="24"/>
  <c r="AZ27" i="25"/>
  <c r="AI22" i="25"/>
  <c r="AI22" i="24"/>
  <c r="F17" i="24"/>
  <c r="F17" i="25"/>
  <c r="CJ9" i="24"/>
  <c r="CJ9" i="25"/>
  <c r="N34" i="24"/>
  <c r="N34" i="25"/>
  <c r="CR28" i="25"/>
  <c r="CR28" i="24"/>
  <c r="CA23" i="24"/>
  <c r="CA23" i="25"/>
  <c r="BJ18" i="24"/>
  <c r="BJ18" i="25"/>
  <c r="BB12" i="25"/>
  <c r="BB12" i="24"/>
  <c r="BR8" i="25"/>
  <c r="BR8" i="24"/>
  <c r="CN7" i="24"/>
  <c r="CN7" i="25"/>
  <c r="FV3" i="24"/>
  <c r="CB8" i="24"/>
  <c r="CB8" i="25"/>
  <c r="AS14" i="24"/>
  <c r="AS14" i="25"/>
  <c r="AB9" i="24"/>
  <c r="AB9" i="25"/>
  <c r="K4" i="24"/>
  <c r="K4" i="25"/>
  <c r="DJ4" i="25" s="1"/>
  <c r="BE48" i="24"/>
  <c r="BE48" i="25"/>
  <c r="BU46" i="24"/>
  <c r="BU46" i="25"/>
  <c r="CP44" i="24"/>
  <c r="CP44" i="25"/>
  <c r="CG39" i="24"/>
  <c r="CG39" i="25"/>
  <c r="CE31" i="24"/>
  <c r="CE31" i="25"/>
  <c r="BB22" i="25"/>
  <c r="BB22" i="24"/>
  <c r="Z43" i="24"/>
  <c r="Z43" i="25"/>
  <c r="CS48" i="24"/>
  <c r="CS48" i="25"/>
  <c r="AK42" i="24"/>
  <c r="AK42" i="25"/>
  <c r="BF45" i="25"/>
  <c r="BF45" i="24"/>
  <c r="AH36" i="25"/>
  <c r="AH36" i="24"/>
  <c r="CG44" i="24"/>
  <c r="CG44" i="25"/>
  <c r="AV21" i="24"/>
  <c r="AV21" i="25"/>
  <c r="AR37" i="24"/>
  <c r="AR37" i="25"/>
  <c r="B7" i="24"/>
  <c r="B7" i="25"/>
  <c r="C39" i="24"/>
  <c r="C39" i="25"/>
  <c r="BB32" i="24"/>
  <c r="BB32" i="25"/>
  <c r="AO29" i="24"/>
  <c r="AO29" i="25"/>
  <c r="CR33" i="24"/>
  <c r="CR33" i="25"/>
  <c r="BZ44" i="24"/>
  <c r="BZ44" i="25"/>
  <c r="Y21" i="25"/>
  <c r="Y21" i="24"/>
  <c r="CE51" i="25"/>
  <c r="CE51" i="24"/>
  <c r="BN46" i="25"/>
  <c r="BN46" i="24"/>
  <c r="AW41" i="24"/>
  <c r="AW41" i="25"/>
  <c r="AZ35" i="25"/>
  <c r="AZ35" i="24"/>
  <c r="CL21" i="25"/>
  <c r="CL21" i="24"/>
  <c r="I50" i="24"/>
  <c r="I50" i="25"/>
  <c r="CM44" i="25"/>
  <c r="CM44" i="24"/>
  <c r="BK39" i="24"/>
  <c r="BK39" i="25"/>
  <c r="AU32" i="24"/>
  <c r="AU32" i="25"/>
  <c r="CJ48" i="24"/>
  <c r="CJ48" i="25"/>
  <c r="B45" i="24"/>
  <c r="B45" i="25"/>
  <c r="AG47" i="25"/>
  <c r="AG47" i="24"/>
  <c r="P42" i="25"/>
  <c r="P42" i="24"/>
  <c r="AO36" i="25"/>
  <c r="AO36" i="24"/>
  <c r="BC24" i="25"/>
  <c r="BC24" i="24"/>
  <c r="M41" i="24"/>
  <c r="M41" i="25"/>
  <c r="CV23" i="25"/>
  <c r="CV23" i="24"/>
  <c r="AH49" i="24"/>
  <c r="AH49" i="25"/>
  <c r="Q44" i="25"/>
  <c r="Q44" i="24"/>
  <c r="BZ38" i="24"/>
  <c r="BZ38" i="25"/>
  <c r="CC30" i="25"/>
  <c r="CC30" i="24"/>
  <c r="BR33" i="24"/>
  <c r="BR33" i="25"/>
  <c r="AE27" i="25"/>
  <c r="AE27" i="24"/>
  <c r="CC16" i="25"/>
  <c r="CC16" i="24"/>
  <c r="AN14" i="24"/>
  <c r="AN14" i="25"/>
  <c r="CP10" i="24"/>
  <c r="CP10" i="25"/>
  <c r="AO6" i="24"/>
  <c r="AO6" i="25"/>
  <c r="Q32" i="24"/>
  <c r="Q32" i="25"/>
  <c r="BK24" i="24"/>
  <c r="BK24" i="25"/>
  <c r="BW13" i="25"/>
  <c r="BW13" i="24"/>
  <c r="BV34" i="24"/>
  <c r="BV34" i="25"/>
  <c r="BJ28" i="25"/>
  <c r="BJ28" i="24"/>
  <c r="BX18" i="24"/>
  <c r="BX18" i="25"/>
  <c r="BB35" i="24"/>
  <c r="BB35" i="25"/>
  <c r="BF29" i="24"/>
  <c r="BF29" i="25"/>
  <c r="U20" i="25"/>
  <c r="U20" i="24"/>
  <c r="BH5" i="24"/>
  <c r="BH5" i="25"/>
  <c r="BJ23" i="24"/>
  <c r="BJ23" i="25"/>
  <c r="AS18" i="25"/>
  <c r="AS18" i="24"/>
  <c r="Y12" i="24"/>
  <c r="Y12" i="25"/>
  <c r="DF3" i="24"/>
  <c r="DF4" i="24" s="1"/>
  <c r="DF5" i="24" s="1"/>
  <c r="DF6" i="24" s="1"/>
  <c r="DF7" i="24" s="1"/>
  <c r="DF8" i="24" s="1"/>
  <c r="DF9" i="24" s="1"/>
  <c r="DF10" i="24" s="1"/>
  <c r="DF11" i="24" s="1"/>
  <c r="AB22" i="25"/>
  <c r="AB22" i="24"/>
  <c r="CS16" i="25"/>
  <c r="CS16" i="24"/>
  <c r="BU9" i="25"/>
  <c r="BU9" i="24"/>
  <c r="BU28" i="24"/>
  <c r="BU28" i="25"/>
  <c r="BD23" i="24"/>
  <c r="BD23" i="25"/>
  <c r="AM18" i="24"/>
  <c r="AM18" i="25"/>
  <c r="P12" i="24"/>
  <c r="P12" i="25"/>
  <c r="AI35" i="24"/>
  <c r="AI35" i="25"/>
  <c r="R30" i="25"/>
  <c r="R30" i="24"/>
  <c r="CV24" i="24"/>
  <c r="CV24" i="25"/>
  <c r="CE19" i="24"/>
  <c r="CE19" i="25"/>
  <c r="R14" i="24"/>
  <c r="R14" i="25"/>
  <c r="CH4" i="25"/>
  <c r="GG4" i="25" s="1"/>
  <c r="GG5" i="25" s="1"/>
  <c r="GG6" i="25" s="1"/>
  <c r="CH4" i="24"/>
  <c r="GG4" i="24" s="1"/>
  <c r="GG5" i="24" s="1"/>
  <c r="GG6" i="24" s="1"/>
  <c r="CM9" i="25"/>
  <c r="CM9" i="24"/>
  <c r="BV4" i="25"/>
  <c r="FU4" i="25" s="1"/>
  <c r="FU5" i="25" s="1"/>
  <c r="FU6" i="25" s="1"/>
  <c r="FU7" i="25" s="1"/>
  <c r="FU8" i="25" s="1"/>
  <c r="FU9" i="25" s="1"/>
  <c r="FU10" i="25" s="1"/>
  <c r="BV4" i="24"/>
  <c r="N9" i="24"/>
  <c r="N9" i="25"/>
  <c r="CW9" i="24"/>
  <c r="CW9" i="25"/>
  <c r="CF4" i="24"/>
  <c r="GE4" i="24" s="1"/>
  <c r="GE5" i="24" s="1"/>
  <c r="GE6" i="24" s="1"/>
  <c r="GE7" i="24" s="1"/>
  <c r="CF4" i="25"/>
  <c r="GE4" i="25" s="1"/>
  <c r="GE5" i="25" s="1"/>
  <c r="GE6" i="25" s="1"/>
  <c r="GE7" i="25" s="1"/>
  <c r="BN15" i="25"/>
  <c r="BN15" i="24"/>
  <c r="AW10" i="25"/>
  <c r="AW10" i="24"/>
  <c r="AF5" i="25"/>
  <c r="AF5" i="24"/>
  <c r="AS24" i="24"/>
  <c r="AS24" i="25"/>
  <c r="CM11" i="24"/>
  <c r="CM11" i="25"/>
  <c r="AG4" i="25"/>
  <c r="EF4" i="25" s="1"/>
  <c r="EF5" i="25" s="1"/>
  <c r="EF6" i="25" s="1"/>
  <c r="EF7" i="25" s="1"/>
  <c r="AG4" i="24"/>
  <c r="BF19" i="25"/>
  <c r="BF19" i="24"/>
  <c r="M10" i="25"/>
  <c r="M10" i="24"/>
  <c r="BH31" i="24"/>
  <c r="BH31" i="25"/>
  <c r="E5" i="25"/>
  <c r="E5" i="24"/>
  <c r="CO19" i="24"/>
  <c r="CO19" i="25"/>
  <c r="BT7" i="24"/>
  <c r="BT7" i="25"/>
  <c r="AB21" i="24"/>
  <c r="AB21" i="25"/>
  <c r="P15" i="25"/>
  <c r="P15" i="24"/>
  <c r="CJ32" i="24"/>
  <c r="CJ32" i="25"/>
  <c r="AW13" i="24"/>
  <c r="AW13" i="25"/>
  <c r="G32" i="24"/>
  <c r="G32" i="25"/>
  <c r="CP19" i="24"/>
  <c r="CP19" i="25"/>
  <c r="CH12" i="25"/>
  <c r="CH12" i="24"/>
  <c r="S6" i="25"/>
  <c r="S6" i="24"/>
  <c r="U25" i="25"/>
  <c r="U25" i="24"/>
  <c r="CS35" i="24"/>
  <c r="CS35" i="25"/>
  <c r="CA7" i="24"/>
  <c r="CA7" i="25"/>
  <c r="AE21" i="24"/>
  <c r="AE21" i="25"/>
  <c r="AU10" i="24"/>
  <c r="AU10" i="25"/>
  <c r="BM22" i="24"/>
  <c r="BM22" i="25"/>
  <c r="AA18" i="25"/>
  <c r="AA18" i="24"/>
  <c r="AS34" i="24"/>
  <c r="AS34" i="25"/>
  <c r="BM16" i="25"/>
  <c r="BM16" i="24"/>
  <c r="BK33" i="24"/>
  <c r="BK33" i="25"/>
  <c r="BQ22" i="24"/>
  <c r="BQ22" i="25"/>
  <c r="EZ3" i="24"/>
  <c r="BO11" i="25"/>
  <c r="BO11" i="24"/>
  <c r="AK25" i="25"/>
  <c r="AK25" i="24"/>
  <c r="AJ28" i="24"/>
  <c r="AJ28" i="25"/>
  <c r="T43" i="25"/>
  <c r="T43" i="24"/>
  <c r="M20" i="24"/>
  <c r="M20" i="25"/>
  <c r="R25" i="24"/>
  <c r="R25" i="25"/>
  <c r="CC12" i="25"/>
  <c r="CC12" i="24"/>
  <c r="CS23" i="24"/>
  <c r="CS23" i="25"/>
  <c r="BB14" i="24"/>
  <c r="BB14" i="25"/>
  <c r="AF25" i="24"/>
  <c r="AF25" i="25"/>
  <c r="BH23" i="24"/>
  <c r="BH23" i="25"/>
  <c r="X37" i="24"/>
  <c r="X37" i="25"/>
  <c r="P22" i="25"/>
  <c r="P22" i="24"/>
  <c r="AZ36" i="24"/>
  <c r="AZ36" i="25"/>
  <c r="CJ27" i="25"/>
  <c r="CJ27" i="24"/>
  <c r="CI12" i="24"/>
  <c r="CI12" i="25"/>
  <c r="CM5" i="25"/>
  <c r="CM5" i="24"/>
  <c r="BO29" i="24"/>
  <c r="BO29" i="25"/>
  <c r="U34" i="25"/>
  <c r="U34" i="24"/>
  <c r="CH45" i="25"/>
  <c r="CH45" i="24"/>
  <c r="CR29" i="25"/>
  <c r="CR29" i="24"/>
  <c r="I30" i="24"/>
  <c r="I30" i="25"/>
  <c r="CG43" i="24"/>
  <c r="CG43" i="25"/>
  <c r="AB39" i="25"/>
  <c r="AB39" i="24"/>
  <c r="AS35" i="25"/>
  <c r="AS35" i="24"/>
  <c r="BI46" i="24"/>
  <c r="BI46" i="25"/>
  <c r="AI28" i="24"/>
  <c r="AI28" i="25"/>
  <c r="S43" i="24"/>
  <c r="S43" i="25"/>
  <c r="M36" i="24"/>
  <c r="M36" i="25"/>
  <c r="M47" i="24"/>
  <c r="M47" i="25"/>
  <c r="BN51" i="24"/>
  <c r="BN51" i="25"/>
  <c r="B32" i="25"/>
  <c r="B32" i="24"/>
  <c r="BL51" i="24"/>
  <c r="BL51" i="25"/>
  <c r="AC33" i="25"/>
  <c r="AC33" i="24"/>
  <c r="T47" i="24"/>
  <c r="T47" i="25"/>
  <c r="AB47" i="24"/>
  <c r="AB47" i="25"/>
  <c r="AP40" i="25"/>
  <c r="AP40" i="24"/>
  <c r="BY49" i="24"/>
  <c r="BY49" i="25"/>
  <c r="CI35" i="24"/>
  <c r="CI35" i="25"/>
  <c r="CP31" i="24"/>
  <c r="CP31" i="25"/>
  <c r="BP37" i="25"/>
  <c r="BP37" i="24"/>
  <c r="CN36" i="24"/>
  <c r="CN36" i="25"/>
  <c r="AQ48" i="24"/>
  <c r="AQ48" i="25"/>
  <c r="B49" i="24"/>
  <c r="B49" i="25"/>
  <c r="N19" i="25"/>
  <c r="N19" i="24"/>
  <c r="AZ33" i="25"/>
  <c r="AZ33" i="24"/>
  <c r="CU41" i="25"/>
  <c r="CU41" i="24"/>
  <c r="V51" i="25"/>
  <c r="V51" i="24"/>
  <c r="CE48" i="24"/>
  <c r="CE48" i="25"/>
  <c r="BD43" i="24"/>
  <c r="BD43" i="25"/>
  <c r="CT18" i="25"/>
  <c r="CT18" i="24"/>
  <c r="BU36" i="25"/>
  <c r="BU36" i="24"/>
  <c r="BE42" i="24"/>
  <c r="BE42" i="25"/>
  <c r="CV37" i="24"/>
  <c r="CV37" i="25"/>
  <c r="BU35" i="25"/>
  <c r="BU35" i="24"/>
  <c r="CK43" i="24"/>
  <c r="CK43" i="25"/>
  <c r="B2" i="24"/>
  <c r="DA2" i="24" s="1"/>
  <c r="CY8" i="25"/>
  <c r="T57" i="1"/>
  <c r="I58" i="1"/>
  <c r="EK6" i="25" l="1"/>
  <c r="EK7" i="25" s="1"/>
  <c r="GR5" i="24"/>
  <c r="GK5" i="25"/>
  <c r="DK4" i="24"/>
  <c r="FA5" i="25"/>
  <c r="FA6" i="25" s="1"/>
  <c r="FA7" i="25" s="1"/>
  <c r="FA8" i="25" s="1"/>
  <c r="FA9" i="25" s="1"/>
  <c r="FA10" i="25" s="1"/>
  <c r="FA11" i="25" s="1"/>
  <c r="FA12" i="25" s="1"/>
  <c r="FA13" i="25" s="1"/>
  <c r="FA14" i="25" s="1"/>
  <c r="FA15" i="25" s="1"/>
  <c r="FA16" i="25" s="1"/>
  <c r="FA17" i="25" s="1"/>
  <c r="FA18" i="25" s="1"/>
  <c r="FA19" i="25" s="1"/>
  <c r="FA20" i="25" s="1"/>
  <c r="FA21" i="25" s="1"/>
  <c r="FA22" i="25" s="1"/>
  <c r="FA23" i="25" s="1"/>
  <c r="FA24" i="25" s="1"/>
  <c r="FA25" i="25" s="1"/>
  <c r="FA26" i="25" s="1"/>
  <c r="FA27" i="25" s="1"/>
  <c r="FA28" i="25" s="1"/>
  <c r="FA29" i="25" s="1"/>
  <c r="FA30" i="25" s="1"/>
  <c r="FA31" i="25" s="1"/>
  <c r="FA32" i="25" s="1"/>
  <c r="FA33" i="25" s="1"/>
  <c r="FA34" i="25" s="1"/>
  <c r="FA35" i="25" s="1"/>
  <c r="FA36" i="25" s="1"/>
  <c r="FA37" i="25" s="1"/>
  <c r="FA38" i="25" s="1"/>
  <c r="FA39" i="25" s="1"/>
  <c r="FA40" i="25" s="1"/>
  <c r="FA41" i="25" s="1"/>
  <c r="FA42" i="25" s="1"/>
  <c r="FA43" i="25" s="1"/>
  <c r="FA44" i="25" s="1"/>
  <c r="FA45" i="25" s="1"/>
  <c r="FA46" i="25" s="1"/>
  <c r="FA47" i="25" s="1"/>
  <c r="FA48" i="25" s="1"/>
  <c r="FA49" i="25" s="1"/>
  <c r="FA50" i="25" s="1"/>
  <c r="FA51" i="25" s="1"/>
  <c r="FK5" i="25"/>
  <c r="FK6" i="25" s="1"/>
  <c r="FK7" i="25" s="1"/>
  <c r="FK8" i="25" s="1"/>
  <c r="FK9" i="25" s="1"/>
  <c r="FK10" i="25" s="1"/>
  <c r="FK11" i="25" s="1"/>
  <c r="FK12" i="25" s="1"/>
  <c r="FK13" i="25" s="1"/>
  <c r="FK14" i="25" s="1"/>
  <c r="FK15" i="25" s="1"/>
  <c r="FK16" i="25" s="1"/>
  <c r="FK17" i="25" s="1"/>
  <c r="FK18" i="25" s="1"/>
  <c r="FK19" i="25" s="1"/>
  <c r="FK20" i="25" s="1"/>
  <c r="FK21" i="25" s="1"/>
  <c r="FK22" i="25" s="1"/>
  <c r="FK23" i="25" s="1"/>
  <c r="FK24" i="25" s="1"/>
  <c r="FK25" i="25" s="1"/>
  <c r="FK26" i="25" s="1"/>
  <c r="FK27" i="25" s="1"/>
  <c r="FK28" i="25" s="1"/>
  <c r="FK29" i="25" s="1"/>
  <c r="FK30" i="25" s="1"/>
  <c r="FK31" i="25" s="1"/>
  <c r="FK32" i="25" s="1"/>
  <c r="FK33" i="25" s="1"/>
  <c r="FK34" i="25" s="1"/>
  <c r="FK35" i="25" s="1"/>
  <c r="FK36" i="25" s="1"/>
  <c r="FK37" i="25" s="1"/>
  <c r="FK38" i="25" s="1"/>
  <c r="FK39" i="25" s="1"/>
  <c r="FK40" i="25" s="1"/>
  <c r="FK41" i="25" s="1"/>
  <c r="FK42" i="25" s="1"/>
  <c r="FK43" i="25" s="1"/>
  <c r="FK44" i="25" s="1"/>
  <c r="FK45" i="25" s="1"/>
  <c r="FK46" i="25" s="1"/>
  <c r="FK47" i="25" s="1"/>
  <c r="FK48" i="25" s="1"/>
  <c r="FK49" i="25" s="1"/>
  <c r="FK50" i="25" s="1"/>
  <c r="FK51" i="25" s="1"/>
  <c r="EY7" i="24"/>
  <c r="EY8" i="24" s="1"/>
  <c r="EY9" i="24" s="1"/>
  <c r="EY10" i="24" s="1"/>
  <c r="EY11" i="24" s="1"/>
  <c r="EY12" i="24" s="1"/>
  <c r="EY13" i="24" s="1"/>
  <c r="EY14" i="24" s="1"/>
  <c r="EY15" i="24" s="1"/>
  <c r="EY16" i="24" s="1"/>
  <c r="EY17" i="24" s="1"/>
  <c r="EY18" i="24" s="1"/>
  <c r="EY19" i="24" s="1"/>
  <c r="EY20" i="24" s="1"/>
  <c r="EY21" i="24" s="1"/>
  <c r="EY22" i="24" s="1"/>
  <c r="EY23" i="24" s="1"/>
  <c r="EY24" i="24" s="1"/>
  <c r="EY25" i="24" s="1"/>
  <c r="EY26" i="24" s="1"/>
  <c r="EY27" i="24" s="1"/>
  <c r="EY28" i="24" s="1"/>
  <c r="EY29" i="24" s="1"/>
  <c r="EY30" i="24" s="1"/>
  <c r="EY31" i="24" s="1"/>
  <c r="EY32" i="24" s="1"/>
  <c r="EY33" i="24" s="1"/>
  <c r="EY34" i="24" s="1"/>
  <c r="EY35" i="24" s="1"/>
  <c r="EY36" i="24" s="1"/>
  <c r="EY37" i="24" s="1"/>
  <c r="EY38" i="24" s="1"/>
  <c r="EY39" i="24" s="1"/>
  <c r="EY40" i="24" s="1"/>
  <c r="EY41" i="24" s="1"/>
  <c r="EY42" i="24" s="1"/>
  <c r="EY43" i="24" s="1"/>
  <c r="EY44" i="24" s="1"/>
  <c r="EY45" i="24" s="1"/>
  <c r="EY46" i="24" s="1"/>
  <c r="EY47" i="24" s="1"/>
  <c r="EY48" i="24" s="1"/>
  <c r="EY49" i="24" s="1"/>
  <c r="EY50" i="24" s="1"/>
  <c r="EY51" i="24" s="1"/>
  <c r="DP4" i="24"/>
  <c r="DP5" i="24" s="1"/>
  <c r="DP6" i="24" s="1"/>
  <c r="DP7" i="24" s="1"/>
  <c r="DP8" i="24" s="1"/>
  <c r="DP9" i="24" s="1"/>
  <c r="DP10" i="24" s="1"/>
  <c r="DP11" i="24" s="1"/>
  <c r="DP12" i="24" s="1"/>
  <c r="DP13" i="24" s="1"/>
  <c r="DP14" i="24" s="1"/>
  <c r="DP15" i="24" s="1"/>
  <c r="DP16" i="24" s="1"/>
  <c r="DP17" i="24" s="1"/>
  <c r="DP18" i="24" s="1"/>
  <c r="DP19" i="24" s="1"/>
  <c r="DP20" i="24" s="1"/>
  <c r="DP21" i="24" s="1"/>
  <c r="DP22" i="24" s="1"/>
  <c r="DP23" i="24" s="1"/>
  <c r="DP24" i="24" s="1"/>
  <c r="DP25" i="24" s="1"/>
  <c r="DP26" i="24" s="1"/>
  <c r="DP27" i="24" s="1"/>
  <c r="DP28" i="24" s="1"/>
  <c r="DP29" i="24" s="1"/>
  <c r="DP30" i="24" s="1"/>
  <c r="DP31" i="24" s="1"/>
  <c r="DP32" i="24" s="1"/>
  <c r="DP33" i="24" s="1"/>
  <c r="DP34" i="24" s="1"/>
  <c r="DP35" i="24" s="1"/>
  <c r="DP36" i="24" s="1"/>
  <c r="DP37" i="24" s="1"/>
  <c r="DP38" i="24" s="1"/>
  <c r="DP39" i="24" s="1"/>
  <c r="DP40" i="24" s="1"/>
  <c r="DP41" i="24" s="1"/>
  <c r="DP42" i="24" s="1"/>
  <c r="DP43" i="24" s="1"/>
  <c r="DP44" i="24" s="1"/>
  <c r="DP45" i="24" s="1"/>
  <c r="DP46" i="24" s="1"/>
  <c r="DP47" i="24" s="1"/>
  <c r="DP48" i="24" s="1"/>
  <c r="DP49" i="24" s="1"/>
  <c r="DP50" i="24" s="1"/>
  <c r="DP51" i="24" s="1"/>
  <c r="GF5" i="25"/>
  <c r="GF6" i="25" s="1"/>
  <c r="GF7" i="25" s="1"/>
  <c r="GF8" i="25" s="1"/>
  <c r="GF9" i="25" s="1"/>
  <c r="GF10" i="25" s="1"/>
  <c r="GF11" i="25" s="1"/>
  <c r="GF12" i="25" s="1"/>
  <c r="GF13" i="25" s="1"/>
  <c r="GF14" i="25" s="1"/>
  <c r="GF15" i="25" s="1"/>
  <c r="GF16" i="25" s="1"/>
  <c r="GF17" i="25" s="1"/>
  <c r="GF18" i="25" s="1"/>
  <c r="GF19" i="25" s="1"/>
  <c r="GF20" i="25" s="1"/>
  <c r="GF21" i="25" s="1"/>
  <c r="GF22" i="25" s="1"/>
  <c r="GF23" i="25" s="1"/>
  <c r="GF24" i="25" s="1"/>
  <c r="GF25" i="25" s="1"/>
  <c r="GF26" i="25" s="1"/>
  <c r="GF27" i="25" s="1"/>
  <c r="GF28" i="25" s="1"/>
  <c r="GF29" i="25" s="1"/>
  <c r="GF30" i="25" s="1"/>
  <c r="GF31" i="25" s="1"/>
  <c r="GF32" i="25" s="1"/>
  <c r="GF33" i="25" s="1"/>
  <c r="GF34" i="25" s="1"/>
  <c r="GF35" i="25" s="1"/>
  <c r="GF36" i="25" s="1"/>
  <c r="GF37" i="25" s="1"/>
  <c r="GF38" i="25" s="1"/>
  <c r="GF39" i="25" s="1"/>
  <c r="GF40" i="25" s="1"/>
  <c r="GF41" i="25" s="1"/>
  <c r="GF42" i="25" s="1"/>
  <c r="GF43" i="25" s="1"/>
  <c r="GF44" i="25" s="1"/>
  <c r="GF45" i="25" s="1"/>
  <c r="GF46" i="25" s="1"/>
  <c r="GF47" i="25" s="1"/>
  <c r="GF48" i="25" s="1"/>
  <c r="GF49" i="25" s="1"/>
  <c r="GF50" i="25" s="1"/>
  <c r="GF51" i="25" s="1"/>
  <c r="DI4" i="24"/>
  <c r="DI5" i="24" s="1"/>
  <c r="DI6" i="24" s="1"/>
  <c r="DI7" i="24" s="1"/>
  <c r="DI8" i="24" s="1"/>
  <c r="DI9" i="24" s="1"/>
  <c r="DI10" i="24" s="1"/>
  <c r="DI11" i="24" s="1"/>
  <c r="DI12" i="24" s="1"/>
  <c r="DI13" i="24" s="1"/>
  <c r="DI14" i="24" s="1"/>
  <c r="DI15" i="24" s="1"/>
  <c r="DI16" i="24" s="1"/>
  <c r="DI17" i="24" s="1"/>
  <c r="DI18" i="24" s="1"/>
  <c r="DI19" i="24" s="1"/>
  <c r="DI20" i="24" s="1"/>
  <c r="DI21" i="24" s="1"/>
  <c r="DI22" i="24" s="1"/>
  <c r="DI23" i="24" s="1"/>
  <c r="DI24" i="24" s="1"/>
  <c r="DI25" i="24" s="1"/>
  <c r="DI26" i="24" s="1"/>
  <c r="DI27" i="24" s="1"/>
  <c r="DI28" i="24" s="1"/>
  <c r="DI29" i="24" s="1"/>
  <c r="DI30" i="24" s="1"/>
  <c r="DI31" i="24" s="1"/>
  <c r="DI32" i="24" s="1"/>
  <c r="DI33" i="24" s="1"/>
  <c r="DI34" i="24" s="1"/>
  <c r="DI35" i="24" s="1"/>
  <c r="DI36" i="24" s="1"/>
  <c r="DI37" i="24" s="1"/>
  <c r="DI38" i="24" s="1"/>
  <c r="DI39" i="24" s="1"/>
  <c r="DI40" i="24" s="1"/>
  <c r="DI41" i="24" s="1"/>
  <c r="DI42" i="24" s="1"/>
  <c r="DI43" i="24" s="1"/>
  <c r="DI44" i="24" s="1"/>
  <c r="DI45" i="24" s="1"/>
  <c r="DI46" i="24" s="1"/>
  <c r="DI47" i="24" s="1"/>
  <c r="DI48" i="24" s="1"/>
  <c r="DI49" i="24" s="1"/>
  <c r="DI50" i="24" s="1"/>
  <c r="DI51" i="24" s="1"/>
  <c r="EK5" i="24"/>
  <c r="EK6" i="24" s="1"/>
  <c r="EK7" i="24" s="1"/>
  <c r="EK8" i="24" s="1"/>
  <c r="EK9" i="24" s="1"/>
  <c r="EK10" i="24" s="1"/>
  <c r="EK11" i="24" s="1"/>
  <c r="EK12" i="24" s="1"/>
  <c r="EK13" i="24" s="1"/>
  <c r="EK14" i="24" s="1"/>
  <c r="EK15" i="24" s="1"/>
  <c r="EK16" i="24" s="1"/>
  <c r="EK17" i="24" s="1"/>
  <c r="EK18" i="24" s="1"/>
  <c r="EK19" i="24" s="1"/>
  <c r="EK20" i="24" s="1"/>
  <c r="EK21" i="24" s="1"/>
  <c r="EK22" i="24" s="1"/>
  <c r="EK23" i="24" s="1"/>
  <c r="EK24" i="24" s="1"/>
  <c r="EK25" i="24" s="1"/>
  <c r="EK26" i="24" s="1"/>
  <c r="EK27" i="24" s="1"/>
  <c r="EK28" i="24" s="1"/>
  <c r="EK29" i="24" s="1"/>
  <c r="EK30" i="24" s="1"/>
  <c r="EK31" i="24" s="1"/>
  <c r="EK32" i="24" s="1"/>
  <c r="EK33" i="24" s="1"/>
  <c r="EK34" i="24" s="1"/>
  <c r="EK35" i="24" s="1"/>
  <c r="EK36" i="24" s="1"/>
  <c r="EK37" i="24" s="1"/>
  <c r="EK38" i="24" s="1"/>
  <c r="EK39" i="24" s="1"/>
  <c r="EK40" i="24" s="1"/>
  <c r="EK41" i="24" s="1"/>
  <c r="EK42" i="24" s="1"/>
  <c r="EK43" i="24" s="1"/>
  <c r="EK44" i="24" s="1"/>
  <c r="EK45" i="24" s="1"/>
  <c r="EK46" i="24" s="1"/>
  <c r="EK47" i="24" s="1"/>
  <c r="EK48" i="24" s="1"/>
  <c r="EK49" i="24" s="1"/>
  <c r="EK50" i="24" s="1"/>
  <c r="EK51" i="24" s="1"/>
  <c r="GF4" i="24"/>
  <c r="GF5" i="24" s="1"/>
  <c r="GF6" i="24" s="1"/>
  <c r="GF7" i="24" s="1"/>
  <c r="GF8" i="24" s="1"/>
  <c r="GF9" i="24" s="1"/>
  <c r="GF10" i="24" s="1"/>
  <c r="GF11" i="24" s="1"/>
  <c r="GF12" i="24" s="1"/>
  <c r="GF13" i="24" s="1"/>
  <c r="GF14" i="24" s="1"/>
  <c r="GF15" i="24" s="1"/>
  <c r="GF16" i="24" s="1"/>
  <c r="GF17" i="24" s="1"/>
  <c r="GF18" i="24" s="1"/>
  <c r="GF19" i="24" s="1"/>
  <c r="GF20" i="24" s="1"/>
  <c r="GF21" i="24" s="1"/>
  <c r="GF22" i="24" s="1"/>
  <c r="GF23" i="24" s="1"/>
  <c r="GF24" i="24" s="1"/>
  <c r="GF25" i="24" s="1"/>
  <c r="GF26" i="24" s="1"/>
  <c r="GF27" i="24" s="1"/>
  <c r="GF28" i="24" s="1"/>
  <c r="GF29" i="24" s="1"/>
  <c r="GF30" i="24" s="1"/>
  <c r="GF31" i="24" s="1"/>
  <c r="GF32" i="24" s="1"/>
  <c r="GF33" i="24" s="1"/>
  <c r="GF34" i="24" s="1"/>
  <c r="GF35" i="24" s="1"/>
  <c r="GF36" i="24" s="1"/>
  <c r="GF37" i="24" s="1"/>
  <c r="GF38" i="24" s="1"/>
  <c r="GF39" i="24" s="1"/>
  <c r="GF40" i="24" s="1"/>
  <c r="GF41" i="24" s="1"/>
  <c r="GF42" i="24" s="1"/>
  <c r="GF43" i="24" s="1"/>
  <c r="GF44" i="24" s="1"/>
  <c r="GF45" i="24" s="1"/>
  <c r="GF46" i="24" s="1"/>
  <c r="GF47" i="24" s="1"/>
  <c r="GF48" i="24" s="1"/>
  <c r="GF49" i="24" s="1"/>
  <c r="GF50" i="24" s="1"/>
  <c r="GF51" i="24" s="1"/>
  <c r="FU11" i="25"/>
  <c r="FU12" i="25" s="1"/>
  <c r="FU13" i="25" s="1"/>
  <c r="FU14" i="25" s="1"/>
  <c r="FU15" i="25" s="1"/>
  <c r="FU16" i="25" s="1"/>
  <c r="FU17" i="25" s="1"/>
  <c r="FU18" i="25" s="1"/>
  <c r="FU19" i="25" s="1"/>
  <c r="FU20" i="25" s="1"/>
  <c r="FU21" i="25" s="1"/>
  <c r="FU22" i="25" s="1"/>
  <c r="FU23" i="25" s="1"/>
  <c r="FU24" i="25" s="1"/>
  <c r="FU25" i="25" s="1"/>
  <c r="FU26" i="25" s="1"/>
  <c r="FU27" i="25" s="1"/>
  <c r="FU28" i="25" s="1"/>
  <c r="FU29" i="25" s="1"/>
  <c r="FU30" i="25" s="1"/>
  <c r="FU31" i="25" s="1"/>
  <c r="FU32" i="25" s="1"/>
  <c r="FU33" i="25" s="1"/>
  <c r="FU34" i="25" s="1"/>
  <c r="FU35" i="25" s="1"/>
  <c r="FU36" i="25" s="1"/>
  <c r="FU37" i="25" s="1"/>
  <c r="FU38" i="25" s="1"/>
  <c r="FU39" i="25" s="1"/>
  <c r="FU40" i="25" s="1"/>
  <c r="FU41" i="25" s="1"/>
  <c r="FU42" i="25" s="1"/>
  <c r="FU43" i="25" s="1"/>
  <c r="FU44" i="25" s="1"/>
  <c r="FU45" i="25" s="1"/>
  <c r="FU46" i="25" s="1"/>
  <c r="FU47" i="25" s="1"/>
  <c r="FU48" i="25" s="1"/>
  <c r="FU49" i="25" s="1"/>
  <c r="FU50" i="25" s="1"/>
  <c r="FU51" i="25" s="1"/>
  <c r="DJ5" i="25"/>
  <c r="DJ6" i="25" s="1"/>
  <c r="DJ7" i="25" s="1"/>
  <c r="DJ8" i="25" s="1"/>
  <c r="DJ9" i="25" s="1"/>
  <c r="DJ10" i="25" s="1"/>
  <c r="DJ11" i="25" s="1"/>
  <c r="DJ12" i="25" s="1"/>
  <c r="DJ13" i="25" s="1"/>
  <c r="DJ14" i="25" s="1"/>
  <c r="DJ15" i="25" s="1"/>
  <c r="DJ16" i="25" s="1"/>
  <c r="DJ17" i="25" s="1"/>
  <c r="DJ18" i="25" s="1"/>
  <c r="DJ19" i="25" s="1"/>
  <c r="DJ20" i="25" s="1"/>
  <c r="DJ21" i="25" s="1"/>
  <c r="DJ22" i="25" s="1"/>
  <c r="DJ23" i="25" s="1"/>
  <c r="DJ24" i="25" s="1"/>
  <c r="DJ25" i="25" s="1"/>
  <c r="DJ26" i="25" s="1"/>
  <c r="DJ27" i="25" s="1"/>
  <c r="DJ28" i="25" s="1"/>
  <c r="DJ29" i="25" s="1"/>
  <c r="DJ30" i="25" s="1"/>
  <c r="DJ31" i="25" s="1"/>
  <c r="DJ32" i="25" s="1"/>
  <c r="DJ33" i="25" s="1"/>
  <c r="DJ34" i="25" s="1"/>
  <c r="DJ35" i="25" s="1"/>
  <c r="DJ36" i="25" s="1"/>
  <c r="DJ37" i="25" s="1"/>
  <c r="DJ38" i="25" s="1"/>
  <c r="DJ39" i="25" s="1"/>
  <c r="DJ40" i="25" s="1"/>
  <c r="DJ41" i="25" s="1"/>
  <c r="DJ42" i="25" s="1"/>
  <c r="DJ43" i="25" s="1"/>
  <c r="DJ44" i="25" s="1"/>
  <c r="DJ45" i="25" s="1"/>
  <c r="DJ46" i="25" s="1"/>
  <c r="DJ47" i="25" s="1"/>
  <c r="DJ48" i="25" s="1"/>
  <c r="DJ49" i="25" s="1"/>
  <c r="DJ50" i="25" s="1"/>
  <c r="DJ51" i="25" s="1"/>
  <c r="DZ11" i="25"/>
  <c r="DZ12" i="25" s="1"/>
  <c r="DZ13" i="25" s="1"/>
  <c r="DZ14" i="25" s="1"/>
  <c r="DZ15" i="25" s="1"/>
  <c r="DZ16" i="25" s="1"/>
  <c r="DZ17" i="25" s="1"/>
  <c r="DZ18" i="25" s="1"/>
  <c r="DZ19" i="25" s="1"/>
  <c r="DZ20" i="25" s="1"/>
  <c r="DZ21" i="25" s="1"/>
  <c r="DZ22" i="25" s="1"/>
  <c r="DZ23" i="25" s="1"/>
  <c r="DZ24" i="25" s="1"/>
  <c r="DZ25" i="25" s="1"/>
  <c r="DZ26" i="25" s="1"/>
  <c r="DZ27" i="25" s="1"/>
  <c r="DZ28" i="25" s="1"/>
  <c r="DZ29" i="25" s="1"/>
  <c r="DZ30" i="25" s="1"/>
  <c r="DZ31" i="25" s="1"/>
  <c r="DZ32" i="25" s="1"/>
  <c r="DZ33" i="25" s="1"/>
  <c r="DZ34" i="25" s="1"/>
  <c r="DZ35" i="25" s="1"/>
  <c r="DZ36" i="25" s="1"/>
  <c r="DZ37" i="25" s="1"/>
  <c r="DZ38" i="25" s="1"/>
  <c r="DZ39" i="25" s="1"/>
  <c r="DZ40" i="25" s="1"/>
  <c r="DZ41" i="25" s="1"/>
  <c r="DZ42" i="25" s="1"/>
  <c r="DZ43" i="25" s="1"/>
  <c r="DZ44" i="25" s="1"/>
  <c r="DZ45" i="25" s="1"/>
  <c r="DZ46" i="25" s="1"/>
  <c r="DZ47" i="25" s="1"/>
  <c r="DZ48" i="25" s="1"/>
  <c r="DZ49" i="25" s="1"/>
  <c r="DZ50" i="25" s="1"/>
  <c r="DZ51" i="25" s="1"/>
  <c r="EI14" i="25"/>
  <c r="EI15" i="25" s="1"/>
  <c r="EI16" i="25" s="1"/>
  <c r="EI17" i="25" s="1"/>
  <c r="EI18" i="25" s="1"/>
  <c r="EI19" i="25" s="1"/>
  <c r="EI20" i="25" s="1"/>
  <c r="EI21" i="25" s="1"/>
  <c r="EI22" i="25" s="1"/>
  <c r="EI23" i="25" s="1"/>
  <c r="EI24" i="25" s="1"/>
  <c r="EI25" i="25" s="1"/>
  <c r="EI26" i="25" s="1"/>
  <c r="EI27" i="25" s="1"/>
  <c r="EI28" i="25" s="1"/>
  <c r="EI29" i="25" s="1"/>
  <c r="EI30" i="25" s="1"/>
  <c r="EI31" i="25" s="1"/>
  <c r="EI32" i="25" s="1"/>
  <c r="EI33" i="25" s="1"/>
  <c r="EI34" i="25" s="1"/>
  <c r="EI35" i="25" s="1"/>
  <c r="EI36" i="25" s="1"/>
  <c r="EI37" i="25" s="1"/>
  <c r="EI38" i="25" s="1"/>
  <c r="EI39" i="25" s="1"/>
  <c r="EI40" i="25" s="1"/>
  <c r="EI41" i="25" s="1"/>
  <c r="EI42" i="25" s="1"/>
  <c r="EI43" i="25" s="1"/>
  <c r="EI44" i="25" s="1"/>
  <c r="EI45" i="25" s="1"/>
  <c r="EI46" i="25" s="1"/>
  <c r="EI47" i="25" s="1"/>
  <c r="EI48" i="25" s="1"/>
  <c r="EI49" i="25" s="1"/>
  <c r="EI50" i="25" s="1"/>
  <c r="EI51" i="25" s="1"/>
  <c r="FR5" i="25"/>
  <c r="FR6" i="25" s="1"/>
  <c r="FR7" i="25" s="1"/>
  <c r="FR8" i="25" s="1"/>
  <c r="FR9" i="25" s="1"/>
  <c r="FR10" i="25" s="1"/>
  <c r="FR11" i="25" s="1"/>
  <c r="FR12" i="25" s="1"/>
  <c r="FR13" i="25" s="1"/>
  <c r="FR14" i="25" s="1"/>
  <c r="FR15" i="25" s="1"/>
  <c r="FR16" i="25" s="1"/>
  <c r="FR17" i="25" s="1"/>
  <c r="FR18" i="25" s="1"/>
  <c r="FR19" i="25" s="1"/>
  <c r="FR20" i="25" s="1"/>
  <c r="FR21" i="25" s="1"/>
  <c r="FR22" i="25" s="1"/>
  <c r="FR23" i="25" s="1"/>
  <c r="FR24" i="25" s="1"/>
  <c r="FR25" i="25" s="1"/>
  <c r="FR26" i="25" s="1"/>
  <c r="FR27" i="25" s="1"/>
  <c r="FR28" i="25" s="1"/>
  <c r="FR29" i="25" s="1"/>
  <c r="FR30" i="25" s="1"/>
  <c r="FR31" i="25" s="1"/>
  <c r="FR32" i="25" s="1"/>
  <c r="FR33" i="25" s="1"/>
  <c r="FR34" i="25" s="1"/>
  <c r="FR35" i="25" s="1"/>
  <c r="FR36" i="25" s="1"/>
  <c r="FR37" i="25" s="1"/>
  <c r="FR38" i="25" s="1"/>
  <c r="FR39" i="25" s="1"/>
  <c r="FR40" i="25" s="1"/>
  <c r="FR41" i="25" s="1"/>
  <c r="FR42" i="25" s="1"/>
  <c r="FR43" i="25" s="1"/>
  <c r="FR44" i="25" s="1"/>
  <c r="FR45" i="25" s="1"/>
  <c r="FR46" i="25" s="1"/>
  <c r="FR47" i="25" s="1"/>
  <c r="FR48" i="25" s="1"/>
  <c r="FR49" i="25" s="1"/>
  <c r="FR50" i="25" s="1"/>
  <c r="FR51" i="25" s="1"/>
  <c r="FT4" i="24"/>
  <c r="FT5" i="24" s="1"/>
  <c r="FT6" i="24" s="1"/>
  <c r="FT7" i="24" s="1"/>
  <c r="FT8" i="24" s="1"/>
  <c r="FT9" i="24" s="1"/>
  <c r="FT10" i="24" s="1"/>
  <c r="FT11" i="24" s="1"/>
  <c r="FT12" i="24" s="1"/>
  <c r="FT13" i="24" s="1"/>
  <c r="FT14" i="24" s="1"/>
  <c r="FT15" i="24" s="1"/>
  <c r="FT16" i="24" s="1"/>
  <c r="FT17" i="24" s="1"/>
  <c r="FT18" i="24" s="1"/>
  <c r="FT19" i="24" s="1"/>
  <c r="FT20" i="24" s="1"/>
  <c r="FT21" i="24" s="1"/>
  <c r="FT22" i="24" s="1"/>
  <c r="FT23" i="24" s="1"/>
  <c r="FT24" i="24" s="1"/>
  <c r="FT25" i="24" s="1"/>
  <c r="FT26" i="24" s="1"/>
  <c r="FT27" i="24" s="1"/>
  <c r="FT28" i="24" s="1"/>
  <c r="FT29" i="24" s="1"/>
  <c r="FT30" i="24" s="1"/>
  <c r="FT31" i="24" s="1"/>
  <c r="FT32" i="24" s="1"/>
  <c r="FT33" i="24" s="1"/>
  <c r="FT34" i="24" s="1"/>
  <c r="FT35" i="24" s="1"/>
  <c r="FT36" i="24" s="1"/>
  <c r="FT37" i="24" s="1"/>
  <c r="FT38" i="24" s="1"/>
  <c r="FT39" i="24" s="1"/>
  <c r="FT40" i="24" s="1"/>
  <c r="FT41" i="24" s="1"/>
  <c r="FT42" i="24" s="1"/>
  <c r="FT43" i="24" s="1"/>
  <c r="FT44" i="24" s="1"/>
  <c r="FT45" i="24" s="1"/>
  <c r="FT46" i="24" s="1"/>
  <c r="FT47" i="24" s="1"/>
  <c r="FT48" i="24" s="1"/>
  <c r="FT49" i="24" s="1"/>
  <c r="FT50" i="24" s="1"/>
  <c r="FT51" i="24" s="1"/>
  <c r="DY5" i="25"/>
  <c r="DY6" i="25" s="1"/>
  <c r="DY7" i="25" s="1"/>
  <c r="DY8" i="25" s="1"/>
  <c r="DY9" i="25" s="1"/>
  <c r="DY10" i="25" s="1"/>
  <c r="DY11" i="25" s="1"/>
  <c r="DY12" i="25" s="1"/>
  <c r="DY13" i="25" s="1"/>
  <c r="DY14" i="25" s="1"/>
  <c r="DY15" i="25" s="1"/>
  <c r="DY16" i="25" s="1"/>
  <c r="DY17" i="25" s="1"/>
  <c r="DY18" i="25" s="1"/>
  <c r="DY19" i="25" s="1"/>
  <c r="DY20" i="25" s="1"/>
  <c r="DY21" i="25" s="1"/>
  <c r="DY22" i="25" s="1"/>
  <c r="DY23" i="25" s="1"/>
  <c r="DY24" i="25" s="1"/>
  <c r="DY25" i="25" s="1"/>
  <c r="DY26" i="25" s="1"/>
  <c r="DY27" i="25" s="1"/>
  <c r="DY28" i="25" s="1"/>
  <c r="DY29" i="25" s="1"/>
  <c r="DY30" i="25" s="1"/>
  <c r="DY31" i="25" s="1"/>
  <c r="DY32" i="25" s="1"/>
  <c r="DY33" i="25" s="1"/>
  <c r="DY34" i="25" s="1"/>
  <c r="DY35" i="25" s="1"/>
  <c r="DY36" i="25" s="1"/>
  <c r="DY37" i="25" s="1"/>
  <c r="DY38" i="25" s="1"/>
  <c r="DY39" i="25" s="1"/>
  <c r="DY40" i="25" s="1"/>
  <c r="DY41" i="25" s="1"/>
  <c r="DY42" i="25" s="1"/>
  <c r="DY43" i="25" s="1"/>
  <c r="DY44" i="25" s="1"/>
  <c r="DY45" i="25" s="1"/>
  <c r="DY46" i="25" s="1"/>
  <c r="DY47" i="25" s="1"/>
  <c r="DY48" i="25" s="1"/>
  <c r="DY49" i="25" s="1"/>
  <c r="DY50" i="25" s="1"/>
  <c r="DY51" i="25" s="1"/>
  <c r="ER4" i="24"/>
  <c r="ER5" i="24" s="1"/>
  <c r="ER6" i="24" s="1"/>
  <c r="ER7" i="24" s="1"/>
  <c r="ER8" i="24" s="1"/>
  <c r="ER9" i="24" s="1"/>
  <c r="ER10" i="24" s="1"/>
  <c r="ER11" i="24" s="1"/>
  <c r="ER12" i="24" s="1"/>
  <c r="ER13" i="24" s="1"/>
  <c r="ER14" i="24" s="1"/>
  <c r="ER15" i="24" s="1"/>
  <c r="ER16" i="24" s="1"/>
  <c r="ER17" i="24" s="1"/>
  <c r="ER18" i="24" s="1"/>
  <c r="ER19" i="24" s="1"/>
  <c r="ER20" i="24" s="1"/>
  <c r="ER21" i="24" s="1"/>
  <c r="ER22" i="24" s="1"/>
  <c r="ER23" i="24" s="1"/>
  <c r="ER24" i="24" s="1"/>
  <c r="ER25" i="24" s="1"/>
  <c r="ER26" i="24" s="1"/>
  <c r="ER27" i="24" s="1"/>
  <c r="ER28" i="24" s="1"/>
  <c r="ER29" i="24" s="1"/>
  <c r="ER30" i="24" s="1"/>
  <c r="ER31" i="24" s="1"/>
  <c r="ER32" i="24" s="1"/>
  <c r="ER33" i="24" s="1"/>
  <c r="ER34" i="24" s="1"/>
  <c r="ER35" i="24" s="1"/>
  <c r="ER36" i="24" s="1"/>
  <c r="ER37" i="24" s="1"/>
  <c r="ER38" i="24" s="1"/>
  <c r="ER39" i="24" s="1"/>
  <c r="ER40" i="24" s="1"/>
  <c r="ER41" i="24" s="1"/>
  <c r="ER42" i="24" s="1"/>
  <c r="ER43" i="24" s="1"/>
  <c r="ER44" i="24" s="1"/>
  <c r="ER45" i="24" s="1"/>
  <c r="ER46" i="24" s="1"/>
  <c r="ER47" i="24" s="1"/>
  <c r="ER48" i="24" s="1"/>
  <c r="ER49" i="24" s="1"/>
  <c r="ER50" i="24" s="1"/>
  <c r="ER51" i="24" s="1"/>
  <c r="GR6" i="24"/>
  <c r="GR7" i="24" s="1"/>
  <c r="GR8" i="24" s="1"/>
  <c r="GR9" i="24" s="1"/>
  <c r="GR10" i="24" s="1"/>
  <c r="GR11" i="24" s="1"/>
  <c r="GR12" i="24" s="1"/>
  <c r="GR13" i="24" s="1"/>
  <c r="GR14" i="24" s="1"/>
  <c r="GR15" i="24" s="1"/>
  <c r="GR16" i="24" s="1"/>
  <c r="GR17" i="24" s="1"/>
  <c r="GR18" i="24" s="1"/>
  <c r="GR19" i="24" s="1"/>
  <c r="GR20" i="24" s="1"/>
  <c r="GR21" i="24" s="1"/>
  <c r="GR22" i="24" s="1"/>
  <c r="GR23" i="24" s="1"/>
  <c r="GR24" i="24" s="1"/>
  <c r="GR25" i="24" s="1"/>
  <c r="GR26" i="24" s="1"/>
  <c r="GR27" i="24" s="1"/>
  <c r="GR28" i="24" s="1"/>
  <c r="GR29" i="24" s="1"/>
  <c r="GR30" i="24" s="1"/>
  <c r="GR31" i="24" s="1"/>
  <c r="GR32" i="24" s="1"/>
  <c r="GR33" i="24" s="1"/>
  <c r="GR34" i="24" s="1"/>
  <c r="GR35" i="24" s="1"/>
  <c r="GR36" i="24" s="1"/>
  <c r="GR37" i="24" s="1"/>
  <c r="GR38" i="24" s="1"/>
  <c r="GR39" i="24" s="1"/>
  <c r="GR40" i="24" s="1"/>
  <c r="GR41" i="24" s="1"/>
  <c r="GR42" i="24" s="1"/>
  <c r="GR43" i="24" s="1"/>
  <c r="GR44" i="24" s="1"/>
  <c r="GR45" i="24" s="1"/>
  <c r="GR46" i="24" s="1"/>
  <c r="GR47" i="24" s="1"/>
  <c r="GR48" i="24" s="1"/>
  <c r="GR49" i="24" s="1"/>
  <c r="GR50" i="24" s="1"/>
  <c r="GR51" i="24" s="1"/>
  <c r="GK5" i="24"/>
  <c r="GK6" i="24" s="1"/>
  <c r="GK7" i="24" s="1"/>
  <c r="GK8" i="24" s="1"/>
  <c r="GK9" i="24" s="1"/>
  <c r="GK10" i="24" s="1"/>
  <c r="GK11" i="24" s="1"/>
  <c r="GK12" i="24" s="1"/>
  <c r="GK13" i="24" s="1"/>
  <c r="GK14" i="24" s="1"/>
  <c r="GK15" i="24" s="1"/>
  <c r="GK16" i="24" s="1"/>
  <c r="GK17" i="24" s="1"/>
  <c r="GK18" i="24" s="1"/>
  <c r="GK19" i="24" s="1"/>
  <c r="GK20" i="24" s="1"/>
  <c r="GK21" i="24" s="1"/>
  <c r="GK22" i="24" s="1"/>
  <c r="GK23" i="24" s="1"/>
  <c r="GK24" i="24" s="1"/>
  <c r="GK25" i="24" s="1"/>
  <c r="GK26" i="24" s="1"/>
  <c r="GK27" i="24" s="1"/>
  <c r="GK28" i="24" s="1"/>
  <c r="GK29" i="24" s="1"/>
  <c r="GK30" i="24" s="1"/>
  <c r="GK31" i="24" s="1"/>
  <c r="GK32" i="24" s="1"/>
  <c r="GK33" i="24" s="1"/>
  <c r="GK34" i="24" s="1"/>
  <c r="GK35" i="24" s="1"/>
  <c r="GK36" i="24" s="1"/>
  <c r="GK37" i="24" s="1"/>
  <c r="GK38" i="24" s="1"/>
  <c r="GK39" i="24" s="1"/>
  <c r="GK40" i="24" s="1"/>
  <c r="GK41" i="24" s="1"/>
  <c r="GK42" i="24" s="1"/>
  <c r="GK43" i="24" s="1"/>
  <c r="GK44" i="24" s="1"/>
  <c r="GK45" i="24" s="1"/>
  <c r="GK46" i="24" s="1"/>
  <c r="GK47" i="24" s="1"/>
  <c r="GK48" i="24" s="1"/>
  <c r="GK49" i="24" s="1"/>
  <c r="GK50" i="24" s="1"/>
  <c r="GK51" i="24" s="1"/>
  <c r="FA5" i="24"/>
  <c r="FA6" i="24" s="1"/>
  <c r="FA7" i="24" s="1"/>
  <c r="FA8" i="24" s="1"/>
  <c r="FA9" i="24" s="1"/>
  <c r="FA10" i="24" s="1"/>
  <c r="FA11" i="24" s="1"/>
  <c r="FA12" i="24" s="1"/>
  <c r="FA13" i="24" s="1"/>
  <c r="FA14" i="24" s="1"/>
  <c r="FA15" i="24" s="1"/>
  <c r="FA16" i="24" s="1"/>
  <c r="FA17" i="24" s="1"/>
  <c r="FA18" i="24" s="1"/>
  <c r="FA19" i="24" s="1"/>
  <c r="FA20" i="24" s="1"/>
  <c r="FA21" i="24" s="1"/>
  <c r="FA22" i="24" s="1"/>
  <c r="FA23" i="24" s="1"/>
  <c r="FA24" i="24" s="1"/>
  <c r="FA25" i="24" s="1"/>
  <c r="FA26" i="24" s="1"/>
  <c r="FA27" i="24" s="1"/>
  <c r="FA28" i="24" s="1"/>
  <c r="FA29" i="24" s="1"/>
  <c r="FA30" i="24" s="1"/>
  <c r="FA31" i="24" s="1"/>
  <c r="FA32" i="24" s="1"/>
  <c r="FA33" i="24" s="1"/>
  <c r="FA34" i="24" s="1"/>
  <c r="FA35" i="24" s="1"/>
  <c r="FA36" i="24" s="1"/>
  <c r="FA37" i="24" s="1"/>
  <c r="FA38" i="24" s="1"/>
  <c r="FA39" i="24" s="1"/>
  <c r="FA40" i="24" s="1"/>
  <c r="FA41" i="24" s="1"/>
  <c r="FA42" i="24" s="1"/>
  <c r="FA43" i="24" s="1"/>
  <c r="FA44" i="24" s="1"/>
  <c r="FA45" i="24" s="1"/>
  <c r="FA46" i="24" s="1"/>
  <c r="FA47" i="24" s="1"/>
  <c r="FA48" i="24" s="1"/>
  <c r="FA49" i="24" s="1"/>
  <c r="FA50" i="24" s="1"/>
  <c r="FA51" i="24" s="1"/>
  <c r="FW4" i="24"/>
  <c r="FW5" i="24" s="1"/>
  <c r="FW6" i="24" s="1"/>
  <c r="FW7" i="24" s="1"/>
  <c r="FW8" i="24" s="1"/>
  <c r="FW9" i="24" s="1"/>
  <c r="FW10" i="24" s="1"/>
  <c r="FW11" i="24" s="1"/>
  <c r="FW12" i="24" s="1"/>
  <c r="FW13" i="24" s="1"/>
  <c r="FW14" i="24" s="1"/>
  <c r="FW15" i="24" s="1"/>
  <c r="FW16" i="24" s="1"/>
  <c r="FW17" i="24" s="1"/>
  <c r="FW18" i="24" s="1"/>
  <c r="FW19" i="24" s="1"/>
  <c r="FW20" i="24" s="1"/>
  <c r="FW21" i="24" s="1"/>
  <c r="FW22" i="24" s="1"/>
  <c r="FW23" i="24" s="1"/>
  <c r="FW24" i="24" s="1"/>
  <c r="FW25" i="24" s="1"/>
  <c r="FW26" i="24" s="1"/>
  <c r="FW27" i="24" s="1"/>
  <c r="FW28" i="24" s="1"/>
  <c r="FW29" i="24" s="1"/>
  <c r="FW30" i="24" s="1"/>
  <c r="FW31" i="24" s="1"/>
  <c r="FW32" i="24" s="1"/>
  <c r="FW33" i="24" s="1"/>
  <c r="FW34" i="24" s="1"/>
  <c r="FW35" i="24" s="1"/>
  <c r="FW36" i="24" s="1"/>
  <c r="FW37" i="24" s="1"/>
  <c r="FW38" i="24" s="1"/>
  <c r="FW39" i="24" s="1"/>
  <c r="FW40" i="24" s="1"/>
  <c r="FW41" i="24" s="1"/>
  <c r="FW42" i="24" s="1"/>
  <c r="FW43" i="24" s="1"/>
  <c r="FW44" i="24" s="1"/>
  <c r="FW45" i="24" s="1"/>
  <c r="FW46" i="24" s="1"/>
  <c r="FW47" i="24" s="1"/>
  <c r="FW48" i="24" s="1"/>
  <c r="FW49" i="24" s="1"/>
  <c r="FW50" i="24" s="1"/>
  <c r="FW51" i="24" s="1"/>
  <c r="GV6" i="25"/>
  <c r="GV7" i="25" s="1"/>
  <c r="GV8" i="25" s="1"/>
  <c r="GV9" i="25" s="1"/>
  <c r="GV10" i="25" s="1"/>
  <c r="GV11" i="25" s="1"/>
  <c r="GV12" i="25" s="1"/>
  <c r="GV13" i="25" s="1"/>
  <c r="GV14" i="25" s="1"/>
  <c r="GV15" i="25" s="1"/>
  <c r="GV16" i="25" s="1"/>
  <c r="GV17" i="25" s="1"/>
  <c r="GV18" i="25" s="1"/>
  <c r="GV19" i="25" s="1"/>
  <c r="GV20" i="25" s="1"/>
  <c r="GV21" i="25" s="1"/>
  <c r="GV22" i="25" s="1"/>
  <c r="GV23" i="25" s="1"/>
  <c r="GV24" i="25" s="1"/>
  <c r="GV25" i="25" s="1"/>
  <c r="GV26" i="25" s="1"/>
  <c r="GV27" i="25" s="1"/>
  <c r="GV28" i="25" s="1"/>
  <c r="GV29" i="25" s="1"/>
  <c r="GV30" i="25" s="1"/>
  <c r="GV31" i="25" s="1"/>
  <c r="GV32" i="25" s="1"/>
  <c r="GV33" i="25" s="1"/>
  <c r="GV34" i="25" s="1"/>
  <c r="GV35" i="25" s="1"/>
  <c r="GV36" i="25" s="1"/>
  <c r="GV37" i="25" s="1"/>
  <c r="GV38" i="25" s="1"/>
  <c r="GV39" i="25" s="1"/>
  <c r="GV40" i="25" s="1"/>
  <c r="GV41" i="25" s="1"/>
  <c r="GV42" i="25" s="1"/>
  <c r="GV43" i="25" s="1"/>
  <c r="GV44" i="25" s="1"/>
  <c r="GV45" i="25" s="1"/>
  <c r="GV46" i="25" s="1"/>
  <c r="GV47" i="25" s="1"/>
  <c r="GV48" i="25" s="1"/>
  <c r="GV49" i="25" s="1"/>
  <c r="GV50" i="25" s="1"/>
  <c r="GV51" i="25" s="1"/>
  <c r="EP6" i="25"/>
  <c r="EP7" i="25" s="1"/>
  <c r="EP8" i="25" s="1"/>
  <c r="EP9" i="25" s="1"/>
  <c r="EP10" i="25" s="1"/>
  <c r="EP11" i="25" s="1"/>
  <c r="EP12" i="25" s="1"/>
  <c r="EP13" i="25" s="1"/>
  <c r="EP14" i="25" s="1"/>
  <c r="EP15" i="25" s="1"/>
  <c r="EP16" i="25" s="1"/>
  <c r="EP17" i="25" s="1"/>
  <c r="EP18" i="25" s="1"/>
  <c r="EP19" i="25" s="1"/>
  <c r="EP20" i="25" s="1"/>
  <c r="EP21" i="25" s="1"/>
  <c r="EP22" i="25" s="1"/>
  <c r="EP23" i="25" s="1"/>
  <c r="EP24" i="25" s="1"/>
  <c r="EP25" i="25" s="1"/>
  <c r="EP26" i="25" s="1"/>
  <c r="EP27" i="25" s="1"/>
  <c r="EP28" i="25" s="1"/>
  <c r="EP29" i="25" s="1"/>
  <c r="EP30" i="25" s="1"/>
  <c r="EP31" i="25" s="1"/>
  <c r="EP32" i="25" s="1"/>
  <c r="EP33" i="25" s="1"/>
  <c r="EP34" i="25" s="1"/>
  <c r="EP35" i="25" s="1"/>
  <c r="EP36" i="25" s="1"/>
  <c r="EP37" i="25" s="1"/>
  <c r="EP38" i="25" s="1"/>
  <c r="EP39" i="25" s="1"/>
  <c r="EP40" i="25" s="1"/>
  <c r="EP41" i="25" s="1"/>
  <c r="EP42" i="25" s="1"/>
  <c r="EP43" i="25" s="1"/>
  <c r="EP44" i="25" s="1"/>
  <c r="EP45" i="25" s="1"/>
  <c r="EP46" i="25" s="1"/>
  <c r="EP47" i="25" s="1"/>
  <c r="EP48" i="25" s="1"/>
  <c r="EP49" i="25" s="1"/>
  <c r="EP50" i="25" s="1"/>
  <c r="EP51" i="25" s="1"/>
  <c r="EG6" i="24"/>
  <c r="EG7" i="24" s="1"/>
  <c r="EG8" i="24" s="1"/>
  <c r="EG9" i="24" s="1"/>
  <c r="EG10" i="24" s="1"/>
  <c r="EG11" i="24" s="1"/>
  <c r="EG12" i="24" s="1"/>
  <c r="EG13" i="24" s="1"/>
  <c r="EG14" i="24" s="1"/>
  <c r="EG15" i="24" s="1"/>
  <c r="EG16" i="24" s="1"/>
  <c r="EG17" i="24" s="1"/>
  <c r="EG18" i="24" s="1"/>
  <c r="EG19" i="24" s="1"/>
  <c r="EG20" i="24" s="1"/>
  <c r="EG21" i="24" s="1"/>
  <c r="EG22" i="24" s="1"/>
  <c r="EG23" i="24" s="1"/>
  <c r="EG24" i="24" s="1"/>
  <c r="EG25" i="24" s="1"/>
  <c r="EG26" i="24" s="1"/>
  <c r="EG27" i="24" s="1"/>
  <c r="EG28" i="24" s="1"/>
  <c r="EG29" i="24" s="1"/>
  <c r="EG30" i="24" s="1"/>
  <c r="EG31" i="24" s="1"/>
  <c r="EG32" i="24" s="1"/>
  <c r="EG33" i="24" s="1"/>
  <c r="EG34" i="24" s="1"/>
  <c r="EG35" i="24" s="1"/>
  <c r="EG36" i="24" s="1"/>
  <c r="EG37" i="24" s="1"/>
  <c r="EG38" i="24" s="1"/>
  <c r="EG39" i="24" s="1"/>
  <c r="EG40" i="24" s="1"/>
  <c r="EG41" i="24" s="1"/>
  <c r="EG42" i="24" s="1"/>
  <c r="EG43" i="24" s="1"/>
  <c r="EG44" i="24" s="1"/>
  <c r="EG45" i="24" s="1"/>
  <c r="EG46" i="24" s="1"/>
  <c r="EG47" i="24" s="1"/>
  <c r="EG48" i="24" s="1"/>
  <c r="EG49" i="24" s="1"/>
  <c r="EG50" i="24" s="1"/>
  <c r="EG51" i="24" s="1"/>
  <c r="DB4" i="24"/>
  <c r="DB5" i="24" s="1"/>
  <c r="DB6" i="24" s="1"/>
  <c r="DB7" i="24" s="1"/>
  <c r="DB8" i="24" s="1"/>
  <c r="DB9" i="24" s="1"/>
  <c r="DB10" i="24" s="1"/>
  <c r="DB11" i="24" s="1"/>
  <c r="DB12" i="24" s="1"/>
  <c r="DB13" i="24" s="1"/>
  <c r="DB14" i="24" s="1"/>
  <c r="DB15" i="24" s="1"/>
  <c r="DB16" i="24" s="1"/>
  <c r="DB17" i="24" s="1"/>
  <c r="DB18" i="24" s="1"/>
  <c r="DB19" i="24" s="1"/>
  <c r="DB20" i="24" s="1"/>
  <c r="DB21" i="24" s="1"/>
  <c r="DB22" i="24" s="1"/>
  <c r="DB23" i="24" s="1"/>
  <c r="DB24" i="24" s="1"/>
  <c r="DB25" i="24" s="1"/>
  <c r="DB26" i="24" s="1"/>
  <c r="DB27" i="24" s="1"/>
  <c r="DB28" i="24" s="1"/>
  <c r="DB29" i="24" s="1"/>
  <c r="DB30" i="24" s="1"/>
  <c r="DB31" i="24" s="1"/>
  <c r="DB32" i="24" s="1"/>
  <c r="DB33" i="24" s="1"/>
  <c r="DB34" i="24" s="1"/>
  <c r="DB35" i="24" s="1"/>
  <c r="DB36" i="24" s="1"/>
  <c r="DB37" i="24" s="1"/>
  <c r="DB38" i="24" s="1"/>
  <c r="DB39" i="24" s="1"/>
  <c r="DB40" i="24" s="1"/>
  <c r="DB41" i="24" s="1"/>
  <c r="DB42" i="24" s="1"/>
  <c r="DB43" i="24" s="1"/>
  <c r="DB44" i="24" s="1"/>
  <c r="DB45" i="24" s="1"/>
  <c r="DB46" i="24" s="1"/>
  <c r="DB47" i="24" s="1"/>
  <c r="DB48" i="24" s="1"/>
  <c r="DB49" i="24" s="1"/>
  <c r="DB50" i="24" s="1"/>
  <c r="DB51" i="24" s="1"/>
  <c r="GD6" i="25"/>
  <c r="GD7" i="25" s="1"/>
  <c r="GD8" i="25" s="1"/>
  <c r="GD9" i="25" s="1"/>
  <c r="GD10" i="25" s="1"/>
  <c r="GD11" i="25" s="1"/>
  <c r="GD12" i="25" s="1"/>
  <c r="GD13" i="25" s="1"/>
  <c r="GD14" i="25" s="1"/>
  <c r="GD15" i="25" s="1"/>
  <c r="GD16" i="25" s="1"/>
  <c r="GD17" i="25" s="1"/>
  <c r="GD18" i="25" s="1"/>
  <c r="GD19" i="25" s="1"/>
  <c r="GD20" i="25" s="1"/>
  <c r="GD21" i="25" s="1"/>
  <c r="GD22" i="25" s="1"/>
  <c r="GD23" i="25" s="1"/>
  <c r="GD24" i="25" s="1"/>
  <c r="GD25" i="25" s="1"/>
  <c r="GD26" i="25" s="1"/>
  <c r="GD27" i="25" s="1"/>
  <c r="GD28" i="25" s="1"/>
  <c r="GD29" i="25" s="1"/>
  <c r="GD30" i="25" s="1"/>
  <c r="GD31" i="25" s="1"/>
  <c r="GD32" i="25" s="1"/>
  <c r="GD33" i="25" s="1"/>
  <c r="GD34" i="25" s="1"/>
  <c r="GD35" i="25" s="1"/>
  <c r="GD36" i="25" s="1"/>
  <c r="GD37" i="25" s="1"/>
  <c r="GD38" i="25" s="1"/>
  <c r="GD39" i="25" s="1"/>
  <c r="GD40" i="25" s="1"/>
  <c r="GD41" i="25" s="1"/>
  <c r="GD42" i="25" s="1"/>
  <c r="GD43" i="25" s="1"/>
  <c r="GD44" i="25" s="1"/>
  <c r="GD45" i="25" s="1"/>
  <c r="GD46" i="25" s="1"/>
  <c r="GD47" i="25" s="1"/>
  <c r="GD48" i="25" s="1"/>
  <c r="GD49" i="25" s="1"/>
  <c r="GD50" i="25" s="1"/>
  <c r="GD51" i="25" s="1"/>
  <c r="GP5" i="25"/>
  <c r="GP6" i="25" s="1"/>
  <c r="GP7" i="25" s="1"/>
  <c r="GP8" i="25" s="1"/>
  <c r="GP9" i="25" s="1"/>
  <c r="GP10" i="25" s="1"/>
  <c r="GP11" i="25" s="1"/>
  <c r="GP12" i="25" s="1"/>
  <c r="GP13" i="25" s="1"/>
  <c r="GP14" i="25" s="1"/>
  <c r="GP15" i="25" s="1"/>
  <c r="GP16" i="25" s="1"/>
  <c r="GP17" i="25" s="1"/>
  <c r="GP18" i="25" s="1"/>
  <c r="GP19" i="25" s="1"/>
  <c r="GP20" i="25" s="1"/>
  <c r="GP21" i="25" s="1"/>
  <c r="GP22" i="25" s="1"/>
  <c r="GP23" i="25" s="1"/>
  <c r="GP24" i="25" s="1"/>
  <c r="GP25" i="25" s="1"/>
  <c r="GP26" i="25" s="1"/>
  <c r="GP27" i="25" s="1"/>
  <c r="GP28" i="25" s="1"/>
  <c r="GP29" i="25" s="1"/>
  <c r="GP30" i="25" s="1"/>
  <c r="GP31" i="25" s="1"/>
  <c r="GP32" i="25" s="1"/>
  <c r="GP33" i="25" s="1"/>
  <c r="GP34" i="25" s="1"/>
  <c r="GP35" i="25" s="1"/>
  <c r="GP36" i="25" s="1"/>
  <c r="GP37" i="25" s="1"/>
  <c r="GP38" i="25" s="1"/>
  <c r="GP39" i="25" s="1"/>
  <c r="GP40" i="25" s="1"/>
  <c r="GP41" i="25" s="1"/>
  <c r="GP42" i="25" s="1"/>
  <c r="GP43" i="25" s="1"/>
  <c r="GP44" i="25" s="1"/>
  <c r="GP45" i="25" s="1"/>
  <c r="GP46" i="25" s="1"/>
  <c r="GP47" i="25" s="1"/>
  <c r="GP48" i="25" s="1"/>
  <c r="GP49" i="25" s="1"/>
  <c r="GP50" i="25" s="1"/>
  <c r="GP51" i="25" s="1"/>
  <c r="GB6" i="25"/>
  <c r="GB7" i="25" s="1"/>
  <c r="GB8" i="25" s="1"/>
  <c r="GB9" i="25" s="1"/>
  <c r="GB10" i="25" s="1"/>
  <c r="GB11" i="25" s="1"/>
  <c r="GB12" i="25" s="1"/>
  <c r="GB13" i="25" s="1"/>
  <c r="GB14" i="25" s="1"/>
  <c r="GB15" i="25" s="1"/>
  <c r="GB16" i="25" s="1"/>
  <c r="GB17" i="25" s="1"/>
  <c r="GB18" i="25" s="1"/>
  <c r="GB19" i="25" s="1"/>
  <c r="GB20" i="25" s="1"/>
  <c r="GB21" i="25" s="1"/>
  <c r="GB22" i="25" s="1"/>
  <c r="GB23" i="25" s="1"/>
  <c r="GB24" i="25" s="1"/>
  <c r="GB25" i="25" s="1"/>
  <c r="GB26" i="25" s="1"/>
  <c r="GB27" i="25" s="1"/>
  <c r="GB28" i="25" s="1"/>
  <c r="GB29" i="25" s="1"/>
  <c r="GB30" i="25" s="1"/>
  <c r="GB31" i="25" s="1"/>
  <c r="GB32" i="25" s="1"/>
  <c r="GB33" i="25" s="1"/>
  <c r="GB34" i="25" s="1"/>
  <c r="GB35" i="25" s="1"/>
  <c r="GB36" i="25" s="1"/>
  <c r="GB37" i="25" s="1"/>
  <c r="GB38" i="25" s="1"/>
  <c r="GB39" i="25" s="1"/>
  <c r="GB40" i="25" s="1"/>
  <c r="GB41" i="25" s="1"/>
  <c r="GB42" i="25" s="1"/>
  <c r="GB43" i="25" s="1"/>
  <c r="GB44" i="25" s="1"/>
  <c r="GB45" i="25" s="1"/>
  <c r="GB46" i="25" s="1"/>
  <c r="GB47" i="25" s="1"/>
  <c r="GB48" i="25" s="1"/>
  <c r="GB49" i="25" s="1"/>
  <c r="GB50" i="25" s="1"/>
  <c r="GB51" i="25" s="1"/>
  <c r="GK6" i="25"/>
  <c r="GK7" i="25" s="1"/>
  <c r="GK8" i="25" s="1"/>
  <c r="GK9" i="25" s="1"/>
  <c r="GK10" i="25" s="1"/>
  <c r="GK11" i="25" s="1"/>
  <c r="GK12" i="25" s="1"/>
  <c r="GK13" i="25" s="1"/>
  <c r="GK14" i="25" s="1"/>
  <c r="GK15" i="25" s="1"/>
  <c r="GK16" i="25" s="1"/>
  <c r="GK17" i="25" s="1"/>
  <c r="GK18" i="25" s="1"/>
  <c r="GK19" i="25" s="1"/>
  <c r="GK20" i="25" s="1"/>
  <c r="GK21" i="25" s="1"/>
  <c r="GK22" i="25" s="1"/>
  <c r="GK23" i="25" s="1"/>
  <c r="GK24" i="25" s="1"/>
  <c r="GK25" i="25" s="1"/>
  <c r="GK26" i="25" s="1"/>
  <c r="GK27" i="25" s="1"/>
  <c r="GK28" i="25" s="1"/>
  <c r="GK29" i="25" s="1"/>
  <c r="GK30" i="25" s="1"/>
  <c r="GK31" i="25" s="1"/>
  <c r="GK32" i="25" s="1"/>
  <c r="GK33" i="25" s="1"/>
  <c r="GK34" i="25" s="1"/>
  <c r="GK35" i="25" s="1"/>
  <c r="GK36" i="25" s="1"/>
  <c r="GK37" i="25" s="1"/>
  <c r="GK38" i="25" s="1"/>
  <c r="GK39" i="25" s="1"/>
  <c r="GK40" i="25" s="1"/>
  <c r="GK41" i="25" s="1"/>
  <c r="GK42" i="25" s="1"/>
  <c r="GK43" i="25" s="1"/>
  <c r="GK44" i="25" s="1"/>
  <c r="GK45" i="25" s="1"/>
  <c r="GK46" i="25" s="1"/>
  <c r="GK47" i="25" s="1"/>
  <c r="GK48" i="25" s="1"/>
  <c r="GK49" i="25" s="1"/>
  <c r="GK50" i="25" s="1"/>
  <c r="GK51" i="25" s="1"/>
  <c r="DE4" i="24"/>
  <c r="DE5" i="24" s="1"/>
  <c r="DE6" i="24" s="1"/>
  <c r="DE7" i="24" s="1"/>
  <c r="DE8" i="24" s="1"/>
  <c r="DE9" i="24" s="1"/>
  <c r="DE10" i="24" s="1"/>
  <c r="DE11" i="24" s="1"/>
  <c r="DE12" i="24" s="1"/>
  <c r="DE13" i="24" s="1"/>
  <c r="DE14" i="24" s="1"/>
  <c r="DE15" i="24" s="1"/>
  <c r="DE16" i="24" s="1"/>
  <c r="DE17" i="24" s="1"/>
  <c r="DE18" i="24" s="1"/>
  <c r="DE19" i="24" s="1"/>
  <c r="DE20" i="24" s="1"/>
  <c r="DE21" i="24" s="1"/>
  <c r="DE22" i="24" s="1"/>
  <c r="DE23" i="24" s="1"/>
  <c r="DE24" i="24" s="1"/>
  <c r="DE25" i="24" s="1"/>
  <c r="DE26" i="24" s="1"/>
  <c r="DE27" i="24" s="1"/>
  <c r="DE28" i="24" s="1"/>
  <c r="DE29" i="24" s="1"/>
  <c r="DE30" i="24" s="1"/>
  <c r="DE31" i="24" s="1"/>
  <c r="DE32" i="24" s="1"/>
  <c r="DE33" i="24" s="1"/>
  <c r="DE34" i="24" s="1"/>
  <c r="DE35" i="24" s="1"/>
  <c r="DE36" i="24" s="1"/>
  <c r="DE37" i="24" s="1"/>
  <c r="DE38" i="24" s="1"/>
  <c r="DE39" i="24" s="1"/>
  <c r="DE40" i="24" s="1"/>
  <c r="DE41" i="24" s="1"/>
  <c r="DE42" i="24" s="1"/>
  <c r="DE43" i="24" s="1"/>
  <c r="DE44" i="24" s="1"/>
  <c r="DE45" i="24" s="1"/>
  <c r="DE46" i="24" s="1"/>
  <c r="DE47" i="24" s="1"/>
  <c r="DE48" i="24" s="1"/>
  <c r="DE49" i="24" s="1"/>
  <c r="DE50" i="24" s="1"/>
  <c r="DE51" i="24" s="1"/>
  <c r="FP6" i="25"/>
  <c r="FP7" i="25" s="1"/>
  <c r="FP8" i="25" s="1"/>
  <c r="FP9" i="25" s="1"/>
  <c r="FP10" i="25" s="1"/>
  <c r="FP11" i="25" s="1"/>
  <c r="FP12" i="25" s="1"/>
  <c r="FP13" i="25" s="1"/>
  <c r="FP14" i="25" s="1"/>
  <c r="FP15" i="25" s="1"/>
  <c r="FP16" i="25" s="1"/>
  <c r="FP17" i="25" s="1"/>
  <c r="FP18" i="25" s="1"/>
  <c r="FP19" i="25" s="1"/>
  <c r="FP20" i="25" s="1"/>
  <c r="FP21" i="25" s="1"/>
  <c r="FP22" i="25" s="1"/>
  <c r="FP23" i="25" s="1"/>
  <c r="FP24" i="25" s="1"/>
  <c r="FP25" i="25" s="1"/>
  <c r="FP26" i="25" s="1"/>
  <c r="FP27" i="25" s="1"/>
  <c r="FP28" i="25" s="1"/>
  <c r="FP29" i="25" s="1"/>
  <c r="FP30" i="25" s="1"/>
  <c r="FP31" i="25" s="1"/>
  <c r="FP32" i="25" s="1"/>
  <c r="FP33" i="25" s="1"/>
  <c r="FP34" i="25" s="1"/>
  <c r="FP35" i="25" s="1"/>
  <c r="FP36" i="25" s="1"/>
  <c r="FP37" i="25" s="1"/>
  <c r="FP38" i="25" s="1"/>
  <c r="FP39" i="25" s="1"/>
  <c r="FP40" i="25" s="1"/>
  <c r="FP41" i="25" s="1"/>
  <c r="FP42" i="25" s="1"/>
  <c r="FP43" i="25" s="1"/>
  <c r="FP44" i="25" s="1"/>
  <c r="FP45" i="25" s="1"/>
  <c r="FP46" i="25" s="1"/>
  <c r="FP47" i="25" s="1"/>
  <c r="FP48" i="25" s="1"/>
  <c r="FP49" i="25" s="1"/>
  <c r="FP50" i="25" s="1"/>
  <c r="FP51" i="25" s="1"/>
  <c r="FE6" i="24"/>
  <c r="FE7" i="24" s="1"/>
  <c r="FE8" i="24" s="1"/>
  <c r="FE9" i="24" s="1"/>
  <c r="FE10" i="24" s="1"/>
  <c r="FE11" i="24" s="1"/>
  <c r="FE12" i="24" s="1"/>
  <c r="FE13" i="24" s="1"/>
  <c r="FE14" i="24" s="1"/>
  <c r="FE15" i="24" s="1"/>
  <c r="FE16" i="24" s="1"/>
  <c r="FE17" i="24" s="1"/>
  <c r="FE18" i="24" s="1"/>
  <c r="FE19" i="24" s="1"/>
  <c r="FE20" i="24" s="1"/>
  <c r="FE21" i="24" s="1"/>
  <c r="FE22" i="24" s="1"/>
  <c r="FE23" i="24" s="1"/>
  <c r="FE24" i="24" s="1"/>
  <c r="FE25" i="24" s="1"/>
  <c r="FE26" i="24" s="1"/>
  <c r="FE27" i="24" s="1"/>
  <c r="FE28" i="24" s="1"/>
  <c r="FE29" i="24" s="1"/>
  <c r="FE30" i="24" s="1"/>
  <c r="FE31" i="24" s="1"/>
  <c r="FE32" i="24" s="1"/>
  <c r="FE33" i="24" s="1"/>
  <c r="FE34" i="24" s="1"/>
  <c r="FE35" i="24" s="1"/>
  <c r="FE36" i="24" s="1"/>
  <c r="FE37" i="24" s="1"/>
  <c r="FE38" i="24" s="1"/>
  <c r="FE39" i="24" s="1"/>
  <c r="FE40" i="24" s="1"/>
  <c r="FE41" i="24" s="1"/>
  <c r="FE42" i="24" s="1"/>
  <c r="FE43" i="24" s="1"/>
  <c r="FE44" i="24" s="1"/>
  <c r="FE45" i="24" s="1"/>
  <c r="FE46" i="24" s="1"/>
  <c r="FE47" i="24" s="1"/>
  <c r="FE48" i="24" s="1"/>
  <c r="FE49" i="24" s="1"/>
  <c r="FE50" i="24" s="1"/>
  <c r="FE51" i="24" s="1"/>
  <c r="FX6" i="25"/>
  <c r="FX7" i="25" s="1"/>
  <c r="FX8" i="25" s="1"/>
  <c r="FX9" i="25" s="1"/>
  <c r="FX10" i="25" s="1"/>
  <c r="FX11" i="25" s="1"/>
  <c r="FX12" i="25" s="1"/>
  <c r="FX13" i="25" s="1"/>
  <c r="FX14" i="25" s="1"/>
  <c r="FX15" i="25" s="1"/>
  <c r="FX16" i="25" s="1"/>
  <c r="FX17" i="25" s="1"/>
  <c r="FX18" i="25" s="1"/>
  <c r="FX19" i="25" s="1"/>
  <c r="FX20" i="25" s="1"/>
  <c r="FX21" i="25" s="1"/>
  <c r="FX22" i="25" s="1"/>
  <c r="FX23" i="25" s="1"/>
  <c r="FX24" i="25" s="1"/>
  <c r="FX25" i="25" s="1"/>
  <c r="FX26" i="25" s="1"/>
  <c r="FX27" i="25" s="1"/>
  <c r="FX28" i="25" s="1"/>
  <c r="FX29" i="25" s="1"/>
  <c r="FX30" i="25" s="1"/>
  <c r="FX31" i="25" s="1"/>
  <c r="FX32" i="25" s="1"/>
  <c r="FX33" i="25" s="1"/>
  <c r="FX34" i="25" s="1"/>
  <c r="FX35" i="25" s="1"/>
  <c r="FX36" i="25" s="1"/>
  <c r="FX37" i="25" s="1"/>
  <c r="FX38" i="25" s="1"/>
  <c r="FX39" i="25" s="1"/>
  <c r="FX40" i="25" s="1"/>
  <c r="FX41" i="25" s="1"/>
  <c r="FX42" i="25" s="1"/>
  <c r="FX43" i="25" s="1"/>
  <c r="FX44" i="25" s="1"/>
  <c r="FX45" i="25" s="1"/>
  <c r="FX46" i="25" s="1"/>
  <c r="FX47" i="25" s="1"/>
  <c r="FX48" i="25" s="1"/>
  <c r="FX49" i="25" s="1"/>
  <c r="FX50" i="25" s="1"/>
  <c r="FX51" i="25" s="1"/>
  <c r="GG7" i="24"/>
  <c r="GG8" i="24" s="1"/>
  <c r="GG9" i="24" s="1"/>
  <c r="GG10" i="24" s="1"/>
  <c r="GG11" i="24" s="1"/>
  <c r="GG12" i="24" s="1"/>
  <c r="GG13" i="24" s="1"/>
  <c r="GG14" i="24" s="1"/>
  <c r="GG15" i="24" s="1"/>
  <c r="GG16" i="24" s="1"/>
  <c r="GG17" i="24" s="1"/>
  <c r="GG18" i="24" s="1"/>
  <c r="GG19" i="24" s="1"/>
  <c r="GG20" i="24" s="1"/>
  <c r="GG21" i="24" s="1"/>
  <c r="GG22" i="24" s="1"/>
  <c r="GG23" i="24" s="1"/>
  <c r="GG24" i="24" s="1"/>
  <c r="GG25" i="24" s="1"/>
  <c r="GG26" i="24" s="1"/>
  <c r="GG27" i="24" s="1"/>
  <c r="GG28" i="24" s="1"/>
  <c r="GG29" i="24" s="1"/>
  <c r="GG30" i="24" s="1"/>
  <c r="GG31" i="24" s="1"/>
  <c r="GG32" i="24" s="1"/>
  <c r="GG33" i="24" s="1"/>
  <c r="GG34" i="24" s="1"/>
  <c r="GG35" i="24" s="1"/>
  <c r="GG36" i="24" s="1"/>
  <c r="GG37" i="24" s="1"/>
  <c r="GG38" i="24" s="1"/>
  <c r="GG39" i="24" s="1"/>
  <c r="GG40" i="24" s="1"/>
  <c r="GG41" i="24" s="1"/>
  <c r="GG42" i="24" s="1"/>
  <c r="GG43" i="24" s="1"/>
  <c r="GG44" i="24" s="1"/>
  <c r="GG45" i="24" s="1"/>
  <c r="GG46" i="24" s="1"/>
  <c r="GG47" i="24" s="1"/>
  <c r="GG48" i="24" s="1"/>
  <c r="GG49" i="24" s="1"/>
  <c r="GG50" i="24" s="1"/>
  <c r="GG51" i="24" s="1"/>
  <c r="DF12" i="24"/>
  <c r="DF13" i="24" s="1"/>
  <c r="DF14" i="24" s="1"/>
  <c r="DF15" i="24" s="1"/>
  <c r="DF16" i="24" s="1"/>
  <c r="DF17" i="24" s="1"/>
  <c r="DF18" i="24" s="1"/>
  <c r="DF19" i="24" s="1"/>
  <c r="DF20" i="24" s="1"/>
  <c r="DF21" i="24" s="1"/>
  <c r="DF22" i="24" s="1"/>
  <c r="DF23" i="24" s="1"/>
  <c r="DF24" i="24" s="1"/>
  <c r="DF25" i="24" s="1"/>
  <c r="DF26" i="24" s="1"/>
  <c r="DF27" i="24" s="1"/>
  <c r="DF28" i="24" s="1"/>
  <c r="DF29" i="24" s="1"/>
  <c r="DF30" i="24" s="1"/>
  <c r="DF31" i="24" s="1"/>
  <c r="DF32" i="24" s="1"/>
  <c r="DF33" i="24" s="1"/>
  <c r="DF34" i="24" s="1"/>
  <c r="DF35" i="24" s="1"/>
  <c r="DF36" i="24" s="1"/>
  <c r="DF37" i="24" s="1"/>
  <c r="DF38" i="24" s="1"/>
  <c r="DF39" i="24" s="1"/>
  <c r="DF40" i="24" s="1"/>
  <c r="DF41" i="24" s="1"/>
  <c r="DF42" i="24" s="1"/>
  <c r="DF43" i="24" s="1"/>
  <c r="DF44" i="24" s="1"/>
  <c r="DF45" i="24" s="1"/>
  <c r="DF46" i="24" s="1"/>
  <c r="DF47" i="24" s="1"/>
  <c r="DF48" i="24" s="1"/>
  <c r="DF49" i="24" s="1"/>
  <c r="DF50" i="24" s="1"/>
  <c r="DF51" i="24" s="1"/>
  <c r="ER6" i="25"/>
  <c r="ER7" i="25" s="1"/>
  <c r="ER8" i="25" s="1"/>
  <c r="ER9" i="25" s="1"/>
  <c r="ER10" i="25" s="1"/>
  <c r="ER11" i="25" s="1"/>
  <c r="ER12" i="25" s="1"/>
  <c r="ER13" i="25" s="1"/>
  <c r="ER14" i="25" s="1"/>
  <c r="ER15" i="25" s="1"/>
  <c r="ER16" i="25" s="1"/>
  <c r="ER17" i="25" s="1"/>
  <c r="ER18" i="25" s="1"/>
  <c r="ER19" i="25" s="1"/>
  <c r="ER20" i="25" s="1"/>
  <c r="ER21" i="25" s="1"/>
  <c r="ER22" i="25" s="1"/>
  <c r="ER23" i="25" s="1"/>
  <c r="ER24" i="25" s="1"/>
  <c r="ER25" i="25" s="1"/>
  <c r="ER26" i="25" s="1"/>
  <c r="ER27" i="25" s="1"/>
  <c r="ER28" i="25" s="1"/>
  <c r="ER29" i="25" s="1"/>
  <c r="ER30" i="25" s="1"/>
  <c r="ER31" i="25" s="1"/>
  <c r="ER32" i="25" s="1"/>
  <c r="ER33" i="25" s="1"/>
  <c r="ER34" i="25" s="1"/>
  <c r="ER35" i="25" s="1"/>
  <c r="ER36" i="25" s="1"/>
  <c r="ER37" i="25" s="1"/>
  <c r="ER38" i="25" s="1"/>
  <c r="ER39" i="25" s="1"/>
  <c r="ER40" i="25" s="1"/>
  <c r="ER41" i="25" s="1"/>
  <c r="ER42" i="25" s="1"/>
  <c r="ER43" i="25" s="1"/>
  <c r="ER44" i="25" s="1"/>
  <c r="ER45" i="25" s="1"/>
  <c r="ER46" i="25" s="1"/>
  <c r="ER47" i="25" s="1"/>
  <c r="ER48" i="25" s="1"/>
  <c r="ER49" i="25" s="1"/>
  <c r="ER50" i="25" s="1"/>
  <c r="ER51" i="25" s="1"/>
  <c r="GO4" i="24"/>
  <c r="GO5" i="24" s="1"/>
  <c r="GO6" i="24" s="1"/>
  <c r="GO7" i="24" s="1"/>
  <c r="GO8" i="24" s="1"/>
  <c r="GO9" i="24" s="1"/>
  <c r="GO10" i="24" s="1"/>
  <c r="GO11" i="24" s="1"/>
  <c r="GO12" i="24" s="1"/>
  <c r="GO13" i="24" s="1"/>
  <c r="GO14" i="24" s="1"/>
  <c r="GO15" i="24" s="1"/>
  <c r="GO16" i="24" s="1"/>
  <c r="GO17" i="24" s="1"/>
  <c r="GO18" i="24" s="1"/>
  <c r="GO19" i="24" s="1"/>
  <c r="GO20" i="24" s="1"/>
  <c r="GO21" i="24" s="1"/>
  <c r="GO22" i="24" s="1"/>
  <c r="GO23" i="24" s="1"/>
  <c r="GO24" i="24" s="1"/>
  <c r="GO25" i="24" s="1"/>
  <c r="GO26" i="24" s="1"/>
  <c r="GO27" i="24" s="1"/>
  <c r="GO28" i="24" s="1"/>
  <c r="GO29" i="24" s="1"/>
  <c r="GO30" i="24" s="1"/>
  <c r="GO31" i="24" s="1"/>
  <c r="GO32" i="24" s="1"/>
  <c r="GO33" i="24" s="1"/>
  <c r="GO34" i="24" s="1"/>
  <c r="GO35" i="24" s="1"/>
  <c r="GO36" i="24" s="1"/>
  <c r="GO37" i="24" s="1"/>
  <c r="GO38" i="24" s="1"/>
  <c r="GO39" i="24" s="1"/>
  <c r="GO40" i="24" s="1"/>
  <c r="GO41" i="24" s="1"/>
  <c r="GO42" i="24" s="1"/>
  <c r="GO43" i="24" s="1"/>
  <c r="GO44" i="24" s="1"/>
  <c r="GO45" i="24" s="1"/>
  <c r="GO46" i="24" s="1"/>
  <c r="GO47" i="24" s="1"/>
  <c r="GO48" i="24" s="1"/>
  <c r="GO49" i="24" s="1"/>
  <c r="GO50" i="24" s="1"/>
  <c r="GO51" i="24" s="1"/>
  <c r="GE8" i="25"/>
  <c r="GE9" i="25" s="1"/>
  <c r="GE10" i="25" s="1"/>
  <c r="GE11" i="25" s="1"/>
  <c r="GE12" i="25" s="1"/>
  <c r="GE13" i="25" s="1"/>
  <c r="GE14" i="25" s="1"/>
  <c r="GE15" i="25" s="1"/>
  <c r="GE16" i="25" s="1"/>
  <c r="GE17" i="25" s="1"/>
  <c r="GE18" i="25" s="1"/>
  <c r="GE19" i="25" s="1"/>
  <c r="GE20" i="25" s="1"/>
  <c r="GE21" i="25" s="1"/>
  <c r="GE22" i="25" s="1"/>
  <c r="GE23" i="25" s="1"/>
  <c r="GE24" i="25" s="1"/>
  <c r="GE25" i="25" s="1"/>
  <c r="GE26" i="25" s="1"/>
  <c r="GE27" i="25" s="1"/>
  <c r="GE28" i="25" s="1"/>
  <c r="GE29" i="25" s="1"/>
  <c r="GE30" i="25" s="1"/>
  <c r="GE31" i="25" s="1"/>
  <c r="GE32" i="25" s="1"/>
  <c r="GE33" i="25" s="1"/>
  <c r="GE34" i="25" s="1"/>
  <c r="GE35" i="25" s="1"/>
  <c r="GE36" i="25" s="1"/>
  <c r="GE37" i="25" s="1"/>
  <c r="GE38" i="25" s="1"/>
  <c r="GE39" i="25" s="1"/>
  <c r="GE40" i="25" s="1"/>
  <c r="GE41" i="25" s="1"/>
  <c r="GE42" i="25" s="1"/>
  <c r="GE43" i="25" s="1"/>
  <c r="GE44" i="25" s="1"/>
  <c r="GE45" i="25" s="1"/>
  <c r="GE46" i="25" s="1"/>
  <c r="GE47" i="25" s="1"/>
  <c r="GE48" i="25" s="1"/>
  <c r="GE49" i="25" s="1"/>
  <c r="GE50" i="25" s="1"/>
  <c r="GE51" i="25" s="1"/>
  <c r="FO4" i="24"/>
  <c r="FO5" i="24" s="1"/>
  <c r="FO6" i="24" s="1"/>
  <c r="FO7" i="24" s="1"/>
  <c r="FO8" i="24" s="1"/>
  <c r="FO9" i="24" s="1"/>
  <c r="FO10" i="24" s="1"/>
  <c r="FO11" i="24" s="1"/>
  <c r="FO12" i="24" s="1"/>
  <c r="FO13" i="24" s="1"/>
  <c r="FO14" i="24" s="1"/>
  <c r="FO15" i="24" s="1"/>
  <c r="FO16" i="24" s="1"/>
  <c r="FO17" i="24" s="1"/>
  <c r="FO18" i="24" s="1"/>
  <c r="FO19" i="24" s="1"/>
  <c r="FO20" i="24" s="1"/>
  <c r="FO21" i="24" s="1"/>
  <c r="FO22" i="24" s="1"/>
  <c r="FO23" i="24" s="1"/>
  <c r="FO24" i="24" s="1"/>
  <c r="FO25" i="24" s="1"/>
  <c r="FO26" i="24" s="1"/>
  <c r="FO27" i="24" s="1"/>
  <c r="FO28" i="24" s="1"/>
  <c r="FO29" i="24" s="1"/>
  <c r="FO30" i="24" s="1"/>
  <c r="FO31" i="24" s="1"/>
  <c r="FO32" i="24" s="1"/>
  <c r="FO33" i="24" s="1"/>
  <c r="FO34" i="24" s="1"/>
  <c r="FO35" i="24" s="1"/>
  <c r="FO36" i="24" s="1"/>
  <c r="FO37" i="24" s="1"/>
  <c r="FO38" i="24" s="1"/>
  <c r="FO39" i="24" s="1"/>
  <c r="FO40" i="24" s="1"/>
  <c r="FO41" i="24" s="1"/>
  <c r="FO42" i="24" s="1"/>
  <c r="FO43" i="24" s="1"/>
  <c r="FO44" i="24" s="1"/>
  <c r="FO45" i="24" s="1"/>
  <c r="FO46" i="24" s="1"/>
  <c r="FO47" i="24" s="1"/>
  <c r="FO48" i="24" s="1"/>
  <c r="FO49" i="24" s="1"/>
  <c r="FO50" i="24" s="1"/>
  <c r="FO51" i="24" s="1"/>
  <c r="DQ5" i="25"/>
  <c r="DQ6" i="25" s="1"/>
  <c r="DQ7" i="25" s="1"/>
  <c r="DQ8" i="25" s="1"/>
  <c r="DQ9" i="25" s="1"/>
  <c r="DQ10" i="25" s="1"/>
  <c r="DQ11" i="25" s="1"/>
  <c r="DQ12" i="25" s="1"/>
  <c r="DQ13" i="25" s="1"/>
  <c r="DQ14" i="25" s="1"/>
  <c r="DQ15" i="25" s="1"/>
  <c r="DQ16" i="25" s="1"/>
  <c r="DQ17" i="25" s="1"/>
  <c r="DQ18" i="25" s="1"/>
  <c r="DQ19" i="25" s="1"/>
  <c r="DQ20" i="25" s="1"/>
  <c r="DQ21" i="25" s="1"/>
  <c r="DQ22" i="25" s="1"/>
  <c r="DQ23" i="25" s="1"/>
  <c r="DQ24" i="25" s="1"/>
  <c r="DQ25" i="25" s="1"/>
  <c r="DQ26" i="25" s="1"/>
  <c r="DQ27" i="25" s="1"/>
  <c r="DQ28" i="25" s="1"/>
  <c r="DQ29" i="25" s="1"/>
  <c r="DQ30" i="25" s="1"/>
  <c r="DQ31" i="25" s="1"/>
  <c r="DQ32" i="25" s="1"/>
  <c r="DQ33" i="25" s="1"/>
  <c r="DQ34" i="25" s="1"/>
  <c r="DQ35" i="25" s="1"/>
  <c r="DQ36" i="25" s="1"/>
  <c r="DQ37" i="25" s="1"/>
  <c r="DQ38" i="25" s="1"/>
  <c r="DQ39" i="25" s="1"/>
  <c r="DQ40" i="25" s="1"/>
  <c r="DQ41" i="25" s="1"/>
  <c r="DQ42" i="25" s="1"/>
  <c r="DQ43" i="25" s="1"/>
  <c r="DQ44" i="25" s="1"/>
  <c r="DQ45" i="25" s="1"/>
  <c r="DQ46" i="25" s="1"/>
  <c r="DQ47" i="25" s="1"/>
  <c r="DQ48" i="25" s="1"/>
  <c r="DQ49" i="25" s="1"/>
  <c r="DQ50" i="25" s="1"/>
  <c r="DQ51" i="25" s="1"/>
  <c r="EG6" i="25"/>
  <c r="EG7" i="25" s="1"/>
  <c r="EG8" i="25" s="1"/>
  <c r="EG9" i="25" s="1"/>
  <c r="EG10" i="25" s="1"/>
  <c r="EG11" i="25" s="1"/>
  <c r="EG12" i="25" s="1"/>
  <c r="EG13" i="25" s="1"/>
  <c r="EG14" i="25" s="1"/>
  <c r="EG15" i="25" s="1"/>
  <c r="EG16" i="25" s="1"/>
  <c r="EG17" i="25" s="1"/>
  <c r="EG18" i="25" s="1"/>
  <c r="EG19" i="25" s="1"/>
  <c r="EG20" i="25" s="1"/>
  <c r="EG21" i="25" s="1"/>
  <c r="EG22" i="25" s="1"/>
  <c r="EG23" i="25" s="1"/>
  <c r="EG24" i="25" s="1"/>
  <c r="EG25" i="25" s="1"/>
  <c r="EG26" i="25" s="1"/>
  <c r="EG27" i="25" s="1"/>
  <c r="EG28" i="25" s="1"/>
  <c r="EG29" i="25" s="1"/>
  <c r="EG30" i="25" s="1"/>
  <c r="EG31" i="25" s="1"/>
  <c r="EG32" i="25" s="1"/>
  <c r="EG33" i="25" s="1"/>
  <c r="EG34" i="25" s="1"/>
  <c r="EG35" i="25" s="1"/>
  <c r="EG36" i="25" s="1"/>
  <c r="EG37" i="25" s="1"/>
  <c r="EG38" i="25" s="1"/>
  <c r="EG39" i="25" s="1"/>
  <c r="EG40" i="25" s="1"/>
  <c r="EG41" i="25" s="1"/>
  <c r="EG42" i="25" s="1"/>
  <c r="EG43" i="25" s="1"/>
  <c r="EG44" i="25" s="1"/>
  <c r="EG45" i="25" s="1"/>
  <c r="EG46" i="25" s="1"/>
  <c r="EG47" i="25" s="1"/>
  <c r="EG48" i="25" s="1"/>
  <c r="EG49" i="25" s="1"/>
  <c r="EG50" i="25" s="1"/>
  <c r="EG51" i="25" s="1"/>
  <c r="DX5" i="25"/>
  <c r="DX6" i="25" s="1"/>
  <c r="DX7" i="25" s="1"/>
  <c r="DX8" i="25" s="1"/>
  <c r="DX9" i="25" s="1"/>
  <c r="DX10" i="25" s="1"/>
  <c r="DX11" i="25" s="1"/>
  <c r="DX12" i="25" s="1"/>
  <c r="DX13" i="25" s="1"/>
  <c r="DX14" i="25" s="1"/>
  <c r="DX15" i="25" s="1"/>
  <c r="DX16" i="25" s="1"/>
  <c r="DX17" i="25" s="1"/>
  <c r="DX18" i="25" s="1"/>
  <c r="DX19" i="25" s="1"/>
  <c r="DX20" i="25" s="1"/>
  <c r="DX21" i="25" s="1"/>
  <c r="DX22" i="25" s="1"/>
  <c r="DX23" i="25" s="1"/>
  <c r="DX24" i="25" s="1"/>
  <c r="DX25" i="25" s="1"/>
  <c r="DX26" i="25" s="1"/>
  <c r="DX27" i="25" s="1"/>
  <c r="DX28" i="25" s="1"/>
  <c r="DX29" i="25" s="1"/>
  <c r="DX30" i="25" s="1"/>
  <c r="DX31" i="25" s="1"/>
  <c r="DX32" i="25" s="1"/>
  <c r="DX33" i="25" s="1"/>
  <c r="DX34" i="25" s="1"/>
  <c r="DX35" i="25" s="1"/>
  <c r="DX36" i="25" s="1"/>
  <c r="DX37" i="25" s="1"/>
  <c r="DX38" i="25" s="1"/>
  <c r="DX39" i="25" s="1"/>
  <c r="DX40" i="25" s="1"/>
  <c r="DX41" i="25" s="1"/>
  <c r="DX42" i="25" s="1"/>
  <c r="DX43" i="25" s="1"/>
  <c r="DX44" i="25" s="1"/>
  <c r="DX45" i="25" s="1"/>
  <c r="DX46" i="25" s="1"/>
  <c r="DX47" i="25" s="1"/>
  <c r="DX48" i="25" s="1"/>
  <c r="DX49" i="25" s="1"/>
  <c r="DX50" i="25" s="1"/>
  <c r="DX51" i="25" s="1"/>
  <c r="DG4" i="24"/>
  <c r="DG5" i="24" s="1"/>
  <c r="DG6" i="24" s="1"/>
  <c r="DG7" i="24" s="1"/>
  <c r="DG8" i="24" s="1"/>
  <c r="DG9" i="24" s="1"/>
  <c r="DG10" i="24" s="1"/>
  <c r="DG11" i="24" s="1"/>
  <c r="DG12" i="24" s="1"/>
  <c r="DG13" i="24" s="1"/>
  <c r="DG14" i="24" s="1"/>
  <c r="DG15" i="24" s="1"/>
  <c r="DG16" i="24" s="1"/>
  <c r="DG17" i="24" s="1"/>
  <c r="DG18" i="24" s="1"/>
  <c r="DG19" i="24" s="1"/>
  <c r="DG20" i="24" s="1"/>
  <c r="DG21" i="24" s="1"/>
  <c r="DG22" i="24" s="1"/>
  <c r="DG23" i="24" s="1"/>
  <c r="DG24" i="24" s="1"/>
  <c r="DG25" i="24" s="1"/>
  <c r="DG26" i="24" s="1"/>
  <c r="DG27" i="24" s="1"/>
  <c r="DG28" i="24" s="1"/>
  <c r="DG29" i="24" s="1"/>
  <c r="DG30" i="24" s="1"/>
  <c r="DG31" i="24" s="1"/>
  <c r="DG32" i="24" s="1"/>
  <c r="DG33" i="24" s="1"/>
  <c r="DG34" i="24" s="1"/>
  <c r="DG35" i="24" s="1"/>
  <c r="DG36" i="24" s="1"/>
  <c r="DG37" i="24" s="1"/>
  <c r="DG38" i="24" s="1"/>
  <c r="DG39" i="24" s="1"/>
  <c r="DG40" i="24" s="1"/>
  <c r="DG41" i="24" s="1"/>
  <c r="DG42" i="24" s="1"/>
  <c r="DG43" i="24" s="1"/>
  <c r="DG44" i="24" s="1"/>
  <c r="DG45" i="24" s="1"/>
  <c r="DG46" i="24" s="1"/>
  <c r="DG47" i="24" s="1"/>
  <c r="DG48" i="24" s="1"/>
  <c r="DG49" i="24" s="1"/>
  <c r="DG50" i="24" s="1"/>
  <c r="DG51" i="24" s="1"/>
  <c r="FK6" i="24"/>
  <c r="FK7" i="24" s="1"/>
  <c r="FK8" i="24" s="1"/>
  <c r="FK9" i="24" s="1"/>
  <c r="FK10" i="24" s="1"/>
  <c r="FK11" i="24" s="1"/>
  <c r="FK12" i="24" s="1"/>
  <c r="FK13" i="24" s="1"/>
  <c r="FK14" i="24" s="1"/>
  <c r="FK15" i="24" s="1"/>
  <c r="FK16" i="24" s="1"/>
  <c r="FK17" i="24" s="1"/>
  <c r="FK18" i="24" s="1"/>
  <c r="FK19" i="24" s="1"/>
  <c r="FK20" i="24" s="1"/>
  <c r="FK21" i="24" s="1"/>
  <c r="FK22" i="24" s="1"/>
  <c r="FK23" i="24" s="1"/>
  <c r="FK24" i="24" s="1"/>
  <c r="FK25" i="24" s="1"/>
  <c r="FK26" i="24" s="1"/>
  <c r="FK27" i="24" s="1"/>
  <c r="FK28" i="24" s="1"/>
  <c r="FK29" i="24" s="1"/>
  <c r="FK30" i="24" s="1"/>
  <c r="FK31" i="24" s="1"/>
  <c r="FK32" i="24" s="1"/>
  <c r="FK33" i="24" s="1"/>
  <c r="FK34" i="24" s="1"/>
  <c r="FK35" i="24" s="1"/>
  <c r="FK36" i="24" s="1"/>
  <c r="FK37" i="24" s="1"/>
  <c r="FK38" i="24" s="1"/>
  <c r="FK39" i="24" s="1"/>
  <c r="FK40" i="24" s="1"/>
  <c r="FK41" i="24" s="1"/>
  <c r="FK42" i="24" s="1"/>
  <c r="FK43" i="24" s="1"/>
  <c r="FK44" i="24" s="1"/>
  <c r="FK45" i="24" s="1"/>
  <c r="FK46" i="24" s="1"/>
  <c r="FK47" i="24" s="1"/>
  <c r="FK48" i="24" s="1"/>
  <c r="FK49" i="24" s="1"/>
  <c r="FK50" i="24" s="1"/>
  <c r="FK51" i="24" s="1"/>
  <c r="CO53" i="25"/>
  <c r="EP4" i="24"/>
  <c r="EP5" i="24" s="1"/>
  <c r="EP6" i="24" s="1"/>
  <c r="EP7" i="24" s="1"/>
  <c r="EP8" i="24" s="1"/>
  <c r="EP9" i="24" s="1"/>
  <c r="EP10" i="24" s="1"/>
  <c r="EP11" i="24" s="1"/>
  <c r="EP12" i="24" s="1"/>
  <c r="EP13" i="24" s="1"/>
  <c r="EP14" i="24" s="1"/>
  <c r="EP15" i="24" s="1"/>
  <c r="EP16" i="24" s="1"/>
  <c r="EP17" i="24" s="1"/>
  <c r="EP18" i="24" s="1"/>
  <c r="EP19" i="24" s="1"/>
  <c r="EP20" i="24" s="1"/>
  <c r="EP21" i="24" s="1"/>
  <c r="EP22" i="24" s="1"/>
  <c r="EP23" i="24" s="1"/>
  <c r="EP24" i="24" s="1"/>
  <c r="EP25" i="24" s="1"/>
  <c r="EP26" i="24" s="1"/>
  <c r="EP27" i="24" s="1"/>
  <c r="EP28" i="24" s="1"/>
  <c r="EP29" i="24" s="1"/>
  <c r="EP30" i="24" s="1"/>
  <c r="EP31" i="24" s="1"/>
  <c r="EP32" i="24" s="1"/>
  <c r="EP33" i="24" s="1"/>
  <c r="EP34" i="24" s="1"/>
  <c r="EP35" i="24" s="1"/>
  <c r="EP36" i="24" s="1"/>
  <c r="EP37" i="24" s="1"/>
  <c r="EP38" i="24" s="1"/>
  <c r="EP39" i="24" s="1"/>
  <c r="EP40" i="24" s="1"/>
  <c r="EP41" i="24" s="1"/>
  <c r="EP42" i="24" s="1"/>
  <c r="EP43" i="24" s="1"/>
  <c r="EP44" i="24" s="1"/>
  <c r="EP45" i="24" s="1"/>
  <c r="EP46" i="24" s="1"/>
  <c r="EP47" i="24" s="1"/>
  <c r="EP48" i="24" s="1"/>
  <c r="EP49" i="24" s="1"/>
  <c r="EP50" i="24" s="1"/>
  <c r="EP51" i="24" s="1"/>
  <c r="AA53" i="25"/>
  <c r="EF8" i="25"/>
  <c r="EF9" i="25" s="1"/>
  <c r="EF10" i="25" s="1"/>
  <c r="EF11" i="25" s="1"/>
  <c r="EF12" i="25" s="1"/>
  <c r="EF13" i="25" s="1"/>
  <c r="EF14" i="25" s="1"/>
  <c r="EF15" i="25" s="1"/>
  <c r="EF16" i="25" s="1"/>
  <c r="EF17" i="25" s="1"/>
  <c r="EF18" i="25" s="1"/>
  <c r="EF19" i="25" s="1"/>
  <c r="EF20" i="25" s="1"/>
  <c r="EF21" i="25" s="1"/>
  <c r="EF22" i="25" s="1"/>
  <c r="EF23" i="25" s="1"/>
  <c r="EF24" i="25" s="1"/>
  <c r="EF25" i="25" s="1"/>
  <c r="EF26" i="25" s="1"/>
  <c r="EF27" i="25" s="1"/>
  <c r="EF28" i="25" s="1"/>
  <c r="EF29" i="25" s="1"/>
  <c r="EF30" i="25" s="1"/>
  <c r="EF31" i="25" s="1"/>
  <c r="EF32" i="25" s="1"/>
  <c r="EF33" i="25" s="1"/>
  <c r="EF34" i="25" s="1"/>
  <c r="EF35" i="25" s="1"/>
  <c r="EF36" i="25" s="1"/>
  <c r="EF37" i="25" s="1"/>
  <c r="EF38" i="25" s="1"/>
  <c r="EF39" i="25" s="1"/>
  <c r="EF40" i="25" s="1"/>
  <c r="EF41" i="25" s="1"/>
  <c r="EF42" i="25" s="1"/>
  <c r="EF43" i="25" s="1"/>
  <c r="EF44" i="25" s="1"/>
  <c r="EF45" i="25" s="1"/>
  <c r="EF46" i="25" s="1"/>
  <c r="EF47" i="25" s="1"/>
  <c r="EF48" i="25" s="1"/>
  <c r="EF49" i="25" s="1"/>
  <c r="EF50" i="25" s="1"/>
  <c r="EF51" i="25" s="1"/>
  <c r="DV5" i="24"/>
  <c r="DV6" i="24" s="1"/>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V30" i="24" s="1"/>
  <c r="DV31" i="24" s="1"/>
  <c r="DV32" i="24" s="1"/>
  <c r="DV33" i="24" s="1"/>
  <c r="DV34" i="24" s="1"/>
  <c r="DV35" i="24" s="1"/>
  <c r="DV36" i="24" s="1"/>
  <c r="DV37" i="24" s="1"/>
  <c r="DV38" i="24" s="1"/>
  <c r="DV39" i="24" s="1"/>
  <c r="DV40" i="24" s="1"/>
  <c r="DV41" i="24" s="1"/>
  <c r="DV42" i="24" s="1"/>
  <c r="DV43" i="24" s="1"/>
  <c r="DV44" i="24" s="1"/>
  <c r="DV45" i="24" s="1"/>
  <c r="DV46" i="24" s="1"/>
  <c r="DV47" i="24" s="1"/>
  <c r="DV48" i="24" s="1"/>
  <c r="DV49" i="24" s="1"/>
  <c r="DV50" i="24" s="1"/>
  <c r="DV51" i="24" s="1"/>
  <c r="FR4" i="24"/>
  <c r="FR5" i="24" s="1"/>
  <c r="FR6" i="24" s="1"/>
  <c r="FR7" i="24" s="1"/>
  <c r="FR8" i="24" s="1"/>
  <c r="FR9" i="24" s="1"/>
  <c r="FR10" i="24" s="1"/>
  <c r="FR11" i="24" s="1"/>
  <c r="FR12" i="24" s="1"/>
  <c r="FR13" i="24" s="1"/>
  <c r="FR14" i="24" s="1"/>
  <c r="FR15" i="24" s="1"/>
  <c r="FR16" i="24" s="1"/>
  <c r="FR17" i="24" s="1"/>
  <c r="FR18" i="24" s="1"/>
  <c r="FR19" i="24" s="1"/>
  <c r="FR20" i="24" s="1"/>
  <c r="FR21" i="24" s="1"/>
  <c r="FR22" i="24" s="1"/>
  <c r="FR23" i="24" s="1"/>
  <c r="FR24" i="24" s="1"/>
  <c r="FR25" i="24" s="1"/>
  <c r="FR26" i="24" s="1"/>
  <c r="FR27" i="24" s="1"/>
  <c r="FR28" i="24" s="1"/>
  <c r="FR29" i="24" s="1"/>
  <c r="FR30" i="24" s="1"/>
  <c r="FR31" i="24" s="1"/>
  <c r="FR32" i="24" s="1"/>
  <c r="FR33" i="24" s="1"/>
  <c r="FR34" i="24" s="1"/>
  <c r="FR35" i="24" s="1"/>
  <c r="FR36" i="24" s="1"/>
  <c r="FR37" i="24" s="1"/>
  <c r="FR38" i="24" s="1"/>
  <c r="FR39" i="24" s="1"/>
  <c r="FR40" i="24" s="1"/>
  <c r="FR41" i="24" s="1"/>
  <c r="FR42" i="24" s="1"/>
  <c r="FR43" i="24" s="1"/>
  <c r="FR44" i="24" s="1"/>
  <c r="FR45" i="24" s="1"/>
  <c r="FR46" i="24" s="1"/>
  <c r="FR47" i="24" s="1"/>
  <c r="FR48" i="24" s="1"/>
  <c r="FR49" i="24" s="1"/>
  <c r="FR50" i="24" s="1"/>
  <c r="FR51" i="24" s="1"/>
  <c r="AX53" i="25"/>
  <c r="O53" i="25"/>
  <c r="BL53" i="24"/>
  <c r="GB6" i="24"/>
  <c r="GB7" i="24" s="1"/>
  <c r="GB8" i="24" s="1"/>
  <c r="GB9" i="24" s="1"/>
  <c r="GB10" i="24" s="1"/>
  <c r="GB11" i="24" s="1"/>
  <c r="GB12" i="24" s="1"/>
  <c r="GB13" i="24" s="1"/>
  <c r="GB14" i="24" s="1"/>
  <c r="GB15" i="24" s="1"/>
  <c r="GB16" i="24" s="1"/>
  <c r="GB17" i="24" s="1"/>
  <c r="GB18" i="24" s="1"/>
  <c r="GB19" i="24" s="1"/>
  <c r="GB20" i="24" s="1"/>
  <c r="GB21" i="24" s="1"/>
  <c r="GB22" i="24" s="1"/>
  <c r="GB23" i="24" s="1"/>
  <c r="GB24" i="24" s="1"/>
  <c r="GB25" i="24" s="1"/>
  <c r="GB26" i="24" s="1"/>
  <c r="GB27" i="24" s="1"/>
  <c r="GB28" i="24" s="1"/>
  <c r="GB29" i="24" s="1"/>
  <c r="GB30" i="24" s="1"/>
  <c r="GB31" i="24" s="1"/>
  <c r="GB32" i="24" s="1"/>
  <c r="GB33" i="24" s="1"/>
  <c r="GB34" i="24" s="1"/>
  <c r="GB35" i="24" s="1"/>
  <c r="GB36" i="24" s="1"/>
  <c r="GB37" i="24" s="1"/>
  <c r="GB38" i="24" s="1"/>
  <c r="GB39" i="24" s="1"/>
  <c r="GB40" i="24" s="1"/>
  <c r="GB41" i="24" s="1"/>
  <c r="GB42" i="24" s="1"/>
  <c r="GB43" i="24" s="1"/>
  <c r="GB44" i="24" s="1"/>
  <c r="GB45" i="24" s="1"/>
  <c r="GB46" i="24" s="1"/>
  <c r="GB47" i="24" s="1"/>
  <c r="GB48" i="24" s="1"/>
  <c r="GB49" i="24" s="1"/>
  <c r="GB50" i="24" s="1"/>
  <c r="GB51" i="24" s="1"/>
  <c r="BT53" i="25"/>
  <c r="BG53" i="24"/>
  <c r="EZ4" i="24"/>
  <c r="EZ5" i="24" s="1"/>
  <c r="EZ6" i="24" s="1"/>
  <c r="EZ7" i="24" s="1"/>
  <c r="EZ8" i="24" s="1"/>
  <c r="EZ9" i="24" s="1"/>
  <c r="EZ10" i="24" s="1"/>
  <c r="EZ11" i="24" s="1"/>
  <c r="EZ12" i="24" s="1"/>
  <c r="EZ13" i="24" s="1"/>
  <c r="EZ14" i="24" s="1"/>
  <c r="EZ15" i="24" s="1"/>
  <c r="EZ16" i="24" s="1"/>
  <c r="EZ17" i="24" s="1"/>
  <c r="EZ18" i="24" s="1"/>
  <c r="EZ19" i="24" s="1"/>
  <c r="EZ20" i="24" s="1"/>
  <c r="EZ21" i="24" s="1"/>
  <c r="EZ22" i="24" s="1"/>
  <c r="EZ23" i="24" s="1"/>
  <c r="EZ24" i="24" s="1"/>
  <c r="EZ25" i="24" s="1"/>
  <c r="EZ26" i="24" s="1"/>
  <c r="EZ27" i="24" s="1"/>
  <c r="EZ28" i="24" s="1"/>
  <c r="EZ29" i="24" s="1"/>
  <c r="EZ30" i="24" s="1"/>
  <c r="EZ31" i="24" s="1"/>
  <c r="EZ32" i="24" s="1"/>
  <c r="EZ33" i="24" s="1"/>
  <c r="EZ34" i="24" s="1"/>
  <c r="EZ35" i="24" s="1"/>
  <c r="EZ36" i="24" s="1"/>
  <c r="EZ37" i="24" s="1"/>
  <c r="EZ38" i="24" s="1"/>
  <c r="EZ39" i="24" s="1"/>
  <c r="EZ40" i="24" s="1"/>
  <c r="EZ41" i="24" s="1"/>
  <c r="EZ42" i="24" s="1"/>
  <c r="EZ43" i="24" s="1"/>
  <c r="EZ44" i="24" s="1"/>
  <c r="EZ45" i="24" s="1"/>
  <c r="EZ46" i="24" s="1"/>
  <c r="EZ47" i="24" s="1"/>
  <c r="EZ48" i="24" s="1"/>
  <c r="EZ49" i="24" s="1"/>
  <c r="EZ50" i="24" s="1"/>
  <c r="EZ51" i="24" s="1"/>
  <c r="GE8" i="24"/>
  <c r="GE9" i="24" s="1"/>
  <c r="GE10" i="24" s="1"/>
  <c r="GE11" i="24" s="1"/>
  <c r="GE12" i="24" s="1"/>
  <c r="GE13" i="24" s="1"/>
  <c r="GE14" i="24" s="1"/>
  <c r="GE15" i="24" s="1"/>
  <c r="GE16" i="24" s="1"/>
  <c r="GE17" i="24" s="1"/>
  <c r="GE18" i="24" s="1"/>
  <c r="GE19" i="24" s="1"/>
  <c r="GE20" i="24" s="1"/>
  <c r="GE21" i="24" s="1"/>
  <c r="GE22" i="24" s="1"/>
  <c r="GE23" i="24" s="1"/>
  <c r="GE24" i="24" s="1"/>
  <c r="GE25" i="24" s="1"/>
  <c r="GE26" i="24" s="1"/>
  <c r="GE27" i="24" s="1"/>
  <c r="GE28" i="24" s="1"/>
  <c r="GE29" i="24" s="1"/>
  <c r="GE30" i="24" s="1"/>
  <c r="GE31" i="24" s="1"/>
  <c r="GE32" i="24" s="1"/>
  <c r="GE33" i="24" s="1"/>
  <c r="GE34" i="24" s="1"/>
  <c r="GE35" i="24" s="1"/>
  <c r="GE36" i="24" s="1"/>
  <c r="GE37" i="24" s="1"/>
  <c r="GE38" i="24" s="1"/>
  <c r="GE39" i="24" s="1"/>
  <c r="GE40" i="24" s="1"/>
  <c r="GE41" i="24" s="1"/>
  <c r="GE42" i="24" s="1"/>
  <c r="GE43" i="24" s="1"/>
  <c r="GE44" i="24" s="1"/>
  <c r="GE45" i="24" s="1"/>
  <c r="GE46" i="24" s="1"/>
  <c r="GE47" i="24" s="1"/>
  <c r="GE48" i="24" s="1"/>
  <c r="GE49" i="24" s="1"/>
  <c r="GE50" i="24" s="1"/>
  <c r="GE51" i="24" s="1"/>
  <c r="AT53" i="24"/>
  <c r="GC5" i="25"/>
  <c r="GC6" i="25" s="1"/>
  <c r="GC7" i="25" s="1"/>
  <c r="GC8" i="25" s="1"/>
  <c r="GC9" i="25" s="1"/>
  <c r="GC10" i="25" s="1"/>
  <c r="GC11" i="25" s="1"/>
  <c r="GC12" i="25" s="1"/>
  <c r="GC13" i="25" s="1"/>
  <c r="GC14" i="25" s="1"/>
  <c r="GC15" i="25" s="1"/>
  <c r="GC16" i="25" s="1"/>
  <c r="GC17" i="25" s="1"/>
  <c r="GC18" i="25" s="1"/>
  <c r="GC19" i="25" s="1"/>
  <c r="GC20" i="25" s="1"/>
  <c r="GC21" i="25" s="1"/>
  <c r="GC22" i="25" s="1"/>
  <c r="GC23" i="25" s="1"/>
  <c r="GC24" i="25" s="1"/>
  <c r="GC25" i="25" s="1"/>
  <c r="GC26" i="25" s="1"/>
  <c r="GC27" i="25" s="1"/>
  <c r="GC28" i="25" s="1"/>
  <c r="GC29" i="25" s="1"/>
  <c r="GC30" i="25" s="1"/>
  <c r="GC31" i="25" s="1"/>
  <c r="GC32" i="25" s="1"/>
  <c r="GC33" i="25" s="1"/>
  <c r="GC34" i="25" s="1"/>
  <c r="GC35" i="25" s="1"/>
  <c r="GC36" i="25" s="1"/>
  <c r="GC37" i="25" s="1"/>
  <c r="GC38" i="25" s="1"/>
  <c r="GC39" i="25" s="1"/>
  <c r="GC40" i="25" s="1"/>
  <c r="GC41" i="25" s="1"/>
  <c r="GC42" i="25" s="1"/>
  <c r="GC43" i="25" s="1"/>
  <c r="GC44" i="25" s="1"/>
  <c r="GC45" i="25" s="1"/>
  <c r="GC46" i="25" s="1"/>
  <c r="GC47" i="25" s="1"/>
  <c r="GC48" i="25" s="1"/>
  <c r="GC49" i="25" s="1"/>
  <c r="GC50" i="25" s="1"/>
  <c r="GC51" i="25" s="1"/>
  <c r="GS7" i="25"/>
  <c r="GS8" i="25" s="1"/>
  <c r="GS9" i="25" s="1"/>
  <c r="GS10" i="25" s="1"/>
  <c r="GS11" i="25" s="1"/>
  <c r="GS12" i="25" s="1"/>
  <c r="GS13" i="25" s="1"/>
  <c r="GS14" i="25" s="1"/>
  <c r="GS15" i="25" s="1"/>
  <c r="GS16" i="25" s="1"/>
  <c r="GS17" i="25" s="1"/>
  <c r="GS18" i="25" s="1"/>
  <c r="GS19" i="25" s="1"/>
  <c r="GS20" i="25" s="1"/>
  <c r="GS21" i="25" s="1"/>
  <c r="GS22" i="25" s="1"/>
  <c r="GS23" i="25" s="1"/>
  <c r="GS24" i="25" s="1"/>
  <c r="GS25" i="25" s="1"/>
  <c r="GS26" i="25" s="1"/>
  <c r="GS27" i="25" s="1"/>
  <c r="GS28" i="25" s="1"/>
  <c r="GS29" i="25" s="1"/>
  <c r="GS30" i="25" s="1"/>
  <c r="GS31" i="25" s="1"/>
  <c r="GS32" i="25" s="1"/>
  <c r="GS33" i="25" s="1"/>
  <c r="GS34" i="25" s="1"/>
  <c r="GS35" i="25" s="1"/>
  <c r="GS36" i="25" s="1"/>
  <c r="GS37" i="25" s="1"/>
  <c r="GS38" i="25" s="1"/>
  <c r="GS39" i="25" s="1"/>
  <c r="GS40" i="25" s="1"/>
  <c r="GS41" i="25" s="1"/>
  <c r="GS42" i="25" s="1"/>
  <c r="GS43" i="25" s="1"/>
  <c r="GS44" i="25" s="1"/>
  <c r="GS45" i="25" s="1"/>
  <c r="GS46" i="25" s="1"/>
  <c r="GS47" i="25" s="1"/>
  <c r="GS48" i="25" s="1"/>
  <c r="GS49" i="25" s="1"/>
  <c r="GS50" i="25" s="1"/>
  <c r="GS51" i="25" s="1"/>
  <c r="GR6" i="25"/>
  <c r="GR7" i="25" s="1"/>
  <c r="GR8" i="25" s="1"/>
  <c r="GR9" i="25" s="1"/>
  <c r="GR10" i="25" s="1"/>
  <c r="GR11" i="25" s="1"/>
  <c r="GR12" i="25" s="1"/>
  <c r="GR13" i="25" s="1"/>
  <c r="GR14" i="25" s="1"/>
  <c r="GR15" i="25" s="1"/>
  <c r="GR16" i="25" s="1"/>
  <c r="GR17" i="25" s="1"/>
  <c r="GR18" i="25" s="1"/>
  <c r="GR19" i="25" s="1"/>
  <c r="GR20" i="25" s="1"/>
  <c r="GR21" i="25" s="1"/>
  <c r="GR22" i="25" s="1"/>
  <c r="GR23" i="25" s="1"/>
  <c r="GR24" i="25" s="1"/>
  <c r="GR25" i="25" s="1"/>
  <c r="GR26" i="25" s="1"/>
  <c r="GR27" i="25" s="1"/>
  <c r="GR28" i="25" s="1"/>
  <c r="GR29" i="25" s="1"/>
  <c r="GR30" i="25" s="1"/>
  <c r="GR31" i="25" s="1"/>
  <c r="GR32" i="25" s="1"/>
  <c r="GR33" i="25" s="1"/>
  <c r="GR34" i="25" s="1"/>
  <c r="GR35" i="25" s="1"/>
  <c r="GR36" i="25" s="1"/>
  <c r="GR37" i="25" s="1"/>
  <c r="GR38" i="25" s="1"/>
  <c r="GR39" i="25" s="1"/>
  <c r="GR40" i="25" s="1"/>
  <c r="GR41" i="25" s="1"/>
  <c r="GR42" i="25" s="1"/>
  <c r="GR43" i="25" s="1"/>
  <c r="GR44" i="25" s="1"/>
  <c r="GR45" i="25" s="1"/>
  <c r="GR46" i="25" s="1"/>
  <c r="GR47" i="25" s="1"/>
  <c r="GR48" i="25" s="1"/>
  <c r="GR49" i="25" s="1"/>
  <c r="GR50" i="25" s="1"/>
  <c r="GR51" i="25" s="1"/>
  <c r="AP53" i="25"/>
  <c r="FX6" i="24"/>
  <c r="FX7" i="24" s="1"/>
  <c r="FX8" i="24" s="1"/>
  <c r="FX9" i="24" s="1"/>
  <c r="FX10" i="24" s="1"/>
  <c r="FX11" i="24" s="1"/>
  <c r="FX12" i="24" s="1"/>
  <c r="FX13" i="24" s="1"/>
  <c r="FX14" i="24" s="1"/>
  <c r="FX15" i="24" s="1"/>
  <c r="FX16" i="24" s="1"/>
  <c r="FX17" i="24" s="1"/>
  <c r="FX18" i="24" s="1"/>
  <c r="FX19" i="24" s="1"/>
  <c r="FX20" i="24" s="1"/>
  <c r="FX21" i="24" s="1"/>
  <c r="FX22" i="24" s="1"/>
  <c r="FX23" i="24" s="1"/>
  <c r="FX24" i="24" s="1"/>
  <c r="FX25" i="24" s="1"/>
  <c r="FX26" i="24" s="1"/>
  <c r="FX27" i="24" s="1"/>
  <c r="FX28" i="24" s="1"/>
  <c r="FX29" i="24" s="1"/>
  <c r="FX30" i="24" s="1"/>
  <c r="FX31" i="24" s="1"/>
  <c r="FX32" i="24" s="1"/>
  <c r="FX33" i="24" s="1"/>
  <c r="FX34" i="24" s="1"/>
  <c r="FX35" i="24" s="1"/>
  <c r="FX36" i="24" s="1"/>
  <c r="FX37" i="24" s="1"/>
  <c r="FX38" i="24" s="1"/>
  <c r="FX39" i="24" s="1"/>
  <c r="FX40" i="24" s="1"/>
  <c r="FX41" i="24" s="1"/>
  <c r="FX42" i="24" s="1"/>
  <c r="FX43" i="24" s="1"/>
  <c r="FX44" i="24" s="1"/>
  <c r="FX45" i="24" s="1"/>
  <c r="FX46" i="24" s="1"/>
  <c r="FX47" i="24" s="1"/>
  <c r="FX48" i="24" s="1"/>
  <c r="FX49" i="24" s="1"/>
  <c r="FX50" i="24" s="1"/>
  <c r="FX51" i="24" s="1"/>
  <c r="FO5" i="25"/>
  <c r="FO6" i="25" s="1"/>
  <c r="FO7" i="25" s="1"/>
  <c r="FO8" i="25" s="1"/>
  <c r="FO9" i="25" s="1"/>
  <c r="FO10" i="25" s="1"/>
  <c r="FO11" i="25" s="1"/>
  <c r="FO12" i="25" s="1"/>
  <c r="FO13" i="25" s="1"/>
  <c r="FO14" i="25" s="1"/>
  <c r="FO15" i="25" s="1"/>
  <c r="FO16" i="25" s="1"/>
  <c r="FO17" i="25" s="1"/>
  <c r="FO18" i="25" s="1"/>
  <c r="FO19" i="25" s="1"/>
  <c r="FO20" i="25" s="1"/>
  <c r="FO21" i="25" s="1"/>
  <c r="FO22" i="25" s="1"/>
  <c r="FO23" i="25" s="1"/>
  <c r="FO24" i="25" s="1"/>
  <c r="FO25" i="25" s="1"/>
  <c r="FO26" i="25" s="1"/>
  <c r="FO27" i="25" s="1"/>
  <c r="FO28" i="25" s="1"/>
  <c r="FO29" i="25" s="1"/>
  <c r="FO30" i="25" s="1"/>
  <c r="FO31" i="25" s="1"/>
  <c r="FO32" i="25" s="1"/>
  <c r="FO33" i="25" s="1"/>
  <c r="FO34" i="25" s="1"/>
  <c r="FO35" i="25" s="1"/>
  <c r="FO36" i="25" s="1"/>
  <c r="FO37" i="25" s="1"/>
  <c r="FO38" i="25" s="1"/>
  <c r="FO39" i="25" s="1"/>
  <c r="FO40" i="25" s="1"/>
  <c r="FO41" i="25" s="1"/>
  <c r="FO42" i="25" s="1"/>
  <c r="FO43" i="25" s="1"/>
  <c r="FO44" i="25" s="1"/>
  <c r="FO45" i="25" s="1"/>
  <c r="FO46" i="25" s="1"/>
  <c r="FO47" i="25" s="1"/>
  <c r="FO48" i="25" s="1"/>
  <c r="FO49" i="25" s="1"/>
  <c r="FO50" i="25" s="1"/>
  <c r="FO51" i="25" s="1"/>
  <c r="CN53" i="25"/>
  <c r="G53" i="25"/>
  <c r="AD53" i="25"/>
  <c r="GJ5" i="24"/>
  <c r="GJ6" i="24" s="1"/>
  <c r="GJ7" i="24" s="1"/>
  <c r="GJ8" i="24" s="1"/>
  <c r="GJ9" i="24" s="1"/>
  <c r="GJ10" i="24" s="1"/>
  <c r="GJ11" i="24" s="1"/>
  <c r="GJ12" i="24" s="1"/>
  <c r="GJ13" i="24" s="1"/>
  <c r="GJ14" i="24" s="1"/>
  <c r="GJ15" i="24" s="1"/>
  <c r="GJ16" i="24" s="1"/>
  <c r="GJ17" i="24" s="1"/>
  <c r="GJ18" i="24" s="1"/>
  <c r="GJ19" i="24" s="1"/>
  <c r="GJ20" i="24" s="1"/>
  <c r="GJ21" i="24" s="1"/>
  <c r="GJ22" i="24" s="1"/>
  <c r="GJ23" i="24" s="1"/>
  <c r="GJ24" i="24" s="1"/>
  <c r="GJ25" i="24" s="1"/>
  <c r="GJ26" i="24" s="1"/>
  <c r="GJ27" i="24" s="1"/>
  <c r="GJ28" i="24" s="1"/>
  <c r="GJ29" i="24" s="1"/>
  <c r="GJ30" i="24" s="1"/>
  <c r="GJ31" i="24" s="1"/>
  <c r="GJ32" i="24" s="1"/>
  <c r="GJ33" i="24" s="1"/>
  <c r="GJ34" i="24" s="1"/>
  <c r="GJ35" i="24" s="1"/>
  <c r="GJ36" i="24" s="1"/>
  <c r="GJ37" i="24" s="1"/>
  <c r="GJ38" i="24" s="1"/>
  <c r="GJ39" i="24" s="1"/>
  <c r="GJ40" i="24" s="1"/>
  <c r="GJ41" i="24" s="1"/>
  <c r="GJ42" i="24" s="1"/>
  <c r="GJ43" i="24" s="1"/>
  <c r="GJ44" i="24" s="1"/>
  <c r="GJ45" i="24" s="1"/>
  <c r="GJ46" i="24" s="1"/>
  <c r="GJ47" i="24" s="1"/>
  <c r="GJ48" i="24" s="1"/>
  <c r="GJ49" i="24" s="1"/>
  <c r="GJ50" i="24" s="1"/>
  <c r="GJ51" i="24" s="1"/>
  <c r="BQ53" i="25"/>
  <c r="AA53" i="24"/>
  <c r="EH5" i="24"/>
  <c r="EH6" i="24" s="1"/>
  <c r="EH7" i="24" s="1"/>
  <c r="EH8" i="24" s="1"/>
  <c r="EH9" i="24" s="1"/>
  <c r="EH10" i="24" s="1"/>
  <c r="EH11" i="24" s="1"/>
  <c r="EH12" i="24" s="1"/>
  <c r="EH13" i="24" s="1"/>
  <c r="EH14" i="24" s="1"/>
  <c r="EH15" i="24" s="1"/>
  <c r="EH16" i="24" s="1"/>
  <c r="EH17" i="24" s="1"/>
  <c r="EH18" i="24" s="1"/>
  <c r="EH19" i="24" s="1"/>
  <c r="EH20" i="24" s="1"/>
  <c r="EH21" i="24" s="1"/>
  <c r="EH22" i="24" s="1"/>
  <c r="EH23" i="24" s="1"/>
  <c r="EH24" i="24" s="1"/>
  <c r="EH25" i="24" s="1"/>
  <c r="EH26" i="24" s="1"/>
  <c r="EH27" i="24" s="1"/>
  <c r="EH28" i="24" s="1"/>
  <c r="EH29" i="24" s="1"/>
  <c r="EH30" i="24" s="1"/>
  <c r="EH31" i="24" s="1"/>
  <c r="EH32" i="24" s="1"/>
  <c r="EH33" i="24" s="1"/>
  <c r="EH34" i="24" s="1"/>
  <c r="EH35" i="24" s="1"/>
  <c r="EH36" i="24" s="1"/>
  <c r="EH37" i="24" s="1"/>
  <c r="EH38" i="24" s="1"/>
  <c r="EH39" i="24" s="1"/>
  <c r="EH40" i="24" s="1"/>
  <c r="EH41" i="24" s="1"/>
  <c r="EH42" i="24" s="1"/>
  <c r="EH43" i="24" s="1"/>
  <c r="EH44" i="24" s="1"/>
  <c r="EH45" i="24" s="1"/>
  <c r="EH46" i="24" s="1"/>
  <c r="EH47" i="24" s="1"/>
  <c r="EH48" i="24" s="1"/>
  <c r="EH49" i="24" s="1"/>
  <c r="EH50" i="24" s="1"/>
  <c r="EH51" i="24" s="1"/>
  <c r="BE53" i="24"/>
  <c r="CA53" i="24"/>
  <c r="Q53" i="25"/>
  <c r="AM53" i="25"/>
  <c r="GU8" i="24"/>
  <c r="GU9" i="24" s="1"/>
  <c r="GU10" i="24" s="1"/>
  <c r="GU11" i="24" s="1"/>
  <c r="GU12" i="24" s="1"/>
  <c r="GU13" i="24" s="1"/>
  <c r="GU14" i="24" s="1"/>
  <c r="GU15" i="24" s="1"/>
  <c r="GU16" i="24" s="1"/>
  <c r="GU17" i="24" s="1"/>
  <c r="GU18" i="24" s="1"/>
  <c r="GU19" i="24" s="1"/>
  <c r="GU20" i="24" s="1"/>
  <c r="GU21" i="24" s="1"/>
  <c r="GU22" i="24" s="1"/>
  <c r="GU23" i="24" s="1"/>
  <c r="GU24" i="24" s="1"/>
  <c r="GU25" i="24" s="1"/>
  <c r="GU26" i="24" s="1"/>
  <c r="GU27" i="24" s="1"/>
  <c r="GU28" i="24" s="1"/>
  <c r="GU29" i="24" s="1"/>
  <c r="GU30" i="24" s="1"/>
  <c r="GU31" i="24" s="1"/>
  <c r="GU32" i="24" s="1"/>
  <c r="GU33" i="24" s="1"/>
  <c r="GU34" i="24" s="1"/>
  <c r="GU35" i="24" s="1"/>
  <c r="GU36" i="24" s="1"/>
  <c r="GU37" i="24" s="1"/>
  <c r="GU38" i="24" s="1"/>
  <c r="GU39" i="24" s="1"/>
  <c r="GU40" i="24" s="1"/>
  <c r="GU41" i="24" s="1"/>
  <c r="GU42" i="24" s="1"/>
  <c r="GU43" i="24" s="1"/>
  <c r="GU44" i="24" s="1"/>
  <c r="GU45" i="24" s="1"/>
  <c r="GU46" i="24" s="1"/>
  <c r="GU47" i="24" s="1"/>
  <c r="GU48" i="24" s="1"/>
  <c r="GU49" i="24" s="1"/>
  <c r="GU50" i="24" s="1"/>
  <c r="GU51" i="24" s="1"/>
  <c r="AR53" i="25"/>
  <c r="CD53" i="25"/>
  <c r="FZ4" i="24"/>
  <c r="FZ5" i="24" s="1"/>
  <c r="FZ6" i="24" s="1"/>
  <c r="FZ7" i="24" s="1"/>
  <c r="FZ8" i="24" s="1"/>
  <c r="FZ9" i="24" s="1"/>
  <c r="FZ10" i="24" s="1"/>
  <c r="FZ11" i="24" s="1"/>
  <c r="FZ12" i="24" s="1"/>
  <c r="FZ13" i="24" s="1"/>
  <c r="FZ14" i="24" s="1"/>
  <c r="FZ15" i="24" s="1"/>
  <c r="FZ16" i="24" s="1"/>
  <c r="FZ17" i="24" s="1"/>
  <c r="FZ18" i="24" s="1"/>
  <c r="FZ19" i="24" s="1"/>
  <c r="FZ20" i="24" s="1"/>
  <c r="FZ21" i="24" s="1"/>
  <c r="FZ22" i="24" s="1"/>
  <c r="FZ23" i="24" s="1"/>
  <c r="FZ24" i="24" s="1"/>
  <c r="FZ25" i="24" s="1"/>
  <c r="FZ26" i="24" s="1"/>
  <c r="FZ27" i="24" s="1"/>
  <c r="FZ28" i="24" s="1"/>
  <c r="FZ29" i="24" s="1"/>
  <c r="FZ30" i="24" s="1"/>
  <c r="FZ31" i="24" s="1"/>
  <c r="FZ32" i="24" s="1"/>
  <c r="FZ33" i="24" s="1"/>
  <c r="FZ34" i="24" s="1"/>
  <c r="FZ35" i="24" s="1"/>
  <c r="FZ36" i="24" s="1"/>
  <c r="FZ37" i="24" s="1"/>
  <c r="FZ38" i="24" s="1"/>
  <c r="FZ39" i="24" s="1"/>
  <c r="FZ40" i="24" s="1"/>
  <c r="FZ41" i="24" s="1"/>
  <c r="FZ42" i="24" s="1"/>
  <c r="FZ43" i="24" s="1"/>
  <c r="FZ44" i="24" s="1"/>
  <c r="FZ45" i="24" s="1"/>
  <c r="FZ46" i="24" s="1"/>
  <c r="FZ47" i="24" s="1"/>
  <c r="FZ48" i="24" s="1"/>
  <c r="FZ49" i="24" s="1"/>
  <c r="FZ50" i="24" s="1"/>
  <c r="FZ51" i="24" s="1"/>
  <c r="BF53" i="25"/>
  <c r="FB4" i="24"/>
  <c r="FB5" i="24" s="1"/>
  <c r="FB6" i="24" s="1"/>
  <c r="FB7" i="24" s="1"/>
  <c r="FB8" i="24" s="1"/>
  <c r="FB9" i="24" s="1"/>
  <c r="FB10" i="24" s="1"/>
  <c r="FB11" i="24" s="1"/>
  <c r="FB12" i="24" s="1"/>
  <c r="FB13" i="24" s="1"/>
  <c r="FB14" i="24" s="1"/>
  <c r="FB15" i="24" s="1"/>
  <c r="FB16" i="24" s="1"/>
  <c r="FB17" i="24" s="1"/>
  <c r="FB18" i="24" s="1"/>
  <c r="FB19" i="24" s="1"/>
  <c r="FB20" i="24" s="1"/>
  <c r="FB21" i="24" s="1"/>
  <c r="FB22" i="24" s="1"/>
  <c r="FB23" i="24" s="1"/>
  <c r="FB24" i="24" s="1"/>
  <c r="FB25" i="24" s="1"/>
  <c r="FB26" i="24" s="1"/>
  <c r="FB27" i="24" s="1"/>
  <c r="FB28" i="24" s="1"/>
  <c r="FB29" i="24" s="1"/>
  <c r="FB30" i="24" s="1"/>
  <c r="FB31" i="24" s="1"/>
  <c r="FB32" i="24" s="1"/>
  <c r="FB33" i="24" s="1"/>
  <c r="FB34" i="24" s="1"/>
  <c r="FB35" i="24" s="1"/>
  <c r="FB36" i="24" s="1"/>
  <c r="FB37" i="24" s="1"/>
  <c r="FB38" i="24" s="1"/>
  <c r="FB39" i="24" s="1"/>
  <c r="FB40" i="24" s="1"/>
  <c r="FB41" i="24" s="1"/>
  <c r="FB42" i="24" s="1"/>
  <c r="FB43" i="24" s="1"/>
  <c r="FB44" i="24" s="1"/>
  <c r="FB45" i="24" s="1"/>
  <c r="FB46" i="24" s="1"/>
  <c r="FB47" i="24" s="1"/>
  <c r="FB48" i="24" s="1"/>
  <c r="FB49" i="24" s="1"/>
  <c r="FB50" i="24" s="1"/>
  <c r="FB51" i="24" s="1"/>
  <c r="CV53" i="25"/>
  <c r="AN53" i="25"/>
  <c r="EO5" i="24"/>
  <c r="EO6" i="24" s="1"/>
  <c r="EO7" i="24" s="1"/>
  <c r="EO8" i="24" s="1"/>
  <c r="EO9" i="24" s="1"/>
  <c r="EO10" i="24" s="1"/>
  <c r="EO11" i="24" s="1"/>
  <c r="EO12" i="24" s="1"/>
  <c r="EO13" i="24" s="1"/>
  <c r="EO14" i="24" s="1"/>
  <c r="EO15" i="24" s="1"/>
  <c r="EO16" i="24" s="1"/>
  <c r="EO17" i="24" s="1"/>
  <c r="EO18" i="24" s="1"/>
  <c r="EO19" i="24" s="1"/>
  <c r="EO20" i="24" s="1"/>
  <c r="EO21" i="24" s="1"/>
  <c r="EO22" i="24" s="1"/>
  <c r="EO23" i="24" s="1"/>
  <c r="EO24" i="24" s="1"/>
  <c r="EO25" i="24" s="1"/>
  <c r="EO26" i="24" s="1"/>
  <c r="EO27" i="24" s="1"/>
  <c r="EO28" i="24" s="1"/>
  <c r="EO29" i="24" s="1"/>
  <c r="EO30" i="24" s="1"/>
  <c r="EO31" i="24" s="1"/>
  <c r="EO32" i="24" s="1"/>
  <c r="EO33" i="24" s="1"/>
  <c r="EO34" i="24" s="1"/>
  <c r="EO35" i="24" s="1"/>
  <c r="EO36" i="24" s="1"/>
  <c r="EO37" i="24" s="1"/>
  <c r="EO38" i="24" s="1"/>
  <c r="EO39" i="24" s="1"/>
  <c r="EO40" i="24" s="1"/>
  <c r="EO41" i="24" s="1"/>
  <c r="EO42" i="24" s="1"/>
  <c r="EO43" i="24" s="1"/>
  <c r="EO44" i="24" s="1"/>
  <c r="EO45" i="24" s="1"/>
  <c r="EO46" i="24" s="1"/>
  <c r="EO47" i="24" s="1"/>
  <c r="EO48" i="24" s="1"/>
  <c r="EO49" i="24" s="1"/>
  <c r="EO50" i="24" s="1"/>
  <c r="EO51" i="24" s="1"/>
  <c r="BL53" i="25"/>
  <c r="AW53" i="24"/>
  <c r="H53" i="24"/>
  <c r="CB53" i="25"/>
  <c r="J53" i="24"/>
  <c r="CI53" i="25"/>
  <c r="W53" i="24"/>
  <c r="CI53" i="24"/>
  <c r="BZ53" i="25"/>
  <c r="X53" i="24"/>
  <c r="EU5" i="25"/>
  <c r="EU6" i="25" s="1"/>
  <c r="EU7" i="25" s="1"/>
  <c r="EU8" i="25" s="1"/>
  <c r="EU9" i="25" s="1"/>
  <c r="EU10" i="25" s="1"/>
  <c r="EU11" i="25" s="1"/>
  <c r="EU12" i="25" s="1"/>
  <c r="EU13" i="25" s="1"/>
  <c r="EU14" i="25" s="1"/>
  <c r="EU15" i="25" s="1"/>
  <c r="EU16" i="25" s="1"/>
  <c r="EU17" i="25" s="1"/>
  <c r="EU18" i="25" s="1"/>
  <c r="EU19" i="25" s="1"/>
  <c r="EU20" i="25" s="1"/>
  <c r="EU21" i="25" s="1"/>
  <c r="EU22" i="25" s="1"/>
  <c r="EU23" i="25" s="1"/>
  <c r="EU24" i="25" s="1"/>
  <c r="EU25" i="25" s="1"/>
  <c r="EU26" i="25" s="1"/>
  <c r="EU27" i="25" s="1"/>
  <c r="EU28" i="25" s="1"/>
  <c r="EU29" i="25" s="1"/>
  <c r="EU30" i="25" s="1"/>
  <c r="EU31" i="25" s="1"/>
  <c r="EU32" i="25" s="1"/>
  <c r="EU33" i="25" s="1"/>
  <c r="EU34" i="25" s="1"/>
  <c r="EU35" i="25" s="1"/>
  <c r="EU36" i="25" s="1"/>
  <c r="EU37" i="25" s="1"/>
  <c r="EU38" i="25" s="1"/>
  <c r="EU39" i="25" s="1"/>
  <c r="EU40" i="25" s="1"/>
  <c r="EU41" i="25" s="1"/>
  <c r="EU42" i="25" s="1"/>
  <c r="EU43" i="25" s="1"/>
  <c r="EU44" i="25" s="1"/>
  <c r="EU45" i="25" s="1"/>
  <c r="EU46" i="25" s="1"/>
  <c r="EU47" i="25" s="1"/>
  <c r="EU48" i="25" s="1"/>
  <c r="EU49" i="25" s="1"/>
  <c r="EU50" i="25" s="1"/>
  <c r="EU51" i="25" s="1"/>
  <c r="BS53" i="25"/>
  <c r="FL5" i="24"/>
  <c r="FL6" i="24" s="1"/>
  <c r="FL7" i="24" s="1"/>
  <c r="FL8" i="24" s="1"/>
  <c r="FL9" i="24" s="1"/>
  <c r="FL10" i="24" s="1"/>
  <c r="FL11" i="24" s="1"/>
  <c r="FL12" i="24" s="1"/>
  <c r="FL13" i="24" s="1"/>
  <c r="FL14" i="24" s="1"/>
  <c r="FL15" i="24" s="1"/>
  <c r="FL16" i="24" s="1"/>
  <c r="FL17" i="24" s="1"/>
  <c r="FL18" i="24" s="1"/>
  <c r="FL19" i="24" s="1"/>
  <c r="FL20" i="24" s="1"/>
  <c r="FL21" i="24" s="1"/>
  <c r="FL22" i="24" s="1"/>
  <c r="FL23" i="24" s="1"/>
  <c r="FL24" i="24" s="1"/>
  <c r="FL25" i="24" s="1"/>
  <c r="FL26" i="24" s="1"/>
  <c r="FL27" i="24" s="1"/>
  <c r="FL28" i="24" s="1"/>
  <c r="FL29" i="24" s="1"/>
  <c r="FL30" i="24" s="1"/>
  <c r="FL31" i="24" s="1"/>
  <c r="FL32" i="24" s="1"/>
  <c r="FL33" i="24" s="1"/>
  <c r="FL34" i="24" s="1"/>
  <c r="FL35" i="24" s="1"/>
  <c r="FL36" i="24" s="1"/>
  <c r="FL37" i="24" s="1"/>
  <c r="FL38" i="24" s="1"/>
  <c r="FL39" i="24" s="1"/>
  <c r="FL40" i="24" s="1"/>
  <c r="FL41" i="24" s="1"/>
  <c r="FL42" i="24" s="1"/>
  <c r="FL43" i="24" s="1"/>
  <c r="FL44" i="24" s="1"/>
  <c r="FL45" i="24" s="1"/>
  <c r="FL46" i="24" s="1"/>
  <c r="FL47" i="24" s="1"/>
  <c r="FL48" i="24" s="1"/>
  <c r="FL49" i="24" s="1"/>
  <c r="FL50" i="24" s="1"/>
  <c r="FL51" i="24" s="1"/>
  <c r="AK53" i="24"/>
  <c r="E53" i="25"/>
  <c r="AJ53" i="25"/>
  <c r="FV4" i="24"/>
  <c r="FV5" i="24" s="1"/>
  <c r="FV6" i="24" s="1"/>
  <c r="FV7" i="24" s="1"/>
  <c r="FV8" i="24" s="1"/>
  <c r="FV9" i="24" s="1"/>
  <c r="FV10" i="24" s="1"/>
  <c r="FV11" i="24" s="1"/>
  <c r="FV12" i="24" s="1"/>
  <c r="FV13" i="24" s="1"/>
  <c r="FV14" i="24" s="1"/>
  <c r="FV15" i="24" s="1"/>
  <c r="FV16" i="24" s="1"/>
  <c r="FV17" i="24" s="1"/>
  <c r="FV18" i="24" s="1"/>
  <c r="FV19" i="24" s="1"/>
  <c r="FV20" i="24" s="1"/>
  <c r="FV21" i="24" s="1"/>
  <c r="FV22" i="24" s="1"/>
  <c r="FV23" i="24" s="1"/>
  <c r="FV24" i="24" s="1"/>
  <c r="FV25" i="24" s="1"/>
  <c r="FV26" i="24" s="1"/>
  <c r="FV27" i="24" s="1"/>
  <c r="FV28" i="24" s="1"/>
  <c r="FV29" i="24" s="1"/>
  <c r="FV30" i="24" s="1"/>
  <c r="FV31" i="24" s="1"/>
  <c r="FV32" i="24" s="1"/>
  <c r="FV33" i="24" s="1"/>
  <c r="FV34" i="24" s="1"/>
  <c r="FV35" i="24" s="1"/>
  <c r="FV36" i="24" s="1"/>
  <c r="FV37" i="24" s="1"/>
  <c r="FV38" i="24" s="1"/>
  <c r="FV39" i="24" s="1"/>
  <c r="FV40" i="24" s="1"/>
  <c r="FV41" i="24" s="1"/>
  <c r="FV42" i="24" s="1"/>
  <c r="FV43" i="24" s="1"/>
  <c r="FV44" i="24" s="1"/>
  <c r="FV45" i="24" s="1"/>
  <c r="FV46" i="24" s="1"/>
  <c r="FV47" i="24" s="1"/>
  <c r="FV48" i="24" s="1"/>
  <c r="FV49" i="24" s="1"/>
  <c r="FV50" i="24" s="1"/>
  <c r="FV51" i="24" s="1"/>
  <c r="AJ53" i="24"/>
  <c r="DE6" i="25"/>
  <c r="DE7" i="25" s="1"/>
  <c r="DE8" i="25" s="1"/>
  <c r="DE9" i="25" s="1"/>
  <c r="DE10" i="25" s="1"/>
  <c r="DE11" i="25" s="1"/>
  <c r="DE12" i="25" s="1"/>
  <c r="DE13" i="25" s="1"/>
  <c r="DE14" i="25" s="1"/>
  <c r="DE15" i="25" s="1"/>
  <c r="DE16" i="25" s="1"/>
  <c r="DE17" i="25" s="1"/>
  <c r="DE18" i="25" s="1"/>
  <c r="DE19" i="25" s="1"/>
  <c r="DE20" i="25" s="1"/>
  <c r="DE21" i="25" s="1"/>
  <c r="DE22" i="25" s="1"/>
  <c r="DE23" i="25" s="1"/>
  <c r="DE24" i="25" s="1"/>
  <c r="DE25" i="25" s="1"/>
  <c r="DE26" i="25" s="1"/>
  <c r="DE27" i="25" s="1"/>
  <c r="DE28" i="25" s="1"/>
  <c r="DE29" i="25" s="1"/>
  <c r="DE30" i="25" s="1"/>
  <c r="DE31" i="25" s="1"/>
  <c r="DE32" i="25" s="1"/>
  <c r="DE33" i="25" s="1"/>
  <c r="DE34" i="25" s="1"/>
  <c r="DE35" i="25" s="1"/>
  <c r="DE36" i="25" s="1"/>
  <c r="DE37" i="25" s="1"/>
  <c r="DE38" i="25" s="1"/>
  <c r="DE39" i="25" s="1"/>
  <c r="DE40" i="25" s="1"/>
  <c r="DE41" i="25" s="1"/>
  <c r="DE42" i="25" s="1"/>
  <c r="DE43" i="25" s="1"/>
  <c r="DE44" i="25" s="1"/>
  <c r="DE45" i="25" s="1"/>
  <c r="DE46" i="25" s="1"/>
  <c r="DE47" i="25" s="1"/>
  <c r="DE48" i="25" s="1"/>
  <c r="DE49" i="25" s="1"/>
  <c r="DE50" i="25" s="1"/>
  <c r="DE51" i="25" s="1"/>
  <c r="BY53" i="25"/>
  <c r="CF53" i="24"/>
  <c r="EC5" i="25"/>
  <c r="EC6" i="25" s="1"/>
  <c r="EC7" i="25" s="1"/>
  <c r="EC8" i="25" s="1"/>
  <c r="EC9" i="25" s="1"/>
  <c r="EC10" i="25" s="1"/>
  <c r="EC11" i="25" s="1"/>
  <c r="EC12" i="25" s="1"/>
  <c r="EC13" i="25" s="1"/>
  <c r="EC14" i="25" s="1"/>
  <c r="EC15" i="25" s="1"/>
  <c r="EC16" i="25" s="1"/>
  <c r="EC17" i="25" s="1"/>
  <c r="EC18" i="25" s="1"/>
  <c r="EC19" i="25" s="1"/>
  <c r="EC20" i="25" s="1"/>
  <c r="EC21" i="25" s="1"/>
  <c r="EC22" i="25" s="1"/>
  <c r="EC23" i="25" s="1"/>
  <c r="EC24" i="25" s="1"/>
  <c r="EC25" i="25" s="1"/>
  <c r="EC26" i="25" s="1"/>
  <c r="EC27" i="25" s="1"/>
  <c r="EC28" i="25" s="1"/>
  <c r="EC29" i="25" s="1"/>
  <c r="EC30" i="25" s="1"/>
  <c r="EC31" i="25" s="1"/>
  <c r="EC32" i="25" s="1"/>
  <c r="EC33" i="25" s="1"/>
  <c r="EC34" i="25" s="1"/>
  <c r="EC35" i="25" s="1"/>
  <c r="EC36" i="25" s="1"/>
  <c r="EC37" i="25" s="1"/>
  <c r="EC38" i="25" s="1"/>
  <c r="EC39" i="25" s="1"/>
  <c r="EC40" i="25" s="1"/>
  <c r="EC41" i="25" s="1"/>
  <c r="EC42" i="25" s="1"/>
  <c r="EC43" i="25" s="1"/>
  <c r="EC44" i="25" s="1"/>
  <c r="EC45" i="25" s="1"/>
  <c r="EC46" i="25" s="1"/>
  <c r="EC47" i="25" s="1"/>
  <c r="EC48" i="25" s="1"/>
  <c r="EC49" i="25" s="1"/>
  <c r="EC50" i="25" s="1"/>
  <c r="EC51" i="25" s="1"/>
  <c r="DU5" i="25"/>
  <c r="DU6" i="25" s="1"/>
  <c r="DU7" i="25" s="1"/>
  <c r="DU8" i="25" s="1"/>
  <c r="DU9" i="25" s="1"/>
  <c r="DU10" i="25" s="1"/>
  <c r="DU11" i="25" s="1"/>
  <c r="DU12" i="25" s="1"/>
  <c r="DU13" i="25" s="1"/>
  <c r="DU14" i="25" s="1"/>
  <c r="DU15" i="25" s="1"/>
  <c r="DU16" i="25" s="1"/>
  <c r="DU17" i="25" s="1"/>
  <c r="DU18" i="25" s="1"/>
  <c r="DU19" i="25" s="1"/>
  <c r="DU20" i="25" s="1"/>
  <c r="DU21" i="25" s="1"/>
  <c r="DU22" i="25" s="1"/>
  <c r="DU23" i="25" s="1"/>
  <c r="DU24" i="25" s="1"/>
  <c r="DU25" i="25" s="1"/>
  <c r="DU26" i="25" s="1"/>
  <c r="DU27" i="25" s="1"/>
  <c r="DU28" i="25" s="1"/>
  <c r="DU29" i="25" s="1"/>
  <c r="DU30" i="25" s="1"/>
  <c r="DU31" i="25" s="1"/>
  <c r="DU32" i="25" s="1"/>
  <c r="DU33" i="25" s="1"/>
  <c r="DU34" i="25" s="1"/>
  <c r="DU35" i="25" s="1"/>
  <c r="DU36" i="25" s="1"/>
  <c r="DU37" i="25" s="1"/>
  <c r="DU38" i="25" s="1"/>
  <c r="DU39" i="25" s="1"/>
  <c r="DU40" i="25" s="1"/>
  <c r="DU41" i="25" s="1"/>
  <c r="DU42" i="25" s="1"/>
  <c r="DU43" i="25" s="1"/>
  <c r="DU44" i="25" s="1"/>
  <c r="DU45" i="25" s="1"/>
  <c r="DU46" i="25" s="1"/>
  <c r="DU47" i="25" s="1"/>
  <c r="DU48" i="25" s="1"/>
  <c r="DU49" i="25" s="1"/>
  <c r="DU50" i="25" s="1"/>
  <c r="DU51" i="25" s="1"/>
  <c r="FD5" i="24"/>
  <c r="FD6" i="24" s="1"/>
  <c r="FD7" i="24" s="1"/>
  <c r="FD8" i="24" s="1"/>
  <c r="FD9" i="24" s="1"/>
  <c r="FD10" i="24" s="1"/>
  <c r="FD11" i="24" s="1"/>
  <c r="FD12" i="24" s="1"/>
  <c r="FD13" i="24" s="1"/>
  <c r="FD14" i="24" s="1"/>
  <c r="FD15" i="24" s="1"/>
  <c r="FD16" i="24" s="1"/>
  <c r="FD17" i="24" s="1"/>
  <c r="FD18" i="24" s="1"/>
  <c r="FD19" i="24" s="1"/>
  <c r="FD20" i="24" s="1"/>
  <c r="FD21" i="24" s="1"/>
  <c r="FD22" i="24" s="1"/>
  <c r="FD23" i="24" s="1"/>
  <c r="FD24" i="24" s="1"/>
  <c r="FD25" i="24" s="1"/>
  <c r="FD26" i="24" s="1"/>
  <c r="FD27" i="24" s="1"/>
  <c r="FD28" i="24" s="1"/>
  <c r="FD29" i="24" s="1"/>
  <c r="FD30" i="24" s="1"/>
  <c r="FD31" i="24" s="1"/>
  <c r="FD32" i="24" s="1"/>
  <c r="FD33" i="24" s="1"/>
  <c r="FD34" i="24" s="1"/>
  <c r="FD35" i="24" s="1"/>
  <c r="FD36" i="24" s="1"/>
  <c r="FD37" i="24" s="1"/>
  <c r="FD38" i="24" s="1"/>
  <c r="FD39" i="24" s="1"/>
  <c r="FD40" i="24" s="1"/>
  <c r="FD41" i="24" s="1"/>
  <c r="FD42" i="24" s="1"/>
  <c r="FD43" i="24" s="1"/>
  <c r="FD44" i="24" s="1"/>
  <c r="FD45" i="24" s="1"/>
  <c r="FD46" i="24" s="1"/>
  <c r="FD47" i="24" s="1"/>
  <c r="FD48" i="24" s="1"/>
  <c r="FD49" i="24" s="1"/>
  <c r="FD50" i="24" s="1"/>
  <c r="FD51" i="24" s="1"/>
  <c r="EX6" i="25"/>
  <c r="EX7" i="25" s="1"/>
  <c r="EX8" i="25" s="1"/>
  <c r="EX9" i="25" s="1"/>
  <c r="EX10" i="25" s="1"/>
  <c r="EX11" i="25" s="1"/>
  <c r="EX12" i="25" s="1"/>
  <c r="EX13" i="25" s="1"/>
  <c r="EX14" i="25" s="1"/>
  <c r="EX15" i="25" s="1"/>
  <c r="EX16" i="25" s="1"/>
  <c r="EX17" i="25" s="1"/>
  <c r="EX18" i="25" s="1"/>
  <c r="EX19" i="25" s="1"/>
  <c r="EX20" i="25" s="1"/>
  <c r="EX21" i="25" s="1"/>
  <c r="EX22" i="25" s="1"/>
  <c r="EX23" i="25" s="1"/>
  <c r="EX24" i="25" s="1"/>
  <c r="EX25" i="25" s="1"/>
  <c r="EX26" i="25" s="1"/>
  <c r="EX27" i="25" s="1"/>
  <c r="EX28" i="25" s="1"/>
  <c r="EX29" i="25" s="1"/>
  <c r="EX30" i="25" s="1"/>
  <c r="EX31" i="25" s="1"/>
  <c r="EX32" i="25" s="1"/>
  <c r="EX33" i="25" s="1"/>
  <c r="EX34" i="25" s="1"/>
  <c r="EX35" i="25" s="1"/>
  <c r="EX36" i="25" s="1"/>
  <c r="EX37" i="25" s="1"/>
  <c r="EX38" i="25" s="1"/>
  <c r="EX39" i="25" s="1"/>
  <c r="EX40" i="25" s="1"/>
  <c r="EX41" i="25" s="1"/>
  <c r="EX42" i="25" s="1"/>
  <c r="EX43" i="25" s="1"/>
  <c r="EX44" i="25" s="1"/>
  <c r="EX45" i="25" s="1"/>
  <c r="EX46" i="25" s="1"/>
  <c r="EX47" i="25" s="1"/>
  <c r="EX48" i="25" s="1"/>
  <c r="EX49" i="25" s="1"/>
  <c r="EX50" i="25" s="1"/>
  <c r="EX51" i="25" s="1"/>
  <c r="EW8" i="24"/>
  <c r="EW9" i="24" s="1"/>
  <c r="EW10" i="24" s="1"/>
  <c r="EW11" i="24" s="1"/>
  <c r="EW12" i="24" s="1"/>
  <c r="EW13" i="24" s="1"/>
  <c r="EW14" i="24" s="1"/>
  <c r="EW15" i="24" s="1"/>
  <c r="EW16" i="24" s="1"/>
  <c r="EW17" i="24" s="1"/>
  <c r="EW18" i="24" s="1"/>
  <c r="EW19" i="24" s="1"/>
  <c r="EW20" i="24" s="1"/>
  <c r="EW21" i="24" s="1"/>
  <c r="EW22" i="24" s="1"/>
  <c r="EW23" i="24" s="1"/>
  <c r="EW24" i="24" s="1"/>
  <c r="EW25" i="24" s="1"/>
  <c r="EW26" i="24" s="1"/>
  <c r="EW27" i="24" s="1"/>
  <c r="EW28" i="24" s="1"/>
  <c r="EW29" i="24" s="1"/>
  <c r="EW30" i="24" s="1"/>
  <c r="EW31" i="24" s="1"/>
  <c r="EW32" i="24" s="1"/>
  <c r="EW33" i="24" s="1"/>
  <c r="EW34" i="24" s="1"/>
  <c r="EW35" i="24" s="1"/>
  <c r="EW36" i="24" s="1"/>
  <c r="EW37" i="24" s="1"/>
  <c r="EW38" i="24" s="1"/>
  <c r="EW39" i="24" s="1"/>
  <c r="EW40" i="24" s="1"/>
  <c r="EW41" i="24" s="1"/>
  <c r="EW42" i="24" s="1"/>
  <c r="EW43" i="24" s="1"/>
  <c r="EW44" i="24" s="1"/>
  <c r="EW45" i="24" s="1"/>
  <c r="EW46" i="24" s="1"/>
  <c r="EW47" i="24" s="1"/>
  <c r="EW48" i="24" s="1"/>
  <c r="EW49" i="24" s="1"/>
  <c r="EW50" i="24" s="1"/>
  <c r="EW51" i="24" s="1"/>
  <c r="DW5" i="24"/>
  <c r="DW6" i="24" s="1"/>
  <c r="DW7" i="24" s="1"/>
  <c r="DW8" i="24" s="1"/>
  <c r="DW9" i="24" s="1"/>
  <c r="DW10" i="24" s="1"/>
  <c r="DW11" i="24" s="1"/>
  <c r="DW12" i="24" s="1"/>
  <c r="DW13" i="24" s="1"/>
  <c r="DW14" i="24" s="1"/>
  <c r="DW15" i="24" s="1"/>
  <c r="DW16" i="24" s="1"/>
  <c r="DW17" i="24" s="1"/>
  <c r="DW18" i="24" s="1"/>
  <c r="DW19" i="24" s="1"/>
  <c r="DW20" i="24" s="1"/>
  <c r="DW21" i="24" s="1"/>
  <c r="DW22" i="24" s="1"/>
  <c r="DW23" i="24" s="1"/>
  <c r="DW24" i="24" s="1"/>
  <c r="DW25" i="24" s="1"/>
  <c r="DW26" i="24" s="1"/>
  <c r="DW27" i="24" s="1"/>
  <c r="DW28" i="24" s="1"/>
  <c r="DW29" i="24" s="1"/>
  <c r="DW30" i="24" s="1"/>
  <c r="DW31" i="24" s="1"/>
  <c r="DW32" i="24" s="1"/>
  <c r="DW33" i="24" s="1"/>
  <c r="DW34" i="24" s="1"/>
  <c r="DW35" i="24" s="1"/>
  <c r="DW36" i="24" s="1"/>
  <c r="DW37" i="24" s="1"/>
  <c r="DW38" i="24" s="1"/>
  <c r="DW39" i="24" s="1"/>
  <c r="DW40" i="24" s="1"/>
  <c r="DW41" i="24" s="1"/>
  <c r="DW42" i="24" s="1"/>
  <c r="DW43" i="24" s="1"/>
  <c r="DW44" i="24" s="1"/>
  <c r="DW45" i="24" s="1"/>
  <c r="DW46" i="24" s="1"/>
  <c r="DW47" i="24" s="1"/>
  <c r="DW48" i="24" s="1"/>
  <c r="DW49" i="24" s="1"/>
  <c r="DW50" i="24" s="1"/>
  <c r="DW51" i="24" s="1"/>
  <c r="EW8" i="25"/>
  <c r="EW9" i="25" s="1"/>
  <c r="EW10" i="25" s="1"/>
  <c r="EW11" i="25" s="1"/>
  <c r="EW12" i="25" s="1"/>
  <c r="EW13" i="25" s="1"/>
  <c r="EW14" i="25" s="1"/>
  <c r="EW15" i="25" s="1"/>
  <c r="EW16" i="25" s="1"/>
  <c r="EW17" i="25" s="1"/>
  <c r="EW18" i="25" s="1"/>
  <c r="EW19" i="25" s="1"/>
  <c r="EW20" i="25" s="1"/>
  <c r="EW21" i="25" s="1"/>
  <c r="EW22" i="25" s="1"/>
  <c r="EW23" i="25" s="1"/>
  <c r="EW24" i="25" s="1"/>
  <c r="EW25" i="25" s="1"/>
  <c r="EW26" i="25" s="1"/>
  <c r="EW27" i="25" s="1"/>
  <c r="EW28" i="25" s="1"/>
  <c r="EW29" i="25" s="1"/>
  <c r="EW30" i="25" s="1"/>
  <c r="EW31" i="25" s="1"/>
  <c r="EW32" i="25" s="1"/>
  <c r="EW33" i="25" s="1"/>
  <c r="EW34" i="25" s="1"/>
  <c r="EW35" i="25" s="1"/>
  <c r="EW36" i="25" s="1"/>
  <c r="EW37" i="25" s="1"/>
  <c r="EW38" i="25" s="1"/>
  <c r="EW39" i="25" s="1"/>
  <c r="EW40" i="25" s="1"/>
  <c r="EW41" i="25" s="1"/>
  <c r="EW42" i="25" s="1"/>
  <c r="EW43" i="25" s="1"/>
  <c r="EW44" i="25" s="1"/>
  <c r="EW45" i="25" s="1"/>
  <c r="EW46" i="25" s="1"/>
  <c r="EW47" i="25" s="1"/>
  <c r="EW48" i="25" s="1"/>
  <c r="EW49" i="25" s="1"/>
  <c r="EW50" i="25" s="1"/>
  <c r="EW51" i="25" s="1"/>
  <c r="CS53" i="24"/>
  <c r="CO53" i="24"/>
  <c r="AV53" i="25"/>
  <c r="CE53" i="24"/>
  <c r="CU53" i="25"/>
  <c r="T53" i="24"/>
  <c r="CG53" i="24"/>
  <c r="AG53" i="24"/>
  <c r="N53" i="25"/>
  <c r="R53" i="25"/>
  <c r="AS53" i="24"/>
  <c r="J53" i="25"/>
  <c r="BX53" i="24"/>
  <c r="AD53" i="24"/>
  <c r="FQ8" i="25"/>
  <c r="FQ9" i="25" s="1"/>
  <c r="FQ10" i="25" s="1"/>
  <c r="FQ11" i="25" s="1"/>
  <c r="FQ12" i="25" s="1"/>
  <c r="FQ13" i="25" s="1"/>
  <c r="FQ14" i="25" s="1"/>
  <c r="FQ15" i="25" s="1"/>
  <c r="FQ16" i="25" s="1"/>
  <c r="FQ17" i="25" s="1"/>
  <c r="FQ18" i="25" s="1"/>
  <c r="FQ19" i="25" s="1"/>
  <c r="FQ20" i="25" s="1"/>
  <c r="FQ21" i="25" s="1"/>
  <c r="FQ22" i="25" s="1"/>
  <c r="FQ23" i="25" s="1"/>
  <c r="FQ24" i="25" s="1"/>
  <c r="FQ25" i="25" s="1"/>
  <c r="FQ26" i="25" s="1"/>
  <c r="FQ27" i="25" s="1"/>
  <c r="FQ28" i="25" s="1"/>
  <c r="FQ29" i="25" s="1"/>
  <c r="FQ30" i="25" s="1"/>
  <c r="FQ31" i="25" s="1"/>
  <c r="FQ32" i="25" s="1"/>
  <c r="FQ33" i="25" s="1"/>
  <c r="FQ34" i="25" s="1"/>
  <c r="FQ35" i="25" s="1"/>
  <c r="FQ36" i="25" s="1"/>
  <c r="FQ37" i="25" s="1"/>
  <c r="FQ38" i="25" s="1"/>
  <c r="FQ39" i="25" s="1"/>
  <c r="FQ40" i="25" s="1"/>
  <c r="FQ41" i="25" s="1"/>
  <c r="FQ42" i="25" s="1"/>
  <c r="FQ43" i="25" s="1"/>
  <c r="FQ44" i="25" s="1"/>
  <c r="FQ45" i="25" s="1"/>
  <c r="FQ46" i="25" s="1"/>
  <c r="FQ47" i="25" s="1"/>
  <c r="FQ48" i="25" s="1"/>
  <c r="FQ49" i="25" s="1"/>
  <c r="FQ50" i="25" s="1"/>
  <c r="FQ51" i="25" s="1"/>
  <c r="FH6" i="25"/>
  <c r="FH7" i="25" s="1"/>
  <c r="FH8" i="25" s="1"/>
  <c r="FH9" i="25" s="1"/>
  <c r="FH10" i="25" s="1"/>
  <c r="FH11" i="25" s="1"/>
  <c r="FH12" i="25" s="1"/>
  <c r="FH13" i="25" s="1"/>
  <c r="FH14" i="25" s="1"/>
  <c r="FH15" i="25" s="1"/>
  <c r="FH16" i="25" s="1"/>
  <c r="FH17" i="25" s="1"/>
  <c r="FH18" i="25" s="1"/>
  <c r="FH19" i="25" s="1"/>
  <c r="FH20" i="25" s="1"/>
  <c r="FH21" i="25" s="1"/>
  <c r="FH22" i="25" s="1"/>
  <c r="FH23" i="25" s="1"/>
  <c r="FH24" i="25" s="1"/>
  <c r="FH25" i="25" s="1"/>
  <c r="FH26" i="25" s="1"/>
  <c r="FH27" i="25" s="1"/>
  <c r="FH28" i="25" s="1"/>
  <c r="FH29" i="25" s="1"/>
  <c r="FH30" i="25" s="1"/>
  <c r="FH31" i="25" s="1"/>
  <c r="FH32" i="25" s="1"/>
  <c r="FH33" i="25" s="1"/>
  <c r="FH34" i="25" s="1"/>
  <c r="FH35" i="25" s="1"/>
  <c r="FH36" i="25" s="1"/>
  <c r="FH37" i="25" s="1"/>
  <c r="FH38" i="25" s="1"/>
  <c r="FH39" i="25" s="1"/>
  <c r="FH40" i="25" s="1"/>
  <c r="FH41" i="25" s="1"/>
  <c r="FH42" i="25" s="1"/>
  <c r="FH43" i="25" s="1"/>
  <c r="FH44" i="25" s="1"/>
  <c r="FH45" i="25" s="1"/>
  <c r="FH46" i="25" s="1"/>
  <c r="FH47" i="25" s="1"/>
  <c r="FH48" i="25" s="1"/>
  <c r="FH49" i="25" s="1"/>
  <c r="FH50" i="25" s="1"/>
  <c r="FH51" i="25" s="1"/>
  <c r="R53" i="24"/>
  <c r="GM5" i="25"/>
  <c r="GM6" i="25" s="1"/>
  <c r="GM7" i="25" s="1"/>
  <c r="GM8" i="25" s="1"/>
  <c r="GM9" i="25" s="1"/>
  <c r="GM10" i="25" s="1"/>
  <c r="GM11" i="25" s="1"/>
  <c r="GM12" i="25" s="1"/>
  <c r="GM13" i="25" s="1"/>
  <c r="GM14" i="25" s="1"/>
  <c r="GM15" i="25" s="1"/>
  <c r="GM16" i="25" s="1"/>
  <c r="GM17" i="25" s="1"/>
  <c r="GM18" i="25" s="1"/>
  <c r="GM19" i="25" s="1"/>
  <c r="GM20" i="25" s="1"/>
  <c r="GM21" i="25" s="1"/>
  <c r="GM22" i="25" s="1"/>
  <c r="GM23" i="25" s="1"/>
  <c r="GM24" i="25" s="1"/>
  <c r="GM25" i="25" s="1"/>
  <c r="GM26" i="25" s="1"/>
  <c r="GM27" i="25" s="1"/>
  <c r="GM28" i="25" s="1"/>
  <c r="GM29" i="25" s="1"/>
  <c r="GM30" i="25" s="1"/>
  <c r="GM31" i="25" s="1"/>
  <c r="GM32" i="25" s="1"/>
  <c r="GM33" i="25" s="1"/>
  <c r="GM34" i="25" s="1"/>
  <c r="GM35" i="25" s="1"/>
  <c r="GM36" i="25" s="1"/>
  <c r="GM37" i="25" s="1"/>
  <c r="GM38" i="25" s="1"/>
  <c r="GM39" i="25" s="1"/>
  <c r="GM40" i="25" s="1"/>
  <c r="GM41" i="25" s="1"/>
  <c r="GM42" i="25" s="1"/>
  <c r="GM43" i="25" s="1"/>
  <c r="GM44" i="25" s="1"/>
  <c r="GM45" i="25" s="1"/>
  <c r="GM46" i="25" s="1"/>
  <c r="GM47" i="25" s="1"/>
  <c r="GM48" i="25" s="1"/>
  <c r="GM49" i="25" s="1"/>
  <c r="GM50" i="25" s="1"/>
  <c r="GM51" i="25" s="1"/>
  <c r="EV5" i="24"/>
  <c r="EV6" i="24" s="1"/>
  <c r="EV7" i="24" s="1"/>
  <c r="EV8" i="24" s="1"/>
  <c r="EV9" i="24" s="1"/>
  <c r="EV10" i="24" s="1"/>
  <c r="EV11" i="24" s="1"/>
  <c r="EV12" i="24" s="1"/>
  <c r="EV13" i="24" s="1"/>
  <c r="EV14" i="24" s="1"/>
  <c r="EV15" i="24" s="1"/>
  <c r="EV16" i="24" s="1"/>
  <c r="EV17" i="24" s="1"/>
  <c r="EV18" i="24" s="1"/>
  <c r="EV19" i="24" s="1"/>
  <c r="EV20" i="24" s="1"/>
  <c r="EV21" i="24" s="1"/>
  <c r="EV22" i="24" s="1"/>
  <c r="EV23" i="24" s="1"/>
  <c r="EV24" i="24" s="1"/>
  <c r="EV25" i="24" s="1"/>
  <c r="EV26" i="24" s="1"/>
  <c r="EV27" i="24" s="1"/>
  <c r="EV28" i="24" s="1"/>
  <c r="EV29" i="24" s="1"/>
  <c r="EV30" i="24" s="1"/>
  <c r="EV31" i="24" s="1"/>
  <c r="EV32" i="24" s="1"/>
  <c r="EV33" i="24" s="1"/>
  <c r="EV34" i="24" s="1"/>
  <c r="EV35" i="24" s="1"/>
  <c r="EV36" i="24" s="1"/>
  <c r="EV37" i="24" s="1"/>
  <c r="EV38" i="24" s="1"/>
  <c r="EV39" i="24" s="1"/>
  <c r="EV40" i="24" s="1"/>
  <c r="EV41" i="24" s="1"/>
  <c r="EV42" i="24" s="1"/>
  <c r="EV43" i="24" s="1"/>
  <c r="EV44" i="24" s="1"/>
  <c r="EV45" i="24" s="1"/>
  <c r="EV46" i="24" s="1"/>
  <c r="EV47" i="24" s="1"/>
  <c r="EV48" i="24" s="1"/>
  <c r="EV49" i="24" s="1"/>
  <c r="EV50" i="24" s="1"/>
  <c r="EV51" i="24" s="1"/>
  <c r="DH4" i="24"/>
  <c r="DH5" i="24" s="1"/>
  <c r="DH6" i="24" s="1"/>
  <c r="DH7" i="24" s="1"/>
  <c r="DH8" i="24" s="1"/>
  <c r="DH9" i="24" s="1"/>
  <c r="DH10" i="24" s="1"/>
  <c r="DH11" i="24" s="1"/>
  <c r="DH12" i="24" s="1"/>
  <c r="DH13" i="24" s="1"/>
  <c r="DH14" i="24" s="1"/>
  <c r="DH15" i="24" s="1"/>
  <c r="DH16" i="24" s="1"/>
  <c r="DH17" i="24" s="1"/>
  <c r="DH18" i="24" s="1"/>
  <c r="DH19" i="24" s="1"/>
  <c r="DH20" i="24" s="1"/>
  <c r="DH21" i="24" s="1"/>
  <c r="DH22" i="24" s="1"/>
  <c r="DH23" i="24" s="1"/>
  <c r="DH24" i="24" s="1"/>
  <c r="DH25" i="24" s="1"/>
  <c r="DH26" i="24" s="1"/>
  <c r="DH27" i="24" s="1"/>
  <c r="DH28" i="24" s="1"/>
  <c r="DH29" i="24" s="1"/>
  <c r="DH30" i="24" s="1"/>
  <c r="DH31" i="24" s="1"/>
  <c r="DH32" i="24" s="1"/>
  <c r="DH33" i="24" s="1"/>
  <c r="DH34" i="24" s="1"/>
  <c r="DH35" i="24" s="1"/>
  <c r="DH36" i="24" s="1"/>
  <c r="DH37" i="24" s="1"/>
  <c r="DH38" i="24" s="1"/>
  <c r="DH39" i="24" s="1"/>
  <c r="DH40" i="24" s="1"/>
  <c r="DH41" i="24" s="1"/>
  <c r="DH42" i="24" s="1"/>
  <c r="DH43" i="24" s="1"/>
  <c r="DH44" i="24" s="1"/>
  <c r="DH45" i="24" s="1"/>
  <c r="DH46" i="24" s="1"/>
  <c r="DH47" i="24" s="1"/>
  <c r="DH48" i="24" s="1"/>
  <c r="DH49" i="24" s="1"/>
  <c r="DH50" i="24" s="1"/>
  <c r="DH51" i="24" s="1"/>
  <c r="FC5" i="24"/>
  <c r="FC6" i="24" s="1"/>
  <c r="FC7" i="24" s="1"/>
  <c r="FC8" i="24" s="1"/>
  <c r="FC9" i="24" s="1"/>
  <c r="FC10" i="24" s="1"/>
  <c r="FC11" i="24" s="1"/>
  <c r="FC12" i="24" s="1"/>
  <c r="FC13" i="24" s="1"/>
  <c r="FC14" i="24" s="1"/>
  <c r="FC15" i="24" s="1"/>
  <c r="FC16" i="24" s="1"/>
  <c r="FC17" i="24" s="1"/>
  <c r="FC18" i="24" s="1"/>
  <c r="FC19" i="24" s="1"/>
  <c r="FC20" i="24" s="1"/>
  <c r="FC21" i="24" s="1"/>
  <c r="FC22" i="24" s="1"/>
  <c r="FC23" i="24" s="1"/>
  <c r="FC24" i="24" s="1"/>
  <c r="FC25" i="24" s="1"/>
  <c r="FC26" i="24" s="1"/>
  <c r="FC27" i="24" s="1"/>
  <c r="FC28" i="24" s="1"/>
  <c r="FC29" i="24" s="1"/>
  <c r="FC30" i="24" s="1"/>
  <c r="FC31" i="24" s="1"/>
  <c r="FC32" i="24" s="1"/>
  <c r="FC33" i="24" s="1"/>
  <c r="FC34" i="24" s="1"/>
  <c r="FC35" i="24" s="1"/>
  <c r="FC36" i="24" s="1"/>
  <c r="FC37" i="24" s="1"/>
  <c r="FC38" i="24" s="1"/>
  <c r="FC39" i="24" s="1"/>
  <c r="FC40" i="24" s="1"/>
  <c r="FC41" i="24" s="1"/>
  <c r="FC42" i="24" s="1"/>
  <c r="FC43" i="24" s="1"/>
  <c r="FC44" i="24" s="1"/>
  <c r="FC45" i="24" s="1"/>
  <c r="FC46" i="24" s="1"/>
  <c r="FC47" i="24" s="1"/>
  <c r="FC48" i="24" s="1"/>
  <c r="FC49" i="24" s="1"/>
  <c r="FC50" i="24" s="1"/>
  <c r="FC51" i="24" s="1"/>
  <c r="BB53" i="24"/>
  <c r="AI53" i="25"/>
  <c r="U53" i="25"/>
  <c r="CP53" i="24"/>
  <c r="BA53" i="25"/>
  <c r="GQ5" i="24"/>
  <c r="GQ6" i="24" s="1"/>
  <c r="GQ7" i="24" s="1"/>
  <c r="GQ8" i="24" s="1"/>
  <c r="GQ9" i="24" s="1"/>
  <c r="GQ10" i="24" s="1"/>
  <c r="GQ11" i="24" s="1"/>
  <c r="GQ12" i="24" s="1"/>
  <c r="GQ13" i="24" s="1"/>
  <c r="GQ14" i="24" s="1"/>
  <c r="GQ15" i="24" s="1"/>
  <c r="GQ16" i="24" s="1"/>
  <c r="GQ17" i="24" s="1"/>
  <c r="GQ18" i="24" s="1"/>
  <c r="GQ19" i="24" s="1"/>
  <c r="GQ20" i="24" s="1"/>
  <c r="GQ21" i="24" s="1"/>
  <c r="GQ22" i="24" s="1"/>
  <c r="GQ23" i="24" s="1"/>
  <c r="GQ24" i="24" s="1"/>
  <c r="GQ25" i="24" s="1"/>
  <c r="GQ26" i="24" s="1"/>
  <c r="GQ27" i="24" s="1"/>
  <c r="GQ28" i="24" s="1"/>
  <c r="GQ29" i="24" s="1"/>
  <c r="GQ30" i="24" s="1"/>
  <c r="GQ31" i="24" s="1"/>
  <c r="GQ32" i="24" s="1"/>
  <c r="GQ33" i="24" s="1"/>
  <c r="GQ34" i="24" s="1"/>
  <c r="GQ35" i="24" s="1"/>
  <c r="GQ36" i="24" s="1"/>
  <c r="GQ37" i="24" s="1"/>
  <c r="GQ38" i="24" s="1"/>
  <c r="GQ39" i="24" s="1"/>
  <c r="GQ40" i="24" s="1"/>
  <c r="GQ41" i="24" s="1"/>
  <c r="GQ42" i="24" s="1"/>
  <c r="GQ43" i="24" s="1"/>
  <c r="GQ44" i="24" s="1"/>
  <c r="GQ45" i="24" s="1"/>
  <c r="GQ46" i="24" s="1"/>
  <c r="GQ47" i="24" s="1"/>
  <c r="GQ48" i="24" s="1"/>
  <c r="GQ49" i="24" s="1"/>
  <c r="GQ50" i="24" s="1"/>
  <c r="GQ51" i="24" s="1"/>
  <c r="GM4" i="24"/>
  <c r="GM5" i="24" s="1"/>
  <c r="GM6" i="24" s="1"/>
  <c r="GM7" i="24" s="1"/>
  <c r="GM8" i="24" s="1"/>
  <c r="GM9" i="24" s="1"/>
  <c r="GM10" i="24" s="1"/>
  <c r="GM11" i="24" s="1"/>
  <c r="GM12" i="24" s="1"/>
  <c r="GM13" i="24" s="1"/>
  <c r="GM14" i="24" s="1"/>
  <c r="GM15" i="24" s="1"/>
  <c r="GM16" i="24" s="1"/>
  <c r="GM17" i="24" s="1"/>
  <c r="GM18" i="24" s="1"/>
  <c r="GM19" i="24" s="1"/>
  <c r="GM20" i="24" s="1"/>
  <c r="GM21" i="24" s="1"/>
  <c r="GM22" i="24" s="1"/>
  <c r="GM23" i="24" s="1"/>
  <c r="GM24" i="24" s="1"/>
  <c r="GM25" i="24" s="1"/>
  <c r="GM26" i="24" s="1"/>
  <c r="GM27" i="24" s="1"/>
  <c r="GM28" i="24" s="1"/>
  <c r="GM29" i="24" s="1"/>
  <c r="GM30" i="24" s="1"/>
  <c r="GM31" i="24" s="1"/>
  <c r="GM32" i="24" s="1"/>
  <c r="GM33" i="24" s="1"/>
  <c r="GM34" i="24" s="1"/>
  <c r="GM35" i="24" s="1"/>
  <c r="GM36" i="24" s="1"/>
  <c r="GM37" i="24" s="1"/>
  <c r="GM38" i="24" s="1"/>
  <c r="GM39" i="24" s="1"/>
  <c r="GM40" i="24" s="1"/>
  <c r="GM41" i="24" s="1"/>
  <c r="GM42" i="24" s="1"/>
  <c r="GM43" i="24" s="1"/>
  <c r="GM44" i="24" s="1"/>
  <c r="GM45" i="24" s="1"/>
  <c r="GM46" i="24" s="1"/>
  <c r="GM47" i="24" s="1"/>
  <c r="GM48" i="24" s="1"/>
  <c r="GM49" i="24" s="1"/>
  <c r="GM50" i="24" s="1"/>
  <c r="GM51" i="24" s="1"/>
  <c r="Z53" i="24"/>
  <c r="AZ53" i="25"/>
  <c r="GL4" i="24"/>
  <c r="GL5" i="24" s="1"/>
  <c r="GL6" i="24" s="1"/>
  <c r="GL7" i="24" s="1"/>
  <c r="GL8" i="24" s="1"/>
  <c r="GL9" i="24" s="1"/>
  <c r="GL10" i="24" s="1"/>
  <c r="GL11" i="24" s="1"/>
  <c r="GL12" i="24" s="1"/>
  <c r="GL13" i="24" s="1"/>
  <c r="GL14" i="24" s="1"/>
  <c r="GL15" i="24" s="1"/>
  <c r="GL16" i="24" s="1"/>
  <c r="GL17" i="24" s="1"/>
  <c r="GL18" i="24" s="1"/>
  <c r="GL19" i="24" s="1"/>
  <c r="GL20" i="24" s="1"/>
  <c r="GL21" i="24" s="1"/>
  <c r="GL22" i="24" s="1"/>
  <c r="GL23" i="24" s="1"/>
  <c r="GL24" i="24" s="1"/>
  <c r="GL25" i="24" s="1"/>
  <c r="GL26" i="24" s="1"/>
  <c r="GL27" i="24" s="1"/>
  <c r="GL28" i="24" s="1"/>
  <c r="GL29" i="24" s="1"/>
  <c r="GL30" i="24" s="1"/>
  <c r="GL31" i="24" s="1"/>
  <c r="GL32" i="24" s="1"/>
  <c r="GL33" i="24" s="1"/>
  <c r="GL34" i="24" s="1"/>
  <c r="GL35" i="24" s="1"/>
  <c r="GL36" i="24" s="1"/>
  <c r="GL37" i="24" s="1"/>
  <c r="GL38" i="24" s="1"/>
  <c r="GL39" i="24" s="1"/>
  <c r="GL40" i="24" s="1"/>
  <c r="GL41" i="24" s="1"/>
  <c r="GL42" i="24" s="1"/>
  <c r="GL43" i="24" s="1"/>
  <c r="GL44" i="24" s="1"/>
  <c r="GL45" i="24" s="1"/>
  <c r="GL46" i="24" s="1"/>
  <c r="GL47" i="24" s="1"/>
  <c r="GL48" i="24" s="1"/>
  <c r="GL49" i="24" s="1"/>
  <c r="GL50" i="24" s="1"/>
  <c r="GL51" i="24" s="1"/>
  <c r="EU5" i="24"/>
  <c r="EU6" i="24" s="1"/>
  <c r="EU7" i="24" s="1"/>
  <c r="EU8" i="24" s="1"/>
  <c r="EU9" i="24" s="1"/>
  <c r="EU10" i="24" s="1"/>
  <c r="EU11" i="24" s="1"/>
  <c r="EU12" i="24" s="1"/>
  <c r="EU13" i="24" s="1"/>
  <c r="EU14" i="24" s="1"/>
  <c r="EU15" i="24" s="1"/>
  <c r="EU16" i="24" s="1"/>
  <c r="EU17" i="24" s="1"/>
  <c r="EU18" i="24" s="1"/>
  <c r="EU19" i="24" s="1"/>
  <c r="EU20" i="24" s="1"/>
  <c r="EU21" i="24" s="1"/>
  <c r="EU22" i="24" s="1"/>
  <c r="EU23" i="24" s="1"/>
  <c r="EU24" i="24" s="1"/>
  <c r="EU25" i="24" s="1"/>
  <c r="EU26" i="24" s="1"/>
  <c r="EU27" i="24" s="1"/>
  <c r="EU28" i="24" s="1"/>
  <c r="EU29" i="24" s="1"/>
  <c r="EU30" i="24" s="1"/>
  <c r="EU31" i="24" s="1"/>
  <c r="EU32" i="24" s="1"/>
  <c r="EU33" i="24" s="1"/>
  <c r="EU34" i="24" s="1"/>
  <c r="EU35" i="24" s="1"/>
  <c r="EU36" i="24" s="1"/>
  <c r="EU37" i="24" s="1"/>
  <c r="EU38" i="24" s="1"/>
  <c r="EU39" i="24" s="1"/>
  <c r="EU40" i="24" s="1"/>
  <c r="EU41" i="24" s="1"/>
  <c r="EU42" i="24" s="1"/>
  <c r="EU43" i="24" s="1"/>
  <c r="EU44" i="24" s="1"/>
  <c r="EU45" i="24" s="1"/>
  <c r="EU46" i="24" s="1"/>
  <c r="EU47" i="24" s="1"/>
  <c r="EU48" i="24" s="1"/>
  <c r="EU49" i="24" s="1"/>
  <c r="EU50" i="24" s="1"/>
  <c r="EU51" i="24" s="1"/>
  <c r="BD53" i="25"/>
  <c r="CK53" i="25"/>
  <c r="F53" i="24"/>
  <c r="AY53" i="24"/>
  <c r="BB53" i="25"/>
  <c r="BA53" i="24"/>
  <c r="D53" i="25"/>
  <c r="BP53" i="25"/>
  <c r="DL5" i="25"/>
  <c r="DL6" i="25" s="1"/>
  <c r="DL7" i="25" s="1"/>
  <c r="DL8" i="25" s="1"/>
  <c r="DL9" i="25" s="1"/>
  <c r="DL10" i="25" s="1"/>
  <c r="DL11" i="25" s="1"/>
  <c r="DL12" i="25" s="1"/>
  <c r="DL13" i="25" s="1"/>
  <c r="DL14" i="25" s="1"/>
  <c r="DL15" i="25" s="1"/>
  <c r="DL16" i="25" s="1"/>
  <c r="DL17" i="25" s="1"/>
  <c r="DL18" i="25" s="1"/>
  <c r="DL19" i="25" s="1"/>
  <c r="DL20" i="25" s="1"/>
  <c r="DL21" i="25" s="1"/>
  <c r="DL22" i="25" s="1"/>
  <c r="DL23" i="25" s="1"/>
  <c r="DL24" i="25" s="1"/>
  <c r="DL25" i="25" s="1"/>
  <c r="DL26" i="25" s="1"/>
  <c r="DL27" i="25" s="1"/>
  <c r="DL28" i="25" s="1"/>
  <c r="DL29" i="25" s="1"/>
  <c r="DL30" i="25" s="1"/>
  <c r="DL31" i="25" s="1"/>
  <c r="DL32" i="25" s="1"/>
  <c r="DL33" i="25" s="1"/>
  <c r="DL34" i="25" s="1"/>
  <c r="DL35" i="25" s="1"/>
  <c r="DL36" i="25" s="1"/>
  <c r="DL37" i="25" s="1"/>
  <c r="DL38" i="25" s="1"/>
  <c r="DL39" i="25" s="1"/>
  <c r="DL40" i="25" s="1"/>
  <c r="DL41" i="25" s="1"/>
  <c r="DL42" i="25" s="1"/>
  <c r="DL43" i="25" s="1"/>
  <c r="DL44" i="25" s="1"/>
  <c r="DL45" i="25" s="1"/>
  <c r="DL46" i="25" s="1"/>
  <c r="DL47" i="25" s="1"/>
  <c r="DL48" i="25" s="1"/>
  <c r="DL49" i="25" s="1"/>
  <c r="DL50" i="25" s="1"/>
  <c r="DL51" i="25" s="1"/>
  <c r="S53" i="25"/>
  <c r="EJ5" i="25"/>
  <c r="EJ6" i="25" s="1"/>
  <c r="EJ7" i="25" s="1"/>
  <c r="EJ8" i="25" s="1"/>
  <c r="EJ9" i="25" s="1"/>
  <c r="EJ10" i="25" s="1"/>
  <c r="EJ11" i="25" s="1"/>
  <c r="EJ12" i="25" s="1"/>
  <c r="EJ13" i="25" s="1"/>
  <c r="EJ14" i="25" s="1"/>
  <c r="EJ15" i="25" s="1"/>
  <c r="EJ16" i="25" s="1"/>
  <c r="EJ17" i="25" s="1"/>
  <c r="EJ18" i="25" s="1"/>
  <c r="EJ19" i="25" s="1"/>
  <c r="EJ20" i="25" s="1"/>
  <c r="EJ21" i="25" s="1"/>
  <c r="EJ22" i="25" s="1"/>
  <c r="EJ23" i="25" s="1"/>
  <c r="EJ24" i="25" s="1"/>
  <c r="EJ25" i="25" s="1"/>
  <c r="EJ26" i="25" s="1"/>
  <c r="EJ27" i="25" s="1"/>
  <c r="EJ28" i="25" s="1"/>
  <c r="EJ29" i="25" s="1"/>
  <c r="EJ30" i="25" s="1"/>
  <c r="EJ31" i="25" s="1"/>
  <c r="EJ32" i="25" s="1"/>
  <c r="EJ33" i="25" s="1"/>
  <c r="EJ34" i="25" s="1"/>
  <c r="EJ35" i="25" s="1"/>
  <c r="EJ36" i="25" s="1"/>
  <c r="EJ37" i="25" s="1"/>
  <c r="EJ38" i="25" s="1"/>
  <c r="EJ39" i="25" s="1"/>
  <c r="EJ40" i="25" s="1"/>
  <c r="EJ41" i="25" s="1"/>
  <c r="EJ42" i="25" s="1"/>
  <c r="EJ43" i="25" s="1"/>
  <c r="EJ44" i="25" s="1"/>
  <c r="EJ45" i="25" s="1"/>
  <c r="EJ46" i="25" s="1"/>
  <c r="EJ47" i="25" s="1"/>
  <c r="EJ48" i="25" s="1"/>
  <c r="EJ49" i="25" s="1"/>
  <c r="EJ50" i="25" s="1"/>
  <c r="EJ51" i="25" s="1"/>
  <c r="CN53" i="24"/>
  <c r="I53" i="24"/>
  <c r="BM53" i="24"/>
  <c r="AU53" i="25"/>
  <c r="AB53" i="25"/>
  <c r="BV53" i="24"/>
  <c r="CE53" i="25"/>
  <c r="P53" i="25"/>
  <c r="CC53" i="25"/>
  <c r="BJ53" i="25"/>
  <c r="AE53" i="25"/>
  <c r="AV53" i="24"/>
  <c r="AC53" i="25"/>
  <c r="CR53" i="24"/>
  <c r="CM53" i="24"/>
  <c r="BN53" i="25"/>
  <c r="BU53" i="25"/>
  <c r="AO53" i="25"/>
  <c r="C53" i="25"/>
  <c r="CS53" i="25"/>
  <c r="CJ53" i="24"/>
  <c r="CT53" i="24"/>
  <c r="AP53" i="24"/>
  <c r="CQ53" i="25"/>
  <c r="AH53" i="24"/>
  <c r="BI53" i="25"/>
  <c r="AQ53" i="25"/>
  <c r="DZ11" i="24"/>
  <c r="DZ12" i="24" s="1"/>
  <c r="DZ13" i="24" s="1"/>
  <c r="DZ14" i="24" s="1"/>
  <c r="DZ15" i="24" s="1"/>
  <c r="DZ16" i="24" s="1"/>
  <c r="DZ17" i="24" s="1"/>
  <c r="DZ18" i="24" s="1"/>
  <c r="DZ19" i="24" s="1"/>
  <c r="DZ20" i="24" s="1"/>
  <c r="DZ21" i="24" s="1"/>
  <c r="DZ22" i="24" s="1"/>
  <c r="DZ23" i="24" s="1"/>
  <c r="DZ24" i="24" s="1"/>
  <c r="DZ25" i="24" s="1"/>
  <c r="DZ26" i="24" s="1"/>
  <c r="DZ27" i="24" s="1"/>
  <c r="DZ28" i="24" s="1"/>
  <c r="DZ29" i="24" s="1"/>
  <c r="DZ30" i="24" s="1"/>
  <c r="DZ31" i="24" s="1"/>
  <c r="DZ32" i="24" s="1"/>
  <c r="DZ33" i="24" s="1"/>
  <c r="DZ34" i="24" s="1"/>
  <c r="DZ35" i="24" s="1"/>
  <c r="DZ36" i="24" s="1"/>
  <c r="DZ37" i="24" s="1"/>
  <c r="DZ38" i="24" s="1"/>
  <c r="DZ39" i="24" s="1"/>
  <c r="DZ40" i="24" s="1"/>
  <c r="DZ41" i="24" s="1"/>
  <c r="DZ42" i="24" s="1"/>
  <c r="DZ43" i="24" s="1"/>
  <c r="DZ44" i="24" s="1"/>
  <c r="DZ45" i="24" s="1"/>
  <c r="DZ46" i="24" s="1"/>
  <c r="DZ47" i="24" s="1"/>
  <c r="DZ48" i="24" s="1"/>
  <c r="DZ49" i="24" s="1"/>
  <c r="DZ50" i="24" s="1"/>
  <c r="DZ51" i="24" s="1"/>
  <c r="CG53" i="25"/>
  <c r="M53" i="24"/>
  <c r="BC53" i="24"/>
  <c r="EX4" i="24"/>
  <c r="EX5" i="24" s="1"/>
  <c r="EX6" i="24" s="1"/>
  <c r="EX7" i="24" s="1"/>
  <c r="EX8" i="24" s="1"/>
  <c r="EX9" i="24" s="1"/>
  <c r="EX10" i="24" s="1"/>
  <c r="EX11" i="24" s="1"/>
  <c r="EX12" i="24" s="1"/>
  <c r="EX13" i="24" s="1"/>
  <c r="EX14" i="24" s="1"/>
  <c r="EX15" i="24" s="1"/>
  <c r="EX16" i="24" s="1"/>
  <c r="EX17" i="24" s="1"/>
  <c r="EX18" i="24" s="1"/>
  <c r="EX19" i="24" s="1"/>
  <c r="EX20" i="24" s="1"/>
  <c r="EX21" i="24" s="1"/>
  <c r="EX22" i="24" s="1"/>
  <c r="EX23" i="24" s="1"/>
  <c r="EX24" i="24" s="1"/>
  <c r="EX25" i="24" s="1"/>
  <c r="EX26" i="24" s="1"/>
  <c r="EX27" i="24" s="1"/>
  <c r="EX28" i="24" s="1"/>
  <c r="EX29" i="24" s="1"/>
  <c r="EX30" i="24" s="1"/>
  <c r="EX31" i="24" s="1"/>
  <c r="EX32" i="24" s="1"/>
  <c r="EX33" i="24" s="1"/>
  <c r="EX34" i="24" s="1"/>
  <c r="EX35" i="24" s="1"/>
  <c r="EX36" i="24" s="1"/>
  <c r="EX37" i="24" s="1"/>
  <c r="EX38" i="24" s="1"/>
  <c r="EX39" i="24" s="1"/>
  <c r="EX40" i="24" s="1"/>
  <c r="EX41" i="24" s="1"/>
  <c r="EX42" i="24" s="1"/>
  <c r="EX43" i="24" s="1"/>
  <c r="EX44" i="24" s="1"/>
  <c r="EX45" i="24" s="1"/>
  <c r="EX46" i="24" s="1"/>
  <c r="EX47" i="24" s="1"/>
  <c r="EX48" i="24" s="1"/>
  <c r="EX49" i="24" s="1"/>
  <c r="EX50" i="24" s="1"/>
  <c r="EX51" i="24" s="1"/>
  <c r="CK53" i="24"/>
  <c r="F53" i="25"/>
  <c r="V53" i="25"/>
  <c r="AW53" i="25"/>
  <c r="BW53" i="25"/>
  <c r="BH53" i="25"/>
  <c r="AF53" i="24"/>
  <c r="CW53" i="24"/>
  <c r="CA53" i="25"/>
  <c r="AN53" i="24"/>
  <c r="EO5" i="25"/>
  <c r="EO6" i="25" s="1"/>
  <c r="EO7" i="25" s="1"/>
  <c r="EO8" i="25" s="1"/>
  <c r="EO9" i="25" s="1"/>
  <c r="EO10" i="25" s="1"/>
  <c r="EO11" i="25" s="1"/>
  <c r="EO12" i="25" s="1"/>
  <c r="EO13" i="25" s="1"/>
  <c r="EO14" i="25" s="1"/>
  <c r="EO15" i="25" s="1"/>
  <c r="EO16" i="25" s="1"/>
  <c r="EO17" i="25" s="1"/>
  <c r="EO18" i="25" s="1"/>
  <c r="EO19" i="25" s="1"/>
  <c r="EO20" i="25" s="1"/>
  <c r="EO21" i="25" s="1"/>
  <c r="EO22" i="25" s="1"/>
  <c r="EO23" i="25" s="1"/>
  <c r="EO24" i="25" s="1"/>
  <c r="EO25" i="25" s="1"/>
  <c r="EO26" i="25" s="1"/>
  <c r="EO27" i="25" s="1"/>
  <c r="EO28" i="25" s="1"/>
  <c r="EO29" i="25" s="1"/>
  <c r="EO30" i="25" s="1"/>
  <c r="EO31" i="25" s="1"/>
  <c r="EO32" i="25" s="1"/>
  <c r="EO33" i="25" s="1"/>
  <c r="EO34" i="25" s="1"/>
  <c r="EO35" i="25" s="1"/>
  <c r="EO36" i="25" s="1"/>
  <c r="EO37" i="25" s="1"/>
  <c r="EO38" i="25" s="1"/>
  <c r="EO39" i="25" s="1"/>
  <c r="EO40" i="25" s="1"/>
  <c r="EO41" i="25" s="1"/>
  <c r="EO42" i="25" s="1"/>
  <c r="EO43" i="25" s="1"/>
  <c r="EO44" i="25" s="1"/>
  <c r="EO45" i="25" s="1"/>
  <c r="EO46" i="25" s="1"/>
  <c r="EO47" i="25" s="1"/>
  <c r="EO48" i="25" s="1"/>
  <c r="EO49" i="25" s="1"/>
  <c r="EO50" i="25" s="1"/>
  <c r="EO51" i="25" s="1"/>
  <c r="DK5" i="24"/>
  <c r="DK6" i="24" s="1"/>
  <c r="DK7" i="24" s="1"/>
  <c r="DK8" i="24" s="1"/>
  <c r="DK9" i="24" s="1"/>
  <c r="DK10" i="24" s="1"/>
  <c r="DK11" i="24" s="1"/>
  <c r="DK12" i="24" s="1"/>
  <c r="DK13" i="24" s="1"/>
  <c r="DK14" i="24" s="1"/>
  <c r="DK15" i="24" s="1"/>
  <c r="DK16" i="24" s="1"/>
  <c r="DK17" i="24" s="1"/>
  <c r="DK18" i="24" s="1"/>
  <c r="DK19" i="24" s="1"/>
  <c r="DK20" i="24" s="1"/>
  <c r="DK21" i="24" s="1"/>
  <c r="DK22" i="24" s="1"/>
  <c r="DK23" i="24" s="1"/>
  <c r="DK24" i="24" s="1"/>
  <c r="DK25" i="24" s="1"/>
  <c r="DK26" i="24" s="1"/>
  <c r="DK27" i="24" s="1"/>
  <c r="DK28" i="24" s="1"/>
  <c r="DK29" i="24" s="1"/>
  <c r="DK30" i="24" s="1"/>
  <c r="DK31" i="24" s="1"/>
  <c r="DK32" i="24" s="1"/>
  <c r="DK33" i="24" s="1"/>
  <c r="DK34" i="24" s="1"/>
  <c r="DK35" i="24" s="1"/>
  <c r="DK36" i="24" s="1"/>
  <c r="DK37" i="24" s="1"/>
  <c r="DK38" i="24" s="1"/>
  <c r="DK39" i="24" s="1"/>
  <c r="DK40" i="24" s="1"/>
  <c r="DK41" i="24" s="1"/>
  <c r="DK42" i="24" s="1"/>
  <c r="DK43" i="24" s="1"/>
  <c r="DK44" i="24" s="1"/>
  <c r="DK45" i="24" s="1"/>
  <c r="DK46" i="24" s="1"/>
  <c r="DK47" i="24" s="1"/>
  <c r="DK48" i="24" s="1"/>
  <c r="DK49" i="24" s="1"/>
  <c r="DK50" i="24" s="1"/>
  <c r="DK51" i="24" s="1"/>
  <c r="Y53" i="25"/>
  <c r="FM10" i="25"/>
  <c r="FM11" i="25" s="1"/>
  <c r="FM12" i="25" s="1"/>
  <c r="FM13" i="25" s="1"/>
  <c r="FM14" i="25" s="1"/>
  <c r="FM15" i="25" s="1"/>
  <c r="FM16" i="25" s="1"/>
  <c r="FM17" i="25" s="1"/>
  <c r="FM18" i="25" s="1"/>
  <c r="FM19" i="25" s="1"/>
  <c r="FM20" i="25" s="1"/>
  <c r="FM21" i="25" s="1"/>
  <c r="FM22" i="25" s="1"/>
  <c r="FM23" i="25" s="1"/>
  <c r="FM24" i="25" s="1"/>
  <c r="FM25" i="25" s="1"/>
  <c r="FM26" i="25" s="1"/>
  <c r="FM27" i="25" s="1"/>
  <c r="FM28" i="25" s="1"/>
  <c r="FM29" i="25" s="1"/>
  <c r="FM30" i="25" s="1"/>
  <c r="FM31" i="25" s="1"/>
  <c r="FM32" i="25" s="1"/>
  <c r="FM33" i="25" s="1"/>
  <c r="FM34" i="25" s="1"/>
  <c r="FM35" i="25" s="1"/>
  <c r="FM36" i="25" s="1"/>
  <c r="FM37" i="25" s="1"/>
  <c r="FM38" i="25" s="1"/>
  <c r="FM39" i="25" s="1"/>
  <c r="FM40" i="25" s="1"/>
  <c r="FM41" i="25" s="1"/>
  <c r="FM42" i="25" s="1"/>
  <c r="FM43" i="25" s="1"/>
  <c r="FM44" i="25" s="1"/>
  <c r="FM45" i="25" s="1"/>
  <c r="FM46" i="25" s="1"/>
  <c r="FM47" i="25" s="1"/>
  <c r="FM48" i="25" s="1"/>
  <c r="FM49" i="25" s="1"/>
  <c r="FM50" i="25" s="1"/>
  <c r="FM51" i="25" s="1"/>
  <c r="FV7" i="25"/>
  <c r="FV8" i="25" s="1"/>
  <c r="FV9" i="25" s="1"/>
  <c r="FV10" i="25" s="1"/>
  <c r="FV11" i="25" s="1"/>
  <c r="FV12" i="25" s="1"/>
  <c r="FV13" i="25" s="1"/>
  <c r="FV14" i="25" s="1"/>
  <c r="FV15" i="25" s="1"/>
  <c r="FV16" i="25" s="1"/>
  <c r="FV17" i="25" s="1"/>
  <c r="FV18" i="25" s="1"/>
  <c r="FV19" i="25" s="1"/>
  <c r="FV20" i="25" s="1"/>
  <c r="FV21" i="25" s="1"/>
  <c r="FV22" i="25" s="1"/>
  <c r="FV23" i="25" s="1"/>
  <c r="FV24" i="25" s="1"/>
  <c r="FV25" i="25" s="1"/>
  <c r="FV26" i="25" s="1"/>
  <c r="FV27" i="25" s="1"/>
  <c r="FV28" i="25" s="1"/>
  <c r="FV29" i="25" s="1"/>
  <c r="FV30" i="25" s="1"/>
  <c r="FV31" i="25" s="1"/>
  <c r="FV32" i="25" s="1"/>
  <c r="FV33" i="25" s="1"/>
  <c r="FV34" i="25" s="1"/>
  <c r="FV35" i="25" s="1"/>
  <c r="FV36" i="25" s="1"/>
  <c r="FV37" i="25" s="1"/>
  <c r="FV38" i="25" s="1"/>
  <c r="FV39" i="25" s="1"/>
  <c r="FV40" i="25" s="1"/>
  <c r="FV41" i="25" s="1"/>
  <c r="FV42" i="25" s="1"/>
  <c r="FV43" i="25" s="1"/>
  <c r="FV44" i="25" s="1"/>
  <c r="FV45" i="25" s="1"/>
  <c r="FV46" i="25" s="1"/>
  <c r="FV47" i="25" s="1"/>
  <c r="FV48" i="25" s="1"/>
  <c r="FV49" i="25" s="1"/>
  <c r="FV50" i="25" s="1"/>
  <c r="FV51" i="25" s="1"/>
  <c r="EB5" i="24"/>
  <c r="EB6" i="24" s="1"/>
  <c r="EB7" i="24" s="1"/>
  <c r="EB8" i="24" s="1"/>
  <c r="EB9" i="24" s="1"/>
  <c r="EB10" i="24" s="1"/>
  <c r="EB11" i="24" s="1"/>
  <c r="EB12" i="24" s="1"/>
  <c r="EB13" i="24" s="1"/>
  <c r="EB14" i="24" s="1"/>
  <c r="EB15" i="24" s="1"/>
  <c r="EB16" i="24" s="1"/>
  <c r="EB17" i="24" s="1"/>
  <c r="EB18" i="24" s="1"/>
  <c r="EB19" i="24" s="1"/>
  <c r="EB20" i="24" s="1"/>
  <c r="EB21" i="24" s="1"/>
  <c r="EB22" i="24" s="1"/>
  <c r="EB23" i="24" s="1"/>
  <c r="EB24" i="24" s="1"/>
  <c r="EB25" i="24" s="1"/>
  <c r="EB26" i="24" s="1"/>
  <c r="EB27" i="24" s="1"/>
  <c r="EB28" i="24" s="1"/>
  <c r="EB29" i="24" s="1"/>
  <c r="EB30" i="24" s="1"/>
  <c r="EB31" i="24" s="1"/>
  <c r="EB32" i="24" s="1"/>
  <c r="EB33" i="24" s="1"/>
  <c r="EB34" i="24" s="1"/>
  <c r="EB35" i="24" s="1"/>
  <c r="EB36" i="24" s="1"/>
  <c r="EB37" i="24" s="1"/>
  <c r="EB38" i="24" s="1"/>
  <c r="EB39" i="24" s="1"/>
  <c r="EB40" i="24" s="1"/>
  <c r="EB41" i="24" s="1"/>
  <c r="EB42" i="24" s="1"/>
  <c r="EB43" i="24" s="1"/>
  <c r="EB44" i="24" s="1"/>
  <c r="EB45" i="24" s="1"/>
  <c r="EB46" i="24" s="1"/>
  <c r="EB47" i="24" s="1"/>
  <c r="EB48" i="24" s="1"/>
  <c r="EB49" i="24" s="1"/>
  <c r="EB50" i="24" s="1"/>
  <c r="EB51" i="24" s="1"/>
  <c r="G53" i="24"/>
  <c r="BO53" i="25"/>
  <c r="FZ7" i="25"/>
  <c r="FZ8" i="25" s="1"/>
  <c r="FZ9" i="25" s="1"/>
  <c r="FZ10" i="25" s="1"/>
  <c r="FZ11" i="25" s="1"/>
  <c r="FZ12" i="25" s="1"/>
  <c r="FZ13" i="25" s="1"/>
  <c r="FZ14" i="25" s="1"/>
  <c r="FZ15" i="25" s="1"/>
  <c r="FZ16" i="25" s="1"/>
  <c r="FZ17" i="25" s="1"/>
  <c r="FZ18" i="25" s="1"/>
  <c r="FZ19" i="25" s="1"/>
  <c r="FZ20" i="25" s="1"/>
  <c r="FZ21" i="25" s="1"/>
  <c r="FZ22" i="25" s="1"/>
  <c r="FZ23" i="25" s="1"/>
  <c r="FZ24" i="25" s="1"/>
  <c r="FZ25" i="25" s="1"/>
  <c r="FZ26" i="25" s="1"/>
  <c r="FZ27" i="25" s="1"/>
  <c r="FZ28" i="25" s="1"/>
  <c r="FZ29" i="25" s="1"/>
  <c r="FZ30" i="25" s="1"/>
  <c r="FZ31" i="25" s="1"/>
  <c r="FZ32" i="25" s="1"/>
  <c r="FZ33" i="25" s="1"/>
  <c r="FZ34" i="25" s="1"/>
  <c r="FZ35" i="25" s="1"/>
  <c r="FZ36" i="25" s="1"/>
  <c r="FZ37" i="25" s="1"/>
  <c r="FZ38" i="25" s="1"/>
  <c r="FZ39" i="25" s="1"/>
  <c r="FZ40" i="25" s="1"/>
  <c r="FZ41" i="25" s="1"/>
  <c r="FZ42" i="25" s="1"/>
  <c r="FZ43" i="25" s="1"/>
  <c r="FZ44" i="25" s="1"/>
  <c r="FZ45" i="25" s="1"/>
  <c r="FZ46" i="25" s="1"/>
  <c r="FZ47" i="25" s="1"/>
  <c r="FZ48" i="25" s="1"/>
  <c r="FZ49" i="25" s="1"/>
  <c r="FZ50" i="25" s="1"/>
  <c r="FZ51" i="25" s="1"/>
  <c r="CH53" i="25"/>
  <c r="CM53" i="25"/>
  <c r="AM53" i="24"/>
  <c r="EI14" i="24"/>
  <c r="EI15" i="24" s="1"/>
  <c r="EI16" i="24" s="1"/>
  <c r="EI17" i="24" s="1"/>
  <c r="EI18" i="24" s="1"/>
  <c r="EI19" i="24" s="1"/>
  <c r="EI20" i="24" s="1"/>
  <c r="EI21" i="24" s="1"/>
  <c r="EI22" i="24" s="1"/>
  <c r="EI23" i="24" s="1"/>
  <c r="EI24" i="24" s="1"/>
  <c r="EI25" i="24" s="1"/>
  <c r="EI26" i="24" s="1"/>
  <c r="EI27" i="24" s="1"/>
  <c r="EI28" i="24" s="1"/>
  <c r="EI29" i="24" s="1"/>
  <c r="EI30" i="24" s="1"/>
  <c r="EI31" i="24" s="1"/>
  <c r="EI32" i="24" s="1"/>
  <c r="EI33" i="24" s="1"/>
  <c r="EI34" i="24" s="1"/>
  <c r="EI35" i="24" s="1"/>
  <c r="EI36" i="24" s="1"/>
  <c r="EI37" i="24" s="1"/>
  <c r="EI38" i="24" s="1"/>
  <c r="EI39" i="24" s="1"/>
  <c r="EI40" i="24" s="1"/>
  <c r="EI41" i="24" s="1"/>
  <c r="EI42" i="24" s="1"/>
  <c r="EI43" i="24" s="1"/>
  <c r="EI44" i="24" s="1"/>
  <c r="EI45" i="24" s="1"/>
  <c r="EI46" i="24" s="1"/>
  <c r="EI47" i="24" s="1"/>
  <c r="EI48" i="24" s="1"/>
  <c r="EI49" i="24" s="1"/>
  <c r="EI50" i="24" s="1"/>
  <c r="EI51" i="24" s="1"/>
  <c r="FM10" i="24"/>
  <c r="FM11" i="24" s="1"/>
  <c r="FM12" i="24" s="1"/>
  <c r="FM13" i="24" s="1"/>
  <c r="FM14" i="24" s="1"/>
  <c r="FM15" i="24" s="1"/>
  <c r="FM16" i="24" s="1"/>
  <c r="FM17" i="24" s="1"/>
  <c r="FM18" i="24" s="1"/>
  <c r="FM19" i="24" s="1"/>
  <c r="FM20" i="24" s="1"/>
  <c r="FM21" i="24" s="1"/>
  <c r="FM22" i="24" s="1"/>
  <c r="FM23" i="24" s="1"/>
  <c r="FM24" i="24" s="1"/>
  <c r="FM25" i="24" s="1"/>
  <c r="FM26" i="24" s="1"/>
  <c r="FM27" i="24" s="1"/>
  <c r="FM28" i="24" s="1"/>
  <c r="FM29" i="24" s="1"/>
  <c r="FM30" i="24" s="1"/>
  <c r="FM31" i="24" s="1"/>
  <c r="FM32" i="24" s="1"/>
  <c r="FM33" i="24" s="1"/>
  <c r="FM34" i="24" s="1"/>
  <c r="FM35" i="24" s="1"/>
  <c r="FM36" i="24" s="1"/>
  <c r="FM37" i="24" s="1"/>
  <c r="FM38" i="24" s="1"/>
  <c r="FM39" i="24" s="1"/>
  <c r="FM40" i="24" s="1"/>
  <c r="FM41" i="24" s="1"/>
  <c r="FM42" i="24" s="1"/>
  <c r="FM43" i="24" s="1"/>
  <c r="FM44" i="24" s="1"/>
  <c r="FM45" i="24" s="1"/>
  <c r="FM46" i="24" s="1"/>
  <c r="FM47" i="24" s="1"/>
  <c r="FM48" i="24" s="1"/>
  <c r="FM49" i="24" s="1"/>
  <c r="FM50" i="24" s="1"/>
  <c r="FM51" i="24" s="1"/>
  <c r="BW53" i="24"/>
  <c r="D53" i="24"/>
  <c r="FB7" i="25"/>
  <c r="FB8" i="25" s="1"/>
  <c r="FB9" i="25" s="1"/>
  <c r="FB10" i="25" s="1"/>
  <c r="FB11" i="25" s="1"/>
  <c r="FB12" i="25" s="1"/>
  <c r="FB13" i="25" s="1"/>
  <c r="FB14" i="25" s="1"/>
  <c r="FB15" i="25" s="1"/>
  <c r="FB16" i="25" s="1"/>
  <c r="FB17" i="25" s="1"/>
  <c r="FB18" i="25" s="1"/>
  <c r="FB19" i="25" s="1"/>
  <c r="FB20" i="25" s="1"/>
  <c r="FB21" i="25" s="1"/>
  <c r="FB22" i="25" s="1"/>
  <c r="FB23" i="25" s="1"/>
  <c r="FB24" i="25" s="1"/>
  <c r="FB25" i="25" s="1"/>
  <c r="FB26" i="25" s="1"/>
  <c r="FB27" i="25" s="1"/>
  <c r="FB28" i="25" s="1"/>
  <c r="FB29" i="25" s="1"/>
  <c r="FB30" i="25" s="1"/>
  <c r="FB31" i="25" s="1"/>
  <c r="FB32" i="25" s="1"/>
  <c r="FB33" i="25" s="1"/>
  <c r="FB34" i="25" s="1"/>
  <c r="FB35" i="25" s="1"/>
  <c r="FB36" i="25" s="1"/>
  <c r="FB37" i="25" s="1"/>
  <c r="FB38" i="25" s="1"/>
  <c r="FB39" i="25" s="1"/>
  <c r="FB40" i="25" s="1"/>
  <c r="FB41" i="25" s="1"/>
  <c r="FB42" i="25" s="1"/>
  <c r="FB43" i="25" s="1"/>
  <c r="FB44" i="25" s="1"/>
  <c r="FB45" i="25" s="1"/>
  <c r="FB46" i="25" s="1"/>
  <c r="FB47" i="25" s="1"/>
  <c r="FB48" i="25" s="1"/>
  <c r="FB49" i="25" s="1"/>
  <c r="FB50" i="25" s="1"/>
  <c r="FB51" i="25" s="1"/>
  <c r="FL5" i="25"/>
  <c r="FL6" i="25" s="1"/>
  <c r="FL7" i="25" s="1"/>
  <c r="FL8" i="25" s="1"/>
  <c r="FL9" i="25" s="1"/>
  <c r="FL10" i="25" s="1"/>
  <c r="FL11" i="25" s="1"/>
  <c r="FL12" i="25" s="1"/>
  <c r="FL13" i="25" s="1"/>
  <c r="FL14" i="25" s="1"/>
  <c r="FL15" i="25" s="1"/>
  <c r="FL16" i="25" s="1"/>
  <c r="FL17" i="25" s="1"/>
  <c r="FL18" i="25" s="1"/>
  <c r="FL19" i="25" s="1"/>
  <c r="FL20" i="25" s="1"/>
  <c r="FL21" i="25" s="1"/>
  <c r="FL22" i="25" s="1"/>
  <c r="FL23" i="25" s="1"/>
  <c r="FL24" i="25" s="1"/>
  <c r="FL25" i="25" s="1"/>
  <c r="FL26" i="25" s="1"/>
  <c r="FL27" i="25" s="1"/>
  <c r="FL28" i="25" s="1"/>
  <c r="FL29" i="25" s="1"/>
  <c r="FL30" i="25" s="1"/>
  <c r="FL31" i="25" s="1"/>
  <c r="FL32" i="25" s="1"/>
  <c r="FL33" i="25" s="1"/>
  <c r="FL34" i="25" s="1"/>
  <c r="FL35" i="25" s="1"/>
  <c r="FL36" i="25" s="1"/>
  <c r="FL37" i="25" s="1"/>
  <c r="FL38" i="25" s="1"/>
  <c r="FL39" i="25" s="1"/>
  <c r="FL40" i="25" s="1"/>
  <c r="FL41" i="25" s="1"/>
  <c r="FL42" i="25" s="1"/>
  <c r="FL43" i="25" s="1"/>
  <c r="FL44" i="25" s="1"/>
  <c r="FL45" i="25" s="1"/>
  <c r="FL46" i="25" s="1"/>
  <c r="FL47" i="25" s="1"/>
  <c r="FL48" i="25" s="1"/>
  <c r="FL49" i="25" s="1"/>
  <c r="FL50" i="25" s="1"/>
  <c r="FL51" i="25" s="1"/>
  <c r="FY5" i="25"/>
  <c r="FY6" i="25" s="1"/>
  <c r="FY7" i="25" s="1"/>
  <c r="FY8" i="25" s="1"/>
  <c r="FY9" i="25" s="1"/>
  <c r="FY10" i="25" s="1"/>
  <c r="FY11" i="25" s="1"/>
  <c r="FY12" i="25" s="1"/>
  <c r="FY13" i="25" s="1"/>
  <c r="FY14" i="25" s="1"/>
  <c r="FY15" i="25" s="1"/>
  <c r="FY16" i="25" s="1"/>
  <c r="FY17" i="25" s="1"/>
  <c r="FY18" i="25" s="1"/>
  <c r="FY19" i="25" s="1"/>
  <c r="FY20" i="25" s="1"/>
  <c r="FY21" i="25" s="1"/>
  <c r="FY22" i="25" s="1"/>
  <c r="FY23" i="25" s="1"/>
  <c r="FY24" i="25" s="1"/>
  <c r="FY25" i="25" s="1"/>
  <c r="FY26" i="25" s="1"/>
  <c r="FY27" i="25" s="1"/>
  <c r="FY28" i="25" s="1"/>
  <c r="FY29" i="25" s="1"/>
  <c r="FY30" i="25" s="1"/>
  <c r="FY31" i="25" s="1"/>
  <c r="FY32" i="25" s="1"/>
  <c r="FY33" i="25" s="1"/>
  <c r="FY34" i="25" s="1"/>
  <c r="FY35" i="25" s="1"/>
  <c r="FY36" i="25" s="1"/>
  <c r="FY37" i="25" s="1"/>
  <c r="FY38" i="25" s="1"/>
  <c r="FY39" i="25" s="1"/>
  <c r="FY40" i="25" s="1"/>
  <c r="FY41" i="25" s="1"/>
  <c r="FY42" i="25" s="1"/>
  <c r="FY43" i="25" s="1"/>
  <c r="FY44" i="25" s="1"/>
  <c r="FY45" i="25" s="1"/>
  <c r="FY46" i="25" s="1"/>
  <c r="FY47" i="25" s="1"/>
  <c r="FY48" i="25" s="1"/>
  <c r="FY49" i="25" s="1"/>
  <c r="FY50" i="25" s="1"/>
  <c r="FY51" i="25" s="1"/>
  <c r="FS5" i="24"/>
  <c r="FS6" i="24" s="1"/>
  <c r="FS7" i="24" s="1"/>
  <c r="FS8" i="24" s="1"/>
  <c r="FS9" i="24" s="1"/>
  <c r="FS10" i="24" s="1"/>
  <c r="FS11" i="24" s="1"/>
  <c r="FS12" i="24" s="1"/>
  <c r="FS13" i="24" s="1"/>
  <c r="FS14" i="24" s="1"/>
  <c r="FS15" i="24" s="1"/>
  <c r="FS16" i="24" s="1"/>
  <c r="FS17" i="24" s="1"/>
  <c r="FS18" i="24" s="1"/>
  <c r="FS19" i="24" s="1"/>
  <c r="FS20" i="24" s="1"/>
  <c r="FS21" i="24" s="1"/>
  <c r="FS22" i="24" s="1"/>
  <c r="FS23" i="24" s="1"/>
  <c r="FS24" i="24" s="1"/>
  <c r="FS25" i="24" s="1"/>
  <c r="FS26" i="24" s="1"/>
  <c r="FS27" i="24" s="1"/>
  <c r="FS28" i="24" s="1"/>
  <c r="FS29" i="24" s="1"/>
  <c r="FS30" i="24" s="1"/>
  <c r="FS31" i="24" s="1"/>
  <c r="FS32" i="24" s="1"/>
  <c r="FS33" i="24" s="1"/>
  <c r="FS34" i="24" s="1"/>
  <c r="FS35" i="24" s="1"/>
  <c r="FS36" i="24" s="1"/>
  <c r="FS37" i="24" s="1"/>
  <c r="FS38" i="24" s="1"/>
  <c r="FS39" i="24" s="1"/>
  <c r="FS40" i="24" s="1"/>
  <c r="FS41" i="24" s="1"/>
  <c r="FS42" i="24" s="1"/>
  <c r="FS43" i="24" s="1"/>
  <c r="FS44" i="24" s="1"/>
  <c r="FS45" i="24" s="1"/>
  <c r="FS46" i="24" s="1"/>
  <c r="FS47" i="24" s="1"/>
  <c r="FS48" i="24" s="1"/>
  <c r="FS49" i="24" s="1"/>
  <c r="FS50" i="24" s="1"/>
  <c r="FS51" i="24" s="1"/>
  <c r="GI5" i="24"/>
  <c r="GI6" i="24" s="1"/>
  <c r="GI7" i="24" s="1"/>
  <c r="GI8" i="24" s="1"/>
  <c r="GI9" i="24" s="1"/>
  <c r="GI10" i="24" s="1"/>
  <c r="GI11" i="24" s="1"/>
  <c r="GI12" i="24" s="1"/>
  <c r="GI13" i="24" s="1"/>
  <c r="GI14" i="24" s="1"/>
  <c r="GI15" i="24" s="1"/>
  <c r="GI16" i="24" s="1"/>
  <c r="GI17" i="24" s="1"/>
  <c r="GI18" i="24" s="1"/>
  <c r="GI19" i="24" s="1"/>
  <c r="GI20" i="24" s="1"/>
  <c r="GI21" i="24" s="1"/>
  <c r="GI22" i="24" s="1"/>
  <c r="GI23" i="24" s="1"/>
  <c r="GI24" i="24" s="1"/>
  <c r="GI25" i="24" s="1"/>
  <c r="GI26" i="24" s="1"/>
  <c r="GI27" i="24" s="1"/>
  <c r="GI28" i="24" s="1"/>
  <c r="GI29" i="24" s="1"/>
  <c r="GI30" i="24" s="1"/>
  <c r="GI31" i="24" s="1"/>
  <c r="GI32" i="24" s="1"/>
  <c r="GI33" i="24" s="1"/>
  <c r="GI34" i="24" s="1"/>
  <c r="GI35" i="24" s="1"/>
  <c r="GI36" i="24" s="1"/>
  <c r="GI37" i="24" s="1"/>
  <c r="GI38" i="24" s="1"/>
  <c r="GI39" i="24" s="1"/>
  <c r="GI40" i="24" s="1"/>
  <c r="GI41" i="24" s="1"/>
  <c r="GI42" i="24" s="1"/>
  <c r="GI43" i="24" s="1"/>
  <c r="GI44" i="24" s="1"/>
  <c r="GI45" i="24" s="1"/>
  <c r="GI46" i="24" s="1"/>
  <c r="GI47" i="24" s="1"/>
  <c r="GI48" i="24" s="1"/>
  <c r="GI49" i="24" s="1"/>
  <c r="GI50" i="24" s="1"/>
  <c r="GI51" i="24" s="1"/>
  <c r="FJ13" i="25"/>
  <c r="FJ14" i="25" s="1"/>
  <c r="FJ15" i="25" s="1"/>
  <c r="FJ16" i="25" s="1"/>
  <c r="FJ17" i="25" s="1"/>
  <c r="FJ18" i="25" s="1"/>
  <c r="FJ19" i="25" s="1"/>
  <c r="FJ20" i="25" s="1"/>
  <c r="FJ21" i="25" s="1"/>
  <c r="FJ22" i="25" s="1"/>
  <c r="FJ23" i="25" s="1"/>
  <c r="FJ24" i="25" s="1"/>
  <c r="FJ25" i="25" s="1"/>
  <c r="FJ26" i="25" s="1"/>
  <c r="FJ27" i="25" s="1"/>
  <c r="FJ28" i="25" s="1"/>
  <c r="FJ29" i="25" s="1"/>
  <c r="FJ30" i="25" s="1"/>
  <c r="FJ31" i="25" s="1"/>
  <c r="FJ32" i="25" s="1"/>
  <c r="FJ33" i="25" s="1"/>
  <c r="FJ34" i="25" s="1"/>
  <c r="FJ35" i="25" s="1"/>
  <c r="FJ36" i="25" s="1"/>
  <c r="FJ37" i="25" s="1"/>
  <c r="FJ38" i="25" s="1"/>
  <c r="FJ39" i="25" s="1"/>
  <c r="FJ40" i="25" s="1"/>
  <c r="FJ41" i="25" s="1"/>
  <c r="FJ42" i="25" s="1"/>
  <c r="FJ43" i="25" s="1"/>
  <c r="FJ44" i="25" s="1"/>
  <c r="FJ45" i="25" s="1"/>
  <c r="FJ46" i="25" s="1"/>
  <c r="FJ47" i="25" s="1"/>
  <c r="FJ48" i="25" s="1"/>
  <c r="FJ49" i="25" s="1"/>
  <c r="FJ50" i="25" s="1"/>
  <c r="FJ51" i="25" s="1"/>
  <c r="GU8" i="25"/>
  <c r="GU9" i="25" s="1"/>
  <c r="GU10" i="25" s="1"/>
  <c r="GU11" i="25" s="1"/>
  <c r="GU12" i="25" s="1"/>
  <c r="GU13" i="25" s="1"/>
  <c r="GU14" i="25" s="1"/>
  <c r="GU15" i="25" s="1"/>
  <c r="GU16" i="25" s="1"/>
  <c r="GU17" i="25" s="1"/>
  <c r="GU18" i="25" s="1"/>
  <c r="GU19" i="25" s="1"/>
  <c r="GU20" i="25" s="1"/>
  <c r="GU21" i="25" s="1"/>
  <c r="GU22" i="25" s="1"/>
  <c r="GU23" i="25" s="1"/>
  <c r="GU24" i="25" s="1"/>
  <c r="GU25" i="25" s="1"/>
  <c r="GU26" i="25" s="1"/>
  <c r="GU27" i="25" s="1"/>
  <c r="GU28" i="25" s="1"/>
  <c r="GU29" i="25" s="1"/>
  <c r="GU30" i="25" s="1"/>
  <c r="GU31" i="25" s="1"/>
  <c r="GU32" i="25" s="1"/>
  <c r="GU33" i="25" s="1"/>
  <c r="GU34" i="25" s="1"/>
  <c r="GU35" i="25" s="1"/>
  <c r="GU36" i="25" s="1"/>
  <c r="GU37" i="25" s="1"/>
  <c r="GU38" i="25" s="1"/>
  <c r="GU39" i="25" s="1"/>
  <c r="GU40" i="25" s="1"/>
  <c r="GU41" i="25" s="1"/>
  <c r="GU42" i="25" s="1"/>
  <c r="GU43" i="25" s="1"/>
  <c r="GU44" i="25" s="1"/>
  <c r="GU45" i="25" s="1"/>
  <c r="GU46" i="25" s="1"/>
  <c r="GU47" i="25" s="1"/>
  <c r="GU48" i="25" s="1"/>
  <c r="GU49" i="25" s="1"/>
  <c r="GU50" i="25" s="1"/>
  <c r="GU51" i="25" s="1"/>
  <c r="E53" i="24"/>
  <c r="AI53" i="24"/>
  <c r="GT5" i="24"/>
  <c r="GT6" i="24" s="1"/>
  <c r="GT7" i="24" s="1"/>
  <c r="GT8" i="24" s="1"/>
  <c r="GT9" i="24" s="1"/>
  <c r="GT10" i="24" s="1"/>
  <c r="GT11" i="24" s="1"/>
  <c r="GT12" i="24" s="1"/>
  <c r="GT13" i="24" s="1"/>
  <c r="GT14" i="24" s="1"/>
  <c r="GT15" i="24" s="1"/>
  <c r="GT16" i="24" s="1"/>
  <c r="GT17" i="24" s="1"/>
  <c r="GT18" i="24" s="1"/>
  <c r="GT19" i="24" s="1"/>
  <c r="GT20" i="24" s="1"/>
  <c r="GT21" i="24" s="1"/>
  <c r="GT22" i="24" s="1"/>
  <c r="GT23" i="24" s="1"/>
  <c r="GT24" i="24" s="1"/>
  <c r="GT25" i="24" s="1"/>
  <c r="GT26" i="24" s="1"/>
  <c r="GT27" i="24" s="1"/>
  <c r="GT28" i="24" s="1"/>
  <c r="GT29" i="24" s="1"/>
  <c r="GT30" i="24" s="1"/>
  <c r="GT31" i="24" s="1"/>
  <c r="GT32" i="24" s="1"/>
  <c r="GT33" i="24" s="1"/>
  <c r="GT34" i="24" s="1"/>
  <c r="GT35" i="24" s="1"/>
  <c r="GT36" i="24" s="1"/>
  <c r="GT37" i="24" s="1"/>
  <c r="GT38" i="24" s="1"/>
  <c r="GT39" i="24" s="1"/>
  <c r="GT40" i="24" s="1"/>
  <c r="GT41" i="24" s="1"/>
  <c r="GT42" i="24" s="1"/>
  <c r="GT43" i="24" s="1"/>
  <c r="GT44" i="24" s="1"/>
  <c r="GT45" i="24" s="1"/>
  <c r="GT46" i="24" s="1"/>
  <c r="GT47" i="24" s="1"/>
  <c r="GT48" i="24" s="1"/>
  <c r="GT49" i="24" s="1"/>
  <c r="GT50" i="24" s="1"/>
  <c r="GT51" i="24" s="1"/>
  <c r="GH6" i="25"/>
  <c r="GH7" i="25" s="1"/>
  <c r="GH8" i="25" s="1"/>
  <c r="GH9" i="25" s="1"/>
  <c r="GH10" i="25" s="1"/>
  <c r="GH11" i="25" s="1"/>
  <c r="GH12" i="25" s="1"/>
  <c r="GH13" i="25" s="1"/>
  <c r="GH14" i="25" s="1"/>
  <c r="GH15" i="25" s="1"/>
  <c r="GH16" i="25" s="1"/>
  <c r="GH17" i="25" s="1"/>
  <c r="GH18" i="25" s="1"/>
  <c r="GH19" i="25" s="1"/>
  <c r="GH20" i="25" s="1"/>
  <c r="GH21" i="25" s="1"/>
  <c r="GH22" i="25" s="1"/>
  <c r="GH23" i="25" s="1"/>
  <c r="GH24" i="25" s="1"/>
  <c r="GH25" i="25" s="1"/>
  <c r="GH26" i="25" s="1"/>
  <c r="GH27" i="25" s="1"/>
  <c r="GH28" i="25" s="1"/>
  <c r="GH29" i="25" s="1"/>
  <c r="GH30" i="25" s="1"/>
  <c r="GH31" i="25" s="1"/>
  <c r="GH32" i="25" s="1"/>
  <c r="GH33" i="25" s="1"/>
  <c r="GH34" i="25" s="1"/>
  <c r="GH35" i="25" s="1"/>
  <c r="GH36" i="25" s="1"/>
  <c r="GH37" i="25" s="1"/>
  <c r="GH38" i="25" s="1"/>
  <c r="GH39" i="25" s="1"/>
  <c r="GH40" i="25" s="1"/>
  <c r="GH41" i="25" s="1"/>
  <c r="GH42" i="25" s="1"/>
  <c r="GH43" i="25" s="1"/>
  <c r="GH44" i="25" s="1"/>
  <c r="GH45" i="25" s="1"/>
  <c r="GH46" i="25" s="1"/>
  <c r="GH47" i="25" s="1"/>
  <c r="GH48" i="25" s="1"/>
  <c r="GH49" i="25" s="1"/>
  <c r="GH50" i="25" s="1"/>
  <c r="GH51" i="25" s="1"/>
  <c r="EC4" i="24"/>
  <c r="EC5" i="24" s="1"/>
  <c r="EC6" i="24" s="1"/>
  <c r="EC7" i="24" s="1"/>
  <c r="EC8" i="24" s="1"/>
  <c r="EC9" i="24" s="1"/>
  <c r="EC10" i="24" s="1"/>
  <c r="EC11" i="24" s="1"/>
  <c r="EC12" i="24" s="1"/>
  <c r="EC13" i="24" s="1"/>
  <c r="EC14" i="24" s="1"/>
  <c r="EC15" i="24" s="1"/>
  <c r="EC16" i="24" s="1"/>
  <c r="EC17" i="24" s="1"/>
  <c r="EC18" i="24" s="1"/>
  <c r="EC19" i="24" s="1"/>
  <c r="EC20" i="24" s="1"/>
  <c r="EC21" i="24" s="1"/>
  <c r="EC22" i="24" s="1"/>
  <c r="EC23" i="24" s="1"/>
  <c r="EC24" i="24" s="1"/>
  <c r="EC25" i="24" s="1"/>
  <c r="EC26" i="24" s="1"/>
  <c r="EC27" i="24" s="1"/>
  <c r="EC28" i="24" s="1"/>
  <c r="EC29" i="24" s="1"/>
  <c r="EC30" i="24" s="1"/>
  <c r="EC31" i="24" s="1"/>
  <c r="EC32" i="24" s="1"/>
  <c r="EC33" i="24" s="1"/>
  <c r="EC34" i="24" s="1"/>
  <c r="EC35" i="24" s="1"/>
  <c r="EC36" i="24" s="1"/>
  <c r="EC37" i="24" s="1"/>
  <c r="EC38" i="24" s="1"/>
  <c r="EC39" i="24" s="1"/>
  <c r="EC40" i="24" s="1"/>
  <c r="EC41" i="24" s="1"/>
  <c r="EC42" i="24" s="1"/>
  <c r="EC43" i="24" s="1"/>
  <c r="EC44" i="24" s="1"/>
  <c r="EC45" i="24" s="1"/>
  <c r="EC46" i="24" s="1"/>
  <c r="EC47" i="24" s="1"/>
  <c r="EC48" i="24" s="1"/>
  <c r="EC49" i="24" s="1"/>
  <c r="EC50" i="24" s="1"/>
  <c r="EC51" i="24" s="1"/>
  <c r="FF9" i="24"/>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F30" i="24" s="1"/>
  <c r="FF31" i="24" s="1"/>
  <c r="FF32" i="24" s="1"/>
  <c r="FF33" i="24" s="1"/>
  <c r="FF34" i="24" s="1"/>
  <c r="FF35" i="24" s="1"/>
  <c r="FF36" i="24" s="1"/>
  <c r="FF37" i="24" s="1"/>
  <c r="FF38" i="24" s="1"/>
  <c r="FF39" i="24" s="1"/>
  <c r="FF40" i="24" s="1"/>
  <c r="FF41" i="24" s="1"/>
  <c r="FF42" i="24" s="1"/>
  <c r="FF43" i="24" s="1"/>
  <c r="FF44" i="24" s="1"/>
  <c r="FF45" i="24" s="1"/>
  <c r="FF46" i="24" s="1"/>
  <c r="FF47" i="24" s="1"/>
  <c r="FF48" i="24" s="1"/>
  <c r="FF49" i="24" s="1"/>
  <c r="FF50" i="24" s="1"/>
  <c r="FF51" i="24" s="1"/>
  <c r="DO5" i="24"/>
  <c r="DO6" i="24" s="1"/>
  <c r="DO7" i="24" s="1"/>
  <c r="DO8" i="24" s="1"/>
  <c r="DO9" i="24" s="1"/>
  <c r="DO10" i="24" s="1"/>
  <c r="DO11" i="24" s="1"/>
  <c r="DO12" i="24" s="1"/>
  <c r="DO13" i="24" s="1"/>
  <c r="DO14" i="24" s="1"/>
  <c r="DO15" i="24" s="1"/>
  <c r="DO16" i="24" s="1"/>
  <c r="DO17" i="24" s="1"/>
  <c r="DO18" i="24" s="1"/>
  <c r="DO19" i="24" s="1"/>
  <c r="DO20" i="24" s="1"/>
  <c r="DO21" i="24" s="1"/>
  <c r="DO22" i="24" s="1"/>
  <c r="DO23" i="24" s="1"/>
  <c r="DO24" i="24" s="1"/>
  <c r="DO25" i="24" s="1"/>
  <c r="DO26" i="24" s="1"/>
  <c r="DO27" i="24" s="1"/>
  <c r="DO28" i="24" s="1"/>
  <c r="DO29" i="24" s="1"/>
  <c r="DO30" i="24" s="1"/>
  <c r="DO31" i="24" s="1"/>
  <c r="DO32" i="24" s="1"/>
  <c r="DO33" i="24" s="1"/>
  <c r="DO34" i="24" s="1"/>
  <c r="DO35" i="24" s="1"/>
  <c r="DO36" i="24" s="1"/>
  <c r="DO37" i="24" s="1"/>
  <c r="DO38" i="24" s="1"/>
  <c r="DO39" i="24" s="1"/>
  <c r="DO40" i="24" s="1"/>
  <c r="DO41" i="24" s="1"/>
  <c r="DO42" i="24" s="1"/>
  <c r="DO43" i="24" s="1"/>
  <c r="DO44" i="24" s="1"/>
  <c r="DO45" i="24" s="1"/>
  <c r="DO46" i="24" s="1"/>
  <c r="DO47" i="24" s="1"/>
  <c r="DO48" i="24" s="1"/>
  <c r="DO49" i="24" s="1"/>
  <c r="DO50" i="24" s="1"/>
  <c r="DO51" i="24" s="1"/>
  <c r="FC5" i="25"/>
  <c r="FC6" i="25" s="1"/>
  <c r="FC7" i="25" s="1"/>
  <c r="FC8" i="25" s="1"/>
  <c r="FC9" i="25" s="1"/>
  <c r="FC10" i="25" s="1"/>
  <c r="FC11" i="25" s="1"/>
  <c r="FC12" i="25" s="1"/>
  <c r="FC13" i="25" s="1"/>
  <c r="FC14" i="25" s="1"/>
  <c r="FC15" i="25" s="1"/>
  <c r="FC16" i="25" s="1"/>
  <c r="FC17" i="25" s="1"/>
  <c r="FC18" i="25" s="1"/>
  <c r="FC19" i="25" s="1"/>
  <c r="FC20" i="25" s="1"/>
  <c r="FC21" i="25" s="1"/>
  <c r="FC22" i="25" s="1"/>
  <c r="FC23" i="25" s="1"/>
  <c r="FC24" i="25" s="1"/>
  <c r="FC25" i="25" s="1"/>
  <c r="FC26" i="25" s="1"/>
  <c r="FC27" i="25" s="1"/>
  <c r="FC28" i="25" s="1"/>
  <c r="FC29" i="25" s="1"/>
  <c r="FC30" i="25" s="1"/>
  <c r="FC31" i="25" s="1"/>
  <c r="FC32" i="25" s="1"/>
  <c r="FC33" i="25" s="1"/>
  <c r="FC34" i="25" s="1"/>
  <c r="FC35" i="25" s="1"/>
  <c r="FC36" i="25" s="1"/>
  <c r="FC37" i="25" s="1"/>
  <c r="FC38" i="25" s="1"/>
  <c r="FC39" i="25" s="1"/>
  <c r="FC40" i="25" s="1"/>
  <c r="FC41" i="25" s="1"/>
  <c r="FC42" i="25" s="1"/>
  <c r="FC43" i="25" s="1"/>
  <c r="FC44" i="25" s="1"/>
  <c r="FC45" i="25" s="1"/>
  <c r="FC46" i="25" s="1"/>
  <c r="FC47" i="25" s="1"/>
  <c r="FC48" i="25" s="1"/>
  <c r="FC49" i="25" s="1"/>
  <c r="FC50" i="25" s="1"/>
  <c r="FC51" i="25" s="1"/>
  <c r="FH4" i="24"/>
  <c r="FH5" i="24" s="1"/>
  <c r="FH6" i="24" s="1"/>
  <c r="FH7" i="24" s="1"/>
  <c r="FH8" i="24" s="1"/>
  <c r="FH9" i="24" s="1"/>
  <c r="FH10" i="24" s="1"/>
  <c r="FH11" i="24" s="1"/>
  <c r="FH12" i="24" s="1"/>
  <c r="FH13" i="24" s="1"/>
  <c r="FH14" i="24" s="1"/>
  <c r="FH15" i="24" s="1"/>
  <c r="FH16" i="24" s="1"/>
  <c r="FH17" i="24" s="1"/>
  <c r="FH18" i="24" s="1"/>
  <c r="FH19" i="24" s="1"/>
  <c r="FH20" i="24" s="1"/>
  <c r="FH21" i="24" s="1"/>
  <c r="FH22" i="24" s="1"/>
  <c r="FH23" i="24" s="1"/>
  <c r="FH24" i="24" s="1"/>
  <c r="FH25" i="24" s="1"/>
  <c r="FH26" i="24" s="1"/>
  <c r="FH27" i="24" s="1"/>
  <c r="FH28" i="24" s="1"/>
  <c r="FH29" i="24" s="1"/>
  <c r="FH30" i="24" s="1"/>
  <c r="FH31" i="24" s="1"/>
  <c r="FH32" i="24" s="1"/>
  <c r="FH33" i="24" s="1"/>
  <c r="FH34" i="24" s="1"/>
  <c r="FH35" i="24" s="1"/>
  <c r="FH36" i="24" s="1"/>
  <c r="FH37" i="24" s="1"/>
  <c r="FH38" i="24" s="1"/>
  <c r="FH39" i="24" s="1"/>
  <c r="FH40" i="24" s="1"/>
  <c r="FH41" i="24" s="1"/>
  <c r="FH42" i="24" s="1"/>
  <c r="FH43" i="24" s="1"/>
  <c r="FH44" i="24" s="1"/>
  <c r="FH45" i="24" s="1"/>
  <c r="FH46" i="24" s="1"/>
  <c r="FH47" i="24" s="1"/>
  <c r="FH48" i="24" s="1"/>
  <c r="FH49" i="24" s="1"/>
  <c r="FH50" i="24" s="1"/>
  <c r="FH51" i="24" s="1"/>
  <c r="DV5" i="25"/>
  <c r="DV6" i="25" s="1"/>
  <c r="DV7" i="25" s="1"/>
  <c r="DV8" i="25" s="1"/>
  <c r="DV9" i="25" s="1"/>
  <c r="DV10" i="25" s="1"/>
  <c r="DV11" i="25" s="1"/>
  <c r="DV12" i="25" s="1"/>
  <c r="DV13" i="25" s="1"/>
  <c r="DV14" i="25" s="1"/>
  <c r="DV15" i="25" s="1"/>
  <c r="DV16" i="25" s="1"/>
  <c r="DV17" i="25" s="1"/>
  <c r="DV18" i="25" s="1"/>
  <c r="DV19" i="25" s="1"/>
  <c r="DV20" i="25" s="1"/>
  <c r="DV21" i="25" s="1"/>
  <c r="DV22" i="25" s="1"/>
  <c r="DV23" i="25" s="1"/>
  <c r="DV24" i="25" s="1"/>
  <c r="DV25" i="25" s="1"/>
  <c r="DV26" i="25" s="1"/>
  <c r="DV27" i="25" s="1"/>
  <c r="DV28" i="25" s="1"/>
  <c r="DV29" i="25" s="1"/>
  <c r="DV30" i="25" s="1"/>
  <c r="DV31" i="25" s="1"/>
  <c r="DV32" i="25" s="1"/>
  <c r="DV33" i="25" s="1"/>
  <c r="DV34" i="25" s="1"/>
  <c r="DV35" i="25" s="1"/>
  <c r="DV36" i="25" s="1"/>
  <c r="DV37" i="25" s="1"/>
  <c r="DV38" i="25" s="1"/>
  <c r="DV39" i="25" s="1"/>
  <c r="DV40" i="25" s="1"/>
  <c r="DV41" i="25" s="1"/>
  <c r="DV42" i="25" s="1"/>
  <c r="DV43" i="25" s="1"/>
  <c r="DV44" i="25" s="1"/>
  <c r="DV45" i="25" s="1"/>
  <c r="DV46" i="25" s="1"/>
  <c r="DV47" i="25" s="1"/>
  <c r="DV48" i="25" s="1"/>
  <c r="DV49" i="25" s="1"/>
  <c r="DV50" i="25" s="1"/>
  <c r="DV51" i="25" s="1"/>
  <c r="DQ4" i="24"/>
  <c r="DQ5" i="24" s="1"/>
  <c r="DQ6" i="24" s="1"/>
  <c r="DQ7" i="24" s="1"/>
  <c r="DQ8" i="24" s="1"/>
  <c r="DQ9" i="24" s="1"/>
  <c r="DQ10" i="24" s="1"/>
  <c r="DQ11" i="24" s="1"/>
  <c r="DQ12" i="24" s="1"/>
  <c r="DQ13" i="24" s="1"/>
  <c r="DQ14" i="24" s="1"/>
  <c r="DQ15" i="24" s="1"/>
  <c r="DQ16" i="24" s="1"/>
  <c r="DQ17" i="24" s="1"/>
  <c r="DQ18" i="24" s="1"/>
  <c r="DQ19" i="24" s="1"/>
  <c r="DQ20" i="24" s="1"/>
  <c r="DQ21" i="24" s="1"/>
  <c r="DQ22" i="24" s="1"/>
  <c r="DQ23" i="24" s="1"/>
  <c r="DQ24" i="24" s="1"/>
  <c r="DQ25" i="24" s="1"/>
  <c r="DQ26" i="24" s="1"/>
  <c r="DQ27" i="24" s="1"/>
  <c r="DQ28" i="24" s="1"/>
  <c r="DQ29" i="24" s="1"/>
  <c r="DQ30" i="24" s="1"/>
  <c r="DQ31" i="24" s="1"/>
  <c r="DQ32" i="24" s="1"/>
  <c r="DQ33" i="24" s="1"/>
  <c r="DQ34" i="24" s="1"/>
  <c r="DQ35" i="24" s="1"/>
  <c r="DQ36" i="24" s="1"/>
  <c r="DQ37" i="24" s="1"/>
  <c r="DQ38" i="24" s="1"/>
  <c r="DQ39" i="24" s="1"/>
  <c r="DQ40" i="24" s="1"/>
  <c r="DQ41" i="24" s="1"/>
  <c r="DQ42" i="24" s="1"/>
  <c r="DQ43" i="24" s="1"/>
  <c r="DQ44" i="24" s="1"/>
  <c r="DQ45" i="24" s="1"/>
  <c r="DQ46" i="24" s="1"/>
  <c r="DQ47" i="24" s="1"/>
  <c r="DQ48" i="24" s="1"/>
  <c r="DQ49" i="24" s="1"/>
  <c r="DQ50" i="24" s="1"/>
  <c r="DQ51" i="24" s="1"/>
  <c r="CV53" i="24"/>
  <c r="GA5" i="24"/>
  <c r="GA6" i="24" s="1"/>
  <c r="GA7" i="24" s="1"/>
  <c r="GA8" i="24" s="1"/>
  <c r="GA9" i="24" s="1"/>
  <c r="GA10" i="24" s="1"/>
  <c r="GA11" i="24" s="1"/>
  <c r="GA12" i="24" s="1"/>
  <c r="GA13" i="24" s="1"/>
  <c r="GA14" i="24" s="1"/>
  <c r="GA15" i="24" s="1"/>
  <c r="GA16" i="24" s="1"/>
  <c r="GA17" i="24" s="1"/>
  <c r="GA18" i="24" s="1"/>
  <c r="GA19" i="24" s="1"/>
  <c r="GA20" i="24" s="1"/>
  <c r="GA21" i="24" s="1"/>
  <c r="GA22" i="24" s="1"/>
  <c r="GA23" i="24" s="1"/>
  <c r="GA24" i="24" s="1"/>
  <c r="GA25" i="24" s="1"/>
  <c r="GA26" i="24" s="1"/>
  <c r="GA27" i="24" s="1"/>
  <c r="GA28" i="24" s="1"/>
  <c r="GA29" i="24" s="1"/>
  <c r="GA30" i="24" s="1"/>
  <c r="GA31" i="24" s="1"/>
  <c r="GA32" i="24" s="1"/>
  <c r="GA33" i="24" s="1"/>
  <c r="GA34" i="24" s="1"/>
  <c r="GA35" i="24" s="1"/>
  <c r="GA36" i="24" s="1"/>
  <c r="GA37" i="24" s="1"/>
  <c r="GA38" i="24" s="1"/>
  <c r="GA39" i="24" s="1"/>
  <c r="GA40" i="24" s="1"/>
  <c r="GA41" i="24" s="1"/>
  <c r="GA42" i="24" s="1"/>
  <c r="GA43" i="24" s="1"/>
  <c r="GA44" i="24" s="1"/>
  <c r="GA45" i="24" s="1"/>
  <c r="GA46" i="24" s="1"/>
  <c r="GA47" i="24" s="1"/>
  <c r="GA48" i="24" s="1"/>
  <c r="GA49" i="24" s="1"/>
  <c r="GA50" i="24" s="1"/>
  <c r="GA51" i="24" s="1"/>
  <c r="BU53" i="24"/>
  <c r="CB53" i="24"/>
  <c r="AU53" i="24"/>
  <c r="BR53" i="24"/>
  <c r="O53" i="24"/>
  <c r="DL4" i="24"/>
  <c r="DL5" i="24" s="1"/>
  <c r="DL6" i="24" s="1"/>
  <c r="DL7" i="24" s="1"/>
  <c r="DL8" i="24" s="1"/>
  <c r="DL9" i="24" s="1"/>
  <c r="DL10" i="24" s="1"/>
  <c r="DL11" i="24" s="1"/>
  <c r="DL12" i="24" s="1"/>
  <c r="DL13" i="24" s="1"/>
  <c r="DL14" i="24" s="1"/>
  <c r="DL15" i="24" s="1"/>
  <c r="DL16" i="24" s="1"/>
  <c r="DL17" i="24" s="1"/>
  <c r="DL18" i="24" s="1"/>
  <c r="DL19" i="24" s="1"/>
  <c r="DL20" i="24" s="1"/>
  <c r="DL21" i="24" s="1"/>
  <c r="DL22" i="24" s="1"/>
  <c r="DL23" i="24" s="1"/>
  <c r="DL24" i="24" s="1"/>
  <c r="DL25" i="24" s="1"/>
  <c r="DL26" i="24" s="1"/>
  <c r="DL27" i="24" s="1"/>
  <c r="DL28" i="24" s="1"/>
  <c r="DL29" i="24" s="1"/>
  <c r="DL30" i="24" s="1"/>
  <c r="DL31" i="24" s="1"/>
  <c r="DL32" i="24" s="1"/>
  <c r="DL33" i="24" s="1"/>
  <c r="DL34" i="24" s="1"/>
  <c r="DL35" i="24" s="1"/>
  <c r="DL36" i="24" s="1"/>
  <c r="DL37" i="24" s="1"/>
  <c r="DL38" i="24" s="1"/>
  <c r="DL39" i="24" s="1"/>
  <c r="DL40" i="24" s="1"/>
  <c r="DL41" i="24" s="1"/>
  <c r="DL42" i="24" s="1"/>
  <c r="DL43" i="24" s="1"/>
  <c r="DL44" i="24" s="1"/>
  <c r="DL45" i="24" s="1"/>
  <c r="DL46" i="24" s="1"/>
  <c r="DL47" i="24" s="1"/>
  <c r="DL48" i="24" s="1"/>
  <c r="DL49" i="24" s="1"/>
  <c r="DL50" i="24" s="1"/>
  <c r="DL51" i="24" s="1"/>
  <c r="U53" i="24"/>
  <c r="EH5" i="25"/>
  <c r="EH6" i="25" s="1"/>
  <c r="EH7" i="25" s="1"/>
  <c r="EH8" i="25" s="1"/>
  <c r="EH9" i="25" s="1"/>
  <c r="EH10" i="25" s="1"/>
  <c r="EH11" i="25" s="1"/>
  <c r="EH12" i="25" s="1"/>
  <c r="EH13" i="25" s="1"/>
  <c r="EH14" i="25" s="1"/>
  <c r="EH15" i="25" s="1"/>
  <c r="EH16" i="25" s="1"/>
  <c r="EH17" i="25" s="1"/>
  <c r="EH18" i="25" s="1"/>
  <c r="EH19" i="25" s="1"/>
  <c r="EH20" i="25" s="1"/>
  <c r="EH21" i="25" s="1"/>
  <c r="EH22" i="25" s="1"/>
  <c r="EH23" i="25" s="1"/>
  <c r="EH24" i="25" s="1"/>
  <c r="EH25" i="25" s="1"/>
  <c r="EH26" i="25" s="1"/>
  <c r="EH27" i="25" s="1"/>
  <c r="EH28" i="25" s="1"/>
  <c r="EH29" i="25" s="1"/>
  <c r="EH30" i="25" s="1"/>
  <c r="EH31" i="25" s="1"/>
  <c r="EH32" i="25" s="1"/>
  <c r="EH33" i="25" s="1"/>
  <c r="EH34" i="25" s="1"/>
  <c r="EH35" i="25" s="1"/>
  <c r="EH36" i="25" s="1"/>
  <c r="EH37" i="25" s="1"/>
  <c r="EH38" i="25" s="1"/>
  <c r="EH39" i="25" s="1"/>
  <c r="EH40" i="25" s="1"/>
  <c r="EH41" i="25" s="1"/>
  <c r="EH42" i="25" s="1"/>
  <c r="EH43" i="25" s="1"/>
  <c r="EH44" i="25" s="1"/>
  <c r="EH45" i="25" s="1"/>
  <c r="EH46" i="25" s="1"/>
  <c r="EH47" i="25" s="1"/>
  <c r="EH48" i="25" s="1"/>
  <c r="EH49" i="25" s="1"/>
  <c r="EH50" i="25" s="1"/>
  <c r="EH51" i="25" s="1"/>
  <c r="DC4" i="24"/>
  <c r="DC5" i="24" s="1"/>
  <c r="DC6" i="24" s="1"/>
  <c r="DC7" i="24" s="1"/>
  <c r="DC8" i="24" s="1"/>
  <c r="DC9" i="24" s="1"/>
  <c r="DC10" i="24" s="1"/>
  <c r="DC11" i="24" s="1"/>
  <c r="DC12" i="24" s="1"/>
  <c r="DC13" i="24" s="1"/>
  <c r="DC14" i="24" s="1"/>
  <c r="DC15" i="24" s="1"/>
  <c r="DC16" i="24" s="1"/>
  <c r="DC17" i="24" s="1"/>
  <c r="DC18" i="24" s="1"/>
  <c r="DC19" i="24" s="1"/>
  <c r="DC20" i="24" s="1"/>
  <c r="DC21" i="24" s="1"/>
  <c r="DC22" i="24" s="1"/>
  <c r="DC23" i="24" s="1"/>
  <c r="DC24" i="24" s="1"/>
  <c r="DC25" i="24" s="1"/>
  <c r="DC26" i="24" s="1"/>
  <c r="DC27" i="24" s="1"/>
  <c r="DC28" i="24" s="1"/>
  <c r="DC29" i="24" s="1"/>
  <c r="DC30" i="24" s="1"/>
  <c r="DC31" i="24" s="1"/>
  <c r="DC32" i="24" s="1"/>
  <c r="DC33" i="24" s="1"/>
  <c r="DC34" i="24" s="1"/>
  <c r="DC35" i="24" s="1"/>
  <c r="DC36" i="24" s="1"/>
  <c r="DC37" i="24" s="1"/>
  <c r="DC38" i="24" s="1"/>
  <c r="DC39" i="24" s="1"/>
  <c r="DC40" i="24" s="1"/>
  <c r="DC41" i="24" s="1"/>
  <c r="DC42" i="24" s="1"/>
  <c r="DC43" i="24" s="1"/>
  <c r="DC44" i="24" s="1"/>
  <c r="DC45" i="24" s="1"/>
  <c r="DC46" i="24" s="1"/>
  <c r="DC47" i="24" s="1"/>
  <c r="DC48" i="24" s="1"/>
  <c r="DC49" i="24" s="1"/>
  <c r="DC50" i="24" s="1"/>
  <c r="DC51" i="24" s="1"/>
  <c r="EM5" i="24"/>
  <c r="EM6" i="24" s="1"/>
  <c r="EM7" i="24" s="1"/>
  <c r="EM8" i="24" s="1"/>
  <c r="EM9" i="24" s="1"/>
  <c r="EM10" i="24" s="1"/>
  <c r="EM11" i="24" s="1"/>
  <c r="EM12" i="24" s="1"/>
  <c r="EM13" i="24" s="1"/>
  <c r="EM14" i="24" s="1"/>
  <c r="EM15" i="24" s="1"/>
  <c r="EM16" i="24" s="1"/>
  <c r="EM17" i="24" s="1"/>
  <c r="EM18" i="24" s="1"/>
  <c r="EM19" i="24" s="1"/>
  <c r="EM20" i="24" s="1"/>
  <c r="EM21" i="24" s="1"/>
  <c r="EM22" i="24" s="1"/>
  <c r="EM23" i="24" s="1"/>
  <c r="EM24" i="24" s="1"/>
  <c r="EM25" i="24" s="1"/>
  <c r="EM26" i="24" s="1"/>
  <c r="EM27" i="24" s="1"/>
  <c r="EM28" i="24" s="1"/>
  <c r="EM29" i="24" s="1"/>
  <c r="EM30" i="24" s="1"/>
  <c r="EM31" i="24" s="1"/>
  <c r="EM32" i="24" s="1"/>
  <c r="EM33" i="24" s="1"/>
  <c r="EM34" i="24" s="1"/>
  <c r="EM35" i="24" s="1"/>
  <c r="EM36" i="24" s="1"/>
  <c r="EM37" i="24" s="1"/>
  <c r="EM38" i="24" s="1"/>
  <c r="EM39" i="24" s="1"/>
  <c r="EM40" i="24" s="1"/>
  <c r="EM41" i="24" s="1"/>
  <c r="EM42" i="24" s="1"/>
  <c r="EM43" i="24" s="1"/>
  <c r="EM44" i="24" s="1"/>
  <c r="EM45" i="24" s="1"/>
  <c r="EM46" i="24" s="1"/>
  <c r="EM47" i="24" s="1"/>
  <c r="EM48" i="24" s="1"/>
  <c r="EM49" i="24" s="1"/>
  <c r="EM50" i="24" s="1"/>
  <c r="EM51" i="24" s="1"/>
  <c r="DY4" i="24"/>
  <c r="DY5" i="24" s="1"/>
  <c r="DY6" i="24" s="1"/>
  <c r="DY7" i="24" s="1"/>
  <c r="DY8" i="24" s="1"/>
  <c r="DY9" i="24" s="1"/>
  <c r="DY10" i="24" s="1"/>
  <c r="DY11" i="24" s="1"/>
  <c r="DY12" i="24" s="1"/>
  <c r="DY13" i="24" s="1"/>
  <c r="DY14" i="24" s="1"/>
  <c r="DY15" i="24" s="1"/>
  <c r="DY16" i="24" s="1"/>
  <c r="DY17" i="24" s="1"/>
  <c r="DY18" i="24" s="1"/>
  <c r="DY19" i="24" s="1"/>
  <c r="DY20" i="24" s="1"/>
  <c r="DY21" i="24" s="1"/>
  <c r="DY22" i="24" s="1"/>
  <c r="DY23" i="24" s="1"/>
  <c r="DY24" i="24" s="1"/>
  <c r="DY25" i="24" s="1"/>
  <c r="DY26" i="24" s="1"/>
  <c r="DY27" i="24" s="1"/>
  <c r="DY28" i="24" s="1"/>
  <c r="DY29" i="24" s="1"/>
  <c r="DY30" i="24" s="1"/>
  <c r="DY31" i="24" s="1"/>
  <c r="DY32" i="24" s="1"/>
  <c r="DY33" i="24" s="1"/>
  <c r="DY34" i="24" s="1"/>
  <c r="DY35" i="24" s="1"/>
  <c r="DY36" i="24" s="1"/>
  <c r="DY37" i="24" s="1"/>
  <c r="DY38" i="24" s="1"/>
  <c r="DY39" i="24" s="1"/>
  <c r="DY40" i="24" s="1"/>
  <c r="DY41" i="24" s="1"/>
  <c r="DY42" i="24" s="1"/>
  <c r="DY43" i="24" s="1"/>
  <c r="DY44" i="24" s="1"/>
  <c r="DY45" i="24" s="1"/>
  <c r="DY46" i="24" s="1"/>
  <c r="DY47" i="24" s="1"/>
  <c r="DY48" i="24" s="1"/>
  <c r="DY49" i="24" s="1"/>
  <c r="DY50" i="24" s="1"/>
  <c r="DY51" i="24" s="1"/>
  <c r="FI5" i="25"/>
  <c r="FI6" i="25" s="1"/>
  <c r="FI7" i="25" s="1"/>
  <c r="FI8" i="25" s="1"/>
  <c r="FI9" i="25" s="1"/>
  <c r="FI10" i="25" s="1"/>
  <c r="FI11" i="25" s="1"/>
  <c r="FI12" i="25" s="1"/>
  <c r="FI13" i="25" s="1"/>
  <c r="FI14" i="25" s="1"/>
  <c r="FI15" i="25" s="1"/>
  <c r="FI16" i="25" s="1"/>
  <c r="FI17" i="25" s="1"/>
  <c r="FI18" i="25" s="1"/>
  <c r="FI19" i="25" s="1"/>
  <c r="FI20" i="25" s="1"/>
  <c r="FI21" i="25" s="1"/>
  <c r="FI22" i="25" s="1"/>
  <c r="FI23" i="25" s="1"/>
  <c r="FI24" i="25" s="1"/>
  <c r="FI25" i="25" s="1"/>
  <c r="FI26" i="25" s="1"/>
  <c r="FI27" i="25" s="1"/>
  <c r="FI28" i="25" s="1"/>
  <c r="FI29" i="25" s="1"/>
  <c r="FI30" i="25" s="1"/>
  <c r="FI31" i="25" s="1"/>
  <c r="FI32" i="25" s="1"/>
  <c r="FI33" i="25" s="1"/>
  <c r="FI34" i="25" s="1"/>
  <c r="FI35" i="25" s="1"/>
  <c r="FI36" i="25" s="1"/>
  <c r="FI37" i="25" s="1"/>
  <c r="FI38" i="25" s="1"/>
  <c r="FI39" i="25" s="1"/>
  <c r="FI40" i="25" s="1"/>
  <c r="FI41" i="25" s="1"/>
  <c r="FI42" i="25" s="1"/>
  <c r="FI43" i="25" s="1"/>
  <c r="FI44" i="25" s="1"/>
  <c r="FI45" i="25" s="1"/>
  <c r="FI46" i="25" s="1"/>
  <c r="FI47" i="25" s="1"/>
  <c r="FI48" i="25" s="1"/>
  <c r="FI49" i="25" s="1"/>
  <c r="FI50" i="25" s="1"/>
  <c r="FI51" i="25" s="1"/>
  <c r="FT5" i="25"/>
  <c r="FT6" i="25" s="1"/>
  <c r="FT7" i="25" s="1"/>
  <c r="FT8" i="25" s="1"/>
  <c r="FT9" i="25" s="1"/>
  <c r="FT10" i="25" s="1"/>
  <c r="FT11" i="25" s="1"/>
  <c r="FT12" i="25" s="1"/>
  <c r="FT13" i="25" s="1"/>
  <c r="FT14" i="25" s="1"/>
  <c r="FT15" i="25" s="1"/>
  <c r="FT16" i="25" s="1"/>
  <c r="FT17" i="25" s="1"/>
  <c r="FT18" i="25" s="1"/>
  <c r="FT19" i="25" s="1"/>
  <c r="FT20" i="25" s="1"/>
  <c r="FT21" i="25" s="1"/>
  <c r="FT22" i="25" s="1"/>
  <c r="FT23" i="25" s="1"/>
  <c r="FT24" i="25" s="1"/>
  <c r="FT25" i="25" s="1"/>
  <c r="FT26" i="25" s="1"/>
  <c r="FT27" i="25" s="1"/>
  <c r="FT28" i="25" s="1"/>
  <c r="FT29" i="25" s="1"/>
  <c r="FT30" i="25" s="1"/>
  <c r="FT31" i="25" s="1"/>
  <c r="FT32" i="25" s="1"/>
  <c r="FT33" i="25" s="1"/>
  <c r="FT34" i="25" s="1"/>
  <c r="FT35" i="25" s="1"/>
  <c r="FT36" i="25" s="1"/>
  <c r="FT37" i="25" s="1"/>
  <c r="FT38" i="25" s="1"/>
  <c r="FT39" i="25" s="1"/>
  <c r="FT40" i="25" s="1"/>
  <c r="FT41" i="25" s="1"/>
  <c r="FT42" i="25" s="1"/>
  <c r="FT43" i="25" s="1"/>
  <c r="FT44" i="25" s="1"/>
  <c r="FT45" i="25" s="1"/>
  <c r="FT46" i="25" s="1"/>
  <c r="FT47" i="25" s="1"/>
  <c r="FT48" i="25" s="1"/>
  <c r="FT49" i="25" s="1"/>
  <c r="FT50" i="25" s="1"/>
  <c r="FT51" i="25" s="1"/>
  <c r="DI5" i="25"/>
  <c r="DI6" i="25" s="1"/>
  <c r="DI7" i="25" s="1"/>
  <c r="DI8" i="25" s="1"/>
  <c r="DI9" i="25" s="1"/>
  <c r="DI10" i="25" s="1"/>
  <c r="DI11" i="25" s="1"/>
  <c r="DI12" i="25" s="1"/>
  <c r="DI13" i="25" s="1"/>
  <c r="DI14" i="25" s="1"/>
  <c r="DI15" i="25" s="1"/>
  <c r="DI16" i="25" s="1"/>
  <c r="DI17" i="25" s="1"/>
  <c r="DI18" i="25" s="1"/>
  <c r="DI19" i="25" s="1"/>
  <c r="DI20" i="25" s="1"/>
  <c r="DI21" i="25" s="1"/>
  <c r="DI22" i="25" s="1"/>
  <c r="DI23" i="25" s="1"/>
  <c r="DI24" i="25" s="1"/>
  <c r="DI25" i="25" s="1"/>
  <c r="DI26" i="25" s="1"/>
  <c r="DI27" i="25" s="1"/>
  <c r="DI28" i="25" s="1"/>
  <c r="DI29" i="25" s="1"/>
  <c r="DI30" i="25" s="1"/>
  <c r="DI31" i="25" s="1"/>
  <c r="DI32" i="25" s="1"/>
  <c r="DI33" i="25" s="1"/>
  <c r="DI34" i="25" s="1"/>
  <c r="DI35" i="25" s="1"/>
  <c r="DI36" i="25" s="1"/>
  <c r="DI37" i="25" s="1"/>
  <c r="DI38" i="25" s="1"/>
  <c r="DI39" i="25" s="1"/>
  <c r="DI40" i="25" s="1"/>
  <c r="DI41" i="25" s="1"/>
  <c r="DI42" i="25" s="1"/>
  <c r="DI43" i="25" s="1"/>
  <c r="DI44" i="25" s="1"/>
  <c r="DI45" i="25" s="1"/>
  <c r="DI46" i="25" s="1"/>
  <c r="DI47" i="25" s="1"/>
  <c r="DI48" i="25" s="1"/>
  <c r="DI49" i="25" s="1"/>
  <c r="DI50" i="25" s="1"/>
  <c r="DI51" i="25" s="1"/>
  <c r="Q53" i="24"/>
  <c r="ET4" i="24"/>
  <c r="ET5" i="24" s="1"/>
  <c r="ET6" i="24" s="1"/>
  <c r="ET7" i="24" s="1"/>
  <c r="ET8" i="24" s="1"/>
  <c r="ET9" i="24" s="1"/>
  <c r="ET10" i="24" s="1"/>
  <c r="ET11" i="24" s="1"/>
  <c r="ET12" i="24" s="1"/>
  <c r="ET13" i="24" s="1"/>
  <c r="ET14" i="24" s="1"/>
  <c r="ET15" i="24" s="1"/>
  <c r="ET16" i="24" s="1"/>
  <c r="ET17" i="24" s="1"/>
  <c r="ET18" i="24" s="1"/>
  <c r="ET19" i="24" s="1"/>
  <c r="ET20" i="24" s="1"/>
  <c r="ET21" i="24" s="1"/>
  <c r="ET22" i="24" s="1"/>
  <c r="ET23" i="24" s="1"/>
  <c r="ET24" i="24" s="1"/>
  <c r="ET25" i="24" s="1"/>
  <c r="ET26" i="24" s="1"/>
  <c r="ET27" i="24" s="1"/>
  <c r="ET28" i="24" s="1"/>
  <c r="ET29" i="24" s="1"/>
  <c r="ET30" i="24" s="1"/>
  <c r="ET31" i="24" s="1"/>
  <c r="ET32" i="24" s="1"/>
  <c r="ET33" i="24" s="1"/>
  <c r="ET34" i="24" s="1"/>
  <c r="ET35" i="24" s="1"/>
  <c r="ET36" i="24" s="1"/>
  <c r="ET37" i="24" s="1"/>
  <c r="ET38" i="24" s="1"/>
  <c r="ET39" i="24" s="1"/>
  <c r="ET40" i="24" s="1"/>
  <c r="ET41" i="24" s="1"/>
  <c r="ET42" i="24" s="1"/>
  <c r="ET43" i="24" s="1"/>
  <c r="ET44" i="24" s="1"/>
  <c r="ET45" i="24" s="1"/>
  <c r="ET46" i="24" s="1"/>
  <c r="ET47" i="24" s="1"/>
  <c r="ET48" i="24" s="1"/>
  <c r="ET49" i="24" s="1"/>
  <c r="ET50" i="24" s="1"/>
  <c r="ET51" i="24" s="1"/>
  <c r="ET10" i="25"/>
  <c r="ET11" i="25" s="1"/>
  <c r="ET12" i="25" s="1"/>
  <c r="ET13" i="25" s="1"/>
  <c r="ET14" i="25" s="1"/>
  <c r="ET15" i="25" s="1"/>
  <c r="ET16" i="25" s="1"/>
  <c r="ET17" i="25" s="1"/>
  <c r="ET18" i="25" s="1"/>
  <c r="ET19" i="25" s="1"/>
  <c r="ET20" i="25" s="1"/>
  <c r="ET21" i="25" s="1"/>
  <c r="ET22" i="25" s="1"/>
  <c r="ET23" i="25" s="1"/>
  <c r="ET24" i="25" s="1"/>
  <c r="ET25" i="25" s="1"/>
  <c r="ET26" i="25" s="1"/>
  <c r="ET27" i="25" s="1"/>
  <c r="ET28" i="25" s="1"/>
  <c r="ET29" i="25" s="1"/>
  <c r="ET30" i="25" s="1"/>
  <c r="ET31" i="25" s="1"/>
  <c r="ET32" i="25" s="1"/>
  <c r="ET33" i="25" s="1"/>
  <c r="ET34" i="25" s="1"/>
  <c r="ET35" i="25" s="1"/>
  <c r="ET36" i="25" s="1"/>
  <c r="ET37" i="25" s="1"/>
  <c r="ET38" i="25" s="1"/>
  <c r="ET39" i="25" s="1"/>
  <c r="ET40" i="25" s="1"/>
  <c r="ET41" i="25" s="1"/>
  <c r="ET42" i="25" s="1"/>
  <c r="ET43" i="25" s="1"/>
  <c r="ET44" i="25" s="1"/>
  <c r="ET45" i="25" s="1"/>
  <c r="ET46" i="25" s="1"/>
  <c r="ET47" i="25" s="1"/>
  <c r="ET48" i="25" s="1"/>
  <c r="ET49" i="25" s="1"/>
  <c r="ET50" i="25" s="1"/>
  <c r="ET51" i="25" s="1"/>
  <c r="BI53" i="24"/>
  <c r="DN12" i="25"/>
  <c r="DN13" i="25" s="1"/>
  <c r="DN14" i="25" s="1"/>
  <c r="DN15" i="25" s="1"/>
  <c r="DN16" i="25" s="1"/>
  <c r="DN17" i="25" s="1"/>
  <c r="DN18" i="25" s="1"/>
  <c r="DN19" i="25" s="1"/>
  <c r="DN20" i="25" s="1"/>
  <c r="DN21" i="25" s="1"/>
  <c r="DN22" i="25" s="1"/>
  <c r="DN23" i="25" s="1"/>
  <c r="DN24" i="25" s="1"/>
  <c r="DN25" i="25" s="1"/>
  <c r="DN26" i="25" s="1"/>
  <c r="DN27" i="25" s="1"/>
  <c r="DN28" i="25" s="1"/>
  <c r="DN29" i="25" s="1"/>
  <c r="DN30" i="25" s="1"/>
  <c r="DN31" i="25" s="1"/>
  <c r="DN32" i="25" s="1"/>
  <c r="DN33" i="25" s="1"/>
  <c r="DN34" i="25" s="1"/>
  <c r="DN35" i="25" s="1"/>
  <c r="DN36" i="25" s="1"/>
  <c r="DN37" i="25" s="1"/>
  <c r="DN38" i="25" s="1"/>
  <c r="DN39" i="25" s="1"/>
  <c r="DN40" i="25" s="1"/>
  <c r="DN41" i="25" s="1"/>
  <c r="DN42" i="25" s="1"/>
  <c r="DN43" i="25" s="1"/>
  <c r="DN44" i="25" s="1"/>
  <c r="DN45" i="25" s="1"/>
  <c r="DN46" i="25" s="1"/>
  <c r="DN47" i="25" s="1"/>
  <c r="DN48" i="25" s="1"/>
  <c r="DN49" i="25" s="1"/>
  <c r="DN50" i="25" s="1"/>
  <c r="DN51" i="25" s="1"/>
  <c r="DT5" i="25"/>
  <c r="DT6" i="25" s="1"/>
  <c r="DT7" i="25" s="1"/>
  <c r="DT8" i="25" s="1"/>
  <c r="DT9" i="25" s="1"/>
  <c r="DT10" i="25" s="1"/>
  <c r="DT11" i="25" s="1"/>
  <c r="DT12" i="25" s="1"/>
  <c r="DT13" i="25" s="1"/>
  <c r="DT14" i="25" s="1"/>
  <c r="DT15" i="25" s="1"/>
  <c r="DT16" i="25" s="1"/>
  <c r="DT17" i="25" s="1"/>
  <c r="DT18" i="25" s="1"/>
  <c r="DT19" i="25" s="1"/>
  <c r="DT20" i="25" s="1"/>
  <c r="DT21" i="25" s="1"/>
  <c r="DT22" i="25" s="1"/>
  <c r="DT23" i="25" s="1"/>
  <c r="DT24" i="25" s="1"/>
  <c r="DT25" i="25" s="1"/>
  <c r="DT26" i="25" s="1"/>
  <c r="DT27" i="25" s="1"/>
  <c r="DT28" i="25" s="1"/>
  <c r="DT29" i="25" s="1"/>
  <c r="DT30" i="25" s="1"/>
  <c r="DT31" i="25" s="1"/>
  <c r="DT32" i="25" s="1"/>
  <c r="DT33" i="25" s="1"/>
  <c r="DT34" i="25" s="1"/>
  <c r="DT35" i="25" s="1"/>
  <c r="DT36" i="25" s="1"/>
  <c r="DT37" i="25" s="1"/>
  <c r="DT38" i="25" s="1"/>
  <c r="DT39" i="25" s="1"/>
  <c r="DT40" i="25" s="1"/>
  <c r="DT41" i="25" s="1"/>
  <c r="DT42" i="25" s="1"/>
  <c r="DT43" i="25" s="1"/>
  <c r="DT44" i="25" s="1"/>
  <c r="DT45" i="25" s="1"/>
  <c r="DT46" i="25" s="1"/>
  <c r="DT47" i="25" s="1"/>
  <c r="DT48" i="25" s="1"/>
  <c r="DT49" i="25" s="1"/>
  <c r="DT50" i="25" s="1"/>
  <c r="DT51" i="25" s="1"/>
  <c r="AX53" i="24"/>
  <c r="Y53" i="24"/>
  <c r="FJ4" i="24"/>
  <c r="FJ5" i="24" s="1"/>
  <c r="FJ6" i="24" s="1"/>
  <c r="FJ7" i="24" s="1"/>
  <c r="FJ8" i="24" s="1"/>
  <c r="FJ9" i="24" s="1"/>
  <c r="FJ10" i="24" s="1"/>
  <c r="FJ11" i="24" s="1"/>
  <c r="FJ12" i="24" s="1"/>
  <c r="FJ13" i="24" s="1"/>
  <c r="FJ14" i="24" s="1"/>
  <c r="FJ15" i="24" s="1"/>
  <c r="FJ16" i="24" s="1"/>
  <c r="FJ17" i="24" s="1"/>
  <c r="FJ18" i="24" s="1"/>
  <c r="FJ19" i="24" s="1"/>
  <c r="FJ20" i="24" s="1"/>
  <c r="FJ21" i="24" s="1"/>
  <c r="FJ22" i="24" s="1"/>
  <c r="FJ23" i="24" s="1"/>
  <c r="FJ24" i="24" s="1"/>
  <c r="FJ25" i="24" s="1"/>
  <c r="FJ26" i="24" s="1"/>
  <c r="FJ27" i="24" s="1"/>
  <c r="FJ28" i="24" s="1"/>
  <c r="FJ29" i="24" s="1"/>
  <c r="FJ30" i="24" s="1"/>
  <c r="FJ31" i="24" s="1"/>
  <c r="FJ32" i="24" s="1"/>
  <c r="FJ33" i="24" s="1"/>
  <c r="FJ34" i="24" s="1"/>
  <c r="FJ35" i="24" s="1"/>
  <c r="FJ36" i="24" s="1"/>
  <c r="FJ37" i="24" s="1"/>
  <c r="FJ38" i="24" s="1"/>
  <c r="FJ39" i="24" s="1"/>
  <c r="FJ40" i="24" s="1"/>
  <c r="FJ41" i="24" s="1"/>
  <c r="FJ42" i="24" s="1"/>
  <c r="FJ43" i="24" s="1"/>
  <c r="FJ44" i="24" s="1"/>
  <c r="FJ45" i="24" s="1"/>
  <c r="FJ46" i="24" s="1"/>
  <c r="FJ47" i="24" s="1"/>
  <c r="FJ48" i="24" s="1"/>
  <c r="FJ49" i="24" s="1"/>
  <c r="FJ50" i="24" s="1"/>
  <c r="FJ51" i="24" s="1"/>
  <c r="BQ53" i="24"/>
  <c r="GO5" i="25"/>
  <c r="GO6" i="25" s="1"/>
  <c r="GO7" i="25" s="1"/>
  <c r="GO8" i="25" s="1"/>
  <c r="GO9" i="25" s="1"/>
  <c r="GO10" i="25" s="1"/>
  <c r="GO11" i="25" s="1"/>
  <c r="GO12" i="25" s="1"/>
  <c r="GO13" i="25" s="1"/>
  <c r="GO14" i="25" s="1"/>
  <c r="GO15" i="25" s="1"/>
  <c r="GO16" i="25" s="1"/>
  <c r="GO17" i="25" s="1"/>
  <c r="GO18" i="25" s="1"/>
  <c r="GO19" i="25" s="1"/>
  <c r="GO20" i="25" s="1"/>
  <c r="GO21" i="25" s="1"/>
  <c r="GO22" i="25" s="1"/>
  <c r="GO23" i="25" s="1"/>
  <c r="GO24" i="25" s="1"/>
  <c r="GO25" i="25" s="1"/>
  <c r="GO26" i="25" s="1"/>
  <c r="GO27" i="25" s="1"/>
  <c r="GO28" i="25" s="1"/>
  <c r="GO29" i="25" s="1"/>
  <c r="GO30" i="25" s="1"/>
  <c r="GO31" i="25" s="1"/>
  <c r="GO32" i="25" s="1"/>
  <c r="GO33" i="25" s="1"/>
  <c r="GO34" i="25" s="1"/>
  <c r="GO35" i="25" s="1"/>
  <c r="GO36" i="25" s="1"/>
  <c r="GO37" i="25" s="1"/>
  <c r="GO38" i="25" s="1"/>
  <c r="GO39" i="25" s="1"/>
  <c r="GO40" i="25" s="1"/>
  <c r="GO41" i="25" s="1"/>
  <c r="GO42" i="25" s="1"/>
  <c r="GO43" i="25" s="1"/>
  <c r="GO44" i="25" s="1"/>
  <c r="GO45" i="25" s="1"/>
  <c r="GO46" i="25" s="1"/>
  <c r="GO47" i="25" s="1"/>
  <c r="GO48" i="25" s="1"/>
  <c r="GO49" i="25" s="1"/>
  <c r="GO50" i="25" s="1"/>
  <c r="GO51" i="25" s="1"/>
  <c r="BS53" i="24"/>
  <c r="BJ53" i="24"/>
  <c r="DU4" i="24"/>
  <c r="DU5" i="24" s="1"/>
  <c r="DU6" i="24" s="1"/>
  <c r="DU7" i="24" s="1"/>
  <c r="DU8" i="24" s="1"/>
  <c r="DU9" i="24" s="1"/>
  <c r="DU10" i="24" s="1"/>
  <c r="DU11" i="24" s="1"/>
  <c r="DU12" i="24" s="1"/>
  <c r="DU13" i="24" s="1"/>
  <c r="DU14" i="24" s="1"/>
  <c r="DU15" i="24" s="1"/>
  <c r="DU16" i="24" s="1"/>
  <c r="DU17" i="24" s="1"/>
  <c r="DU18" i="24" s="1"/>
  <c r="DU19" i="24" s="1"/>
  <c r="DU20" i="24" s="1"/>
  <c r="DU21" i="24" s="1"/>
  <c r="DU22" i="24" s="1"/>
  <c r="DU23" i="24" s="1"/>
  <c r="DU24" i="24" s="1"/>
  <c r="DU25" i="24" s="1"/>
  <c r="DU26" i="24" s="1"/>
  <c r="DU27" i="24" s="1"/>
  <c r="DU28" i="24" s="1"/>
  <c r="DU29" i="24" s="1"/>
  <c r="DU30" i="24" s="1"/>
  <c r="DU31" i="24" s="1"/>
  <c r="DU32" i="24" s="1"/>
  <c r="DU33" i="24" s="1"/>
  <c r="DU34" i="24" s="1"/>
  <c r="DU35" i="24" s="1"/>
  <c r="DU36" i="24" s="1"/>
  <c r="DU37" i="24" s="1"/>
  <c r="DU38" i="24" s="1"/>
  <c r="DU39" i="24" s="1"/>
  <c r="DU40" i="24" s="1"/>
  <c r="DU41" i="24" s="1"/>
  <c r="DU42" i="24" s="1"/>
  <c r="DU43" i="24" s="1"/>
  <c r="DU44" i="24" s="1"/>
  <c r="DU45" i="24" s="1"/>
  <c r="DU46" i="24" s="1"/>
  <c r="DU47" i="24" s="1"/>
  <c r="DU48" i="24" s="1"/>
  <c r="DU49" i="24" s="1"/>
  <c r="DU50" i="24" s="1"/>
  <c r="DU51" i="24" s="1"/>
  <c r="DS5" i="25"/>
  <c r="DS6" i="25" s="1"/>
  <c r="DS7" i="25" s="1"/>
  <c r="DS8" i="25" s="1"/>
  <c r="DS9" i="25" s="1"/>
  <c r="DS10" i="25" s="1"/>
  <c r="DS11" i="25" s="1"/>
  <c r="DS12" i="25" s="1"/>
  <c r="DS13" i="25" s="1"/>
  <c r="DS14" i="25" s="1"/>
  <c r="DS15" i="25" s="1"/>
  <c r="DS16" i="25" s="1"/>
  <c r="DS17" i="25" s="1"/>
  <c r="DS18" i="25" s="1"/>
  <c r="DS19" i="25" s="1"/>
  <c r="DS20" i="25" s="1"/>
  <c r="DS21" i="25" s="1"/>
  <c r="DS22" i="25" s="1"/>
  <c r="DS23" i="25" s="1"/>
  <c r="DS24" i="25" s="1"/>
  <c r="DS25" i="25" s="1"/>
  <c r="DS26" i="25" s="1"/>
  <c r="DS27" i="25" s="1"/>
  <c r="DS28" i="25" s="1"/>
  <c r="DS29" i="25" s="1"/>
  <c r="DS30" i="25" s="1"/>
  <c r="DS31" i="25" s="1"/>
  <c r="DS32" i="25" s="1"/>
  <c r="DS33" i="25" s="1"/>
  <c r="DS34" i="25" s="1"/>
  <c r="DS35" i="25" s="1"/>
  <c r="DS36" i="25" s="1"/>
  <c r="DS37" i="25" s="1"/>
  <c r="DS38" i="25" s="1"/>
  <c r="DS39" i="25" s="1"/>
  <c r="DS40" i="25" s="1"/>
  <c r="DS41" i="25" s="1"/>
  <c r="DS42" i="25" s="1"/>
  <c r="DS43" i="25" s="1"/>
  <c r="DS44" i="25" s="1"/>
  <c r="DS45" i="25" s="1"/>
  <c r="DS46" i="25" s="1"/>
  <c r="DS47" i="25" s="1"/>
  <c r="DS48" i="25" s="1"/>
  <c r="DS49" i="25" s="1"/>
  <c r="DS50" i="25" s="1"/>
  <c r="DS51" i="25" s="1"/>
  <c r="DR5" i="25"/>
  <c r="DR6" i="25" s="1"/>
  <c r="DR7" i="25" s="1"/>
  <c r="DR8" i="25" s="1"/>
  <c r="DR9" i="25" s="1"/>
  <c r="DR10" i="25" s="1"/>
  <c r="DR11" i="25" s="1"/>
  <c r="DR12" i="25" s="1"/>
  <c r="DR13" i="25" s="1"/>
  <c r="DR14" i="25" s="1"/>
  <c r="DR15" i="25" s="1"/>
  <c r="DR16" i="25" s="1"/>
  <c r="DR17" i="25" s="1"/>
  <c r="DR18" i="25" s="1"/>
  <c r="DR19" i="25" s="1"/>
  <c r="DR20" i="25" s="1"/>
  <c r="DR21" i="25" s="1"/>
  <c r="DR22" i="25" s="1"/>
  <c r="DR23" i="25" s="1"/>
  <c r="DR24" i="25" s="1"/>
  <c r="DR25" i="25" s="1"/>
  <c r="DR26" i="25" s="1"/>
  <c r="DR27" i="25" s="1"/>
  <c r="DR28" i="25" s="1"/>
  <c r="DR29" i="25" s="1"/>
  <c r="DR30" i="25" s="1"/>
  <c r="DR31" i="25" s="1"/>
  <c r="DR32" i="25" s="1"/>
  <c r="DR33" i="25" s="1"/>
  <c r="DR34" i="25" s="1"/>
  <c r="DR35" i="25" s="1"/>
  <c r="DR36" i="25" s="1"/>
  <c r="DR37" i="25" s="1"/>
  <c r="DR38" i="25" s="1"/>
  <c r="DR39" i="25" s="1"/>
  <c r="DR40" i="25" s="1"/>
  <c r="DR41" i="25" s="1"/>
  <c r="DR42" i="25" s="1"/>
  <c r="DR43" i="25" s="1"/>
  <c r="DR44" i="25" s="1"/>
  <c r="DR45" i="25" s="1"/>
  <c r="DR46" i="25" s="1"/>
  <c r="DR47" i="25" s="1"/>
  <c r="DR48" i="25" s="1"/>
  <c r="DR49" i="25" s="1"/>
  <c r="DR50" i="25" s="1"/>
  <c r="DR51" i="25" s="1"/>
  <c r="GD4" i="24"/>
  <c r="GD5" i="24" s="1"/>
  <c r="GD6" i="24" s="1"/>
  <c r="GD7" i="24" s="1"/>
  <c r="GD8" i="24" s="1"/>
  <c r="GD9" i="24" s="1"/>
  <c r="GD10" i="24" s="1"/>
  <c r="GD11" i="24" s="1"/>
  <c r="GD12" i="24" s="1"/>
  <c r="GD13" i="24" s="1"/>
  <c r="GD14" i="24" s="1"/>
  <c r="GD15" i="24" s="1"/>
  <c r="GD16" i="24" s="1"/>
  <c r="GD17" i="24" s="1"/>
  <c r="GD18" i="24" s="1"/>
  <c r="GD19" i="24" s="1"/>
  <c r="GD20" i="24" s="1"/>
  <c r="GD21" i="24" s="1"/>
  <c r="GD22" i="24" s="1"/>
  <c r="GD23" i="24" s="1"/>
  <c r="GD24" i="24" s="1"/>
  <c r="GD25" i="24" s="1"/>
  <c r="GD26" i="24" s="1"/>
  <c r="GD27" i="24" s="1"/>
  <c r="GD28" i="24" s="1"/>
  <c r="GD29" i="24" s="1"/>
  <c r="GD30" i="24" s="1"/>
  <c r="GD31" i="24" s="1"/>
  <c r="GD32" i="24" s="1"/>
  <c r="GD33" i="24" s="1"/>
  <c r="GD34" i="24" s="1"/>
  <c r="GD35" i="24" s="1"/>
  <c r="GD36" i="24" s="1"/>
  <c r="GD37" i="24" s="1"/>
  <c r="GD38" i="24" s="1"/>
  <c r="GD39" i="24" s="1"/>
  <c r="GD40" i="24" s="1"/>
  <c r="GD41" i="24" s="1"/>
  <c r="GD42" i="24" s="1"/>
  <c r="GD43" i="24" s="1"/>
  <c r="GD44" i="24" s="1"/>
  <c r="GD45" i="24" s="1"/>
  <c r="GD46" i="24" s="1"/>
  <c r="GD47" i="24" s="1"/>
  <c r="GD48" i="24" s="1"/>
  <c r="GD49" i="24" s="1"/>
  <c r="GD50" i="24" s="1"/>
  <c r="GD51" i="24" s="1"/>
  <c r="EN4" i="24"/>
  <c r="EN5" i="24" s="1"/>
  <c r="EN6" i="24" s="1"/>
  <c r="EN7" i="24" s="1"/>
  <c r="EN8" i="24" s="1"/>
  <c r="EN9" i="24" s="1"/>
  <c r="EN10" i="24" s="1"/>
  <c r="EN11" i="24" s="1"/>
  <c r="EN12" i="24" s="1"/>
  <c r="EN13" i="24" s="1"/>
  <c r="EN14" i="24" s="1"/>
  <c r="EN15" i="24" s="1"/>
  <c r="EN16" i="24" s="1"/>
  <c r="EN17" i="24" s="1"/>
  <c r="EN18" i="24" s="1"/>
  <c r="EN19" i="24" s="1"/>
  <c r="EN20" i="24" s="1"/>
  <c r="EN21" i="24" s="1"/>
  <c r="EN22" i="24" s="1"/>
  <c r="EN23" i="24" s="1"/>
  <c r="EN24" i="24" s="1"/>
  <c r="EN25" i="24" s="1"/>
  <c r="EN26" i="24" s="1"/>
  <c r="EN27" i="24" s="1"/>
  <c r="EN28" i="24" s="1"/>
  <c r="EN29" i="24" s="1"/>
  <c r="EN30" i="24" s="1"/>
  <c r="EN31" i="24" s="1"/>
  <c r="EN32" i="24" s="1"/>
  <c r="EN33" i="24" s="1"/>
  <c r="EN34" i="24" s="1"/>
  <c r="EN35" i="24" s="1"/>
  <c r="EN36" i="24" s="1"/>
  <c r="EN37" i="24" s="1"/>
  <c r="EN38" i="24" s="1"/>
  <c r="EN39" i="24" s="1"/>
  <c r="EN40" i="24" s="1"/>
  <c r="EN41" i="24" s="1"/>
  <c r="EN42" i="24" s="1"/>
  <c r="EN43" i="24" s="1"/>
  <c r="EN44" i="24" s="1"/>
  <c r="EN45" i="24" s="1"/>
  <c r="EN46" i="24" s="1"/>
  <c r="EN47" i="24" s="1"/>
  <c r="EN48" i="24" s="1"/>
  <c r="EN49" i="24" s="1"/>
  <c r="EN50" i="24" s="1"/>
  <c r="EN51" i="24" s="1"/>
  <c r="FU4" i="24"/>
  <c r="FU5" i="24" s="1"/>
  <c r="FU6" i="24" s="1"/>
  <c r="FU7" i="24" s="1"/>
  <c r="FU8" i="24" s="1"/>
  <c r="FU9" i="24" s="1"/>
  <c r="FU10" i="24" s="1"/>
  <c r="FU11" i="24" s="1"/>
  <c r="FU12" i="24" s="1"/>
  <c r="FU13" i="24" s="1"/>
  <c r="FU14" i="24" s="1"/>
  <c r="FU15" i="24" s="1"/>
  <c r="FU16" i="24" s="1"/>
  <c r="FU17" i="24" s="1"/>
  <c r="FU18" i="24" s="1"/>
  <c r="FU19" i="24" s="1"/>
  <c r="FU20" i="24" s="1"/>
  <c r="FU21" i="24" s="1"/>
  <c r="FU22" i="24" s="1"/>
  <c r="FU23" i="24" s="1"/>
  <c r="FU24" i="24" s="1"/>
  <c r="FU25" i="24" s="1"/>
  <c r="FU26" i="24" s="1"/>
  <c r="FU27" i="24" s="1"/>
  <c r="FU28" i="24" s="1"/>
  <c r="FU29" i="24" s="1"/>
  <c r="FU30" i="24" s="1"/>
  <c r="FU31" i="24" s="1"/>
  <c r="FU32" i="24" s="1"/>
  <c r="FU33" i="24" s="1"/>
  <c r="FU34" i="24" s="1"/>
  <c r="FU35" i="24" s="1"/>
  <c r="FU36" i="24" s="1"/>
  <c r="FU37" i="24" s="1"/>
  <c r="FU38" i="24" s="1"/>
  <c r="FU39" i="24" s="1"/>
  <c r="FU40" i="24" s="1"/>
  <c r="FU41" i="24" s="1"/>
  <c r="FU42" i="24" s="1"/>
  <c r="FU43" i="24" s="1"/>
  <c r="FU44" i="24" s="1"/>
  <c r="FU45" i="24" s="1"/>
  <c r="FU46" i="24" s="1"/>
  <c r="FU47" i="24" s="1"/>
  <c r="FU48" i="24" s="1"/>
  <c r="FU49" i="24" s="1"/>
  <c r="FU50" i="24" s="1"/>
  <c r="FU51" i="24" s="1"/>
  <c r="FP4" i="24"/>
  <c r="FP5" i="24" s="1"/>
  <c r="FP6" i="24" s="1"/>
  <c r="FP7" i="24" s="1"/>
  <c r="FP8" i="24" s="1"/>
  <c r="FP9" i="24" s="1"/>
  <c r="FP10" i="24" s="1"/>
  <c r="FP11" i="24" s="1"/>
  <c r="FP12" i="24" s="1"/>
  <c r="FP13" i="24" s="1"/>
  <c r="FP14" i="24" s="1"/>
  <c r="FP15" i="24" s="1"/>
  <c r="FP16" i="24" s="1"/>
  <c r="FP17" i="24" s="1"/>
  <c r="FP18" i="24" s="1"/>
  <c r="FP19" i="24" s="1"/>
  <c r="FP20" i="24" s="1"/>
  <c r="FP21" i="24" s="1"/>
  <c r="FP22" i="24" s="1"/>
  <c r="FP23" i="24" s="1"/>
  <c r="FP24" i="24" s="1"/>
  <c r="FP25" i="24" s="1"/>
  <c r="FP26" i="24" s="1"/>
  <c r="FP27" i="24" s="1"/>
  <c r="FP28" i="24" s="1"/>
  <c r="FP29" i="24" s="1"/>
  <c r="FP30" i="24" s="1"/>
  <c r="FP31" i="24" s="1"/>
  <c r="FP32" i="24" s="1"/>
  <c r="FP33" i="24" s="1"/>
  <c r="FP34" i="24" s="1"/>
  <c r="FP35" i="24" s="1"/>
  <c r="FP36" i="24" s="1"/>
  <c r="FP37" i="24" s="1"/>
  <c r="FP38" i="24" s="1"/>
  <c r="FP39" i="24" s="1"/>
  <c r="FP40" i="24" s="1"/>
  <c r="FP41" i="24" s="1"/>
  <c r="FP42" i="24" s="1"/>
  <c r="FP43" i="24" s="1"/>
  <c r="FP44" i="24" s="1"/>
  <c r="FP45" i="24" s="1"/>
  <c r="FP46" i="24" s="1"/>
  <c r="FP47" i="24" s="1"/>
  <c r="FP48" i="24" s="1"/>
  <c r="FP49" i="24" s="1"/>
  <c r="FP50" i="24" s="1"/>
  <c r="FP51" i="24" s="1"/>
  <c r="DP5" i="25"/>
  <c r="DP6" i="25" s="1"/>
  <c r="DP7" i="25" s="1"/>
  <c r="DP8" i="25" s="1"/>
  <c r="DP9" i="25" s="1"/>
  <c r="DP10" i="25" s="1"/>
  <c r="DP11" i="25" s="1"/>
  <c r="DP12" i="25" s="1"/>
  <c r="DP13" i="25" s="1"/>
  <c r="DP14" i="25" s="1"/>
  <c r="DP15" i="25" s="1"/>
  <c r="DP16" i="25" s="1"/>
  <c r="DP17" i="25" s="1"/>
  <c r="DP18" i="25" s="1"/>
  <c r="DP19" i="25" s="1"/>
  <c r="DP20" i="25" s="1"/>
  <c r="DP21" i="25" s="1"/>
  <c r="DP22" i="25" s="1"/>
  <c r="DP23" i="25" s="1"/>
  <c r="DP24" i="25" s="1"/>
  <c r="DP25" i="25" s="1"/>
  <c r="DP26" i="25" s="1"/>
  <c r="DP27" i="25" s="1"/>
  <c r="DP28" i="25" s="1"/>
  <c r="DP29" i="25" s="1"/>
  <c r="DP30" i="25" s="1"/>
  <c r="DP31" i="25" s="1"/>
  <c r="DP32" i="25" s="1"/>
  <c r="DP33" i="25" s="1"/>
  <c r="DP34" i="25" s="1"/>
  <c r="DP35" i="25" s="1"/>
  <c r="DP36" i="25" s="1"/>
  <c r="DP37" i="25" s="1"/>
  <c r="DP38" i="25" s="1"/>
  <c r="DP39" i="25" s="1"/>
  <c r="DP40" i="25" s="1"/>
  <c r="DP41" i="25" s="1"/>
  <c r="DP42" i="25" s="1"/>
  <c r="DP43" i="25" s="1"/>
  <c r="DP44" i="25" s="1"/>
  <c r="DP45" i="25" s="1"/>
  <c r="DP46" i="25" s="1"/>
  <c r="DP47" i="25" s="1"/>
  <c r="DP48" i="25" s="1"/>
  <c r="DP49" i="25" s="1"/>
  <c r="DP50" i="25" s="1"/>
  <c r="DP51" i="25" s="1"/>
  <c r="CD53" i="24"/>
  <c r="BZ53" i="24"/>
  <c r="EY7" i="25"/>
  <c r="EY8" i="25" s="1"/>
  <c r="EY9" i="25" s="1"/>
  <c r="EY10" i="25" s="1"/>
  <c r="EY11" i="25" s="1"/>
  <c r="EY12" i="25" s="1"/>
  <c r="EY13" i="25" s="1"/>
  <c r="EY14" i="25" s="1"/>
  <c r="EY15" i="25" s="1"/>
  <c r="EY16" i="25" s="1"/>
  <c r="EY17" i="25" s="1"/>
  <c r="EY18" i="25" s="1"/>
  <c r="EY19" i="25" s="1"/>
  <c r="EY20" i="25" s="1"/>
  <c r="EY21" i="25" s="1"/>
  <c r="EY22" i="25" s="1"/>
  <c r="EY23" i="25" s="1"/>
  <c r="EY24" i="25" s="1"/>
  <c r="EY25" i="25" s="1"/>
  <c r="EY26" i="25" s="1"/>
  <c r="EY27" i="25" s="1"/>
  <c r="EY28" i="25" s="1"/>
  <c r="EY29" i="25" s="1"/>
  <c r="EY30" i="25" s="1"/>
  <c r="EY31" i="25" s="1"/>
  <c r="EY32" i="25" s="1"/>
  <c r="EY33" i="25" s="1"/>
  <c r="EY34" i="25" s="1"/>
  <c r="EY35" i="25" s="1"/>
  <c r="EY36" i="25" s="1"/>
  <c r="EY37" i="25" s="1"/>
  <c r="EY38" i="25" s="1"/>
  <c r="EY39" i="25" s="1"/>
  <c r="EY40" i="25" s="1"/>
  <c r="EY41" i="25" s="1"/>
  <c r="EY42" i="25" s="1"/>
  <c r="EY43" i="25" s="1"/>
  <c r="EY44" i="25" s="1"/>
  <c r="EY45" i="25" s="1"/>
  <c r="EY46" i="25" s="1"/>
  <c r="EY47" i="25" s="1"/>
  <c r="EY48" i="25" s="1"/>
  <c r="EY49" i="25" s="1"/>
  <c r="EY50" i="25" s="1"/>
  <c r="EY51" i="25" s="1"/>
  <c r="DX4" i="24"/>
  <c r="DX5" i="24" s="1"/>
  <c r="DX6" i="24" s="1"/>
  <c r="DX7" i="24" s="1"/>
  <c r="DX8" i="24" s="1"/>
  <c r="DX9" i="24" s="1"/>
  <c r="DX10" i="24" s="1"/>
  <c r="DX11" i="24" s="1"/>
  <c r="DX12" i="24" s="1"/>
  <c r="DX13" i="24" s="1"/>
  <c r="DX14" i="24" s="1"/>
  <c r="DX15" i="24" s="1"/>
  <c r="DX16" i="24" s="1"/>
  <c r="DX17" i="24" s="1"/>
  <c r="DX18" i="24" s="1"/>
  <c r="DX19" i="24" s="1"/>
  <c r="DX20" i="24" s="1"/>
  <c r="DX21" i="24" s="1"/>
  <c r="DX22" i="24" s="1"/>
  <c r="DX23" i="24" s="1"/>
  <c r="DX24" i="24" s="1"/>
  <c r="DX25" i="24" s="1"/>
  <c r="DX26" i="24" s="1"/>
  <c r="DX27" i="24" s="1"/>
  <c r="DX28" i="24" s="1"/>
  <c r="DX29" i="24" s="1"/>
  <c r="DX30" i="24" s="1"/>
  <c r="DX31" i="24" s="1"/>
  <c r="DX32" i="24" s="1"/>
  <c r="DX33" i="24" s="1"/>
  <c r="DX34" i="24" s="1"/>
  <c r="DX35" i="24" s="1"/>
  <c r="DX36" i="24" s="1"/>
  <c r="DX37" i="24" s="1"/>
  <c r="DX38" i="24" s="1"/>
  <c r="DX39" i="24" s="1"/>
  <c r="DX40" i="24" s="1"/>
  <c r="DX41" i="24" s="1"/>
  <c r="DX42" i="24" s="1"/>
  <c r="DX43" i="24" s="1"/>
  <c r="DX44" i="24" s="1"/>
  <c r="DX45" i="24" s="1"/>
  <c r="DX46" i="24" s="1"/>
  <c r="DX47" i="24" s="1"/>
  <c r="DX48" i="24" s="1"/>
  <c r="DX49" i="24" s="1"/>
  <c r="DX50" i="24" s="1"/>
  <c r="DX51" i="24" s="1"/>
  <c r="DR5" i="24"/>
  <c r="DR6" i="24" s="1"/>
  <c r="DR7" i="24" s="1"/>
  <c r="DR8" i="24" s="1"/>
  <c r="DR9" i="24" s="1"/>
  <c r="DR10" i="24" s="1"/>
  <c r="DR11" i="24" s="1"/>
  <c r="DR12" i="24" s="1"/>
  <c r="DR13" i="24" s="1"/>
  <c r="DR14" i="24" s="1"/>
  <c r="DR15" i="24" s="1"/>
  <c r="DR16" i="24" s="1"/>
  <c r="DR17" i="24" s="1"/>
  <c r="DR18" i="24" s="1"/>
  <c r="DR19" i="24" s="1"/>
  <c r="DR20" i="24" s="1"/>
  <c r="DR21" i="24" s="1"/>
  <c r="DR22" i="24" s="1"/>
  <c r="DR23" i="24" s="1"/>
  <c r="DR24" i="24" s="1"/>
  <c r="DR25" i="24" s="1"/>
  <c r="DR26" i="24" s="1"/>
  <c r="DR27" i="24" s="1"/>
  <c r="DR28" i="24" s="1"/>
  <c r="DR29" i="24" s="1"/>
  <c r="DR30" i="24" s="1"/>
  <c r="DR31" i="24" s="1"/>
  <c r="DR32" i="24" s="1"/>
  <c r="DR33" i="24" s="1"/>
  <c r="DR34" i="24" s="1"/>
  <c r="DR35" i="24" s="1"/>
  <c r="DR36" i="24" s="1"/>
  <c r="DR37" i="24" s="1"/>
  <c r="DR38" i="24" s="1"/>
  <c r="DR39" i="24" s="1"/>
  <c r="DR40" i="24" s="1"/>
  <c r="DR41" i="24" s="1"/>
  <c r="DR42" i="24" s="1"/>
  <c r="DR43" i="24" s="1"/>
  <c r="DR44" i="24" s="1"/>
  <c r="DR45" i="24" s="1"/>
  <c r="DR46" i="24" s="1"/>
  <c r="DR47" i="24" s="1"/>
  <c r="DR48" i="24" s="1"/>
  <c r="DR49" i="24" s="1"/>
  <c r="DR50" i="24" s="1"/>
  <c r="DR51" i="24" s="1"/>
  <c r="EE5" i="24"/>
  <c r="EE6" i="24" s="1"/>
  <c r="EE7" i="24" s="1"/>
  <c r="EE8" i="24" s="1"/>
  <c r="EE9" i="24" s="1"/>
  <c r="EE10" i="24" s="1"/>
  <c r="EE11" i="24" s="1"/>
  <c r="EE12" i="24" s="1"/>
  <c r="EE13" i="24" s="1"/>
  <c r="EE14" i="24" s="1"/>
  <c r="EE15" i="24" s="1"/>
  <c r="EE16" i="24" s="1"/>
  <c r="EE17" i="24" s="1"/>
  <c r="EE18" i="24" s="1"/>
  <c r="EE19" i="24" s="1"/>
  <c r="EE20" i="24" s="1"/>
  <c r="EE21" i="24" s="1"/>
  <c r="EE22" i="24" s="1"/>
  <c r="EE23" i="24" s="1"/>
  <c r="EE24" i="24" s="1"/>
  <c r="EE25" i="24" s="1"/>
  <c r="EE26" i="24" s="1"/>
  <c r="EE27" i="24" s="1"/>
  <c r="EE28" i="24" s="1"/>
  <c r="EE29" i="24" s="1"/>
  <c r="EE30" i="24" s="1"/>
  <c r="EE31" i="24" s="1"/>
  <c r="EE32" i="24" s="1"/>
  <c r="EE33" i="24" s="1"/>
  <c r="EE34" i="24" s="1"/>
  <c r="EE35" i="24" s="1"/>
  <c r="EE36" i="24" s="1"/>
  <c r="EE37" i="24" s="1"/>
  <c r="EE38" i="24" s="1"/>
  <c r="EE39" i="24" s="1"/>
  <c r="EE40" i="24" s="1"/>
  <c r="EE41" i="24" s="1"/>
  <c r="EE42" i="24" s="1"/>
  <c r="EE43" i="24" s="1"/>
  <c r="EE44" i="24" s="1"/>
  <c r="EE45" i="24" s="1"/>
  <c r="EE46" i="24" s="1"/>
  <c r="EE47" i="24" s="1"/>
  <c r="EE48" i="24" s="1"/>
  <c r="EE49" i="24" s="1"/>
  <c r="EE50" i="24" s="1"/>
  <c r="EE51" i="24" s="1"/>
  <c r="GI5" i="25"/>
  <c r="GI6" i="25" s="1"/>
  <c r="GI7" i="25" s="1"/>
  <c r="GI8" i="25" s="1"/>
  <c r="GI9" i="25" s="1"/>
  <c r="GI10" i="25" s="1"/>
  <c r="GI11" i="25" s="1"/>
  <c r="GI12" i="25" s="1"/>
  <c r="GI13" i="25" s="1"/>
  <c r="GI14" i="25" s="1"/>
  <c r="GI15" i="25" s="1"/>
  <c r="GI16" i="25" s="1"/>
  <c r="GI17" i="25" s="1"/>
  <c r="GI18" i="25" s="1"/>
  <c r="GI19" i="25" s="1"/>
  <c r="GI20" i="25" s="1"/>
  <c r="GI21" i="25" s="1"/>
  <c r="GI22" i="25" s="1"/>
  <c r="GI23" i="25" s="1"/>
  <c r="GI24" i="25" s="1"/>
  <c r="GI25" i="25" s="1"/>
  <c r="GI26" i="25" s="1"/>
  <c r="GI27" i="25" s="1"/>
  <c r="GI28" i="25" s="1"/>
  <c r="GI29" i="25" s="1"/>
  <c r="GI30" i="25" s="1"/>
  <c r="GI31" i="25" s="1"/>
  <c r="GI32" i="25" s="1"/>
  <c r="GI33" i="25" s="1"/>
  <c r="GI34" i="25" s="1"/>
  <c r="GI35" i="25" s="1"/>
  <c r="GI36" i="25" s="1"/>
  <c r="GI37" i="25" s="1"/>
  <c r="GI38" i="25" s="1"/>
  <c r="GI39" i="25" s="1"/>
  <c r="GI40" i="25" s="1"/>
  <c r="GI41" i="25" s="1"/>
  <c r="GI42" i="25" s="1"/>
  <c r="GI43" i="25" s="1"/>
  <c r="GI44" i="25" s="1"/>
  <c r="GI45" i="25" s="1"/>
  <c r="GI46" i="25" s="1"/>
  <c r="GI47" i="25" s="1"/>
  <c r="GI48" i="25" s="1"/>
  <c r="GI49" i="25" s="1"/>
  <c r="GI50" i="25" s="1"/>
  <c r="GI51" i="25" s="1"/>
  <c r="GN5" i="25"/>
  <c r="GN6" i="25" s="1"/>
  <c r="GN7" i="25" s="1"/>
  <c r="GN8" i="25" s="1"/>
  <c r="GN9" i="25" s="1"/>
  <c r="GN10" i="25" s="1"/>
  <c r="GN11" i="25" s="1"/>
  <c r="GN12" i="25" s="1"/>
  <c r="GN13" i="25" s="1"/>
  <c r="GN14" i="25" s="1"/>
  <c r="GN15" i="25" s="1"/>
  <c r="GN16" i="25" s="1"/>
  <c r="GN17" i="25" s="1"/>
  <c r="GN18" i="25" s="1"/>
  <c r="GN19" i="25" s="1"/>
  <c r="GN20" i="25" s="1"/>
  <c r="GN21" i="25" s="1"/>
  <c r="GN22" i="25" s="1"/>
  <c r="GN23" i="25" s="1"/>
  <c r="GN24" i="25" s="1"/>
  <c r="GN25" i="25" s="1"/>
  <c r="GN26" i="25" s="1"/>
  <c r="GN27" i="25" s="1"/>
  <c r="GN28" i="25" s="1"/>
  <c r="GN29" i="25" s="1"/>
  <c r="GN30" i="25" s="1"/>
  <c r="GN31" i="25" s="1"/>
  <c r="GN32" i="25" s="1"/>
  <c r="GN33" i="25" s="1"/>
  <c r="GN34" i="25" s="1"/>
  <c r="GN35" i="25" s="1"/>
  <c r="GN36" i="25" s="1"/>
  <c r="GN37" i="25" s="1"/>
  <c r="GN38" i="25" s="1"/>
  <c r="GN39" i="25" s="1"/>
  <c r="GN40" i="25" s="1"/>
  <c r="GN41" i="25" s="1"/>
  <c r="GN42" i="25" s="1"/>
  <c r="GN43" i="25" s="1"/>
  <c r="GN44" i="25" s="1"/>
  <c r="GN45" i="25" s="1"/>
  <c r="GN46" i="25" s="1"/>
  <c r="GN47" i="25" s="1"/>
  <c r="GN48" i="25" s="1"/>
  <c r="GN49" i="25" s="1"/>
  <c r="GN50" i="25" s="1"/>
  <c r="GN51" i="25" s="1"/>
  <c r="DO5" i="25"/>
  <c r="DO6" i="25" s="1"/>
  <c r="DO7" i="25" s="1"/>
  <c r="DO8" i="25" s="1"/>
  <c r="DO9" i="25" s="1"/>
  <c r="DO10" i="25" s="1"/>
  <c r="DO11" i="25" s="1"/>
  <c r="DO12" i="25" s="1"/>
  <c r="DO13" i="25" s="1"/>
  <c r="DO14" i="25" s="1"/>
  <c r="DO15" i="25" s="1"/>
  <c r="DO16" i="25" s="1"/>
  <c r="DO17" i="25" s="1"/>
  <c r="DO18" i="25" s="1"/>
  <c r="DO19" i="25" s="1"/>
  <c r="DO20" i="25" s="1"/>
  <c r="DO21" i="25" s="1"/>
  <c r="DO22" i="25" s="1"/>
  <c r="DO23" i="25" s="1"/>
  <c r="DO24" i="25" s="1"/>
  <c r="DO25" i="25" s="1"/>
  <c r="DO26" i="25" s="1"/>
  <c r="DO27" i="25" s="1"/>
  <c r="DO28" i="25" s="1"/>
  <c r="DO29" i="25" s="1"/>
  <c r="DO30" i="25" s="1"/>
  <c r="DO31" i="25" s="1"/>
  <c r="DO32" i="25" s="1"/>
  <c r="DO33" i="25" s="1"/>
  <c r="DO34" i="25" s="1"/>
  <c r="DO35" i="25" s="1"/>
  <c r="DO36" i="25" s="1"/>
  <c r="DO37" i="25" s="1"/>
  <c r="DO38" i="25" s="1"/>
  <c r="DO39" i="25" s="1"/>
  <c r="DO40" i="25" s="1"/>
  <c r="DO41" i="25" s="1"/>
  <c r="DO42" i="25" s="1"/>
  <c r="DO43" i="25" s="1"/>
  <c r="DO44" i="25" s="1"/>
  <c r="DO45" i="25" s="1"/>
  <c r="DO46" i="25" s="1"/>
  <c r="DO47" i="25" s="1"/>
  <c r="DO48" i="25" s="1"/>
  <c r="DO49" i="25" s="1"/>
  <c r="DO50" i="25" s="1"/>
  <c r="DO51" i="25" s="1"/>
  <c r="GS4" i="24"/>
  <c r="GS5" i="24" s="1"/>
  <c r="GS6" i="24" s="1"/>
  <c r="GS7" i="24" s="1"/>
  <c r="GS8" i="24" s="1"/>
  <c r="GS9" i="24" s="1"/>
  <c r="GS10" i="24" s="1"/>
  <c r="GS11" i="24" s="1"/>
  <c r="GS12" i="24" s="1"/>
  <c r="GS13" i="24" s="1"/>
  <c r="GS14" i="24" s="1"/>
  <c r="GS15" i="24" s="1"/>
  <c r="GS16" i="24" s="1"/>
  <c r="GS17" i="24" s="1"/>
  <c r="GS18" i="24" s="1"/>
  <c r="GS19" i="24" s="1"/>
  <c r="GS20" i="24" s="1"/>
  <c r="GS21" i="24" s="1"/>
  <c r="GS22" i="24" s="1"/>
  <c r="GS23" i="24" s="1"/>
  <c r="GS24" i="24" s="1"/>
  <c r="GS25" i="24" s="1"/>
  <c r="GS26" i="24" s="1"/>
  <c r="GS27" i="24" s="1"/>
  <c r="GS28" i="24" s="1"/>
  <c r="GS29" i="24" s="1"/>
  <c r="GS30" i="24" s="1"/>
  <c r="GS31" i="24" s="1"/>
  <c r="GS32" i="24" s="1"/>
  <c r="GS33" i="24" s="1"/>
  <c r="GS34" i="24" s="1"/>
  <c r="GS35" i="24" s="1"/>
  <c r="GS36" i="24" s="1"/>
  <c r="GS37" i="24" s="1"/>
  <c r="GS38" i="24" s="1"/>
  <c r="GS39" i="24" s="1"/>
  <c r="GS40" i="24" s="1"/>
  <c r="GS41" i="24" s="1"/>
  <c r="GS42" i="24" s="1"/>
  <c r="GS43" i="24" s="1"/>
  <c r="GS44" i="24" s="1"/>
  <c r="GS45" i="24" s="1"/>
  <c r="GS46" i="24" s="1"/>
  <c r="GS47" i="24" s="1"/>
  <c r="GS48" i="24" s="1"/>
  <c r="GS49" i="24" s="1"/>
  <c r="GS50" i="24" s="1"/>
  <c r="GS51" i="24" s="1"/>
  <c r="S53" i="24"/>
  <c r="DK5" i="25"/>
  <c r="DK6" i="25" s="1"/>
  <c r="DK7" i="25" s="1"/>
  <c r="DK8" i="25" s="1"/>
  <c r="DK9" i="25" s="1"/>
  <c r="DK10" i="25" s="1"/>
  <c r="DK11" i="25" s="1"/>
  <c r="DK12" i="25" s="1"/>
  <c r="DK13" i="25" s="1"/>
  <c r="DK14" i="25" s="1"/>
  <c r="DK15" i="25" s="1"/>
  <c r="DK16" i="25" s="1"/>
  <c r="DK17" i="25" s="1"/>
  <c r="DK18" i="25" s="1"/>
  <c r="DK19" i="25" s="1"/>
  <c r="DK20" i="25" s="1"/>
  <c r="DK21" i="25" s="1"/>
  <c r="DK22" i="25" s="1"/>
  <c r="DK23" i="25" s="1"/>
  <c r="DK24" i="25" s="1"/>
  <c r="DK25" i="25" s="1"/>
  <c r="DK26" i="25" s="1"/>
  <c r="DK27" i="25" s="1"/>
  <c r="DK28" i="25" s="1"/>
  <c r="DK29" i="25" s="1"/>
  <c r="DK30" i="25" s="1"/>
  <c r="DK31" i="25" s="1"/>
  <c r="DK32" i="25" s="1"/>
  <c r="DK33" i="25" s="1"/>
  <c r="DK34" i="25" s="1"/>
  <c r="DK35" i="25" s="1"/>
  <c r="DK36" i="25" s="1"/>
  <c r="DK37" i="25" s="1"/>
  <c r="DK38" i="25" s="1"/>
  <c r="DK39" i="25" s="1"/>
  <c r="DK40" i="25" s="1"/>
  <c r="DK41" i="25" s="1"/>
  <c r="DK42" i="25" s="1"/>
  <c r="DK43" i="25" s="1"/>
  <c r="DK44" i="25" s="1"/>
  <c r="DK45" i="25" s="1"/>
  <c r="DK46" i="25" s="1"/>
  <c r="DK47" i="25" s="1"/>
  <c r="DK48" i="25" s="1"/>
  <c r="DK49" i="25" s="1"/>
  <c r="DK50" i="25" s="1"/>
  <c r="DK51" i="25" s="1"/>
  <c r="ED5" i="25"/>
  <c r="ED6" i="25" s="1"/>
  <c r="ED7" i="25" s="1"/>
  <c r="ED8" i="25" s="1"/>
  <c r="ED9" i="25" s="1"/>
  <c r="ED10" i="25" s="1"/>
  <c r="ED11" i="25" s="1"/>
  <c r="ED12" i="25" s="1"/>
  <c r="ED13" i="25" s="1"/>
  <c r="ED14" i="25" s="1"/>
  <c r="ED15" i="25" s="1"/>
  <c r="ED16" i="25" s="1"/>
  <c r="ED17" i="25" s="1"/>
  <c r="ED18" i="25" s="1"/>
  <c r="ED19" i="25" s="1"/>
  <c r="ED20" i="25" s="1"/>
  <c r="ED21" i="25" s="1"/>
  <c r="ED22" i="25" s="1"/>
  <c r="ED23" i="25" s="1"/>
  <c r="ED24" i="25" s="1"/>
  <c r="ED25" i="25" s="1"/>
  <c r="ED26" i="25" s="1"/>
  <c r="ED27" i="25" s="1"/>
  <c r="ED28" i="25" s="1"/>
  <c r="ED29" i="25" s="1"/>
  <c r="ED30" i="25" s="1"/>
  <c r="ED31" i="25" s="1"/>
  <c r="ED32" i="25" s="1"/>
  <c r="ED33" i="25" s="1"/>
  <c r="ED34" i="25" s="1"/>
  <c r="ED35" i="25" s="1"/>
  <c r="ED36" i="25" s="1"/>
  <c r="ED37" i="25" s="1"/>
  <c r="ED38" i="25" s="1"/>
  <c r="ED39" i="25" s="1"/>
  <c r="ED40" i="25" s="1"/>
  <c r="ED41" i="25" s="1"/>
  <c r="ED42" i="25" s="1"/>
  <c r="ED43" i="25" s="1"/>
  <c r="ED44" i="25" s="1"/>
  <c r="ED45" i="25" s="1"/>
  <c r="ED46" i="25" s="1"/>
  <c r="ED47" i="25" s="1"/>
  <c r="ED48" i="25" s="1"/>
  <c r="ED49" i="25" s="1"/>
  <c r="ED50" i="25" s="1"/>
  <c r="ED51" i="25" s="1"/>
  <c r="AB53" i="24"/>
  <c r="K53" i="24"/>
  <c r="ES4" i="24"/>
  <c r="ES5" i="24" s="1"/>
  <c r="ES6" i="24" s="1"/>
  <c r="ES7" i="24" s="1"/>
  <c r="ES8" i="24" s="1"/>
  <c r="ES9" i="24" s="1"/>
  <c r="ES10" i="24" s="1"/>
  <c r="ES11" i="24" s="1"/>
  <c r="ES12" i="24" s="1"/>
  <c r="ES13" i="24" s="1"/>
  <c r="ES14" i="24" s="1"/>
  <c r="ES15" i="24" s="1"/>
  <c r="ES16" i="24" s="1"/>
  <c r="ES17" i="24" s="1"/>
  <c r="ES18" i="24" s="1"/>
  <c r="ES19" i="24" s="1"/>
  <c r="ES20" i="24" s="1"/>
  <c r="ES21" i="24" s="1"/>
  <c r="ES22" i="24" s="1"/>
  <c r="ES23" i="24" s="1"/>
  <c r="ES24" i="24" s="1"/>
  <c r="ES25" i="24" s="1"/>
  <c r="ES26" i="24" s="1"/>
  <c r="ES27" i="24" s="1"/>
  <c r="ES28" i="24" s="1"/>
  <c r="ES29" i="24" s="1"/>
  <c r="ES30" i="24" s="1"/>
  <c r="ES31" i="24" s="1"/>
  <c r="ES32" i="24" s="1"/>
  <c r="ES33" i="24" s="1"/>
  <c r="ES34" i="24" s="1"/>
  <c r="ES35" i="24" s="1"/>
  <c r="ES36" i="24" s="1"/>
  <c r="ES37" i="24" s="1"/>
  <c r="ES38" i="24" s="1"/>
  <c r="ES39" i="24" s="1"/>
  <c r="ES40" i="24" s="1"/>
  <c r="ES41" i="24" s="1"/>
  <c r="ES42" i="24" s="1"/>
  <c r="ES43" i="24" s="1"/>
  <c r="ES44" i="24" s="1"/>
  <c r="ES45" i="24" s="1"/>
  <c r="ES46" i="24" s="1"/>
  <c r="ES47" i="24" s="1"/>
  <c r="ES48" i="24" s="1"/>
  <c r="ES49" i="24" s="1"/>
  <c r="ES50" i="24" s="1"/>
  <c r="ES51" i="24" s="1"/>
  <c r="ES8" i="25"/>
  <c r="ES9" i="25" s="1"/>
  <c r="ES10" i="25" s="1"/>
  <c r="ES11" i="25" s="1"/>
  <c r="ES12" i="25" s="1"/>
  <c r="ES13" i="25" s="1"/>
  <c r="ES14" i="25" s="1"/>
  <c r="ES15" i="25" s="1"/>
  <c r="ES16" i="25" s="1"/>
  <c r="ES17" i="25" s="1"/>
  <c r="ES18" i="25" s="1"/>
  <c r="ES19" i="25" s="1"/>
  <c r="ES20" i="25" s="1"/>
  <c r="ES21" i="25" s="1"/>
  <c r="ES22" i="25" s="1"/>
  <c r="ES23" i="25" s="1"/>
  <c r="ES24" i="25" s="1"/>
  <c r="ES25" i="25" s="1"/>
  <c r="ES26" i="25" s="1"/>
  <c r="ES27" i="25" s="1"/>
  <c r="ES28" i="25" s="1"/>
  <c r="ES29" i="25" s="1"/>
  <c r="ES30" i="25" s="1"/>
  <c r="ES31" i="25" s="1"/>
  <c r="ES32" i="25" s="1"/>
  <c r="ES33" i="25" s="1"/>
  <c r="ES34" i="25" s="1"/>
  <c r="ES35" i="25" s="1"/>
  <c r="ES36" i="25" s="1"/>
  <c r="ES37" i="25" s="1"/>
  <c r="ES38" i="25" s="1"/>
  <c r="ES39" i="25" s="1"/>
  <c r="ES40" i="25" s="1"/>
  <c r="ES41" i="25" s="1"/>
  <c r="ES42" i="25" s="1"/>
  <c r="ES43" i="25" s="1"/>
  <c r="ES44" i="25" s="1"/>
  <c r="ES45" i="25" s="1"/>
  <c r="ES46" i="25" s="1"/>
  <c r="ES47" i="25" s="1"/>
  <c r="ES48" i="25" s="1"/>
  <c r="ES49" i="25" s="1"/>
  <c r="ES50" i="25" s="1"/>
  <c r="ES51" i="25" s="1"/>
  <c r="EA5" i="25"/>
  <c r="EA6" i="25" s="1"/>
  <c r="EA7" i="25" s="1"/>
  <c r="EA8" i="25" s="1"/>
  <c r="EA9" i="25" s="1"/>
  <c r="EA10" i="25" s="1"/>
  <c r="EA11" i="25" s="1"/>
  <c r="EA12" i="25" s="1"/>
  <c r="EA13" i="25" s="1"/>
  <c r="EA14" i="25" s="1"/>
  <c r="EA15" i="25" s="1"/>
  <c r="EA16" i="25" s="1"/>
  <c r="EA17" i="25" s="1"/>
  <c r="EA18" i="25" s="1"/>
  <c r="EA19" i="25" s="1"/>
  <c r="EA20" i="25" s="1"/>
  <c r="EA21" i="25" s="1"/>
  <c r="EA22" i="25" s="1"/>
  <c r="EA23" i="25" s="1"/>
  <c r="EA24" i="25" s="1"/>
  <c r="EA25" i="25" s="1"/>
  <c r="EA26" i="25" s="1"/>
  <c r="EA27" i="25" s="1"/>
  <c r="EA28" i="25" s="1"/>
  <c r="EA29" i="25" s="1"/>
  <c r="EA30" i="25" s="1"/>
  <c r="EA31" i="25" s="1"/>
  <c r="EA32" i="25" s="1"/>
  <c r="EA33" i="25" s="1"/>
  <c r="EA34" i="25" s="1"/>
  <c r="EA35" i="25" s="1"/>
  <c r="EA36" i="25" s="1"/>
  <c r="EA37" i="25" s="1"/>
  <c r="EA38" i="25" s="1"/>
  <c r="EA39" i="25" s="1"/>
  <c r="EA40" i="25" s="1"/>
  <c r="EA41" i="25" s="1"/>
  <c r="EA42" i="25" s="1"/>
  <c r="EA43" i="25" s="1"/>
  <c r="EA44" i="25" s="1"/>
  <c r="EA45" i="25" s="1"/>
  <c r="EA46" i="25" s="1"/>
  <c r="EA47" i="25" s="1"/>
  <c r="EA48" i="25" s="1"/>
  <c r="EA49" i="25" s="1"/>
  <c r="EA50" i="25" s="1"/>
  <c r="EA51" i="25" s="1"/>
  <c r="EL5" i="24"/>
  <c r="EL6" i="24" s="1"/>
  <c r="EL7" i="24" s="1"/>
  <c r="EL8" i="24" s="1"/>
  <c r="EL9" i="24" s="1"/>
  <c r="EL10" i="24" s="1"/>
  <c r="EL11" i="24" s="1"/>
  <c r="EL12" i="24" s="1"/>
  <c r="EL13" i="24" s="1"/>
  <c r="EL14" i="24" s="1"/>
  <c r="EL15" i="24" s="1"/>
  <c r="EL16" i="24" s="1"/>
  <c r="EL17" i="24" s="1"/>
  <c r="EL18" i="24" s="1"/>
  <c r="EL19" i="24" s="1"/>
  <c r="EL20" i="24" s="1"/>
  <c r="EL21" i="24" s="1"/>
  <c r="EL22" i="24" s="1"/>
  <c r="EL23" i="24" s="1"/>
  <c r="EL24" i="24" s="1"/>
  <c r="EL25" i="24" s="1"/>
  <c r="EL26" i="24" s="1"/>
  <c r="EL27" i="24" s="1"/>
  <c r="EL28" i="24" s="1"/>
  <c r="EL29" i="24" s="1"/>
  <c r="EL30" i="24" s="1"/>
  <c r="EL31" i="24" s="1"/>
  <c r="EL32" i="24" s="1"/>
  <c r="EL33" i="24" s="1"/>
  <c r="EL34" i="24" s="1"/>
  <c r="EL35" i="24" s="1"/>
  <c r="EL36" i="24" s="1"/>
  <c r="EL37" i="24" s="1"/>
  <c r="EL38" i="24" s="1"/>
  <c r="EL39" i="24" s="1"/>
  <c r="EL40" i="24" s="1"/>
  <c r="EL41" i="24" s="1"/>
  <c r="EL42" i="24" s="1"/>
  <c r="EL43" i="24" s="1"/>
  <c r="EL44" i="24" s="1"/>
  <c r="EL45" i="24" s="1"/>
  <c r="EL46" i="24" s="1"/>
  <c r="EL47" i="24" s="1"/>
  <c r="EL48" i="24" s="1"/>
  <c r="EL49" i="24" s="1"/>
  <c r="EL50" i="24" s="1"/>
  <c r="EL51" i="24" s="1"/>
  <c r="EQ5" i="25"/>
  <c r="EQ6" i="25" s="1"/>
  <c r="EQ7" i="25" s="1"/>
  <c r="EQ8" i="25" s="1"/>
  <c r="EQ9" i="25" s="1"/>
  <c r="EQ10" i="25" s="1"/>
  <c r="EQ11" i="25" s="1"/>
  <c r="EQ12" i="25" s="1"/>
  <c r="EQ13" i="25" s="1"/>
  <c r="EQ14" i="25" s="1"/>
  <c r="EQ15" i="25" s="1"/>
  <c r="EQ16" i="25" s="1"/>
  <c r="EQ17" i="25" s="1"/>
  <c r="EQ18" i="25" s="1"/>
  <c r="EQ19" i="25" s="1"/>
  <c r="EQ20" i="25" s="1"/>
  <c r="EQ21" i="25" s="1"/>
  <c r="EQ22" i="25" s="1"/>
  <c r="EQ23" i="25" s="1"/>
  <c r="EQ24" i="25" s="1"/>
  <c r="EQ25" i="25" s="1"/>
  <c r="EQ26" i="25" s="1"/>
  <c r="EQ27" i="25" s="1"/>
  <c r="EQ28" i="25" s="1"/>
  <c r="EQ29" i="25" s="1"/>
  <c r="EQ30" i="25" s="1"/>
  <c r="EQ31" i="25" s="1"/>
  <c r="EQ32" i="25" s="1"/>
  <c r="EQ33" i="25" s="1"/>
  <c r="EQ34" i="25" s="1"/>
  <c r="EQ35" i="25" s="1"/>
  <c r="EQ36" i="25" s="1"/>
  <c r="EQ37" i="25" s="1"/>
  <c r="EQ38" i="25" s="1"/>
  <c r="EQ39" i="25" s="1"/>
  <c r="EQ40" i="25" s="1"/>
  <c r="EQ41" i="25" s="1"/>
  <c r="EQ42" i="25" s="1"/>
  <c r="EQ43" i="25" s="1"/>
  <c r="EQ44" i="25" s="1"/>
  <c r="EQ45" i="25" s="1"/>
  <c r="EQ46" i="25" s="1"/>
  <c r="EQ47" i="25" s="1"/>
  <c r="EQ48" i="25" s="1"/>
  <c r="EQ49" i="25" s="1"/>
  <c r="EQ50" i="25" s="1"/>
  <c r="EQ51" i="25" s="1"/>
  <c r="DS13" i="24"/>
  <c r="DS14" i="24" s="1"/>
  <c r="DS15" i="24" s="1"/>
  <c r="DS16" i="24" s="1"/>
  <c r="DS17" i="24" s="1"/>
  <c r="DS18" i="24" s="1"/>
  <c r="DS19" i="24" s="1"/>
  <c r="DS20" i="24" s="1"/>
  <c r="DS21" i="24" s="1"/>
  <c r="DS22" i="24" s="1"/>
  <c r="DS23" i="24" s="1"/>
  <c r="DS24" i="24" s="1"/>
  <c r="DS25" i="24" s="1"/>
  <c r="DS26" i="24" s="1"/>
  <c r="DS27" i="24" s="1"/>
  <c r="DS28" i="24" s="1"/>
  <c r="DS29" i="24" s="1"/>
  <c r="DS30" i="24" s="1"/>
  <c r="DS31" i="24" s="1"/>
  <c r="DS32" i="24" s="1"/>
  <c r="DS33" i="24" s="1"/>
  <c r="DS34" i="24" s="1"/>
  <c r="DS35" i="24" s="1"/>
  <c r="DS36" i="24" s="1"/>
  <c r="DS37" i="24" s="1"/>
  <c r="DS38" i="24" s="1"/>
  <c r="DS39" i="24" s="1"/>
  <c r="DS40" i="24" s="1"/>
  <c r="DS41" i="24" s="1"/>
  <c r="DS42" i="24" s="1"/>
  <c r="DS43" i="24" s="1"/>
  <c r="DS44" i="24" s="1"/>
  <c r="DS45" i="24" s="1"/>
  <c r="DS46" i="24" s="1"/>
  <c r="DS47" i="24" s="1"/>
  <c r="DS48" i="24" s="1"/>
  <c r="DS49" i="24" s="1"/>
  <c r="DS50" i="24" s="1"/>
  <c r="DS51" i="24" s="1"/>
  <c r="GQ5" i="25"/>
  <c r="GQ6" i="25" s="1"/>
  <c r="GQ7" i="25" s="1"/>
  <c r="GQ8" i="25" s="1"/>
  <c r="GQ9" i="25" s="1"/>
  <c r="GQ10" i="25" s="1"/>
  <c r="GQ11" i="25" s="1"/>
  <c r="GQ12" i="25" s="1"/>
  <c r="GQ13" i="25" s="1"/>
  <c r="GQ14" i="25" s="1"/>
  <c r="GQ15" i="25" s="1"/>
  <c r="GQ16" i="25" s="1"/>
  <c r="GQ17" i="25" s="1"/>
  <c r="GQ18" i="25" s="1"/>
  <c r="GQ19" i="25" s="1"/>
  <c r="GQ20" i="25" s="1"/>
  <c r="GQ21" i="25" s="1"/>
  <c r="GQ22" i="25" s="1"/>
  <c r="GQ23" i="25" s="1"/>
  <c r="GQ24" i="25" s="1"/>
  <c r="GQ25" i="25" s="1"/>
  <c r="GQ26" i="25" s="1"/>
  <c r="GQ27" i="25" s="1"/>
  <c r="GQ28" i="25" s="1"/>
  <c r="GQ29" i="25" s="1"/>
  <c r="GQ30" i="25" s="1"/>
  <c r="GQ31" i="25" s="1"/>
  <c r="GQ32" i="25" s="1"/>
  <c r="GQ33" i="25" s="1"/>
  <c r="GQ34" i="25" s="1"/>
  <c r="GQ35" i="25" s="1"/>
  <c r="GQ36" i="25" s="1"/>
  <c r="GQ37" i="25" s="1"/>
  <c r="GQ38" i="25" s="1"/>
  <c r="GQ39" i="25" s="1"/>
  <c r="GQ40" i="25" s="1"/>
  <c r="GQ41" i="25" s="1"/>
  <c r="GQ42" i="25" s="1"/>
  <c r="GQ43" i="25" s="1"/>
  <c r="GQ44" i="25" s="1"/>
  <c r="GQ45" i="25" s="1"/>
  <c r="GQ46" i="25" s="1"/>
  <c r="GQ47" i="25" s="1"/>
  <c r="GQ48" i="25" s="1"/>
  <c r="GQ49" i="25" s="1"/>
  <c r="GQ50" i="25" s="1"/>
  <c r="GQ51" i="25" s="1"/>
  <c r="BY53" i="24"/>
  <c r="FG5" i="25"/>
  <c r="FG6" i="25" s="1"/>
  <c r="FG7" i="25" s="1"/>
  <c r="FG8" i="25" s="1"/>
  <c r="FG9" i="25" s="1"/>
  <c r="FG10" i="25" s="1"/>
  <c r="FG11" i="25" s="1"/>
  <c r="FG12" i="25" s="1"/>
  <c r="FG13" i="25" s="1"/>
  <c r="FG14" i="25" s="1"/>
  <c r="FG15" i="25" s="1"/>
  <c r="FG16" i="25" s="1"/>
  <c r="FG17" i="25" s="1"/>
  <c r="FG18" i="25" s="1"/>
  <c r="FG19" i="25" s="1"/>
  <c r="FG20" i="25" s="1"/>
  <c r="FG21" i="25" s="1"/>
  <c r="FG22" i="25" s="1"/>
  <c r="FG23" i="25" s="1"/>
  <c r="FG24" i="25" s="1"/>
  <c r="FG25" i="25" s="1"/>
  <c r="FG26" i="25" s="1"/>
  <c r="FG27" i="25" s="1"/>
  <c r="FG28" i="25" s="1"/>
  <c r="FG29" i="25" s="1"/>
  <c r="FG30" i="25" s="1"/>
  <c r="FG31" i="25" s="1"/>
  <c r="FG32" i="25" s="1"/>
  <c r="FG33" i="25" s="1"/>
  <c r="FG34" i="25" s="1"/>
  <c r="FG35" i="25" s="1"/>
  <c r="FG36" i="25" s="1"/>
  <c r="FG37" i="25" s="1"/>
  <c r="FG38" i="25" s="1"/>
  <c r="FG39" i="25" s="1"/>
  <c r="FG40" i="25" s="1"/>
  <c r="FG41" i="25" s="1"/>
  <c r="FG42" i="25" s="1"/>
  <c r="FG43" i="25" s="1"/>
  <c r="FG44" i="25" s="1"/>
  <c r="FG45" i="25" s="1"/>
  <c r="FG46" i="25" s="1"/>
  <c r="FG47" i="25" s="1"/>
  <c r="FG48" i="25" s="1"/>
  <c r="FG49" i="25" s="1"/>
  <c r="FG50" i="25" s="1"/>
  <c r="FG51" i="25" s="1"/>
  <c r="BF53" i="24"/>
  <c r="EL5" i="25"/>
  <c r="EL6" i="25" s="1"/>
  <c r="EL7" i="25" s="1"/>
  <c r="EL8" i="25" s="1"/>
  <c r="EL9" i="25" s="1"/>
  <c r="EL10" i="25" s="1"/>
  <c r="EL11" i="25" s="1"/>
  <c r="EL12" i="25" s="1"/>
  <c r="EL13" i="25" s="1"/>
  <c r="EL14" i="25" s="1"/>
  <c r="EL15" i="25" s="1"/>
  <c r="EL16" i="25" s="1"/>
  <c r="EL17" i="25" s="1"/>
  <c r="EL18" i="25" s="1"/>
  <c r="EL19" i="25" s="1"/>
  <c r="EL20" i="25" s="1"/>
  <c r="EL21" i="25" s="1"/>
  <c r="EL22" i="25" s="1"/>
  <c r="EL23" i="25" s="1"/>
  <c r="EL24" i="25" s="1"/>
  <c r="EL25" i="25" s="1"/>
  <c r="EL26" i="25" s="1"/>
  <c r="EL27" i="25" s="1"/>
  <c r="EL28" i="25" s="1"/>
  <c r="EL29" i="25" s="1"/>
  <c r="EL30" i="25" s="1"/>
  <c r="EL31" i="25" s="1"/>
  <c r="EL32" i="25" s="1"/>
  <c r="EL33" i="25" s="1"/>
  <c r="EL34" i="25" s="1"/>
  <c r="EL35" i="25" s="1"/>
  <c r="EL36" i="25" s="1"/>
  <c r="EL37" i="25" s="1"/>
  <c r="EL38" i="25" s="1"/>
  <c r="EL39" i="25" s="1"/>
  <c r="EL40" i="25" s="1"/>
  <c r="EL41" i="25" s="1"/>
  <c r="EL42" i="25" s="1"/>
  <c r="EL43" i="25" s="1"/>
  <c r="EL44" i="25" s="1"/>
  <c r="EL45" i="25" s="1"/>
  <c r="EL46" i="25" s="1"/>
  <c r="EL47" i="25" s="1"/>
  <c r="EL48" i="25" s="1"/>
  <c r="EL49" i="25" s="1"/>
  <c r="EL50" i="25" s="1"/>
  <c r="EL51" i="25" s="1"/>
  <c r="AZ53" i="24"/>
  <c r="AO53" i="24"/>
  <c r="DN4" i="24"/>
  <c r="DN5" i="24" s="1"/>
  <c r="DN6" i="24" s="1"/>
  <c r="DN7" i="24" s="1"/>
  <c r="DN8" i="24" s="1"/>
  <c r="DN9" i="24" s="1"/>
  <c r="DN10" i="24" s="1"/>
  <c r="DN11" i="24" s="1"/>
  <c r="DN12" i="24" s="1"/>
  <c r="DN13" i="24" s="1"/>
  <c r="DN14" i="24" s="1"/>
  <c r="DN15" i="24" s="1"/>
  <c r="DN16" i="24" s="1"/>
  <c r="DN17" i="24" s="1"/>
  <c r="DN18" i="24" s="1"/>
  <c r="DN19" i="24" s="1"/>
  <c r="DN20" i="24" s="1"/>
  <c r="DN21" i="24" s="1"/>
  <c r="DN22" i="24" s="1"/>
  <c r="DN23" i="24" s="1"/>
  <c r="DN24" i="24" s="1"/>
  <c r="DN25" i="24" s="1"/>
  <c r="DN26" i="24" s="1"/>
  <c r="DN27" i="24" s="1"/>
  <c r="DN28" i="24" s="1"/>
  <c r="DN29" i="24" s="1"/>
  <c r="DN30" i="24" s="1"/>
  <c r="DN31" i="24" s="1"/>
  <c r="DN32" i="24" s="1"/>
  <c r="DN33" i="24" s="1"/>
  <c r="DN34" i="24" s="1"/>
  <c r="DN35" i="24" s="1"/>
  <c r="DN36" i="24" s="1"/>
  <c r="DN37" i="24" s="1"/>
  <c r="DN38" i="24" s="1"/>
  <c r="DN39" i="24" s="1"/>
  <c r="DN40" i="24" s="1"/>
  <c r="DN41" i="24" s="1"/>
  <c r="DN42" i="24" s="1"/>
  <c r="DN43" i="24" s="1"/>
  <c r="DN44" i="24" s="1"/>
  <c r="DN45" i="24" s="1"/>
  <c r="DN46" i="24" s="1"/>
  <c r="DN47" i="24" s="1"/>
  <c r="DN48" i="24" s="1"/>
  <c r="DN49" i="24" s="1"/>
  <c r="DN50" i="24" s="1"/>
  <c r="DN51" i="24" s="1"/>
  <c r="DF5" i="25"/>
  <c r="DF6" i="25" s="1"/>
  <c r="DF7" i="25" s="1"/>
  <c r="DF8" i="25" s="1"/>
  <c r="DF9" i="25" s="1"/>
  <c r="DF10" i="25" s="1"/>
  <c r="DF11" i="25" s="1"/>
  <c r="DF12" i="25" s="1"/>
  <c r="DF13" i="25" s="1"/>
  <c r="DF14" i="25" s="1"/>
  <c r="DF15" i="25" s="1"/>
  <c r="DF16" i="25" s="1"/>
  <c r="DF17" i="25" s="1"/>
  <c r="DF18" i="25" s="1"/>
  <c r="DF19" i="25" s="1"/>
  <c r="DF20" i="25" s="1"/>
  <c r="DF21" i="25" s="1"/>
  <c r="DF22" i="25" s="1"/>
  <c r="DF23" i="25" s="1"/>
  <c r="DF24" i="25" s="1"/>
  <c r="DF25" i="25" s="1"/>
  <c r="DF26" i="25" s="1"/>
  <c r="DF27" i="25" s="1"/>
  <c r="DF28" i="25" s="1"/>
  <c r="DF29" i="25" s="1"/>
  <c r="DF30" i="25" s="1"/>
  <c r="DF31" i="25" s="1"/>
  <c r="DF32" i="25" s="1"/>
  <c r="DF33" i="25" s="1"/>
  <c r="DF34" i="25" s="1"/>
  <c r="DF35" i="25" s="1"/>
  <c r="DF36" i="25" s="1"/>
  <c r="DF37" i="25" s="1"/>
  <c r="DF38" i="25" s="1"/>
  <c r="DF39" i="25" s="1"/>
  <c r="DF40" i="25" s="1"/>
  <c r="DF41" i="25" s="1"/>
  <c r="DF42" i="25" s="1"/>
  <c r="DF43" i="25" s="1"/>
  <c r="DF44" i="25" s="1"/>
  <c r="DF45" i="25" s="1"/>
  <c r="DF46" i="25" s="1"/>
  <c r="DF47" i="25" s="1"/>
  <c r="DF48" i="25" s="1"/>
  <c r="DF49" i="25" s="1"/>
  <c r="DF50" i="25" s="1"/>
  <c r="DF51" i="25" s="1"/>
  <c r="GH4" i="24"/>
  <c r="GH5" i="24" s="1"/>
  <c r="GH6" i="24" s="1"/>
  <c r="GH7" i="24" s="1"/>
  <c r="GH8" i="24" s="1"/>
  <c r="GH9" i="24" s="1"/>
  <c r="GH10" i="24" s="1"/>
  <c r="GH11" i="24" s="1"/>
  <c r="GH12" i="24" s="1"/>
  <c r="GH13" i="24" s="1"/>
  <c r="GH14" i="24" s="1"/>
  <c r="GH15" i="24" s="1"/>
  <c r="GH16" i="24" s="1"/>
  <c r="GH17" i="24" s="1"/>
  <c r="GH18" i="24" s="1"/>
  <c r="GH19" i="24" s="1"/>
  <c r="GH20" i="24" s="1"/>
  <c r="GH21" i="24" s="1"/>
  <c r="GH22" i="24" s="1"/>
  <c r="GH23" i="24" s="1"/>
  <c r="GH24" i="24" s="1"/>
  <c r="GH25" i="24" s="1"/>
  <c r="GH26" i="24" s="1"/>
  <c r="GH27" i="24" s="1"/>
  <c r="GH28" i="24" s="1"/>
  <c r="GH29" i="24" s="1"/>
  <c r="GH30" i="24" s="1"/>
  <c r="GH31" i="24" s="1"/>
  <c r="GH32" i="24" s="1"/>
  <c r="GH33" i="24" s="1"/>
  <c r="GH34" i="24" s="1"/>
  <c r="GH35" i="24" s="1"/>
  <c r="GH36" i="24" s="1"/>
  <c r="GH37" i="24" s="1"/>
  <c r="GH38" i="24" s="1"/>
  <c r="GH39" i="24" s="1"/>
  <c r="GH40" i="24" s="1"/>
  <c r="GH41" i="24" s="1"/>
  <c r="GH42" i="24" s="1"/>
  <c r="GH43" i="24" s="1"/>
  <c r="GH44" i="24" s="1"/>
  <c r="GH45" i="24" s="1"/>
  <c r="GH46" i="24" s="1"/>
  <c r="GH47" i="24" s="1"/>
  <c r="GH48" i="24" s="1"/>
  <c r="GH49" i="24" s="1"/>
  <c r="GH50" i="24" s="1"/>
  <c r="GH51" i="24" s="1"/>
  <c r="GP4" i="24"/>
  <c r="GP5" i="24" s="1"/>
  <c r="GP6" i="24" s="1"/>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P30" i="24" s="1"/>
  <c r="GP31" i="24" s="1"/>
  <c r="GP32" i="24" s="1"/>
  <c r="GP33" i="24" s="1"/>
  <c r="GP34" i="24" s="1"/>
  <c r="GP35" i="24" s="1"/>
  <c r="GP36" i="24" s="1"/>
  <c r="GP37" i="24" s="1"/>
  <c r="GP38" i="24" s="1"/>
  <c r="GP39" i="24" s="1"/>
  <c r="GP40" i="24" s="1"/>
  <c r="GP41" i="24" s="1"/>
  <c r="GP42" i="24" s="1"/>
  <c r="GP43" i="24" s="1"/>
  <c r="GP44" i="24" s="1"/>
  <c r="GP45" i="24" s="1"/>
  <c r="GP46" i="24" s="1"/>
  <c r="GP47" i="24" s="1"/>
  <c r="GP48" i="24" s="1"/>
  <c r="GP49" i="24" s="1"/>
  <c r="GP50" i="24" s="1"/>
  <c r="GP51" i="24" s="1"/>
  <c r="GC4" i="24"/>
  <c r="GC5" i="24" s="1"/>
  <c r="GC6" i="24" s="1"/>
  <c r="GC7" i="24" s="1"/>
  <c r="GC8" i="24" s="1"/>
  <c r="GC9" i="24" s="1"/>
  <c r="GC10" i="24" s="1"/>
  <c r="GC11" i="24" s="1"/>
  <c r="GC12" i="24" s="1"/>
  <c r="GC13" i="24" s="1"/>
  <c r="GC14" i="24" s="1"/>
  <c r="GC15" i="24" s="1"/>
  <c r="GC16" i="24" s="1"/>
  <c r="GC17" i="24" s="1"/>
  <c r="GC18" i="24" s="1"/>
  <c r="GC19" i="24" s="1"/>
  <c r="GC20" i="24" s="1"/>
  <c r="GC21" i="24" s="1"/>
  <c r="GC22" i="24" s="1"/>
  <c r="GC23" i="24" s="1"/>
  <c r="GC24" i="24" s="1"/>
  <c r="GC25" i="24" s="1"/>
  <c r="GC26" i="24" s="1"/>
  <c r="GC27" i="24" s="1"/>
  <c r="GC28" i="24" s="1"/>
  <c r="GC29" i="24" s="1"/>
  <c r="GC30" i="24" s="1"/>
  <c r="GC31" i="24" s="1"/>
  <c r="GC32" i="24" s="1"/>
  <c r="GC33" i="24" s="1"/>
  <c r="GC34" i="24" s="1"/>
  <c r="GC35" i="24" s="1"/>
  <c r="GC36" i="24" s="1"/>
  <c r="GC37" i="24" s="1"/>
  <c r="GC38" i="24" s="1"/>
  <c r="GC39" i="24" s="1"/>
  <c r="GC40" i="24" s="1"/>
  <c r="GC41" i="24" s="1"/>
  <c r="GC42" i="24" s="1"/>
  <c r="GC43" i="24" s="1"/>
  <c r="GC44" i="24" s="1"/>
  <c r="GC45" i="24" s="1"/>
  <c r="GC46" i="24" s="1"/>
  <c r="GC47" i="24" s="1"/>
  <c r="GC48" i="24" s="1"/>
  <c r="GC49" i="24" s="1"/>
  <c r="GC50" i="24" s="1"/>
  <c r="GC51" i="24" s="1"/>
  <c r="P53" i="24"/>
  <c r="BO53" i="24"/>
  <c r="GV4" i="24"/>
  <c r="GV5" i="24" s="1"/>
  <c r="GV6" i="24" s="1"/>
  <c r="GV7" i="24" s="1"/>
  <c r="GV8" i="24" s="1"/>
  <c r="GV9" i="24" s="1"/>
  <c r="GV10" i="24" s="1"/>
  <c r="GV11" i="24" s="1"/>
  <c r="GV12" i="24" s="1"/>
  <c r="GV13" i="24" s="1"/>
  <c r="GV14" i="24" s="1"/>
  <c r="GV15" i="24" s="1"/>
  <c r="GV16" i="24" s="1"/>
  <c r="GV17" i="24" s="1"/>
  <c r="GV18" i="24" s="1"/>
  <c r="GV19" i="24" s="1"/>
  <c r="GV20" i="24" s="1"/>
  <c r="GV21" i="24" s="1"/>
  <c r="GV22" i="24" s="1"/>
  <c r="GV23" i="24" s="1"/>
  <c r="GV24" i="24" s="1"/>
  <c r="GV25" i="24" s="1"/>
  <c r="GV26" i="24" s="1"/>
  <c r="GV27" i="24" s="1"/>
  <c r="GV28" i="24" s="1"/>
  <c r="GV29" i="24" s="1"/>
  <c r="GV30" i="24" s="1"/>
  <c r="GV31" i="24" s="1"/>
  <c r="GV32" i="24" s="1"/>
  <c r="GV33" i="24" s="1"/>
  <c r="GV34" i="24" s="1"/>
  <c r="GV35" i="24" s="1"/>
  <c r="GV36" i="24" s="1"/>
  <c r="GV37" i="24" s="1"/>
  <c r="GV38" i="24" s="1"/>
  <c r="GV39" i="24" s="1"/>
  <c r="GV40" i="24" s="1"/>
  <c r="GV41" i="24" s="1"/>
  <c r="GV42" i="24" s="1"/>
  <c r="GV43" i="24" s="1"/>
  <c r="GV44" i="24" s="1"/>
  <c r="GV45" i="24" s="1"/>
  <c r="GV46" i="24" s="1"/>
  <c r="GV47" i="24" s="1"/>
  <c r="GV48" i="24" s="1"/>
  <c r="GV49" i="24" s="1"/>
  <c r="GV50" i="24" s="1"/>
  <c r="GV51" i="24" s="1"/>
  <c r="AE53" i="24"/>
  <c r="AR53" i="24"/>
  <c r="AQ53" i="24"/>
  <c r="EZ5" i="25"/>
  <c r="EZ6" i="25" s="1"/>
  <c r="EZ7" i="25" s="1"/>
  <c r="EZ8" i="25" s="1"/>
  <c r="EZ9" i="25" s="1"/>
  <c r="EZ10" i="25" s="1"/>
  <c r="EZ11" i="25" s="1"/>
  <c r="EZ12" i="25" s="1"/>
  <c r="EZ13" i="25" s="1"/>
  <c r="EZ14" i="25" s="1"/>
  <c r="EZ15" i="25" s="1"/>
  <c r="EZ16" i="25" s="1"/>
  <c r="EZ17" i="25" s="1"/>
  <c r="EZ18" i="25" s="1"/>
  <c r="EZ19" i="25" s="1"/>
  <c r="EZ20" i="25" s="1"/>
  <c r="EZ21" i="25" s="1"/>
  <c r="EZ22" i="25" s="1"/>
  <c r="EZ23" i="25" s="1"/>
  <c r="EZ24" i="25" s="1"/>
  <c r="EZ25" i="25" s="1"/>
  <c r="EZ26" i="25" s="1"/>
  <c r="EZ27" i="25" s="1"/>
  <c r="EZ28" i="25" s="1"/>
  <c r="EZ29" i="25" s="1"/>
  <c r="EZ30" i="25" s="1"/>
  <c r="EZ31" i="25" s="1"/>
  <c r="EZ32" i="25" s="1"/>
  <c r="EZ33" i="25" s="1"/>
  <c r="EZ34" i="25" s="1"/>
  <c r="EZ35" i="25" s="1"/>
  <c r="EZ36" i="25" s="1"/>
  <c r="EZ37" i="25" s="1"/>
  <c r="EZ38" i="25" s="1"/>
  <c r="EZ39" i="25" s="1"/>
  <c r="EZ40" i="25" s="1"/>
  <c r="EZ41" i="25" s="1"/>
  <c r="EZ42" i="25" s="1"/>
  <c r="EZ43" i="25" s="1"/>
  <c r="EZ44" i="25" s="1"/>
  <c r="EZ45" i="25" s="1"/>
  <c r="EZ46" i="25" s="1"/>
  <c r="EZ47" i="25" s="1"/>
  <c r="EZ48" i="25" s="1"/>
  <c r="EZ49" i="25" s="1"/>
  <c r="EZ50" i="25" s="1"/>
  <c r="EZ51" i="25" s="1"/>
  <c r="N53" i="24"/>
  <c r="BH53" i="24"/>
  <c r="FE6" i="25"/>
  <c r="FE7" i="25" s="1"/>
  <c r="FE8" i="25" s="1"/>
  <c r="FE9" i="25" s="1"/>
  <c r="FE10" i="25" s="1"/>
  <c r="FE11" i="25" s="1"/>
  <c r="FE12" i="25" s="1"/>
  <c r="FE13" i="25" s="1"/>
  <c r="FE14" i="25" s="1"/>
  <c r="FE15" i="25" s="1"/>
  <c r="FE16" i="25" s="1"/>
  <c r="FE17" i="25" s="1"/>
  <c r="FE18" i="25" s="1"/>
  <c r="FE19" i="25" s="1"/>
  <c r="FE20" i="25" s="1"/>
  <c r="FE21" i="25" s="1"/>
  <c r="FE22" i="25" s="1"/>
  <c r="FE23" i="25" s="1"/>
  <c r="FE24" i="25" s="1"/>
  <c r="FE25" i="25" s="1"/>
  <c r="FE26" i="25" s="1"/>
  <c r="FE27" i="25" s="1"/>
  <c r="FE28" i="25" s="1"/>
  <c r="FE29" i="25" s="1"/>
  <c r="FE30" i="25" s="1"/>
  <c r="FE31" i="25" s="1"/>
  <c r="FE32" i="25" s="1"/>
  <c r="FE33" i="25" s="1"/>
  <c r="FE34" i="25" s="1"/>
  <c r="FE35" i="25" s="1"/>
  <c r="FE36" i="25" s="1"/>
  <c r="FE37" i="25" s="1"/>
  <c r="FE38" i="25" s="1"/>
  <c r="FE39" i="25" s="1"/>
  <c r="FE40" i="25" s="1"/>
  <c r="FE41" i="25" s="1"/>
  <c r="FE42" i="25" s="1"/>
  <c r="FE43" i="25" s="1"/>
  <c r="FE44" i="25" s="1"/>
  <c r="FE45" i="25" s="1"/>
  <c r="FE46" i="25" s="1"/>
  <c r="FE47" i="25" s="1"/>
  <c r="FE48" i="25" s="1"/>
  <c r="FE49" i="25" s="1"/>
  <c r="FE50" i="25" s="1"/>
  <c r="FE51" i="25" s="1"/>
  <c r="EV5" i="25"/>
  <c r="EV6" i="25" s="1"/>
  <c r="EV7" i="25" s="1"/>
  <c r="EV8" i="25" s="1"/>
  <c r="EV9" i="25" s="1"/>
  <c r="EV10" i="25" s="1"/>
  <c r="EV11" i="25" s="1"/>
  <c r="EV12" i="25" s="1"/>
  <c r="EV13" i="25" s="1"/>
  <c r="EV14" i="25" s="1"/>
  <c r="EV15" i="25" s="1"/>
  <c r="EV16" i="25" s="1"/>
  <c r="EV17" i="25" s="1"/>
  <c r="EV18" i="25" s="1"/>
  <c r="EV19" i="25" s="1"/>
  <c r="EV20" i="25" s="1"/>
  <c r="EV21" i="25" s="1"/>
  <c r="EV22" i="25" s="1"/>
  <c r="EV23" i="25" s="1"/>
  <c r="EV24" i="25" s="1"/>
  <c r="EV25" i="25" s="1"/>
  <c r="EV26" i="25" s="1"/>
  <c r="EV27" i="25" s="1"/>
  <c r="EV28" i="25" s="1"/>
  <c r="EV29" i="25" s="1"/>
  <c r="EV30" i="25" s="1"/>
  <c r="EV31" i="25" s="1"/>
  <c r="EV32" i="25" s="1"/>
  <c r="EV33" i="25" s="1"/>
  <c r="EV34" i="25" s="1"/>
  <c r="EV35" i="25" s="1"/>
  <c r="EV36" i="25" s="1"/>
  <c r="EV37" i="25" s="1"/>
  <c r="EV38" i="25" s="1"/>
  <c r="EV39" i="25" s="1"/>
  <c r="EV40" i="25" s="1"/>
  <c r="EV41" i="25" s="1"/>
  <c r="EV42" i="25" s="1"/>
  <c r="EV43" i="25" s="1"/>
  <c r="EV44" i="25" s="1"/>
  <c r="EV45" i="25" s="1"/>
  <c r="EV46" i="25" s="1"/>
  <c r="EV47" i="25" s="1"/>
  <c r="EV48" i="25" s="1"/>
  <c r="EV49" i="25" s="1"/>
  <c r="EV50" i="25" s="1"/>
  <c r="EV51" i="25" s="1"/>
  <c r="CU53" i="24"/>
  <c r="ED5" i="24"/>
  <c r="ED6" i="24" s="1"/>
  <c r="ED7" i="24" s="1"/>
  <c r="ED8" i="24" s="1"/>
  <c r="ED9" i="24" s="1"/>
  <c r="ED10" i="24" s="1"/>
  <c r="ED11" i="24" s="1"/>
  <c r="ED12" i="24" s="1"/>
  <c r="ED13" i="24" s="1"/>
  <c r="ED14" i="24" s="1"/>
  <c r="ED15" i="24" s="1"/>
  <c r="ED16" i="24" s="1"/>
  <c r="ED17" i="24" s="1"/>
  <c r="ED18" i="24" s="1"/>
  <c r="ED19" i="24" s="1"/>
  <c r="ED20" i="24" s="1"/>
  <c r="ED21" i="24" s="1"/>
  <c r="ED22" i="24" s="1"/>
  <c r="ED23" i="24" s="1"/>
  <c r="ED24" i="24" s="1"/>
  <c r="ED25" i="24" s="1"/>
  <c r="ED26" i="24" s="1"/>
  <c r="ED27" i="24" s="1"/>
  <c r="ED28" i="24" s="1"/>
  <c r="ED29" i="24" s="1"/>
  <c r="ED30" i="24" s="1"/>
  <c r="ED31" i="24" s="1"/>
  <c r="ED32" i="24" s="1"/>
  <c r="ED33" i="24" s="1"/>
  <c r="ED34" i="24" s="1"/>
  <c r="ED35" i="24" s="1"/>
  <c r="ED36" i="24" s="1"/>
  <c r="ED37" i="24" s="1"/>
  <c r="ED38" i="24" s="1"/>
  <c r="ED39" i="24" s="1"/>
  <c r="ED40" i="24" s="1"/>
  <c r="ED41" i="24" s="1"/>
  <c r="ED42" i="24" s="1"/>
  <c r="ED43" i="24" s="1"/>
  <c r="ED44" i="24" s="1"/>
  <c r="ED45" i="24" s="1"/>
  <c r="ED46" i="24" s="1"/>
  <c r="ED47" i="24" s="1"/>
  <c r="ED48" i="24" s="1"/>
  <c r="ED49" i="24" s="1"/>
  <c r="ED50" i="24" s="1"/>
  <c r="ED51" i="24" s="1"/>
  <c r="EN5" i="25"/>
  <c r="EN6" i="25" s="1"/>
  <c r="EN7" i="25" s="1"/>
  <c r="EN8" i="25" s="1"/>
  <c r="EN9" i="25" s="1"/>
  <c r="EN10" i="25" s="1"/>
  <c r="EN11" i="25" s="1"/>
  <c r="EN12" i="25" s="1"/>
  <c r="EN13" i="25" s="1"/>
  <c r="EN14" i="25" s="1"/>
  <c r="EN15" i="25" s="1"/>
  <c r="EN16" i="25" s="1"/>
  <c r="EN17" i="25" s="1"/>
  <c r="EN18" i="25" s="1"/>
  <c r="EN19" i="25" s="1"/>
  <c r="EN20" i="25" s="1"/>
  <c r="EN21" i="25" s="1"/>
  <c r="EN22" i="25" s="1"/>
  <c r="EN23" i="25" s="1"/>
  <c r="EN24" i="25" s="1"/>
  <c r="EN25" i="25" s="1"/>
  <c r="EN26" i="25" s="1"/>
  <c r="EN27" i="25" s="1"/>
  <c r="EN28" i="25" s="1"/>
  <c r="EN29" i="25" s="1"/>
  <c r="EN30" i="25" s="1"/>
  <c r="EN31" i="25" s="1"/>
  <c r="EN32" i="25" s="1"/>
  <c r="EN33" i="25" s="1"/>
  <c r="EN34" i="25" s="1"/>
  <c r="EN35" i="25" s="1"/>
  <c r="EN36" i="25" s="1"/>
  <c r="EN37" i="25" s="1"/>
  <c r="EN38" i="25" s="1"/>
  <c r="EN39" i="25" s="1"/>
  <c r="EN40" i="25" s="1"/>
  <c r="EN41" i="25" s="1"/>
  <c r="EN42" i="25" s="1"/>
  <c r="EN43" i="25" s="1"/>
  <c r="EN44" i="25" s="1"/>
  <c r="EN45" i="25" s="1"/>
  <c r="EN46" i="25" s="1"/>
  <c r="EN47" i="25" s="1"/>
  <c r="EN48" i="25" s="1"/>
  <c r="EN49" i="25" s="1"/>
  <c r="EN50" i="25" s="1"/>
  <c r="EN51" i="25" s="1"/>
  <c r="EA4" i="24"/>
  <c r="EA5" i="24" s="1"/>
  <c r="EA6" i="24" s="1"/>
  <c r="EA7" i="24" s="1"/>
  <c r="EA8" i="24" s="1"/>
  <c r="EA9" i="24" s="1"/>
  <c r="EA10" i="24" s="1"/>
  <c r="EA11" i="24" s="1"/>
  <c r="EA12" i="24" s="1"/>
  <c r="EA13" i="24" s="1"/>
  <c r="EA14" i="24" s="1"/>
  <c r="EA15" i="24" s="1"/>
  <c r="EA16" i="24" s="1"/>
  <c r="EA17" i="24" s="1"/>
  <c r="EA18" i="24" s="1"/>
  <c r="EA19" i="24" s="1"/>
  <c r="EA20" i="24" s="1"/>
  <c r="EA21" i="24" s="1"/>
  <c r="EA22" i="24" s="1"/>
  <c r="EA23" i="24" s="1"/>
  <c r="EA24" i="24" s="1"/>
  <c r="EA25" i="24" s="1"/>
  <c r="EA26" i="24" s="1"/>
  <c r="EA27" i="24" s="1"/>
  <c r="EA28" i="24" s="1"/>
  <c r="EA29" i="24" s="1"/>
  <c r="EA30" i="24" s="1"/>
  <c r="EA31" i="24" s="1"/>
  <c r="EA32" i="24" s="1"/>
  <c r="EA33" i="24" s="1"/>
  <c r="EA34" i="24" s="1"/>
  <c r="EA35" i="24" s="1"/>
  <c r="EA36" i="24" s="1"/>
  <c r="EA37" i="24" s="1"/>
  <c r="EA38" i="24" s="1"/>
  <c r="EA39" i="24" s="1"/>
  <c r="EA40" i="24" s="1"/>
  <c r="EA41" i="24" s="1"/>
  <c r="EA42" i="24" s="1"/>
  <c r="EA43" i="24" s="1"/>
  <c r="EA44" i="24" s="1"/>
  <c r="EA45" i="24" s="1"/>
  <c r="EA46" i="24" s="1"/>
  <c r="EA47" i="24" s="1"/>
  <c r="EA48" i="24" s="1"/>
  <c r="EA49" i="24" s="1"/>
  <c r="EA50" i="24" s="1"/>
  <c r="EA51" i="24" s="1"/>
  <c r="GJ5" i="25"/>
  <c r="GJ6" i="25" s="1"/>
  <c r="GJ7" i="25" s="1"/>
  <c r="GJ8" i="25" s="1"/>
  <c r="GJ9" i="25" s="1"/>
  <c r="GJ10" i="25" s="1"/>
  <c r="GJ11" i="25" s="1"/>
  <c r="GJ12" i="25" s="1"/>
  <c r="GJ13" i="25" s="1"/>
  <c r="GJ14" i="25" s="1"/>
  <c r="GJ15" i="25" s="1"/>
  <c r="GJ16" i="25" s="1"/>
  <c r="GJ17" i="25" s="1"/>
  <c r="GJ18" i="25" s="1"/>
  <c r="GJ19" i="25" s="1"/>
  <c r="GJ20" i="25" s="1"/>
  <c r="GJ21" i="25" s="1"/>
  <c r="GJ22" i="25" s="1"/>
  <c r="GJ23" i="25" s="1"/>
  <c r="GJ24" i="25" s="1"/>
  <c r="GJ25" i="25" s="1"/>
  <c r="GJ26" i="25" s="1"/>
  <c r="GJ27" i="25" s="1"/>
  <c r="GJ28" i="25" s="1"/>
  <c r="GJ29" i="25" s="1"/>
  <c r="GJ30" i="25" s="1"/>
  <c r="GJ31" i="25" s="1"/>
  <c r="GJ32" i="25" s="1"/>
  <c r="GJ33" i="25" s="1"/>
  <c r="GJ34" i="25" s="1"/>
  <c r="GJ35" i="25" s="1"/>
  <c r="GJ36" i="25" s="1"/>
  <c r="GJ37" i="25" s="1"/>
  <c r="GJ38" i="25" s="1"/>
  <c r="GJ39" i="25" s="1"/>
  <c r="GJ40" i="25" s="1"/>
  <c r="GJ41" i="25" s="1"/>
  <c r="GJ42" i="25" s="1"/>
  <c r="GJ43" i="25" s="1"/>
  <c r="GJ44" i="25" s="1"/>
  <c r="GJ45" i="25" s="1"/>
  <c r="GJ46" i="25" s="1"/>
  <c r="GJ47" i="25" s="1"/>
  <c r="GJ48" i="25" s="1"/>
  <c r="GJ49" i="25" s="1"/>
  <c r="GJ50" i="25" s="1"/>
  <c r="GJ51" i="25" s="1"/>
  <c r="EJ4" i="24"/>
  <c r="EJ5" i="24" s="1"/>
  <c r="EJ6" i="24" s="1"/>
  <c r="EJ7" i="24" s="1"/>
  <c r="EJ8" i="24" s="1"/>
  <c r="EJ9" i="24" s="1"/>
  <c r="EJ10" i="24" s="1"/>
  <c r="EJ11" i="24" s="1"/>
  <c r="EJ12" i="24" s="1"/>
  <c r="EJ13" i="24" s="1"/>
  <c r="EJ14" i="24" s="1"/>
  <c r="EJ15" i="24" s="1"/>
  <c r="EJ16" i="24" s="1"/>
  <c r="EJ17" i="24" s="1"/>
  <c r="EJ18" i="24" s="1"/>
  <c r="EJ19" i="24" s="1"/>
  <c r="EJ20" i="24" s="1"/>
  <c r="EJ21" i="24" s="1"/>
  <c r="EJ22" i="24" s="1"/>
  <c r="EJ23" i="24" s="1"/>
  <c r="EJ24" i="24" s="1"/>
  <c r="EJ25" i="24" s="1"/>
  <c r="EJ26" i="24" s="1"/>
  <c r="EJ27" i="24" s="1"/>
  <c r="EJ28" i="24" s="1"/>
  <c r="EJ29" i="24" s="1"/>
  <c r="EJ30" i="24" s="1"/>
  <c r="EJ31" i="24" s="1"/>
  <c r="EJ32" i="24" s="1"/>
  <c r="EJ33" i="24" s="1"/>
  <c r="EJ34" i="24" s="1"/>
  <c r="EJ35" i="24" s="1"/>
  <c r="EJ36" i="24" s="1"/>
  <c r="EJ37" i="24" s="1"/>
  <c r="EJ38" i="24" s="1"/>
  <c r="EJ39" i="24" s="1"/>
  <c r="EJ40" i="24" s="1"/>
  <c r="EJ41" i="24" s="1"/>
  <c r="EJ42" i="24" s="1"/>
  <c r="EJ43" i="24" s="1"/>
  <c r="EJ44" i="24" s="1"/>
  <c r="EJ45" i="24" s="1"/>
  <c r="EJ46" i="24" s="1"/>
  <c r="EJ47" i="24" s="1"/>
  <c r="EJ48" i="24" s="1"/>
  <c r="EJ49" i="24" s="1"/>
  <c r="EJ50" i="24" s="1"/>
  <c r="EJ51" i="24" s="1"/>
  <c r="DG5" i="25"/>
  <c r="DG6" i="25" s="1"/>
  <c r="DG7" i="25" s="1"/>
  <c r="DG8" i="25" s="1"/>
  <c r="DG9" i="25" s="1"/>
  <c r="DG10" i="25" s="1"/>
  <c r="DG11" i="25" s="1"/>
  <c r="DG12" i="25" s="1"/>
  <c r="DG13" i="25" s="1"/>
  <c r="DG14" i="25" s="1"/>
  <c r="DG15" i="25" s="1"/>
  <c r="DG16" i="25" s="1"/>
  <c r="DG17" i="25" s="1"/>
  <c r="DG18" i="25" s="1"/>
  <c r="DG19" i="25" s="1"/>
  <c r="DG20" i="25" s="1"/>
  <c r="DG21" i="25" s="1"/>
  <c r="DG22" i="25" s="1"/>
  <c r="DG23" i="25" s="1"/>
  <c r="DG24" i="25" s="1"/>
  <c r="DG25" i="25" s="1"/>
  <c r="DG26" i="25" s="1"/>
  <c r="DG27" i="25" s="1"/>
  <c r="DG28" i="25" s="1"/>
  <c r="DG29" i="25" s="1"/>
  <c r="DG30" i="25" s="1"/>
  <c r="DG31" i="25" s="1"/>
  <c r="DG32" i="25" s="1"/>
  <c r="DG33" i="25" s="1"/>
  <c r="DG34" i="25" s="1"/>
  <c r="DG35" i="25" s="1"/>
  <c r="DG36" i="25" s="1"/>
  <c r="DG37" i="25" s="1"/>
  <c r="DG38" i="25" s="1"/>
  <c r="DG39" i="25" s="1"/>
  <c r="DG40" i="25" s="1"/>
  <c r="DG41" i="25" s="1"/>
  <c r="DG42" i="25" s="1"/>
  <c r="DG43" i="25" s="1"/>
  <c r="DG44" i="25" s="1"/>
  <c r="DG45" i="25" s="1"/>
  <c r="DG46" i="25" s="1"/>
  <c r="DG47" i="25" s="1"/>
  <c r="DG48" i="25" s="1"/>
  <c r="DG49" i="25" s="1"/>
  <c r="DG50" i="25" s="1"/>
  <c r="DG51" i="25" s="1"/>
  <c r="EE5" i="25"/>
  <c r="EE6" i="25" s="1"/>
  <c r="EE7" i="25" s="1"/>
  <c r="EE8" i="25" s="1"/>
  <c r="EE9" i="25" s="1"/>
  <c r="EE10" i="25" s="1"/>
  <c r="EE11" i="25" s="1"/>
  <c r="EE12" i="25" s="1"/>
  <c r="EE13" i="25" s="1"/>
  <c r="EE14" i="25" s="1"/>
  <c r="EE15" i="25" s="1"/>
  <c r="EE16" i="25" s="1"/>
  <c r="EE17" i="25" s="1"/>
  <c r="EE18" i="25" s="1"/>
  <c r="EE19" i="25" s="1"/>
  <c r="EE20" i="25" s="1"/>
  <c r="EE21" i="25" s="1"/>
  <c r="EE22" i="25" s="1"/>
  <c r="EE23" i="25" s="1"/>
  <c r="EE24" i="25" s="1"/>
  <c r="EE25" i="25" s="1"/>
  <c r="EE26" i="25" s="1"/>
  <c r="EE27" i="25" s="1"/>
  <c r="EE28" i="25" s="1"/>
  <c r="EE29" i="25" s="1"/>
  <c r="EE30" i="25" s="1"/>
  <c r="EE31" i="25" s="1"/>
  <c r="EE32" i="25" s="1"/>
  <c r="EE33" i="25" s="1"/>
  <c r="EE34" i="25" s="1"/>
  <c r="EE35" i="25" s="1"/>
  <c r="EE36" i="25" s="1"/>
  <c r="EE37" i="25" s="1"/>
  <c r="EE38" i="25" s="1"/>
  <c r="EE39" i="25" s="1"/>
  <c r="EE40" i="25" s="1"/>
  <c r="EE41" i="25" s="1"/>
  <c r="EE42" i="25" s="1"/>
  <c r="EE43" i="25" s="1"/>
  <c r="EE44" i="25" s="1"/>
  <c r="EE45" i="25" s="1"/>
  <c r="EE46" i="25" s="1"/>
  <c r="EE47" i="25" s="1"/>
  <c r="EE48" i="25" s="1"/>
  <c r="EE49" i="25" s="1"/>
  <c r="EE50" i="25" s="1"/>
  <c r="EE51" i="25" s="1"/>
  <c r="DT4" i="24"/>
  <c r="DT5" i="24" s="1"/>
  <c r="DT6" i="24" s="1"/>
  <c r="DT7" i="24" s="1"/>
  <c r="DT8" i="24" s="1"/>
  <c r="DT9" i="24" s="1"/>
  <c r="DT10" i="24" s="1"/>
  <c r="DT11" i="24" s="1"/>
  <c r="DT12" i="24" s="1"/>
  <c r="DT13" i="24" s="1"/>
  <c r="DT14" i="24" s="1"/>
  <c r="DT15" i="24" s="1"/>
  <c r="DT16" i="24" s="1"/>
  <c r="DT17" i="24" s="1"/>
  <c r="DT18" i="24" s="1"/>
  <c r="DT19" i="24" s="1"/>
  <c r="DT20" i="24" s="1"/>
  <c r="DT21" i="24" s="1"/>
  <c r="DT22" i="24" s="1"/>
  <c r="DT23" i="24" s="1"/>
  <c r="DT24" i="24" s="1"/>
  <c r="DT25" i="24" s="1"/>
  <c r="DT26" i="24" s="1"/>
  <c r="DT27" i="24" s="1"/>
  <c r="DT28" i="24" s="1"/>
  <c r="DT29" i="24" s="1"/>
  <c r="DT30" i="24" s="1"/>
  <c r="DT31" i="24" s="1"/>
  <c r="DT32" i="24" s="1"/>
  <c r="DT33" i="24" s="1"/>
  <c r="DT34" i="24" s="1"/>
  <c r="DT35" i="24" s="1"/>
  <c r="DT36" i="24" s="1"/>
  <c r="DT37" i="24" s="1"/>
  <c r="DT38" i="24" s="1"/>
  <c r="DT39" i="24" s="1"/>
  <c r="DT40" i="24" s="1"/>
  <c r="DT41" i="24" s="1"/>
  <c r="DT42" i="24" s="1"/>
  <c r="DT43" i="24" s="1"/>
  <c r="DT44" i="24" s="1"/>
  <c r="DT45" i="24" s="1"/>
  <c r="DT46" i="24" s="1"/>
  <c r="DT47" i="24" s="1"/>
  <c r="DT48" i="24" s="1"/>
  <c r="DT49" i="24" s="1"/>
  <c r="DT50" i="24" s="1"/>
  <c r="DT51" i="24" s="1"/>
  <c r="FN5" i="25"/>
  <c r="FN6" i="25" s="1"/>
  <c r="FN7" i="25" s="1"/>
  <c r="FN8" i="25" s="1"/>
  <c r="FN9" i="25" s="1"/>
  <c r="FN10" i="25" s="1"/>
  <c r="FN11" i="25" s="1"/>
  <c r="FN12" i="25" s="1"/>
  <c r="FN13" i="25" s="1"/>
  <c r="FN14" i="25" s="1"/>
  <c r="FN15" i="25" s="1"/>
  <c r="FN16" i="25" s="1"/>
  <c r="FN17" i="25" s="1"/>
  <c r="FN18" i="25" s="1"/>
  <c r="FN19" i="25" s="1"/>
  <c r="FN20" i="25" s="1"/>
  <c r="FN21" i="25" s="1"/>
  <c r="FN22" i="25" s="1"/>
  <c r="FN23" i="25" s="1"/>
  <c r="FN24" i="25" s="1"/>
  <c r="FN25" i="25" s="1"/>
  <c r="FN26" i="25" s="1"/>
  <c r="FN27" i="25" s="1"/>
  <c r="FN28" i="25" s="1"/>
  <c r="FN29" i="25" s="1"/>
  <c r="FN30" i="25" s="1"/>
  <c r="FN31" i="25" s="1"/>
  <c r="FN32" i="25" s="1"/>
  <c r="FN33" i="25" s="1"/>
  <c r="FN34" i="25" s="1"/>
  <c r="FN35" i="25" s="1"/>
  <c r="FN36" i="25" s="1"/>
  <c r="FN37" i="25" s="1"/>
  <c r="FN38" i="25" s="1"/>
  <c r="FN39" i="25" s="1"/>
  <c r="FN40" i="25" s="1"/>
  <c r="FN41" i="25" s="1"/>
  <c r="FN42" i="25" s="1"/>
  <c r="FN43" i="25" s="1"/>
  <c r="FN44" i="25" s="1"/>
  <c r="FN45" i="25" s="1"/>
  <c r="FN46" i="25" s="1"/>
  <c r="FN47" i="25" s="1"/>
  <c r="FN48" i="25" s="1"/>
  <c r="FN49" i="25" s="1"/>
  <c r="FN50" i="25" s="1"/>
  <c r="FN51" i="25" s="1"/>
  <c r="DM4" i="24"/>
  <c r="DM5" i="24" s="1"/>
  <c r="DM6" i="24" s="1"/>
  <c r="DM7" i="24" s="1"/>
  <c r="DM8" i="24" s="1"/>
  <c r="DM9" i="24" s="1"/>
  <c r="DM10" i="24" s="1"/>
  <c r="DM11" i="24" s="1"/>
  <c r="DM12" i="24" s="1"/>
  <c r="DM13" i="24" s="1"/>
  <c r="DM14" i="24" s="1"/>
  <c r="DM15" i="24" s="1"/>
  <c r="DM16" i="24" s="1"/>
  <c r="DM17" i="24" s="1"/>
  <c r="DM18" i="24" s="1"/>
  <c r="DM19" i="24" s="1"/>
  <c r="DM20" i="24" s="1"/>
  <c r="DM21" i="24" s="1"/>
  <c r="DM22" i="24" s="1"/>
  <c r="DM23" i="24" s="1"/>
  <c r="DM24" i="24" s="1"/>
  <c r="DM25" i="24" s="1"/>
  <c r="DM26" i="24" s="1"/>
  <c r="DM27" i="24" s="1"/>
  <c r="DM28" i="24" s="1"/>
  <c r="DM29" i="24" s="1"/>
  <c r="DM30" i="24" s="1"/>
  <c r="DM31" i="24" s="1"/>
  <c r="DM32" i="24" s="1"/>
  <c r="DM33" i="24" s="1"/>
  <c r="DM34" i="24" s="1"/>
  <c r="DM35" i="24" s="1"/>
  <c r="DM36" i="24" s="1"/>
  <c r="DM37" i="24" s="1"/>
  <c r="DM38" i="24" s="1"/>
  <c r="DM39" i="24" s="1"/>
  <c r="DM40" i="24" s="1"/>
  <c r="DM41" i="24" s="1"/>
  <c r="DM42" i="24" s="1"/>
  <c r="DM43" i="24" s="1"/>
  <c r="DM44" i="24" s="1"/>
  <c r="DM45" i="24" s="1"/>
  <c r="DM46" i="24" s="1"/>
  <c r="DM47" i="24" s="1"/>
  <c r="DM48" i="24" s="1"/>
  <c r="DM49" i="24" s="1"/>
  <c r="DM50" i="24" s="1"/>
  <c r="DM51" i="24" s="1"/>
  <c r="FF5" i="25"/>
  <c r="FF6" i="25" s="1"/>
  <c r="FF7" i="25" s="1"/>
  <c r="FF8" i="25" s="1"/>
  <c r="FF9" i="25" s="1"/>
  <c r="FF10" i="25" s="1"/>
  <c r="FF11" i="25" s="1"/>
  <c r="FF12" i="25" s="1"/>
  <c r="FF13" i="25" s="1"/>
  <c r="FF14" i="25" s="1"/>
  <c r="FF15" i="25" s="1"/>
  <c r="FF16" i="25" s="1"/>
  <c r="FF17" i="25" s="1"/>
  <c r="FF18" i="25" s="1"/>
  <c r="FF19" i="25" s="1"/>
  <c r="FF20" i="25" s="1"/>
  <c r="FF21" i="25" s="1"/>
  <c r="FF22" i="25" s="1"/>
  <c r="FF23" i="25" s="1"/>
  <c r="FF24" i="25" s="1"/>
  <c r="FF25" i="25" s="1"/>
  <c r="FF26" i="25" s="1"/>
  <c r="FF27" i="25" s="1"/>
  <c r="FF28" i="25" s="1"/>
  <c r="FF29" i="25" s="1"/>
  <c r="FF30" i="25" s="1"/>
  <c r="FF31" i="25" s="1"/>
  <c r="FF32" i="25" s="1"/>
  <c r="FF33" i="25" s="1"/>
  <c r="FF34" i="25" s="1"/>
  <c r="FF35" i="25" s="1"/>
  <c r="FF36" i="25" s="1"/>
  <c r="FF37" i="25" s="1"/>
  <c r="FF38" i="25" s="1"/>
  <c r="FF39" i="25" s="1"/>
  <c r="FF40" i="25" s="1"/>
  <c r="FF41" i="25" s="1"/>
  <c r="FF42" i="25" s="1"/>
  <c r="FF43" i="25" s="1"/>
  <c r="FF44" i="25" s="1"/>
  <c r="FF45" i="25" s="1"/>
  <c r="FF46" i="25" s="1"/>
  <c r="FF47" i="25" s="1"/>
  <c r="FF48" i="25" s="1"/>
  <c r="FF49" i="25" s="1"/>
  <c r="FF50" i="25" s="1"/>
  <c r="FF51" i="25" s="1"/>
  <c r="AG53" i="25"/>
  <c r="CH53" i="24"/>
  <c r="GL5" i="25"/>
  <c r="GL6" i="25" s="1"/>
  <c r="GL7" i="25" s="1"/>
  <c r="GL8" i="25" s="1"/>
  <c r="GL9" i="25" s="1"/>
  <c r="GL10" i="25" s="1"/>
  <c r="GL11" i="25" s="1"/>
  <c r="GL12" i="25" s="1"/>
  <c r="GL13" i="25" s="1"/>
  <c r="GL14" i="25" s="1"/>
  <c r="GL15" i="25" s="1"/>
  <c r="GL16" i="25" s="1"/>
  <c r="GL17" i="25" s="1"/>
  <c r="GL18" i="25" s="1"/>
  <c r="GL19" i="25" s="1"/>
  <c r="GL20" i="25" s="1"/>
  <c r="GL21" i="25" s="1"/>
  <c r="GL22" i="25" s="1"/>
  <c r="GL23" i="25" s="1"/>
  <c r="GL24" i="25" s="1"/>
  <c r="GL25" i="25" s="1"/>
  <c r="GL26" i="25" s="1"/>
  <c r="GL27" i="25" s="1"/>
  <c r="GL28" i="25" s="1"/>
  <c r="GL29" i="25" s="1"/>
  <c r="GL30" i="25" s="1"/>
  <c r="GL31" i="25" s="1"/>
  <c r="GL32" i="25" s="1"/>
  <c r="GL33" i="25" s="1"/>
  <c r="GL34" i="25" s="1"/>
  <c r="GL35" i="25" s="1"/>
  <c r="GL36" i="25" s="1"/>
  <c r="GL37" i="25" s="1"/>
  <c r="GL38" i="25" s="1"/>
  <c r="GL39" i="25" s="1"/>
  <c r="GL40" i="25" s="1"/>
  <c r="GL41" i="25" s="1"/>
  <c r="GL42" i="25" s="1"/>
  <c r="GL43" i="25" s="1"/>
  <c r="GL44" i="25" s="1"/>
  <c r="GL45" i="25" s="1"/>
  <c r="GL46" i="25" s="1"/>
  <c r="GL47" i="25" s="1"/>
  <c r="GL48" i="25" s="1"/>
  <c r="GL49" i="25" s="1"/>
  <c r="GL50" i="25" s="1"/>
  <c r="GL51" i="25" s="1"/>
  <c r="FQ4" i="24"/>
  <c r="FQ5" i="24" s="1"/>
  <c r="FQ6" i="24" s="1"/>
  <c r="FQ7" i="24" s="1"/>
  <c r="FQ8" i="24" s="1"/>
  <c r="FQ9" i="24" s="1"/>
  <c r="FQ10" i="24" s="1"/>
  <c r="FQ11" i="24" s="1"/>
  <c r="FQ12" i="24" s="1"/>
  <c r="FQ13" i="24" s="1"/>
  <c r="FQ14" i="24" s="1"/>
  <c r="FQ15" i="24" s="1"/>
  <c r="FQ16" i="24" s="1"/>
  <c r="FQ17" i="24" s="1"/>
  <c r="FQ18" i="24" s="1"/>
  <c r="FQ19" i="24" s="1"/>
  <c r="FQ20" i="24" s="1"/>
  <c r="FQ21" i="24" s="1"/>
  <c r="FQ22" i="24" s="1"/>
  <c r="FQ23" i="24" s="1"/>
  <c r="FQ24" i="24" s="1"/>
  <c r="FQ25" i="24" s="1"/>
  <c r="FQ26" i="24" s="1"/>
  <c r="FQ27" i="24" s="1"/>
  <c r="FQ28" i="24" s="1"/>
  <c r="FQ29" i="24" s="1"/>
  <c r="FQ30" i="24" s="1"/>
  <c r="FQ31" i="24" s="1"/>
  <c r="FQ32" i="24" s="1"/>
  <c r="FQ33" i="24" s="1"/>
  <c r="FQ34" i="24" s="1"/>
  <c r="FQ35" i="24" s="1"/>
  <c r="FQ36" i="24" s="1"/>
  <c r="FQ37" i="24" s="1"/>
  <c r="FQ38" i="24" s="1"/>
  <c r="FQ39" i="24" s="1"/>
  <c r="FQ40" i="24" s="1"/>
  <c r="FQ41" i="24" s="1"/>
  <c r="FQ42" i="24" s="1"/>
  <c r="FQ43" i="24" s="1"/>
  <c r="FQ44" i="24" s="1"/>
  <c r="FQ45" i="24" s="1"/>
  <c r="FQ46" i="24" s="1"/>
  <c r="FQ47" i="24" s="1"/>
  <c r="FQ48" i="24" s="1"/>
  <c r="FQ49" i="24" s="1"/>
  <c r="FQ50" i="24" s="1"/>
  <c r="FQ51" i="24" s="1"/>
  <c r="DC6" i="25"/>
  <c r="DC7" i="25" s="1"/>
  <c r="DC8" i="25" s="1"/>
  <c r="DC9" i="25" s="1"/>
  <c r="DC10" i="25" s="1"/>
  <c r="DC11" i="25" s="1"/>
  <c r="DC12" i="25" s="1"/>
  <c r="DC13" i="25" s="1"/>
  <c r="DC14" i="25" s="1"/>
  <c r="DC15" i="25" s="1"/>
  <c r="DC16" i="25" s="1"/>
  <c r="DC17" i="25" s="1"/>
  <c r="DC18" i="25" s="1"/>
  <c r="DC19" i="25" s="1"/>
  <c r="DC20" i="25" s="1"/>
  <c r="DC21" i="25" s="1"/>
  <c r="DC22" i="25" s="1"/>
  <c r="DC23" i="25" s="1"/>
  <c r="DC24" i="25" s="1"/>
  <c r="DC25" i="25" s="1"/>
  <c r="DC26" i="25" s="1"/>
  <c r="DC27" i="25" s="1"/>
  <c r="DC28" i="25" s="1"/>
  <c r="DC29" i="25" s="1"/>
  <c r="DC30" i="25" s="1"/>
  <c r="DC31" i="25" s="1"/>
  <c r="DC32" i="25" s="1"/>
  <c r="DC33" i="25" s="1"/>
  <c r="DC34" i="25" s="1"/>
  <c r="DC35" i="25" s="1"/>
  <c r="DC36" i="25" s="1"/>
  <c r="DC37" i="25" s="1"/>
  <c r="DC38" i="25" s="1"/>
  <c r="DC39" i="25" s="1"/>
  <c r="DC40" i="25" s="1"/>
  <c r="DC41" i="25" s="1"/>
  <c r="DC42" i="25" s="1"/>
  <c r="DC43" i="25" s="1"/>
  <c r="DC44" i="25" s="1"/>
  <c r="DC45" i="25" s="1"/>
  <c r="DC46" i="25" s="1"/>
  <c r="DC47" i="25" s="1"/>
  <c r="DC48" i="25" s="1"/>
  <c r="DC49" i="25" s="1"/>
  <c r="DC50" i="25" s="1"/>
  <c r="DC51" i="25" s="1"/>
  <c r="DM5" i="25"/>
  <c r="DM6" i="25" s="1"/>
  <c r="DM7" i="25" s="1"/>
  <c r="DM8" i="25" s="1"/>
  <c r="DM9" i="25" s="1"/>
  <c r="DM10" i="25" s="1"/>
  <c r="DM11" i="25" s="1"/>
  <c r="DM12" i="25" s="1"/>
  <c r="DM13" i="25" s="1"/>
  <c r="DM14" i="25" s="1"/>
  <c r="DM15" i="25" s="1"/>
  <c r="DM16" i="25" s="1"/>
  <c r="DM17" i="25" s="1"/>
  <c r="DM18" i="25" s="1"/>
  <c r="DM19" i="25" s="1"/>
  <c r="DM20" i="25" s="1"/>
  <c r="DM21" i="25" s="1"/>
  <c r="DM22" i="25" s="1"/>
  <c r="DM23" i="25" s="1"/>
  <c r="DM24" i="25" s="1"/>
  <c r="DM25" i="25" s="1"/>
  <c r="DM26" i="25" s="1"/>
  <c r="DM27" i="25" s="1"/>
  <c r="DM28" i="25" s="1"/>
  <c r="DM29" i="25" s="1"/>
  <c r="DM30" i="25" s="1"/>
  <c r="DM31" i="25" s="1"/>
  <c r="DM32" i="25" s="1"/>
  <c r="DM33" i="25" s="1"/>
  <c r="DM34" i="25" s="1"/>
  <c r="DM35" i="25" s="1"/>
  <c r="DM36" i="25" s="1"/>
  <c r="DM37" i="25" s="1"/>
  <c r="DM38" i="25" s="1"/>
  <c r="DM39" i="25" s="1"/>
  <c r="DM40" i="25" s="1"/>
  <c r="DM41" i="25" s="1"/>
  <c r="DM42" i="25" s="1"/>
  <c r="DM43" i="25" s="1"/>
  <c r="DM44" i="25" s="1"/>
  <c r="DM45" i="25" s="1"/>
  <c r="DM46" i="25" s="1"/>
  <c r="DM47" i="25" s="1"/>
  <c r="DM48" i="25" s="1"/>
  <c r="DM49" i="25" s="1"/>
  <c r="DM50" i="25" s="1"/>
  <c r="DM51" i="25" s="1"/>
  <c r="EK8" i="25"/>
  <c r="EK9" i="25" s="1"/>
  <c r="EK10" i="25" s="1"/>
  <c r="EK11" i="25" s="1"/>
  <c r="EK12" i="25" s="1"/>
  <c r="EK13" i="25" s="1"/>
  <c r="EK14" i="25" s="1"/>
  <c r="EK15" i="25" s="1"/>
  <c r="EK16" i="25" s="1"/>
  <c r="EK17" i="25" s="1"/>
  <c r="EK18" i="25" s="1"/>
  <c r="EK19" i="25" s="1"/>
  <c r="EK20" i="25" s="1"/>
  <c r="EK21" i="25" s="1"/>
  <c r="EK22" i="25" s="1"/>
  <c r="EK23" i="25" s="1"/>
  <c r="EK24" i="25" s="1"/>
  <c r="EK25" i="25" s="1"/>
  <c r="EK26" i="25" s="1"/>
  <c r="EK27" i="25" s="1"/>
  <c r="EK28" i="25" s="1"/>
  <c r="EK29" i="25" s="1"/>
  <c r="EK30" i="25" s="1"/>
  <c r="EK31" i="25" s="1"/>
  <c r="EK32" i="25" s="1"/>
  <c r="EK33" i="25" s="1"/>
  <c r="EK34" i="25" s="1"/>
  <c r="EK35" i="25" s="1"/>
  <c r="EK36" i="25" s="1"/>
  <c r="EK37" i="25" s="1"/>
  <c r="EK38" i="25" s="1"/>
  <c r="EK39" i="25" s="1"/>
  <c r="EK40" i="25" s="1"/>
  <c r="EK41" i="25" s="1"/>
  <c r="EK42" i="25" s="1"/>
  <c r="EK43" i="25" s="1"/>
  <c r="EK44" i="25" s="1"/>
  <c r="EK45" i="25" s="1"/>
  <c r="EK46" i="25" s="1"/>
  <c r="EK47" i="25" s="1"/>
  <c r="EK48" i="25" s="1"/>
  <c r="EK49" i="25" s="1"/>
  <c r="EK50" i="25" s="1"/>
  <c r="EK51" i="25" s="1"/>
  <c r="DW5" i="25"/>
  <c r="DW6" i="25" s="1"/>
  <c r="DW7" i="25" s="1"/>
  <c r="DW8" i="25" s="1"/>
  <c r="DW9" i="25" s="1"/>
  <c r="DW10" i="25" s="1"/>
  <c r="DW11" i="25" s="1"/>
  <c r="DW12" i="25" s="1"/>
  <c r="DW13" i="25" s="1"/>
  <c r="DW14" i="25" s="1"/>
  <c r="DW15" i="25" s="1"/>
  <c r="DW16" i="25" s="1"/>
  <c r="DW17" i="25" s="1"/>
  <c r="DW18" i="25" s="1"/>
  <c r="DW19" i="25" s="1"/>
  <c r="DW20" i="25" s="1"/>
  <c r="DW21" i="25" s="1"/>
  <c r="DW22" i="25" s="1"/>
  <c r="DW23" i="25" s="1"/>
  <c r="DW24" i="25" s="1"/>
  <c r="DW25" i="25" s="1"/>
  <c r="DW26" i="25" s="1"/>
  <c r="DW27" i="25" s="1"/>
  <c r="DW28" i="25" s="1"/>
  <c r="DW29" i="25" s="1"/>
  <c r="DW30" i="25" s="1"/>
  <c r="DW31" i="25" s="1"/>
  <c r="DW32" i="25" s="1"/>
  <c r="DW33" i="25" s="1"/>
  <c r="DW34" i="25" s="1"/>
  <c r="DW35" i="25" s="1"/>
  <c r="DW36" i="25" s="1"/>
  <c r="DW37" i="25" s="1"/>
  <c r="DW38" i="25" s="1"/>
  <c r="DW39" i="25" s="1"/>
  <c r="DW40" i="25" s="1"/>
  <c r="DW41" i="25" s="1"/>
  <c r="DW42" i="25" s="1"/>
  <c r="DW43" i="25" s="1"/>
  <c r="DW44" i="25" s="1"/>
  <c r="DW45" i="25" s="1"/>
  <c r="DW46" i="25" s="1"/>
  <c r="DW47" i="25" s="1"/>
  <c r="DW48" i="25" s="1"/>
  <c r="DW49" i="25" s="1"/>
  <c r="DW50" i="25" s="1"/>
  <c r="DW51" i="25" s="1"/>
  <c r="GT5" i="25"/>
  <c r="GT6" i="25" s="1"/>
  <c r="GT7" i="25" s="1"/>
  <c r="GT8" i="25" s="1"/>
  <c r="GT9" i="25" s="1"/>
  <c r="GT10" i="25" s="1"/>
  <c r="GT11" i="25" s="1"/>
  <c r="GT12" i="25" s="1"/>
  <c r="GT13" i="25" s="1"/>
  <c r="GT14" i="25" s="1"/>
  <c r="GT15" i="25" s="1"/>
  <c r="GT16" i="25" s="1"/>
  <c r="GT17" i="25" s="1"/>
  <c r="GT18" i="25" s="1"/>
  <c r="GT19" i="25" s="1"/>
  <c r="GT20" i="25" s="1"/>
  <c r="GT21" i="25" s="1"/>
  <c r="GT22" i="25" s="1"/>
  <c r="GT23" i="25" s="1"/>
  <c r="GT24" i="25" s="1"/>
  <c r="GT25" i="25" s="1"/>
  <c r="GT26" i="25" s="1"/>
  <c r="GT27" i="25" s="1"/>
  <c r="GT28" i="25" s="1"/>
  <c r="GT29" i="25" s="1"/>
  <c r="GT30" i="25" s="1"/>
  <c r="GT31" i="25" s="1"/>
  <c r="GT32" i="25" s="1"/>
  <c r="GT33" i="25" s="1"/>
  <c r="GT34" i="25" s="1"/>
  <c r="GT35" i="25" s="1"/>
  <c r="GT36" i="25" s="1"/>
  <c r="GT37" i="25" s="1"/>
  <c r="GT38" i="25" s="1"/>
  <c r="GT39" i="25" s="1"/>
  <c r="GT40" i="25" s="1"/>
  <c r="GT41" i="25" s="1"/>
  <c r="GT42" i="25" s="1"/>
  <c r="GT43" i="25" s="1"/>
  <c r="GT44" i="25" s="1"/>
  <c r="GT45" i="25" s="1"/>
  <c r="GT46" i="25" s="1"/>
  <c r="GT47" i="25" s="1"/>
  <c r="GT48" i="25" s="1"/>
  <c r="GT49" i="25" s="1"/>
  <c r="GT50" i="25" s="1"/>
  <c r="GT51" i="25" s="1"/>
  <c r="V53" i="24"/>
  <c r="GN5" i="24"/>
  <c r="GN6" i="24" s="1"/>
  <c r="GN7" i="24" s="1"/>
  <c r="GN8" i="24" s="1"/>
  <c r="GN9" i="24" s="1"/>
  <c r="GN10" i="24" s="1"/>
  <c r="GN11" i="24" s="1"/>
  <c r="GN12" i="24" s="1"/>
  <c r="GN13" i="24" s="1"/>
  <c r="GN14" i="24" s="1"/>
  <c r="GN15" i="24" s="1"/>
  <c r="GN16" i="24" s="1"/>
  <c r="GN17" i="24" s="1"/>
  <c r="GN18" i="24" s="1"/>
  <c r="GN19" i="24" s="1"/>
  <c r="GN20" i="24" s="1"/>
  <c r="GN21" i="24" s="1"/>
  <c r="GN22" i="24" s="1"/>
  <c r="GN23" i="24" s="1"/>
  <c r="GN24" i="24" s="1"/>
  <c r="GN25" i="24" s="1"/>
  <c r="GN26" i="24" s="1"/>
  <c r="GN27" i="24" s="1"/>
  <c r="GN28" i="24" s="1"/>
  <c r="GN29" i="24" s="1"/>
  <c r="GN30" i="24" s="1"/>
  <c r="GN31" i="24" s="1"/>
  <c r="GN32" i="24" s="1"/>
  <c r="GN33" i="24" s="1"/>
  <c r="GN34" i="24" s="1"/>
  <c r="GN35" i="24" s="1"/>
  <c r="GN36" i="24" s="1"/>
  <c r="GN37" i="24" s="1"/>
  <c r="GN38" i="24" s="1"/>
  <c r="GN39" i="24" s="1"/>
  <c r="GN40" i="24" s="1"/>
  <c r="GN41" i="24" s="1"/>
  <c r="GN42" i="24" s="1"/>
  <c r="GN43" i="24" s="1"/>
  <c r="GN44" i="24" s="1"/>
  <c r="GN45" i="24" s="1"/>
  <c r="GN46" i="24" s="1"/>
  <c r="GN47" i="24" s="1"/>
  <c r="GN48" i="24" s="1"/>
  <c r="GN49" i="24" s="1"/>
  <c r="GN50" i="24" s="1"/>
  <c r="GN51" i="24" s="1"/>
  <c r="FS5" i="25"/>
  <c r="FS6" i="25" s="1"/>
  <c r="FS7" i="25" s="1"/>
  <c r="FS8" i="25" s="1"/>
  <c r="FS9" i="25" s="1"/>
  <c r="FS10" i="25" s="1"/>
  <c r="FS11" i="25" s="1"/>
  <c r="FS12" i="25" s="1"/>
  <c r="FS13" i="25" s="1"/>
  <c r="FS14" i="25" s="1"/>
  <c r="FS15" i="25" s="1"/>
  <c r="FS16" i="25" s="1"/>
  <c r="FS17" i="25" s="1"/>
  <c r="FS18" i="25" s="1"/>
  <c r="FS19" i="25" s="1"/>
  <c r="FS20" i="25" s="1"/>
  <c r="FS21" i="25" s="1"/>
  <c r="FS22" i="25" s="1"/>
  <c r="FS23" i="25" s="1"/>
  <c r="FS24" i="25" s="1"/>
  <c r="FS25" i="25" s="1"/>
  <c r="FS26" i="25" s="1"/>
  <c r="FS27" i="25" s="1"/>
  <c r="FS28" i="25" s="1"/>
  <c r="FS29" i="25" s="1"/>
  <c r="FS30" i="25" s="1"/>
  <c r="FS31" i="25" s="1"/>
  <c r="FS32" i="25" s="1"/>
  <c r="FS33" i="25" s="1"/>
  <c r="FS34" i="25" s="1"/>
  <c r="FS35" i="25" s="1"/>
  <c r="FS36" i="25" s="1"/>
  <c r="FS37" i="25" s="1"/>
  <c r="FS38" i="25" s="1"/>
  <c r="FS39" i="25" s="1"/>
  <c r="FS40" i="25" s="1"/>
  <c r="FS41" i="25" s="1"/>
  <c r="FS42" i="25" s="1"/>
  <c r="FS43" i="25" s="1"/>
  <c r="FS44" i="25" s="1"/>
  <c r="FS45" i="25" s="1"/>
  <c r="FS46" i="25" s="1"/>
  <c r="FS47" i="25" s="1"/>
  <c r="FS48" i="25" s="1"/>
  <c r="FS49" i="25" s="1"/>
  <c r="FS50" i="25" s="1"/>
  <c r="FS51" i="25" s="1"/>
  <c r="DH5" i="25"/>
  <c r="DH6" i="25" s="1"/>
  <c r="DH7" i="25" s="1"/>
  <c r="DH8" i="25" s="1"/>
  <c r="DH9" i="25" s="1"/>
  <c r="DH10" i="25" s="1"/>
  <c r="DH11" i="25" s="1"/>
  <c r="DH12" i="25" s="1"/>
  <c r="DH13" i="25" s="1"/>
  <c r="DH14" i="25" s="1"/>
  <c r="DH15" i="25" s="1"/>
  <c r="DH16" i="25" s="1"/>
  <c r="DH17" i="25" s="1"/>
  <c r="DH18" i="25" s="1"/>
  <c r="DH19" i="25" s="1"/>
  <c r="DH20" i="25" s="1"/>
  <c r="DH21" i="25" s="1"/>
  <c r="DH22" i="25" s="1"/>
  <c r="DH23" i="25" s="1"/>
  <c r="DH24" i="25" s="1"/>
  <c r="DH25" i="25" s="1"/>
  <c r="DH26" i="25" s="1"/>
  <c r="DH27" i="25" s="1"/>
  <c r="DH28" i="25" s="1"/>
  <c r="DH29" i="25" s="1"/>
  <c r="DH30" i="25" s="1"/>
  <c r="DH31" i="25" s="1"/>
  <c r="DH32" i="25" s="1"/>
  <c r="DH33" i="25" s="1"/>
  <c r="DH34" i="25" s="1"/>
  <c r="DH35" i="25" s="1"/>
  <c r="DH36" i="25" s="1"/>
  <c r="DH37" i="25" s="1"/>
  <c r="DH38" i="25" s="1"/>
  <c r="DH39" i="25" s="1"/>
  <c r="DH40" i="25" s="1"/>
  <c r="DH41" i="25" s="1"/>
  <c r="DH42" i="25" s="1"/>
  <c r="DH43" i="25" s="1"/>
  <c r="DH44" i="25" s="1"/>
  <c r="DH45" i="25" s="1"/>
  <c r="DH46" i="25" s="1"/>
  <c r="DH47" i="25" s="1"/>
  <c r="DH48" i="25" s="1"/>
  <c r="DH49" i="25" s="1"/>
  <c r="DH50" i="25" s="1"/>
  <c r="DH51" i="25" s="1"/>
  <c r="EB5" i="25"/>
  <c r="EB6" i="25" s="1"/>
  <c r="EB7" i="25" s="1"/>
  <c r="EB8" i="25" s="1"/>
  <c r="EB9" i="25" s="1"/>
  <c r="EB10" i="25" s="1"/>
  <c r="EB11" i="25" s="1"/>
  <c r="EB12" i="25" s="1"/>
  <c r="EB13" i="25" s="1"/>
  <c r="EB14" i="25" s="1"/>
  <c r="EB15" i="25" s="1"/>
  <c r="EB16" i="25" s="1"/>
  <c r="EB17" i="25" s="1"/>
  <c r="EB18" i="25" s="1"/>
  <c r="EB19" i="25" s="1"/>
  <c r="EB20" i="25" s="1"/>
  <c r="EB21" i="25" s="1"/>
  <c r="EB22" i="25" s="1"/>
  <c r="EB23" i="25" s="1"/>
  <c r="EB24" i="25" s="1"/>
  <c r="EB25" i="25" s="1"/>
  <c r="EB26" i="25" s="1"/>
  <c r="EB27" i="25" s="1"/>
  <c r="EB28" i="25" s="1"/>
  <c r="EB29" i="25" s="1"/>
  <c r="EB30" i="25" s="1"/>
  <c r="EB31" i="25" s="1"/>
  <c r="EB32" i="25" s="1"/>
  <c r="EB33" i="25" s="1"/>
  <c r="EB34" i="25" s="1"/>
  <c r="EB35" i="25" s="1"/>
  <c r="EB36" i="25" s="1"/>
  <c r="EB37" i="25" s="1"/>
  <c r="EB38" i="25" s="1"/>
  <c r="EB39" i="25" s="1"/>
  <c r="EB40" i="25" s="1"/>
  <c r="EB41" i="25" s="1"/>
  <c r="EB42" i="25" s="1"/>
  <c r="EB43" i="25" s="1"/>
  <c r="EB44" i="25" s="1"/>
  <c r="EB45" i="25" s="1"/>
  <c r="EB46" i="25" s="1"/>
  <c r="EB47" i="25" s="1"/>
  <c r="EB48" i="25" s="1"/>
  <c r="EB49" i="25" s="1"/>
  <c r="EB50" i="25" s="1"/>
  <c r="EB51" i="25" s="1"/>
  <c r="EM5" i="25"/>
  <c r="EM6" i="25" s="1"/>
  <c r="EM7" i="25" s="1"/>
  <c r="EM8" i="25" s="1"/>
  <c r="EM9" i="25" s="1"/>
  <c r="EM10" i="25" s="1"/>
  <c r="EM11" i="25" s="1"/>
  <c r="EM12" i="25" s="1"/>
  <c r="EM13" i="25" s="1"/>
  <c r="EM14" i="25" s="1"/>
  <c r="EM15" i="25" s="1"/>
  <c r="EM16" i="25" s="1"/>
  <c r="EM17" i="25" s="1"/>
  <c r="EM18" i="25" s="1"/>
  <c r="EM19" i="25" s="1"/>
  <c r="EM20" i="25" s="1"/>
  <c r="EM21" i="25" s="1"/>
  <c r="EM22" i="25" s="1"/>
  <c r="EM23" i="25" s="1"/>
  <c r="EM24" i="25" s="1"/>
  <c r="EM25" i="25" s="1"/>
  <c r="EM26" i="25" s="1"/>
  <c r="EM27" i="25" s="1"/>
  <c r="EM28" i="25" s="1"/>
  <c r="EM29" i="25" s="1"/>
  <c r="EM30" i="25" s="1"/>
  <c r="EM31" i="25" s="1"/>
  <c r="EM32" i="25" s="1"/>
  <c r="EM33" i="25" s="1"/>
  <c r="EM34" i="25" s="1"/>
  <c r="EM35" i="25" s="1"/>
  <c r="EM36" i="25" s="1"/>
  <c r="EM37" i="25" s="1"/>
  <c r="EM38" i="25" s="1"/>
  <c r="EM39" i="25" s="1"/>
  <c r="EM40" i="25" s="1"/>
  <c r="EM41" i="25" s="1"/>
  <c r="EM42" i="25" s="1"/>
  <c r="EM43" i="25" s="1"/>
  <c r="EM44" i="25" s="1"/>
  <c r="EM45" i="25" s="1"/>
  <c r="EM46" i="25" s="1"/>
  <c r="EM47" i="25" s="1"/>
  <c r="EM48" i="25" s="1"/>
  <c r="EM49" i="25" s="1"/>
  <c r="EM50" i="25" s="1"/>
  <c r="EM51" i="25" s="1"/>
  <c r="EF4" i="24"/>
  <c r="EF5" i="24" s="1"/>
  <c r="EF6" i="24" s="1"/>
  <c r="EF7" i="24" s="1"/>
  <c r="EF8" i="24" s="1"/>
  <c r="EF9" i="24" s="1"/>
  <c r="EF10" i="24" s="1"/>
  <c r="EF11" i="24" s="1"/>
  <c r="EF12" i="24" s="1"/>
  <c r="EF13" i="24" s="1"/>
  <c r="EF14" i="24" s="1"/>
  <c r="EF15" i="24" s="1"/>
  <c r="EF16" i="24" s="1"/>
  <c r="EF17" i="24" s="1"/>
  <c r="EF18" i="24" s="1"/>
  <c r="EF19" i="24" s="1"/>
  <c r="EF20" i="24" s="1"/>
  <c r="EF21" i="24" s="1"/>
  <c r="EF22" i="24" s="1"/>
  <c r="EF23" i="24" s="1"/>
  <c r="EF24" i="24" s="1"/>
  <c r="EF25" i="24" s="1"/>
  <c r="EF26" i="24" s="1"/>
  <c r="EF27" i="24" s="1"/>
  <c r="EF28" i="24" s="1"/>
  <c r="EF29" i="24" s="1"/>
  <c r="EF30" i="24" s="1"/>
  <c r="EF31" i="24" s="1"/>
  <c r="EF32" i="24" s="1"/>
  <c r="EF33" i="24" s="1"/>
  <c r="EF34" i="24" s="1"/>
  <c r="EF35" i="24" s="1"/>
  <c r="EF36" i="24" s="1"/>
  <c r="EF37" i="24" s="1"/>
  <c r="EF38" i="24" s="1"/>
  <c r="EF39" i="24" s="1"/>
  <c r="EF40" i="24" s="1"/>
  <c r="EF41" i="24" s="1"/>
  <c r="EF42" i="24" s="1"/>
  <c r="EF43" i="24" s="1"/>
  <c r="EF44" i="24" s="1"/>
  <c r="EF45" i="24" s="1"/>
  <c r="EF46" i="24" s="1"/>
  <c r="EF47" i="24" s="1"/>
  <c r="EF48" i="24" s="1"/>
  <c r="EF49" i="24" s="1"/>
  <c r="EF50" i="24" s="1"/>
  <c r="EF51" i="24" s="1"/>
  <c r="C53" i="24"/>
  <c r="FN4" i="24"/>
  <c r="FN5" i="24" s="1"/>
  <c r="FN6" i="24" s="1"/>
  <c r="FN7" i="24" s="1"/>
  <c r="FN8" i="24" s="1"/>
  <c r="FN9" i="24" s="1"/>
  <c r="FN10" i="24" s="1"/>
  <c r="FN11" i="24" s="1"/>
  <c r="FN12" i="24" s="1"/>
  <c r="FN13" i="24" s="1"/>
  <c r="FN14" i="24" s="1"/>
  <c r="FN15" i="24" s="1"/>
  <c r="FN16" i="24" s="1"/>
  <c r="FN17" i="24" s="1"/>
  <c r="FN18" i="24" s="1"/>
  <c r="FN19" i="24" s="1"/>
  <c r="FN20" i="24" s="1"/>
  <c r="FN21" i="24" s="1"/>
  <c r="FN22" i="24" s="1"/>
  <c r="FN23" i="24" s="1"/>
  <c r="FN24" i="24" s="1"/>
  <c r="FN25" i="24" s="1"/>
  <c r="FN26" i="24" s="1"/>
  <c r="FN27" i="24" s="1"/>
  <c r="FN28" i="24" s="1"/>
  <c r="FN29" i="24" s="1"/>
  <c r="FN30" i="24" s="1"/>
  <c r="FN31" i="24" s="1"/>
  <c r="FN32" i="24" s="1"/>
  <c r="FN33" i="24" s="1"/>
  <c r="FN34" i="24" s="1"/>
  <c r="FN35" i="24" s="1"/>
  <c r="FN36" i="24" s="1"/>
  <c r="FN37" i="24" s="1"/>
  <c r="FN38" i="24" s="1"/>
  <c r="FN39" i="24" s="1"/>
  <c r="FN40" i="24" s="1"/>
  <c r="FN41" i="24" s="1"/>
  <c r="FN42" i="24" s="1"/>
  <c r="FN43" i="24" s="1"/>
  <c r="FN44" i="24" s="1"/>
  <c r="FN45" i="24" s="1"/>
  <c r="FN46" i="24" s="1"/>
  <c r="FN47" i="24" s="1"/>
  <c r="FN48" i="24" s="1"/>
  <c r="FN49" i="24" s="1"/>
  <c r="FN50" i="24" s="1"/>
  <c r="FN51" i="24" s="1"/>
  <c r="DJ4" i="24"/>
  <c r="DJ5" i="24" s="1"/>
  <c r="DJ6" i="24" s="1"/>
  <c r="DJ7" i="24" s="1"/>
  <c r="DJ8" i="24" s="1"/>
  <c r="DJ9" i="24" s="1"/>
  <c r="DJ10" i="24" s="1"/>
  <c r="DJ11" i="24" s="1"/>
  <c r="DJ12" i="24" s="1"/>
  <c r="DJ13" i="24" s="1"/>
  <c r="DJ14" i="24" s="1"/>
  <c r="DJ15" i="24" s="1"/>
  <c r="DJ16" i="24" s="1"/>
  <c r="DJ17" i="24" s="1"/>
  <c r="DJ18" i="24" s="1"/>
  <c r="DJ19" i="24" s="1"/>
  <c r="DJ20" i="24" s="1"/>
  <c r="DJ21" i="24" s="1"/>
  <c r="DJ22" i="24" s="1"/>
  <c r="DJ23" i="24" s="1"/>
  <c r="DJ24" i="24" s="1"/>
  <c r="DJ25" i="24" s="1"/>
  <c r="DJ26" i="24" s="1"/>
  <c r="DJ27" i="24" s="1"/>
  <c r="DJ28" i="24" s="1"/>
  <c r="DJ29" i="24" s="1"/>
  <c r="DJ30" i="24" s="1"/>
  <c r="DJ31" i="24" s="1"/>
  <c r="DJ32" i="24" s="1"/>
  <c r="DJ33" i="24" s="1"/>
  <c r="DJ34" i="24" s="1"/>
  <c r="DJ35" i="24" s="1"/>
  <c r="DJ36" i="24" s="1"/>
  <c r="DJ37" i="24" s="1"/>
  <c r="DJ38" i="24" s="1"/>
  <c r="DJ39" i="24" s="1"/>
  <c r="DJ40" i="24" s="1"/>
  <c r="DJ41" i="24" s="1"/>
  <c r="DJ42" i="24" s="1"/>
  <c r="DJ43" i="24" s="1"/>
  <c r="DJ44" i="24" s="1"/>
  <c r="DJ45" i="24" s="1"/>
  <c r="DJ46" i="24" s="1"/>
  <c r="DJ47" i="24" s="1"/>
  <c r="DJ48" i="24" s="1"/>
  <c r="DJ49" i="24" s="1"/>
  <c r="DJ50" i="24" s="1"/>
  <c r="DJ51" i="24" s="1"/>
  <c r="FI4" i="24"/>
  <c r="FI5" i="24" s="1"/>
  <c r="FI6" i="24" s="1"/>
  <c r="FI7" i="24" s="1"/>
  <c r="FI8" i="24" s="1"/>
  <c r="FI9" i="24" s="1"/>
  <c r="FI10" i="24" s="1"/>
  <c r="FI11" i="24" s="1"/>
  <c r="FI12" i="24" s="1"/>
  <c r="FI13" i="24" s="1"/>
  <c r="FI14" i="24" s="1"/>
  <c r="FI15" i="24" s="1"/>
  <c r="FI16" i="24" s="1"/>
  <c r="FI17" i="24" s="1"/>
  <c r="FI18" i="24" s="1"/>
  <c r="FI19" i="24" s="1"/>
  <c r="FI20" i="24" s="1"/>
  <c r="FI21" i="24" s="1"/>
  <c r="FI22" i="24" s="1"/>
  <c r="FI23" i="24" s="1"/>
  <c r="FI24" i="24" s="1"/>
  <c r="FI25" i="24" s="1"/>
  <c r="FI26" i="24" s="1"/>
  <c r="FI27" i="24" s="1"/>
  <c r="FI28" i="24" s="1"/>
  <c r="FI29" i="24" s="1"/>
  <c r="FI30" i="24" s="1"/>
  <c r="FI31" i="24" s="1"/>
  <c r="FI32" i="24" s="1"/>
  <c r="FI33" i="24" s="1"/>
  <c r="FI34" i="24" s="1"/>
  <c r="FI35" i="24" s="1"/>
  <c r="FI36" i="24" s="1"/>
  <c r="FI37" i="24" s="1"/>
  <c r="FI38" i="24" s="1"/>
  <c r="FI39" i="24" s="1"/>
  <c r="FI40" i="24" s="1"/>
  <c r="FI41" i="24" s="1"/>
  <c r="FI42" i="24" s="1"/>
  <c r="FI43" i="24" s="1"/>
  <c r="FI44" i="24" s="1"/>
  <c r="FI45" i="24" s="1"/>
  <c r="FI46" i="24" s="1"/>
  <c r="FI47" i="24" s="1"/>
  <c r="FI48" i="24" s="1"/>
  <c r="FI49" i="24" s="1"/>
  <c r="FI50" i="24" s="1"/>
  <c r="FI51" i="24" s="1"/>
  <c r="BN53" i="24"/>
  <c r="FW8" i="25"/>
  <c r="FW9" i="25" s="1"/>
  <c r="FW10" i="25" s="1"/>
  <c r="FW11" i="25" s="1"/>
  <c r="FW12" i="25" s="1"/>
  <c r="FW13" i="25" s="1"/>
  <c r="FW14" i="25" s="1"/>
  <c r="FW15" i="25" s="1"/>
  <c r="FW16" i="25" s="1"/>
  <c r="FW17" i="25" s="1"/>
  <c r="FW18" i="25" s="1"/>
  <c r="FW19" i="25" s="1"/>
  <c r="FW20" i="25" s="1"/>
  <c r="FW21" i="25" s="1"/>
  <c r="FW22" i="25" s="1"/>
  <c r="FW23" i="25" s="1"/>
  <c r="FW24" i="25" s="1"/>
  <c r="FW25" i="25" s="1"/>
  <c r="FW26" i="25" s="1"/>
  <c r="FW27" i="25" s="1"/>
  <c r="FW28" i="25" s="1"/>
  <c r="FW29" i="25" s="1"/>
  <c r="FW30" i="25" s="1"/>
  <c r="FW31" i="25" s="1"/>
  <c r="FW32" i="25" s="1"/>
  <c r="FW33" i="25" s="1"/>
  <c r="FW34" i="25" s="1"/>
  <c r="FW35" i="25" s="1"/>
  <c r="FW36" i="25" s="1"/>
  <c r="FW37" i="25" s="1"/>
  <c r="FW38" i="25" s="1"/>
  <c r="FW39" i="25" s="1"/>
  <c r="FW40" i="25" s="1"/>
  <c r="FW41" i="25" s="1"/>
  <c r="FW42" i="25" s="1"/>
  <c r="FW43" i="25" s="1"/>
  <c r="FW44" i="25" s="1"/>
  <c r="FW45" i="25" s="1"/>
  <c r="FW46" i="25" s="1"/>
  <c r="FW47" i="25" s="1"/>
  <c r="FW48" i="25" s="1"/>
  <c r="FW49" i="25" s="1"/>
  <c r="FW50" i="25" s="1"/>
  <c r="FW51" i="25" s="1"/>
  <c r="M53" i="25"/>
  <c r="BV53" i="25"/>
  <c r="BR53" i="25"/>
  <c r="K53" i="25"/>
  <c r="GG7" i="25"/>
  <c r="GG8" i="25" s="1"/>
  <c r="GG9" i="25" s="1"/>
  <c r="GG10" i="25" s="1"/>
  <c r="GG11" i="25" s="1"/>
  <c r="GG12" i="25" s="1"/>
  <c r="GG13" i="25" s="1"/>
  <c r="GG14" i="25" s="1"/>
  <c r="GG15" i="25" s="1"/>
  <c r="GG16" i="25" s="1"/>
  <c r="GG17" i="25" s="1"/>
  <c r="GG18" i="25" s="1"/>
  <c r="GG19" i="25" s="1"/>
  <c r="GG20" i="25" s="1"/>
  <c r="GG21" i="25" s="1"/>
  <c r="GG22" i="25" s="1"/>
  <c r="GG23" i="25" s="1"/>
  <c r="GG24" i="25" s="1"/>
  <c r="GG25" i="25" s="1"/>
  <c r="GG26" i="25" s="1"/>
  <c r="GG27" i="25" s="1"/>
  <c r="GG28" i="25" s="1"/>
  <c r="GG29" i="25" s="1"/>
  <c r="GG30" i="25" s="1"/>
  <c r="GG31" i="25" s="1"/>
  <c r="GG32" i="25" s="1"/>
  <c r="GG33" i="25" s="1"/>
  <c r="GG34" i="25" s="1"/>
  <c r="GG35" i="25" s="1"/>
  <c r="GG36" i="25" s="1"/>
  <c r="GG37" i="25" s="1"/>
  <c r="GG38" i="25" s="1"/>
  <c r="GG39" i="25" s="1"/>
  <c r="GG40" i="25" s="1"/>
  <c r="GG41" i="25" s="1"/>
  <c r="GG42" i="25" s="1"/>
  <c r="GG43" i="25" s="1"/>
  <c r="GG44" i="25" s="1"/>
  <c r="GG45" i="25" s="1"/>
  <c r="GG46" i="25" s="1"/>
  <c r="GG47" i="25" s="1"/>
  <c r="GG48" i="25" s="1"/>
  <c r="GG49" i="25" s="1"/>
  <c r="GG50" i="25" s="1"/>
  <c r="GG51" i="25" s="1"/>
  <c r="FY7" i="24"/>
  <c r="FY8" i="24" s="1"/>
  <c r="FY9" i="24" s="1"/>
  <c r="FY10" i="24" s="1"/>
  <c r="FY11" i="24" s="1"/>
  <c r="FY12" i="24" s="1"/>
  <c r="FY13" i="24" s="1"/>
  <c r="FY14" i="24" s="1"/>
  <c r="FY15" i="24" s="1"/>
  <c r="FY16" i="24" s="1"/>
  <c r="FY17" i="24" s="1"/>
  <c r="FY18" i="24" s="1"/>
  <c r="FY19" i="24" s="1"/>
  <c r="FY20" i="24" s="1"/>
  <c r="FY21" i="24" s="1"/>
  <c r="FY22" i="24" s="1"/>
  <c r="FY23" i="24" s="1"/>
  <c r="FY24" i="24" s="1"/>
  <c r="FY25" i="24" s="1"/>
  <c r="FY26" i="24" s="1"/>
  <c r="FY27" i="24" s="1"/>
  <c r="FY28" i="24" s="1"/>
  <c r="FY29" i="24" s="1"/>
  <c r="FY30" i="24" s="1"/>
  <c r="FY31" i="24" s="1"/>
  <c r="FY32" i="24" s="1"/>
  <c r="FY33" i="24" s="1"/>
  <c r="FY34" i="24" s="1"/>
  <c r="FY35" i="24" s="1"/>
  <c r="FY36" i="24" s="1"/>
  <c r="FY37" i="24" s="1"/>
  <c r="FY38" i="24" s="1"/>
  <c r="FY39" i="24" s="1"/>
  <c r="FY40" i="24" s="1"/>
  <c r="FY41" i="24" s="1"/>
  <c r="FY42" i="24" s="1"/>
  <c r="FY43" i="24" s="1"/>
  <c r="FY44" i="24" s="1"/>
  <c r="FY45" i="24" s="1"/>
  <c r="FY46" i="24" s="1"/>
  <c r="FY47" i="24" s="1"/>
  <c r="FY48" i="24" s="1"/>
  <c r="FY49" i="24" s="1"/>
  <c r="FY50" i="24" s="1"/>
  <c r="FY51" i="24" s="1"/>
  <c r="EQ4" i="24"/>
  <c r="EQ5" i="24" s="1"/>
  <c r="EQ6" i="24" s="1"/>
  <c r="EQ7" i="24" s="1"/>
  <c r="EQ8" i="24" s="1"/>
  <c r="EQ9" i="24" s="1"/>
  <c r="EQ10" i="24" s="1"/>
  <c r="EQ11" i="24" s="1"/>
  <c r="EQ12" i="24" s="1"/>
  <c r="EQ13" i="24" s="1"/>
  <c r="EQ14" i="24" s="1"/>
  <c r="EQ15" i="24" s="1"/>
  <c r="EQ16" i="24" s="1"/>
  <c r="EQ17" i="24" s="1"/>
  <c r="EQ18" i="24" s="1"/>
  <c r="EQ19" i="24" s="1"/>
  <c r="EQ20" i="24" s="1"/>
  <c r="EQ21" i="24" s="1"/>
  <c r="EQ22" i="24" s="1"/>
  <c r="EQ23" i="24" s="1"/>
  <c r="EQ24" i="24" s="1"/>
  <c r="EQ25" i="24" s="1"/>
  <c r="EQ26" i="24" s="1"/>
  <c r="EQ27" i="24" s="1"/>
  <c r="EQ28" i="24" s="1"/>
  <c r="EQ29" i="24" s="1"/>
  <c r="EQ30" i="24" s="1"/>
  <c r="EQ31" i="24" s="1"/>
  <c r="EQ32" i="24" s="1"/>
  <c r="EQ33" i="24" s="1"/>
  <c r="EQ34" i="24" s="1"/>
  <c r="EQ35" i="24" s="1"/>
  <c r="EQ36" i="24" s="1"/>
  <c r="EQ37" i="24" s="1"/>
  <c r="EQ38" i="24" s="1"/>
  <c r="EQ39" i="24" s="1"/>
  <c r="EQ40" i="24" s="1"/>
  <c r="EQ41" i="24" s="1"/>
  <c r="EQ42" i="24" s="1"/>
  <c r="EQ43" i="24" s="1"/>
  <c r="EQ44" i="24" s="1"/>
  <c r="EQ45" i="24" s="1"/>
  <c r="EQ46" i="24" s="1"/>
  <c r="EQ47" i="24" s="1"/>
  <c r="EQ48" i="24" s="1"/>
  <c r="EQ49" i="24" s="1"/>
  <c r="EQ50" i="24" s="1"/>
  <c r="EQ51" i="24" s="1"/>
  <c r="CQ53" i="24"/>
  <c r="DD5" i="25"/>
  <c r="DD6" i="25" s="1"/>
  <c r="DD7" i="25" s="1"/>
  <c r="DD8" i="25" s="1"/>
  <c r="DD9" i="25" s="1"/>
  <c r="DD10" i="25" s="1"/>
  <c r="DD11" i="25" s="1"/>
  <c r="DD12" i="25" s="1"/>
  <c r="DD13" i="25" s="1"/>
  <c r="DD14" i="25" s="1"/>
  <c r="DD15" i="25" s="1"/>
  <c r="DD16" i="25" s="1"/>
  <c r="DD17" i="25" s="1"/>
  <c r="DD18" i="25" s="1"/>
  <c r="DD19" i="25" s="1"/>
  <c r="DD20" i="25" s="1"/>
  <c r="DD21" i="25" s="1"/>
  <c r="DD22" i="25" s="1"/>
  <c r="DD23" i="25" s="1"/>
  <c r="DD24" i="25" s="1"/>
  <c r="DD25" i="25" s="1"/>
  <c r="DD26" i="25" s="1"/>
  <c r="DD27" i="25" s="1"/>
  <c r="DD28" i="25" s="1"/>
  <c r="DD29" i="25" s="1"/>
  <c r="DD30" i="25" s="1"/>
  <c r="DD31" i="25" s="1"/>
  <c r="DD32" i="25" s="1"/>
  <c r="DD33" i="25" s="1"/>
  <c r="DD34" i="25" s="1"/>
  <c r="DD35" i="25" s="1"/>
  <c r="DD36" i="25" s="1"/>
  <c r="DD37" i="25" s="1"/>
  <c r="DD38" i="25" s="1"/>
  <c r="DD39" i="25" s="1"/>
  <c r="DD40" i="25" s="1"/>
  <c r="DD41" i="25" s="1"/>
  <c r="DD42" i="25" s="1"/>
  <c r="DD43" i="25" s="1"/>
  <c r="DD44" i="25" s="1"/>
  <c r="DD45" i="25" s="1"/>
  <c r="DD46" i="25" s="1"/>
  <c r="DD47" i="25" s="1"/>
  <c r="DD48" i="25" s="1"/>
  <c r="DD49" i="25" s="1"/>
  <c r="DD50" i="25" s="1"/>
  <c r="DD51" i="25" s="1"/>
  <c r="BP53" i="24"/>
  <c r="FD5" i="25"/>
  <c r="FD6" i="25" s="1"/>
  <c r="FD7" i="25" s="1"/>
  <c r="FD8" i="25" s="1"/>
  <c r="FD9" i="25" s="1"/>
  <c r="FD10" i="25" s="1"/>
  <c r="FD11" i="25" s="1"/>
  <c r="FD12" i="25" s="1"/>
  <c r="FD13" i="25" s="1"/>
  <c r="FD14" i="25" s="1"/>
  <c r="FD15" i="25" s="1"/>
  <c r="FD16" i="25" s="1"/>
  <c r="FD17" i="25" s="1"/>
  <c r="FD18" i="25" s="1"/>
  <c r="FD19" i="25" s="1"/>
  <c r="FD20" i="25" s="1"/>
  <c r="FD21" i="25" s="1"/>
  <c r="FD22" i="25" s="1"/>
  <c r="FD23" i="25" s="1"/>
  <c r="FD24" i="25" s="1"/>
  <c r="FD25" i="25" s="1"/>
  <c r="FD26" i="25" s="1"/>
  <c r="FD27" i="25" s="1"/>
  <c r="FD28" i="25" s="1"/>
  <c r="FD29" i="25" s="1"/>
  <c r="FD30" i="25" s="1"/>
  <c r="FD31" i="25" s="1"/>
  <c r="FD32" i="25" s="1"/>
  <c r="FD33" i="25" s="1"/>
  <c r="FD34" i="25" s="1"/>
  <c r="FD35" i="25" s="1"/>
  <c r="FD36" i="25" s="1"/>
  <c r="FD37" i="25" s="1"/>
  <c r="FD38" i="25" s="1"/>
  <c r="FD39" i="25" s="1"/>
  <c r="FD40" i="25" s="1"/>
  <c r="FD41" i="25" s="1"/>
  <c r="FD42" i="25" s="1"/>
  <c r="FD43" i="25" s="1"/>
  <c r="FD44" i="25" s="1"/>
  <c r="FD45" i="25" s="1"/>
  <c r="FD46" i="25" s="1"/>
  <c r="FD47" i="25" s="1"/>
  <c r="FD48" i="25" s="1"/>
  <c r="FD49" i="25" s="1"/>
  <c r="FD50" i="25" s="1"/>
  <c r="FD51" i="25" s="1"/>
  <c r="BT53" i="24"/>
  <c r="BD53" i="24"/>
  <c r="CC53" i="24"/>
  <c r="AC53" i="24"/>
  <c r="DD4" i="24"/>
  <c r="DD5" i="24" s="1"/>
  <c r="DD6" i="24" s="1"/>
  <c r="DD7" i="24" s="1"/>
  <c r="DD8" i="24" s="1"/>
  <c r="DD9" i="24" s="1"/>
  <c r="DD10" i="24" s="1"/>
  <c r="DD11" i="24" s="1"/>
  <c r="DD12" i="24" s="1"/>
  <c r="DD13" i="24" s="1"/>
  <c r="DD14" i="24" s="1"/>
  <c r="DD15" i="24" s="1"/>
  <c r="DD16" i="24" s="1"/>
  <c r="DD17" i="24" s="1"/>
  <c r="DD18" i="24" s="1"/>
  <c r="DD19" i="24" s="1"/>
  <c r="DD20" i="24" s="1"/>
  <c r="DD21" i="24" s="1"/>
  <c r="DD22" i="24" s="1"/>
  <c r="DD23" i="24" s="1"/>
  <c r="DD24" i="24" s="1"/>
  <c r="DD25" i="24" s="1"/>
  <c r="DD26" i="24" s="1"/>
  <c r="DD27" i="24" s="1"/>
  <c r="DD28" i="24" s="1"/>
  <c r="DD29" i="24" s="1"/>
  <c r="DD30" i="24" s="1"/>
  <c r="DD31" i="24" s="1"/>
  <c r="DD32" i="24" s="1"/>
  <c r="DD33" i="24" s="1"/>
  <c r="DD34" i="24" s="1"/>
  <c r="DD35" i="24" s="1"/>
  <c r="DD36" i="24" s="1"/>
  <c r="DD37" i="24" s="1"/>
  <c r="DD38" i="24" s="1"/>
  <c r="DD39" i="24" s="1"/>
  <c r="DD40" i="24" s="1"/>
  <c r="DD41" i="24" s="1"/>
  <c r="DD42" i="24" s="1"/>
  <c r="DD43" i="24" s="1"/>
  <c r="DD44" i="24" s="1"/>
  <c r="DD45" i="24" s="1"/>
  <c r="DD46" i="24" s="1"/>
  <c r="DD47" i="24" s="1"/>
  <c r="DD48" i="24" s="1"/>
  <c r="DD49" i="24" s="1"/>
  <c r="DD50" i="24" s="1"/>
  <c r="DD51" i="24" s="1"/>
  <c r="DB5" i="25"/>
  <c r="DB6" i="25" s="1"/>
  <c r="DB7" i="25" s="1"/>
  <c r="DB8" i="25" s="1"/>
  <c r="DB9" i="25" s="1"/>
  <c r="DB10" i="25" s="1"/>
  <c r="DB11" i="25" s="1"/>
  <c r="DB12" i="25" s="1"/>
  <c r="DB13" i="25" s="1"/>
  <c r="DB14" i="25" s="1"/>
  <c r="DB15" i="25" s="1"/>
  <c r="DB16" i="25" s="1"/>
  <c r="DB17" i="25" s="1"/>
  <c r="DB18" i="25" s="1"/>
  <c r="DB19" i="25" s="1"/>
  <c r="DB20" i="25" s="1"/>
  <c r="DB21" i="25" s="1"/>
  <c r="DB22" i="25" s="1"/>
  <c r="DB23" i="25" s="1"/>
  <c r="DB24" i="25" s="1"/>
  <c r="DB25" i="25" s="1"/>
  <c r="DB26" i="25" s="1"/>
  <c r="DB27" i="25" s="1"/>
  <c r="DB28" i="25" s="1"/>
  <c r="DB29" i="25" s="1"/>
  <c r="DB30" i="25" s="1"/>
  <c r="DB31" i="25" s="1"/>
  <c r="DB32" i="25" s="1"/>
  <c r="DB33" i="25" s="1"/>
  <c r="DB34" i="25" s="1"/>
  <c r="DB35" i="25" s="1"/>
  <c r="DB36" i="25" s="1"/>
  <c r="DB37" i="25" s="1"/>
  <c r="DB38" i="25" s="1"/>
  <c r="DB39" i="25" s="1"/>
  <c r="DB40" i="25" s="1"/>
  <c r="DB41" i="25" s="1"/>
  <c r="DB42" i="25" s="1"/>
  <c r="DB43" i="25" s="1"/>
  <c r="DB44" i="25" s="1"/>
  <c r="DB45" i="25" s="1"/>
  <c r="DB46" i="25" s="1"/>
  <c r="DB47" i="25" s="1"/>
  <c r="DB48" i="25" s="1"/>
  <c r="DB49" i="25" s="1"/>
  <c r="DB50" i="25" s="1"/>
  <c r="DB51" i="25" s="1"/>
  <c r="FG4" i="24"/>
  <c r="FG5" i="24" s="1"/>
  <c r="FG6" i="24" s="1"/>
  <c r="FG7" i="24" s="1"/>
  <c r="FG8" i="24" s="1"/>
  <c r="FG9" i="24" s="1"/>
  <c r="FG10" i="24" s="1"/>
  <c r="FG11" i="24" s="1"/>
  <c r="FG12" i="24" s="1"/>
  <c r="FG13" i="24" s="1"/>
  <c r="FG14" i="24" s="1"/>
  <c r="FG15" i="24" s="1"/>
  <c r="FG16" i="24" s="1"/>
  <c r="FG17" i="24" s="1"/>
  <c r="FG18" i="24" s="1"/>
  <c r="FG19" i="24" s="1"/>
  <c r="FG20" i="24" s="1"/>
  <c r="FG21" i="24" s="1"/>
  <c r="FG22" i="24" s="1"/>
  <c r="FG23" i="24" s="1"/>
  <c r="FG24" i="24" s="1"/>
  <c r="FG25" i="24" s="1"/>
  <c r="FG26" i="24" s="1"/>
  <c r="FG27" i="24" s="1"/>
  <c r="FG28" i="24" s="1"/>
  <c r="FG29" i="24" s="1"/>
  <c r="FG30" i="24" s="1"/>
  <c r="FG31" i="24" s="1"/>
  <c r="FG32" i="24" s="1"/>
  <c r="FG33" i="24" s="1"/>
  <c r="FG34" i="24" s="1"/>
  <c r="FG35" i="24" s="1"/>
  <c r="FG36" i="24" s="1"/>
  <c r="FG37" i="24" s="1"/>
  <c r="FG38" i="24" s="1"/>
  <c r="FG39" i="24" s="1"/>
  <c r="FG40" i="24" s="1"/>
  <c r="FG41" i="24" s="1"/>
  <c r="FG42" i="24" s="1"/>
  <c r="FG43" i="24" s="1"/>
  <c r="FG44" i="24" s="1"/>
  <c r="FG45" i="24" s="1"/>
  <c r="FG46" i="24" s="1"/>
  <c r="FG47" i="24" s="1"/>
  <c r="FG48" i="24" s="1"/>
  <c r="FG49" i="24" s="1"/>
  <c r="FG50" i="24" s="1"/>
  <c r="FG51" i="24" s="1"/>
  <c r="GA5" i="25"/>
  <c r="GA6" i="25" s="1"/>
  <c r="GA7" i="25" s="1"/>
  <c r="GA8" i="25" s="1"/>
  <c r="GA9" i="25" s="1"/>
  <c r="GA10" i="25" s="1"/>
  <c r="GA11" i="25" s="1"/>
  <c r="GA12" i="25" s="1"/>
  <c r="GA13" i="25" s="1"/>
  <c r="GA14" i="25" s="1"/>
  <c r="GA15" i="25" s="1"/>
  <c r="GA16" i="25" s="1"/>
  <c r="GA17" i="25" s="1"/>
  <c r="GA18" i="25" s="1"/>
  <c r="GA19" i="25" s="1"/>
  <c r="GA20" i="25" s="1"/>
  <c r="GA21" i="25" s="1"/>
  <c r="GA22" i="25" s="1"/>
  <c r="GA23" i="25" s="1"/>
  <c r="GA24" i="25" s="1"/>
  <c r="GA25" i="25" s="1"/>
  <c r="GA26" i="25" s="1"/>
  <c r="GA27" i="25" s="1"/>
  <c r="GA28" i="25" s="1"/>
  <c r="GA29" i="25" s="1"/>
  <c r="GA30" i="25" s="1"/>
  <c r="GA31" i="25" s="1"/>
  <c r="GA32" i="25" s="1"/>
  <c r="GA33" i="25" s="1"/>
  <c r="GA34" i="25" s="1"/>
  <c r="GA35" i="25" s="1"/>
  <c r="GA36" i="25" s="1"/>
  <c r="GA37" i="25" s="1"/>
  <c r="GA38" i="25" s="1"/>
  <c r="GA39" i="25" s="1"/>
  <c r="GA40" i="25" s="1"/>
  <c r="GA41" i="25" s="1"/>
  <c r="GA42" i="25" s="1"/>
  <c r="GA43" i="25" s="1"/>
  <c r="GA44" i="25" s="1"/>
  <c r="GA45" i="25" s="1"/>
  <c r="GA46" i="25" s="1"/>
  <c r="GA47" i="25" s="1"/>
  <c r="GA48" i="25" s="1"/>
  <c r="GA49" i="25" s="1"/>
  <c r="GA50" i="25" s="1"/>
  <c r="GA51" i="25" s="1"/>
  <c r="DA3" i="24"/>
  <c r="GX2" i="24"/>
  <c r="BK53" i="24"/>
  <c r="L53" i="24"/>
  <c r="CL53" i="24"/>
  <c r="B53" i="24"/>
  <c r="AY53" i="25"/>
  <c r="AS53" i="25"/>
  <c r="BM53" i="25"/>
  <c r="CT53" i="25"/>
  <c r="CJ53" i="25"/>
  <c r="AK53" i="25"/>
  <c r="BX53" i="25"/>
  <c r="AT53" i="25"/>
  <c r="X53" i="25"/>
  <c r="BC53" i="25"/>
  <c r="B53" i="25"/>
  <c r="DA2" i="25"/>
  <c r="GX2" i="25" s="1"/>
  <c r="I53" i="25"/>
  <c r="T53" i="25"/>
  <c r="CY9" i="25"/>
  <c r="BE53" i="25"/>
  <c r="AH53" i="25"/>
  <c r="L53" i="25"/>
  <c r="BK53" i="25"/>
  <c r="H53" i="25"/>
  <c r="W53" i="25"/>
  <c r="CF53" i="25"/>
  <c r="AL53" i="25"/>
  <c r="Z53" i="25"/>
  <c r="BG53" i="25"/>
  <c r="CW53" i="25"/>
  <c r="CR53" i="25"/>
  <c r="AF53" i="25"/>
  <c r="CP53" i="25"/>
  <c r="AL53" i="24"/>
  <c r="CL53" i="25"/>
  <c r="T58" i="1"/>
  <c r="I59" i="1"/>
  <c r="DA4" i="24" l="1"/>
  <c r="GX3" i="24"/>
  <c r="HD2" i="24"/>
  <c r="HF3" i="24"/>
  <c r="HF4" i="24"/>
  <c r="HD3" i="24"/>
  <c r="DA3" i="25"/>
  <c r="GX3" i="25" s="1"/>
  <c r="HE2" i="25"/>
  <c r="HD2" i="25"/>
  <c r="HF2" i="25"/>
  <c r="HF2" i="24"/>
  <c r="CY10" i="25"/>
  <c r="HE2" i="24"/>
  <c r="HE4" i="24"/>
  <c r="HE3" i="24"/>
  <c r="HD4" i="24"/>
  <c r="I60" i="1"/>
  <c r="T59" i="1"/>
  <c r="GX4" i="24" l="1"/>
  <c r="DA5" i="24"/>
  <c r="CY11" i="25"/>
  <c r="DA4" i="25"/>
  <c r="GX4" i="25" s="1"/>
  <c r="HF3" i="25"/>
  <c r="HE3" i="25"/>
  <c r="HD3" i="25"/>
  <c r="T60" i="1"/>
  <c r="I61" i="1"/>
  <c r="GX5" i="24" l="1"/>
  <c r="HF5" i="24"/>
  <c r="HD5" i="24"/>
  <c r="DA6" i="24"/>
  <c r="HE5" i="24"/>
  <c r="DA5" i="25"/>
  <c r="GX5" i="25" s="1"/>
  <c r="HF4" i="25"/>
  <c r="HE4" i="25"/>
  <c r="HD4" i="25"/>
  <c r="CY12" i="25"/>
  <c r="T61" i="1"/>
  <c r="I62" i="1"/>
  <c r="GX6" i="24" l="1"/>
  <c r="DA7" i="24"/>
  <c r="HE6" i="24"/>
  <c r="HF6" i="24"/>
  <c r="HD6" i="24"/>
  <c r="CY13" i="25"/>
  <c r="DA6" i="25"/>
  <c r="GX6" i="25" s="1"/>
  <c r="HF5" i="25"/>
  <c r="HE5" i="25"/>
  <c r="HD5" i="25"/>
  <c r="T62" i="1"/>
  <c r="I63" i="1"/>
  <c r="GX7" i="24" l="1"/>
  <c r="HE7" i="24"/>
  <c r="HD7" i="24"/>
  <c r="HF7" i="24"/>
  <c r="DA8" i="24"/>
  <c r="CY14" i="25"/>
  <c r="DA7" i="25"/>
  <c r="GX7" i="25" s="1"/>
  <c r="HD6" i="25"/>
  <c r="HE6" i="25"/>
  <c r="HF6" i="25"/>
  <c r="T63" i="1"/>
  <c r="I64" i="1"/>
  <c r="GX8" i="24" l="1"/>
  <c r="HE8" i="24"/>
  <c r="HF8" i="24"/>
  <c r="HD8" i="24"/>
  <c r="DA9" i="24"/>
  <c r="DA8" i="25"/>
  <c r="GX8" i="25" s="1"/>
  <c r="HD7" i="25"/>
  <c r="HF7" i="25"/>
  <c r="HE7" i="25"/>
  <c r="CY15" i="25"/>
  <c r="I65" i="1"/>
  <c r="T64" i="1"/>
  <c r="GX9" i="24" l="1"/>
  <c r="HF9" i="24"/>
  <c r="HD9" i="24"/>
  <c r="HE9" i="24"/>
  <c r="DA10" i="24"/>
  <c r="CY16" i="25"/>
  <c r="DA9" i="25"/>
  <c r="GX9" i="25" s="1"/>
  <c r="HF8" i="25"/>
  <c r="HE8" i="25"/>
  <c r="HD8" i="25"/>
  <c r="I66" i="1"/>
  <c r="T65" i="1"/>
  <c r="GX10" i="24" l="1"/>
  <c r="HD10" i="24"/>
  <c r="HF10" i="24"/>
  <c r="DA11" i="24"/>
  <c r="HE10" i="24"/>
  <c r="DA10" i="25"/>
  <c r="GX10" i="25" s="1"/>
  <c r="HF9" i="25"/>
  <c r="HE9" i="25"/>
  <c r="HD9" i="25"/>
  <c r="CY17" i="25"/>
  <c r="I67" i="1"/>
  <c r="T66" i="1"/>
  <c r="GX11" i="24" l="1"/>
  <c r="HD11" i="24"/>
  <c r="HE11" i="24"/>
  <c r="HF11" i="24"/>
  <c r="DA12" i="24"/>
  <c r="CY18" i="25"/>
  <c r="DA11" i="25"/>
  <c r="GX11" i="25" s="1"/>
  <c r="HF10" i="25"/>
  <c r="HD10" i="25"/>
  <c r="HE10" i="25"/>
  <c r="I68" i="1"/>
  <c r="E12" i="1"/>
  <c r="T67" i="1"/>
  <c r="GX12" i="24" l="1"/>
  <c r="HD12" i="24"/>
  <c r="HE12" i="24"/>
  <c r="DA13" i="24"/>
  <c r="HF12" i="24"/>
  <c r="DA12" i="25"/>
  <c r="GX12" i="25" s="1"/>
  <c r="HD11" i="25"/>
  <c r="HF11" i="25"/>
  <c r="HE11" i="25"/>
  <c r="CY19" i="25"/>
  <c r="I69" i="1"/>
  <c r="T68" i="1"/>
  <c r="GX13" i="24" l="1"/>
  <c r="HF13" i="24"/>
  <c r="HD13" i="24"/>
  <c r="HE13" i="24"/>
  <c r="DA14" i="24"/>
  <c r="CY20" i="25"/>
  <c r="DA13" i="25"/>
  <c r="GX13" i="25" s="1"/>
  <c r="HF12" i="25"/>
  <c r="HE12" i="25"/>
  <c r="HD12" i="25"/>
  <c r="T69" i="1"/>
  <c r="I70" i="1"/>
  <c r="GX14" i="24" l="1"/>
  <c r="HD14" i="24"/>
  <c r="HE14" i="24"/>
  <c r="HF14" i="24"/>
  <c r="DA15" i="24"/>
  <c r="DA14" i="25"/>
  <c r="GX14" i="25" s="1"/>
  <c r="HE13" i="25"/>
  <c r="HF13" i="25"/>
  <c r="HD13" i="25"/>
  <c r="CY21" i="25"/>
  <c r="I71" i="1"/>
  <c r="T70" i="1"/>
  <c r="GX15" i="24" l="1"/>
  <c r="HD15" i="24"/>
  <c r="HF15" i="24"/>
  <c r="HE15" i="24"/>
  <c r="DA16" i="24"/>
  <c r="CY22" i="25"/>
  <c r="DA15" i="25"/>
  <c r="GX15" i="25" s="1"/>
  <c r="HD14" i="25"/>
  <c r="HF14" i="25"/>
  <c r="HE14" i="25"/>
  <c r="I72" i="1"/>
  <c r="T71" i="1"/>
  <c r="GX16" i="24" l="1"/>
  <c r="HE16" i="24"/>
  <c r="HF16" i="24"/>
  <c r="HD16" i="24"/>
  <c r="DA17" i="24"/>
  <c r="CY23" i="25"/>
  <c r="DA16" i="25"/>
  <c r="GX16" i="25" s="1"/>
  <c r="HE15" i="25"/>
  <c r="HF15" i="25"/>
  <c r="HD15" i="25"/>
  <c r="T72" i="1"/>
  <c r="I73" i="1"/>
  <c r="GX17" i="24" l="1"/>
  <c r="HF17" i="24"/>
  <c r="HD17" i="24"/>
  <c r="HE17" i="24"/>
  <c r="DA18" i="24"/>
  <c r="DA17" i="25"/>
  <c r="GX17" i="25" s="1"/>
  <c r="HE16" i="25"/>
  <c r="HD16" i="25"/>
  <c r="HF16" i="25"/>
  <c r="CY24" i="25"/>
  <c r="I74" i="1"/>
  <c r="T73" i="1"/>
  <c r="GX18" i="24" l="1"/>
  <c r="HD18" i="24"/>
  <c r="HE18" i="24"/>
  <c r="HF18" i="24"/>
  <c r="DA19" i="24"/>
  <c r="CY25" i="25"/>
  <c r="DA18" i="25"/>
  <c r="GX18" i="25" s="1"/>
  <c r="HE17" i="25"/>
  <c r="HF17" i="25"/>
  <c r="HD17" i="25"/>
  <c r="T74" i="1"/>
  <c r="I75" i="1"/>
  <c r="GX19" i="24" l="1"/>
  <c r="HD19" i="24"/>
  <c r="HE19" i="24"/>
  <c r="HF19" i="24"/>
  <c r="DA20" i="24"/>
  <c r="CY26" i="25"/>
  <c r="DA19" i="25"/>
  <c r="GX19" i="25" s="1"/>
  <c r="HF18" i="25"/>
  <c r="HE18" i="25"/>
  <c r="HD18" i="25"/>
  <c r="T75" i="1"/>
  <c r="I76" i="1"/>
  <c r="GX20" i="24" l="1"/>
  <c r="HE20" i="24"/>
  <c r="HF20" i="24"/>
  <c r="HD20" i="24"/>
  <c r="DA21" i="24"/>
  <c r="CY27" i="25"/>
  <c r="DA20" i="25"/>
  <c r="GX20" i="25" s="1"/>
  <c r="HF19" i="25"/>
  <c r="HE19" i="25"/>
  <c r="HD19" i="25"/>
  <c r="I77" i="1"/>
  <c r="T76" i="1"/>
  <c r="GX21" i="24" l="1"/>
  <c r="HF21" i="24"/>
  <c r="HD21" i="24"/>
  <c r="HE21" i="24"/>
  <c r="DA22" i="24"/>
  <c r="DA21" i="25"/>
  <c r="GX21" i="25" s="1"/>
  <c r="HD20" i="25"/>
  <c r="HF20" i="25"/>
  <c r="HE20" i="25"/>
  <c r="CY28" i="25"/>
  <c r="I78" i="1"/>
  <c r="T77" i="1"/>
  <c r="GX22" i="24" l="1"/>
  <c r="HD22" i="24"/>
  <c r="HE22" i="24"/>
  <c r="HF22" i="24"/>
  <c r="DA23" i="24"/>
  <c r="CY29" i="25"/>
  <c r="DA22" i="25"/>
  <c r="GX22" i="25" s="1"/>
  <c r="HF21" i="25"/>
  <c r="HE21" i="25"/>
  <c r="HD21" i="25"/>
  <c r="T78" i="1"/>
  <c r="I79" i="1"/>
  <c r="GX23" i="24" l="1"/>
  <c r="HF23" i="24"/>
  <c r="HD23" i="24"/>
  <c r="HE23" i="24"/>
  <c r="DA24" i="24"/>
  <c r="DA23" i="25"/>
  <c r="GX23" i="25" s="1"/>
  <c r="HF22" i="25"/>
  <c r="HD22" i="25"/>
  <c r="HE22" i="25"/>
  <c r="CY30" i="25"/>
  <c r="I80" i="1"/>
  <c r="T79" i="1"/>
  <c r="GX24" i="24" l="1"/>
  <c r="HE24" i="24"/>
  <c r="HF24" i="24"/>
  <c r="HD24" i="24"/>
  <c r="DA25" i="24"/>
  <c r="CY31" i="25"/>
  <c r="DA24" i="25"/>
  <c r="GX24" i="25" s="1"/>
  <c r="HF23" i="25"/>
  <c r="HE23" i="25"/>
  <c r="HD23" i="25"/>
  <c r="T80" i="1"/>
  <c r="I81" i="1"/>
  <c r="GX25" i="24" l="1"/>
  <c r="HD25" i="24"/>
  <c r="HE25" i="24"/>
  <c r="DA26" i="24"/>
  <c r="HF25" i="24"/>
  <c r="DA25" i="25"/>
  <c r="GX25" i="25" s="1"/>
  <c r="HF24" i="25"/>
  <c r="HE24" i="25"/>
  <c r="HD24" i="25"/>
  <c r="CY32" i="25"/>
  <c r="I82" i="1"/>
  <c r="T81" i="1"/>
  <c r="GX26" i="24" l="1"/>
  <c r="HE26" i="24"/>
  <c r="HD26" i="24"/>
  <c r="HF26" i="24"/>
  <c r="DA27" i="24"/>
  <c r="CY33" i="25"/>
  <c r="DA26" i="25"/>
  <c r="GX26" i="25" s="1"/>
  <c r="HE25" i="25"/>
  <c r="HF25" i="25"/>
  <c r="HD25" i="25"/>
  <c r="I83" i="1"/>
  <c r="T82" i="1"/>
  <c r="GX27" i="24" l="1"/>
  <c r="HE27" i="24"/>
  <c r="HF27" i="24"/>
  <c r="HD27" i="24"/>
  <c r="DA28" i="24"/>
  <c r="DA27" i="25"/>
  <c r="GX27" i="25" s="1"/>
  <c r="HD26" i="25"/>
  <c r="HF26" i="25"/>
  <c r="HE26" i="25"/>
  <c r="CY34" i="25"/>
  <c r="T83" i="1"/>
  <c r="I84" i="1"/>
  <c r="GX28" i="24" l="1"/>
  <c r="HD28" i="24"/>
  <c r="HE28" i="24"/>
  <c r="DA29" i="24"/>
  <c r="HF28" i="24"/>
  <c r="CY35" i="25"/>
  <c r="DA28" i="25"/>
  <c r="GX28" i="25" s="1"/>
  <c r="HF27" i="25"/>
  <c r="HD27" i="25"/>
  <c r="HE27" i="25"/>
  <c r="T84" i="1"/>
  <c r="I85" i="1"/>
  <c r="GX29" i="24" l="1"/>
  <c r="HD29" i="24"/>
  <c r="HE29" i="24"/>
  <c r="HF29" i="24"/>
  <c r="DA30" i="24"/>
  <c r="DA29" i="25"/>
  <c r="GX29" i="25" s="1"/>
  <c r="HE28" i="25"/>
  <c r="HD28" i="25"/>
  <c r="HF28" i="25"/>
  <c r="CY36" i="25"/>
  <c r="T85" i="1"/>
  <c r="I86" i="1"/>
  <c r="GX30" i="24" l="1"/>
  <c r="HD30" i="24"/>
  <c r="HE30" i="24"/>
  <c r="HF30" i="24"/>
  <c r="DA31" i="24"/>
  <c r="CY37" i="25"/>
  <c r="DA30" i="25"/>
  <c r="GX30" i="25" s="1"/>
  <c r="HF29" i="25"/>
  <c r="HE29" i="25"/>
  <c r="HD29" i="25"/>
  <c r="I87" i="1"/>
  <c r="T86" i="1"/>
  <c r="GX31" i="24" l="1"/>
  <c r="HF31" i="24"/>
  <c r="HE31" i="24"/>
  <c r="DA32" i="24"/>
  <c r="HD31" i="24"/>
  <c r="DA31" i="25"/>
  <c r="GX31" i="25" s="1"/>
  <c r="HF30" i="25"/>
  <c r="HE30" i="25"/>
  <c r="HD30" i="25"/>
  <c r="CY38" i="25"/>
  <c r="T87" i="1"/>
  <c r="I88" i="1"/>
  <c r="GX32" i="24" l="1"/>
  <c r="HE32" i="24"/>
  <c r="HF32" i="24"/>
  <c r="HD32" i="24"/>
  <c r="DA33" i="24"/>
  <c r="CY39" i="25"/>
  <c r="DA32" i="25"/>
  <c r="GX32" i="25" s="1"/>
  <c r="HF31" i="25"/>
  <c r="HE31" i="25"/>
  <c r="HD31" i="25"/>
  <c r="I89" i="1"/>
  <c r="T88" i="1"/>
  <c r="GX33" i="24" l="1"/>
  <c r="HF33" i="24"/>
  <c r="HD33" i="24"/>
  <c r="DA34" i="24"/>
  <c r="HE33" i="24"/>
  <c r="DA33" i="25"/>
  <c r="GX33" i="25" s="1"/>
  <c r="HF32" i="25"/>
  <c r="HD32" i="25"/>
  <c r="HE32" i="25"/>
  <c r="CY40" i="25"/>
  <c r="T89" i="1"/>
  <c r="I90" i="1"/>
  <c r="GX34" i="24" l="1"/>
  <c r="HD34" i="24"/>
  <c r="HE34" i="24"/>
  <c r="HF34" i="24"/>
  <c r="DA35" i="24"/>
  <c r="DA34" i="25"/>
  <c r="GX34" i="25" s="1"/>
  <c r="HF33" i="25"/>
  <c r="HD33" i="25"/>
  <c r="HE33" i="25"/>
  <c r="CY41" i="25"/>
  <c r="T90" i="1"/>
  <c r="I91" i="1"/>
  <c r="GX35" i="24" l="1"/>
  <c r="HE35" i="24"/>
  <c r="HF35" i="24"/>
  <c r="HD35" i="24"/>
  <c r="DA36" i="24"/>
  <c r="CY42" i="25"/>
  <c r="DA35" i="25"/>
  <c r="GX35" i="25" s="1"/>
  <c r="HF34" i="25"/>
  <c r="HE34" i="25"/>
  <c r="HD34" i="25"/>
  <c r="T91" i="1"/>
  <c r="I92" i="1"/>
  <c r="GX36" i="24" l="1"/>
  <c r="HE36" i="24"/>
  <c r="HF36" i="24"/>
  <c r="HD36" i="24"/>
  <c r="DA37" i="24"/>
  <c r="DA36" i="25"/>
  <c r="GX36" i="25" s="1"/>
  <c r="HF35" i="25"/>
  <c r="HD35" i="25"/>
  <c r="HE35" i="25"/>
  <c r="CY43" i="25"/>
  <c r="T92" i="1"/>
  <c r="I93" i="1"/>
  <c r="GX37" i="24" l="1"/>
  <c r="HE37" i="24"/>
  <c r="HF37" i="24"/>
  <c r="HD37" i="24"/>
  <c r="DA38" i="24"/>
  <c r="CY44" i="25"/>
  <c r="DA37" i="25"/>
  <c r="GX37" i="25" s="1"/>
  <c r="HF36" i="25"/>
  <c r="HD36" i="25"/>
  <c r="HE36" i="25"/>
  <c r="T93" i="1"/>
  <c r="I94" i="1"/>
  <c r="GX38" i="24" l="1"/>
  <c r="HD38" i="24"/>
  <c r="HE38" i="24"/>
  <c r="HF38" i="24"/>
  <c r="DA39" i="24"/>
  <c r="DA38" i="25"/>
  <c r="GX38" i="25" s="1"/>
  <c r="HF37" i="25"/>
  <c r="HE37" i="25"/>
  <c r="HD37" i="25"/>
  <c r="CY45" i="25"/>
  <c r="T94" i="1"/>
  <c r="I95" i="1"/>
  <c r="GX39" i="24" l="1"/>
  <c r="HE39" i="24"/>
  <c r="HD39" i="24"/>
  <c r="HF39" i="24"/>
  <c r="DA40" i="24"/>
  <c r="CY46" i="25"/>
  <c r="DA39" i="25"/>
  <c r="GX39" i="25" s="1"/>
  <c r="HF38" i="25"/>
  <c r="HE38" i="25"/>
  <c r="HD38" i="25"/>
  <c r="I96" i="1"/>
  <c r="T95" i="1"/>
  <c r="GX40" i="24" l="1"/>
  <c r="HE40" i="24"/>
  <c r="HF40" i="24"/>
  <c r="HD40" i="24"/>
  <c r="DA41" i="24"/>
  <c r="DA40" i="25"/>
  <c r="GX40" i="25" s="1"/>
  <c r="HF39" i="25"/>
  <c r="HD39" i="25"/>
  <c r="HE39" i="25"/>
  <c r="CY47" i="25"/>
  <c r="T96" i="1"/>
  <c r="I97" i="1"/>
  <c r="GX41" i="24" l="1"/>
  <c r="HD41" i="24"/>
  <c r="HE41" i="24"/>
  <c r="HF41" i="24"/>
  <c r="DA42" i="24"/>
  <c r="CY48" i="25"/>
  <c r="DA41" i="25"/>
  <c r="GX41" i="25" s="1"/>
  <c r="HF40" i="25"/>
  <c r="HE40" i="25"/>
  <c r="HD40" i="25"/>
  <c r="T97" i="1"/>
  <c r="I98" i="1"/>
  <c r="GX42" i="24" l="1"/>
  <c r="HE42" i="24"/>
  <c r="HD42" i="24"/>
  <c r="HF42" i="24"/>
  <c r="DA43" i="24"/>
  <c r="DA42" i="25"/>
  <c r="GX42" i="25" s="1"/>
  <c r="HF41" i="25"/>
  <c r="HE41" i="25"/>
  <c r="HD41" i="25"/>
  <c r="CY49" i="25"/>
  <c r="I99" i="1"/>
  <c r="T98" i="1"/>
  <c r="GX43" i="24" l="1"/>
  <c r="HD43" i="24"/>
  <c r="HF43" i="24"/>
  <c r="DA44" i="24"/>
  <c r="HE43" i="24"/>
  <c r="CY50" i="25"/>
  <c r="DA43" i="25"/>
  <c r="GX43" i="25" s="1"/>
  <c r="HD42" i="25"/>
  <c r="HF42" i="25"/>
  <c r="HE42" i="25"/>
  <c r="T99" i="1"/>
  <c r="I100" i="1"/>
  <c r="GX44" i="24" l="1"/>
  <c r="HE44" i="24"/>
  <c r="DA45" i="24"/>
  <c r="HF44" i="24"/>
  <c r="HD44" i="24"/>
  <c r="DA44" i="25"/>
  <c r="GX44" i="25" s="1"/>
  <c r="HF43" i="25"/>
  <c r="HE43" i="25"/>
  <c r="HD43" i="25"/>
  <c r="CY51" i="25"/>
  <c r="I101" i="1"/>
  <c r="T100" i="1"/>
  <c r="GX45" i="24" l="1"/>
  <c r="HE45" i="24"/>
  <c r="HF45" i="24"/>
  <c r="HD45" i="24"/>
  <c r="DA46" i="24"/>
  <c r="DA45" i="25"/>
  <c r="GX45" i="25" s="1"/>
  <c r="HE44" i="25"/>
  <c r="HD44" i="25"/>
  <c r="HF44" i="25"/>
  <c r="T101" i="1"/>
  <c r="I102" i="1"/>
  <c r="GX46" i="24" l="1"/>
  <c r="HF46" i="24"/>
  <c r="HD46" i="24"/>
  <c r="DA47" i="24"/>
  <c r="HE46" i="24"/>
  <c r="DA46" i="25"/>
  <c r="GX46" i="25" s="1"/>
  <c r="HF45" i="25"/>
  <c r="HE45" i="25"/>
  <c r="HD45" i="25"/>
  <c r="T102" i="1"/>
  <c r="I103" i="1"/>
  <c r="GX47" i="24" l="1"/>
  <c r="HF47" i="24"/>
  <c r="HE47" i="24"/>
  <c r="HD47" i="24"/>
  <c r="DA48" i="24"/>
  <c r="DA47" i="25"/>
  <c r="GX47" i="25" s="1"/>
  <c r="HF46" i="25"/>
  <c r="HE46" i="25"/>
  <c r="HD46" i="25"/>
  <c r="I104" i="1"/>
  <c r="T103" i="1"/>
  <c r="GX48" i="24" l="1"/>
  <c r="HE48" i="24"/>
  <c r="HF48" i="24"/>
  <c r="HD48" i="24"/>
  <c r="DA49" i="24"/>
  <c r="DA48" i="25"/>
  <c r="GX48" i="25" s="1"/>
  <c r="HE47" i="25"/>
  <c r="HD47" i="25"/>
  <c r="HF47" i="25"/>
  <c r="I105" i="1"/>
  <c r="T104" i="1"/>
  <c r="GX49" i="24" l="1"/>
  <c r="HD49" i="24"/>
  <c r="HE49" i="24"/>
  <c r="HF49" i="24"/>
  <c r="DA50" i="24"/>
  <c r="DA49" i="25"/>
  <c r="GX49" i="25" s="1"/>
  <c r="HF48" i="25"/>
  <c r="HD48" i="25"/>
  <c r="HE48" i="25"/>
  <c r="T105" i="1"/>
  <c r="I106" i="1"/>
  <c r="GX50" i="24" l="1"/>
  <c r="HD50" i="24"/>
  <c r="HE50" i="24"/>
  <c r="HF50" i="24"/>
  <c r="DA51" i="24"/>
  <c r="DA50" i="25"/>
  <c r="GX50" i="25" s="1"/>
  <c r="HF49" i="25"/>
  <c r="HE49" i="25"/>
  <c r="HD49" i="25"/>
  <c r="I107" i="1"/>
  <c r="T106" i="1"/>
  <c r="GX51" i="24" l="1"/>
  <c r="GX53" i="24" s="1"/>
  <c r="C20" i="23" s="1"/>
  <c r="HE51" i="24"/>
  <c r="HD51" i="24"/>
  <c r="HF51" i="24"/>
  <c r="A28" i="23" s="1" a="1"/>
  <c r="A28" i="23" s="1"/>
  <c r="DA51" i="25"/>
  <c r="GX51" i="25" s="1"/>
  <c r="GX53" i="25" s="1"/>
  <c r="C22" i="23" s="1"/>
  <c r="HE50" i="25"/>
  <c r="HF50" i="25"/>
  <c r="HD50" i="25"/>
  <c r="I108" i="1"/>
  <c r="T107" i="1"/>
  <c r="HD51" i="25" l="1"/>
  <c r="HE51" i="25"/>
  <c r="HF51" i="25"/>
  <c r="I109" i="1"/>
  <c r="T108" i="1"/>
  <c r="T109" i="1" l="1"/>
  <c r="I110" i="1"/>
  <c r="I111" i="1" l="1"/>
  <c r="T110" i="1"/>
  <c r="I112" i="1" l="1"/>
  <c r="T111" i="1"/>
  <c r="I113" i="1" l="1"/>
  <c r="T112" i="1"/>
  <c r="I114" i="1" l="1"/>
  <c r="T113" i="1"/>
  <c r="T114" i="1" l="1"/>
  <c r="I115" i="1"/>
  <c r="T115" i="1" l="1"/>
  <c r="I116" i="1"/>
  <c r="I117" i="1" l="1"/>
  <c r="T116" i="1"/>
  <c r="E17" i="1" l="1"/>
  <c r="B125" i="1"/>
  <c r="B127" i="1"/>
  <c r="T117" i="1"/>
  <c r="B126" i="1"/>
  <c r="M127" i="1" l="1"/>
  <c r="L127" i="1"/>
  <c r="Q127" i="1"/>
  <c r="M128" i="1"/>
  <c r="L128" i="1"/>
  <c r="Q128" i="1"/>
  <c r="M126" i="1"/>
  <c r="L126" i="1"/>
  <c r="Q1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D9" authorId="0" shapeId="0" xr:uid="{0F45403B-8BDB-CC45-94E5-12781430B1F7}">
      <text>
        <r>
          <rPr>
            <b/>
            <sz val="9"/>
            <color indexed="8"/>
            <rFont val="Geneva"/>
            <family val="2"/>
            <charset val="1"/>
          </rPr>
          <t>Aswath Damodaran:</t>
        </r>
        <r>
          <rPr>
            <sz val="9"/>
            <color indexed="8"/>
            <rFont val="Geneva"/>
            <family val="2"/>
            <charset val="1"/>
          </rPr>
          <t xml:space="preserve">
</t>
        </r>
        <r>
          <rPr>
            <sz val="9"/>
            <color indexed="8"/>
            <rFont val="Geneva"/>
            <family val="2"/>
            <charset val="1"/>
          </rPr>
          <t xml:space="preserve">ST: Short term (Treasury bill)
</t>
        </r>
        <r>
          <rPr>
            <sz val="9"/>
            <color indexed="8"/>
            <rFont val="Geneva"/>
            <family val="2"/>
            <charset val="1"/>
          </rPr>
          <t>LT: Long term (Treasury bond)</t>
        </r>
      </text>
    </comment>
    <comment ref="D10" authorId="0" shapeId="0" xr:uid="{E3FE7AEE-EB5B-434C-B68C-99AE92A25184}">
      <text>
        <r>
          <rPr>
            <b/>
            <sz val="9"/>
            <color indexed="8"/>
            <rFont val="Geneva"/>
            <family val="2"/>
            <charset val="1"/>
          </rPr>
          <t>Aswath Damodaran:</t>
        </r>
        <r>
          <rPr>
            <sz val="9"/>
            <color indexed="8"/>
            <rFont val="Geneva"/>
            <family val="2"/>
            <charset val="1"/>
          </rPr>
          <t xml:space="preserve">
</t>
        </r>
        <r>
          <rPr>
            <sz val="9"/>
            <color indexed="8"/>
            <rFont val="Geneva"/>
            <family val="2"/>
            <charset val="1"/>
          </rPr>
          <t>The risk premium will be computed from this year to the current year.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<sst xmlns="http://schemas.openxmlformats.org/spreadsheetml/2006/main" count="607" uniqueCount="454">
  <si>
    <t>Annual Returns on Investments in</t>
  </si>
  <si>
    <t>Year</t>
  </si>
  <si>
    <t>Risk Premium</t>
  </si>
  <si>
    <t>Stocks - T.Bills</t>
  </si>
  <si>
    <t>Stocks - T.Bonds</t>
  </si>
  <si>
    <t>What is your riskfree rate?</t>
  </si>
  <si>
    <t>Enter your starting year</t>
  </si>
  <si>
    <t>Estimate of risk premium based on your inputs:</t>
  </si>
  <si>
    <t>Value of stocks in starting year:</t>
  </si>
  <si>
    <t>Value of T.bonds in starting year:</t>
  </si>
  <si>
    <t>LT</t>
    <phoneticPr fontId="11" type="noConversion"/>
  </si>
  <si>
    <t>Stocks - Bonds</t>
    <phoneticPr fontId="11" type="noConversion"/>
  </si>
  <si>
    <t>Standard Error</t>
    <phoneticPr fontId="11" type="noConversion"/>
  </si>
  <si>
    <t>Value of T.Bills in starting year:</t>
    <phoneticPr fontId="11" type="noConversion"/>
  </si>
  <si>
    <t>3-month T.Bill</t>
  </si>
  <si>
    <t>Estimates of risk premiums from 1928, over the last 50 years and over the last 10 years</t>
  </si>
  <si>
    <t>Date updated:</t>
  </si>
  <si>
    <t>Created by:</t>
  </si>
  <si>
    <t>Aswath Damodaran, adamodar@stern.nyu.edu</t>
  </si>
  <si>
    <t>Home Page:</t>
  </si>
  <si>
    <t>http://www.damodaran.com</t>
  </si>
  <si>
    <t>Data website:</t>
  </si>
  <si>
    <t>Companies in each industry:</t>
  </si>
  <si>
    <t>Variable definitions:</t>
  </si>
  <si>
    <t>What is this data?</t>
  </si>
  <si>
    <t>Customized Geometric risk premium estimator</t>
  </si>
  <si>
    <t>S&amp;P 500 (includes dividends)</t>
  </si>
  <si>
    <t>Inflation Rate</t>
  </si>
  <si>
    <t>S&amp;P 500 (includes dividends)2</t>
  </si>
  <si>
    <t>3-month T. Bill (Real)</t>
  </si>
  <si>
    <t>!0-year T.Bonds</t>
  </si>
  <si>
    <t>Stocks - Baa Corp Bond</t>
  </si>
  <si>
    <t>Baa Corp Bonds</t>
  </si>
  <si>
    <t>Arithmetic Average Historical Return</t>
  </si>
  <si>
    <t>Geometric Average Historical Return</t>
  </si>
  <si>
    <t>Value of $100 invested at start of 1928 in</t>
  </si>
  <si>
    <t>Annual Risk Premium</t>
  </si>
  <si>
    <t>Arithmetic Average Annual Real Return</t>
  </si>
  <si>
    <t>Historical returns: Stocks, Bonds &amp; T.Bills with premiums</t>
  </si>
  <si>
    <t xml:space="preserve"> Baa Corporate Bond</t>
  </si>
  <si>
    <t>S&amp;P 500 (includes dividends)3</t>
  </si>
  <si>
    <t>3-month T.Bill4</t>
  </si>
  <si>
    <t>US T. Bond5</t>
  </si>
  <si>
    <t>My objective in this spreadsheet is to compute the annual returns you would have earned on major financial asset classses, on an annual basis, inclusive of both cash payout during the year and the price appreciation.</t>
  </si>
  <si>
    <t>End Game</t>
  </si>
  <si>
    <t>Explanations, by asset class</t>
  </si>
  <si>
    <t>Stocks (Large Cap)</t>
  </si>
  <si>
    <t>US T.Bond</t>
  </si>
  <si>
    <t>I use the 10-year US treasury bond, since it is the only longer maturity bond with an uninterrupted history going back in time. For the data, I use the yields on a constant-maturrity 10-year bond, which can be found on FRED (the Federal Reserve website). I convert the yield into a return, by repricing the bond, issued at par at the prior year's yield, with the new yield, while keeping the maturity constant at 10 years. Thus, if the yield goes from 2.5% to 3%, I first price a 2.5%, 10 year coupon bond with a 3% interest rate, and subtract this number from the par value of the bond which is $1000. That gives me the price change. Adding the 3% coupon for the current year gives me the total return.</t>
  </si>
  <si>
    <t>US T.Bill</t>
  </si>
  <si>
    <t>I use the CPI for all urban consumers, reported on FRED.</t>
  </si>
  <si>
    <t>Real Returns</t>
  </si>
  <si>
    <t>For each of the data series. I computre a real return by removing the inflatin for the year from the nominal return, using (1+ Nominal Rate)/ (1+Inflation Rate) -1.</t>
  </si>
  <si>
    <t>Arithmetic Average Return</t>
  </si>
  <si>
    <t>Geometric Average Return</t>
  </si>
  <si>
    <t>A simple average of the annual returns over the specified period (10 yrs, 50 yrs etc.)</t>
  </si>
  <si>
    <t>The risk premium is the difference in the annualized return on stocks and the annualized return on T.Bonds and on T.Bills over the specified period.</t>
  </si>
  <si>
    <t>A compounded average of the returns over the period. This is most simply computed by dividing the value you would have at the end of the period by the value at the beginning and then computing the compouded average. To compute the cumulated value on both stocks and bonds, I assume that dividends/coupons get reinvested back.</t>
  </si>
  <si>
    <t>FAQ</t>
  </si>
  <si>
    <t>How precise are the annual numbers?</t>
  </si>
  <si>
    <t>Since the S&amp;P and US treasuries are liquid and the underlying data is widely dispersed, the annual numbers are reliable.</t>
  </si>
  <si>
    <t>How good as the averages as predictors?</t>
  </si>
  <si>
    <t>The returns, especially on stocks and bonds, are noisy, with up years and down years. The averages that have been computed come with error, and I have computed standard errros in each of the numbers (especially the risk premiums). Note that even with the longest data series, there is substantial standard error and it becomes explosively large for shorter periods.</t>
  </si>
  <si>
    <t>Why do you keep the maturity of the 10-year bond unchanged, when you compute the return on the bond?</t>
  </si>
  <si>
    <t>Normally, when you buy a 10-year bond and hold it for a year, you will end up with a 9-year bond. While I could compute the return using a 9-year maturity, and the answer will be fairly close to what I report, I want to keep the 10-year rmaturity going for consistency in my risk premium computation. Put simply, think of the return on the 10-year bond as the one you would have if the coupon changed, but the maturity is reset to 10 year at the end of the year.</t>
  </si>
  <si>
    <t>Aaa &amp; Baa Corporate Bond</t>
  </si>
  <si>
    <t>I obtain the yield on a Moody's Aaa and Baa corporate bond yields from FRED and then compute the return on the bond, using the same approach that I use for the US T.Bond.</t>
  </si>
  <si>
    <t>Real Estate</t>
  </si>
  <si>
    <t>Real Estate2</t>
  </si>
  <si>
    <t>Real Estate3</t>
  </si>
  <si>
    <t>I use the S&amp;P 500, which was created in 1957, and then back fill the data using other indices of large market cap companies that existed prior. Each year, I compute the annual return, by first computing the dividend yield by dividing the dividends paid and the price change in the index, by the level of the index at the start of the year. Thus, if the index starts at 1000, and increases to 1080, while delivering a dividend of 5, my annual return = (1080-1000+5)/1000 = 8.5%</t>
  </si>
  <si>
    <t xml:space="preserve"> Baa Corporate Bond2</t>
  </si>
  <si>
    <t>Gold</t>
  </si>
  <si>
    <t>Gold2</t>
  </si>
  <si>
    <t xml:space="preserve">Year-end prices for gold, per oz, </t>
  </si>
  <si>
    <t>Gold*</t>
  </si>
  <si>
    <t>Note</t>
  </si>
  <si>
    <t>Annual Real Returns</t>
  </si>
  <si>
    <t>* Prior to 1971, gold prices were fixed and with the gold standard in place, and were mostly stable.</t>
  </si>
  <si>
    <t>https://pages.stern.nyu.edu/~adamodar/New_Home_Page/data.html</t>
  </si>
  <si>
    <t>https://pages.stern.nyu.edu/~adamodar/pc/datasets/indname.xls</t>
  </si>
  <si>
    <t>https://pages.stern.nyu.edu/~adamodar/New_Home_Page/datafile/variable.htm</t>
  </si>
  <si>
    <t>I use the 3-month US treasury bill, again choosing it over the 6-month because of longevity. While I used to report the end of the year number as the return on the T.Bill for the year, I have replaced that with the average T.Bill rate over the year, since that is a better representation.</t>
  </si>
  <si>
    <t>Value of Real estate in starting year</t>
  </si>
  <si>
    <t>Value of Gold in starting year</t>
  </si>
  <si>
    <t>US T. Bond (10-year)</t>
  </si>
  <si>
    <t>In US Dollars</t>
  </si>
  <si>
    <t>Standard Error</t>
  </si>
  <si>
    <t>Standard Deviation</t>
  </si>
  <si>
    <t>Value of $100 invested at start of 1928 in real terms</t>
  </si>
  <si>
    <t>Real Risk Premium</t>
  </si>
  <si>
    <t>Stocks minus T. Bills</t>
  </si>
  <si>
    <t>Stocks minus T.Bonds</t>
  </si>
  <si>
    <t>US Small cap (bottom decile)</t>
  </si>
  <si>
    <t>Stocks - Bills</t>
  </si>
  <si>
    <t>US Small cap (bottom decile)22</t>
  </si>
  <si>
    <t>Historical ERP</t>
  </si>
  <si>
    <t>Stocks (Small Cap)</t>
  </si>
  <si>
    <t>I use the bottom decile of US stocks, as estimated and reported by Ken French on his amazing data page, for annual returns every year from 1928 to the most recent year.</t>
  </si>
  <si>
    <t xml:space="preserve">I use the home price data that Robert Shiller reports on his webpage to compute a real estate return on residential real estate. That series has now morphed into the Case-Shiller Index. Note that this return is just price appreciation, and will understate the returns on real estate by the cash flow return (from rental income) each year. </t>
  </si>
  <si>
    <t>US Small cap (bottom decile) Cum Value</t>
  </si>
  <si>
    <t>1928-2024</t>
  </si>
  <si>
    <t>1975-2024</t>
  </si>
  <si>
    <t>2015-2024</t>
  </si>
  <si>
    <t>S&amp;P 500 minus Lowest Decile</t>
  </si>
  <si>
    <t>Equity Risk Premium (Geometric)</t>
  </si>
  <si>
    <t>Equity Risk Premium (Arithmetic)</t>
  </si>
  <si>
    <t>Small Cap Premium (Arithmetic)</t>
  </si>
  <si>
    <t>Small Cap Premium (Geometric)</t>
  </si>
  <si>
    <t>Small Cap Premium (S&amp;P 500 minus Bottom Decile)</t>
  </si>
  <si>
    <t>Average Return</t>
  </si>
  <si>
    <t>Sharpe ratio</t>
  </si>
  <si>
    <t>Blended Equity</t>
  </si>
  <si>
    <t>Weights</t>
  </si>
  <si>
    <t>Correlation</t>
  </si>
  <si>
    <t>On what time periods should I focus?</t>
  </si>
  <si>
    <t>How reliant do I want to be on optimal weights</t>
  </si>
  <si>
    <t>Any thoughts/concerns about higher volatility</t>
  </si>
  <si>
    <t>25 years</t>
  </si>
  <si>
    <t>80/20</t>
  </si>
  <si>
    <t>Volatility a little lower</t>
  </si>
  <si>
    <t>Blend Returns</t>
  </si>
  <si>
    <t>Blend StDev</t>
  </si>
  <si>
    <t>EQUITY</t>
  </si>
  <si>
    <t>BOND</t>
  </si>
  <si>
    <t>Age</t>
  </si>
  <si>
    <t>Age:</t>
  </si>
  <si>
    <t>Assets:</t>
  </si>
  <si>
    <t>Asset Allocations:</t>
  </si>
  <si>
    <t>Equity:</t>
  </si>
  <si>
    <t>Fixed Income:</t>
  </si>
  <si>
    <t>Distribution:</t>
  </si>
  <si>
    <t>Inflation Estimate:</t>
  </si>
  <si>
    <t>Tax Rate:</t>
  </si>
  <si>
    <t>Equity Simulation 1</t>
  </si>
  <si>
    <t>Equity Simulation 2</t>
  </si>
  <si>
    <t>Equity Simulation 3</t>
  </si>
  <si>
    <t>Equity Simulation 4</t>
  </si>
  <si>
    <t>Equity Simulation 5</t>
  </si>
  <si>
    <t>Equity Simulation 6</t>
  </si>
  <si>
    <t>Equity Simulation 7</t>
  </si>
  <si>
    <t>Equity Simulation 8</t>
  </si>
  <si>
    <t>Equity Simulation 9</t>
  </si>
  <si>
    <t>Equity Simulation 10</t>
  </si>
  <si>
    <t>Equity Simulation 11</t>
  </si>
  <si>
    <t>Equity Simulation 12</t>
  </si>
  <si>
    <t>Equity Simulation 13</t>
  </si>
  <si>
    <t>Equity Simulation 14</t>
  </si>
  <si>
    <t>Equity Simulation 15</t>
  </si>
  <si>
    <t>Equity Simulation 16</t>
  </si>
  <si>
    <t>Equity Simulation 17</t>
  </si>
  <si>
    <t>Equity Simulation 18</t>
  </si>
  <si>
    <t>Equity Simulation 19</t>
  </si>
  <si>
    <t>Equity Simulation 20</t>
  </si>
  <si>
    <t>Equity Simulation 21</t>
  </si>
  <si>
    <t>Equity Simulation 22</t>
  </si>
  <si>
    <t>Equity Simulation 23</t>
  </si>
  <si>
    <t>Equity Simulation 24</t>
  </si>
  <si>
    <t>Equity Simulation 25</t>
  </si>
  <si>
    <t>Equity Simulation 26</t>
  </si>
  <si>
    <t>Equity Simulation 27</t>
  </si>
  <si>
    <t>Equity Simulation 28</t>
  </si>
  <si>
    <t>Equity Simulation 29</t>
  </si>
  <si>
    <t>Equity Simulation 30</t>
  </si>
  <si>
    <t>Equity Simulation 31</t>
  </si>
  <si>
    <t>Equity Simulation 32</t>
  </si>
  <si>
    <t>Equity Simulation 33</t>
  </si>
  <si>
    <t>Equity Simulation 34</t>
  </si>
  <si>
    <t>Equity Simulation 35</t>
  </si>
  <si>
    <t>Equity Simulation 36</t>
  </si>
  <si>
    <t>Equity Simulation 37</t>
  </si>
  <si>
    <t>Equity Simulation 38</t>
  </si>
  <si>
    <t>Equity Simulation 39</t>
  </si>
  <si>
    <t>Equity Simulation 40</t>
  </si>
  <si>
    <t>Equity Simulation 41</t>
  </si>
  <si>
    <t>Equity Simulation 42</t>
  </si>
  <si>
    <t>Equity Simulation 43</t>
  </si>
  <si>
    <t>Equity Simulation 44</t>
  </si>
  <si>
    <t>Equity Simulation 45</t>
  </si>
  <si>
    <t>Equity Simulation 46</t>
  </si>
  <si>
    <t>Equity Simulation 47</t>
  </si>
  <si>
    <t>Equity Simulation 48</t>
  </si>
  <si>
    <t>Equity Simulation 49</t>
  </si>
  <si>
    <t>Equity Simulation 50</t>
  </si>
  <si>
    <t>Equity Simulation 51</t>
  </si>
  <si>
    <t>Equity Simulation 52</t>
  </si>
  <si>
    <t>Equity Simulation 53</t>
  </si>
  <si>
    <t>Equity Simulation 54</t>
  </si>
  <si>
    <t>Equity Simulation 55</t>
  </si>
  <si>
    <t>Equity Simulation 56</t>
  </si>
  <si>
    <t>Equity Simulation 57</t>
  </si>
  <si>
    <t>Equity Simulation 58</t>
  </si>
  <si>
    <t>Equity Simulation 59</t>
  </si>
  <si>
    <t>Equity Simulation 60</t>
  </si>
  <si>
    <t>Equity Simulation 61</t>
  </si>
  <si>
    <t>Equity Simulation 62</t>
  </si>
  <si>
    <t>Equity Simulation 63</t>
  </si>
  <si>
    <t>Equity Simulation 64</t>
  </si>
  <si>
    <t>Equity Simulation 65</t>
  </si>
  <si>
    <t>Equity Simulation 66</t>
  </si>
  <si>
    <t>Equity Simulation 67</t>
  </si>
  <si>
    <t>Equity Simulation 68</t>
  </si>
  <si>
    <t>Equity Simulation 69</t>
  </si>
  <si>
    <t>Equity Simulation 70</t>
  </si>
  <si>
    <t>Equity Simulation 71</t>
  </si>
  <si>
    <t>Equity Simulation 72</t>
  </si>
  <si>
    <t>Equity Simulation 73</t>
  </si>
  <si>
    <t>Equity Simulation 74</t>
  </si>
  <si>
    <t>Equity Simulation 75</t>
  </si>
  <si>
    <t>Equity Simulation 76</t>
  </si>
  <si>
    <t>Equity Simulation 77</t>
  </si>
  <si>
    <t>Equity Simulation 78</t>
  </si>
  <si>
    <t>Equity Simulation 79</t>
  </si>
  <si>
    <t>Equity Simulation 80</t>
  </si>
  <si>
    <t>Equity Simulation 81</t>
  </si>
  <si>
    <t>Equity Simulation 82</t>
  </si>
  <si>
    <t>Equity Simulation 83</t>
  </si>
  <si>
    <t>Equity Simulation 84</t>
  </si>
  <si>
    <t>Equity Simulation 85</t>
  </si>
  <si>
    <t>Equity Simulation 86</t>
  </si>
  <si>
    <t>Equity Simulation 87</t>
  </si>
  <si>
    <t>Equity Simulation 88</t>
  </si>
  <si>
    <t>Equity Simulation 89</t>
  </si>
  <si>
    <t>Equity Simulation 90</t>
  </si>
  <si>
    <t>Equity Simulation 91</t>
  </si>
  <si>
    <t>Equity Simulation 92</t>
  </si>
  <si>
    <t>Equity Simulation 93</t>
  </si>
  <si>
    <t>Equity Simulation 94</t>
  </si>
  <si>
    <t>Equity Simulation 95</t>
  </si>
  <si>
    <t>Equity Simulation 96</t>
  </si>
  <si>
    <t>Equity Simulation 97</t>
  </si>
  <si>
    <t>Equity Simulation 98</t>
  </si>
  <si>
    <t>Equity Simulation 99</t>
  </si>
  <si>
    <t>Equity Simulation 100</t>
  </si>
  <si>
    <t>Correl with equities</t>
  </si>
  <si>
    <t>Treasury Simulation 1</t>
  </si>
  <si>
    <t>Treasury Simulation 2</t>
  </si>
  <si>
    <t>Treasury Simulation 3</t>
  </si>
  <si>
    <t>Treasury Simulation 4</t>
  </si>
  <si>
    <t>Treasury Simulation 5</t>
  </si>
  <si>
    <t>Treasury Simulation 6</t>
  </si>
  <si>
    <t>Treasury Simulation 7</t>
  </si>
  <si>
    <t>Treasury Simulation 8</t>
  </si>
  <si>
    <t>Treasury Simulation 9</t>
  </si>
  <si>
    <t>Treasury Simulation 10</t>
  </si>
  <si>
    <t>Treasury Simulation 11</t>
  </si>
  <si>
    <t>Treasury Simulation 12</t>
  </si>
  <si>
    <t>Treasury Simulation 13</t>
  </si>
  <si>
    <t>Treasury Simulation 14</t>
  </si>
  <si>
    <t>Treasury Simulation 15</t>
  </si>
  <si>
    <t>Treasury Simulation 16</t>
  </si>
  <si>
    <t>Treasury Simulation 17</t>
  </si>
  <si>
    <t>Treasury Simulation 18</t>
  </si>
  <si>
    <t>Treasury Simulation 19</t>
  </si>
  <si>
    <t>Treasury Simulation 20</t>
  </si>
  <si>
    <t>Treasury Simulation 21</t>
  </si>
  <si>
    <t>Treasury Simulation 22</t>
  </si>
  <si>
    <t>Treasury Simulation 23</t>
  </si>
  <si>
    <t>Treasury Simulation 24</t>
  </si>
  <si>
    <t>Treasury Simulation 25</t>
  </si>
  <si>
    <t>Treasury Simulation 26</t>
  </si>
  <si>
    <t>Treasury Simulation 27</t>
  </si>
  <si>
    <t>Treasury Simulation 28</t>
  </si>
  <si>
    <t>Treasury Simulation 29</t>
  </si>
  <si>
    <t>Treasury Simulation 30</t>
  </si>
  <si>
    <t>Treasury Simulation 31</t>
  </si>
  <si>
    <t>Treasury Simulation 32</t>
  </si>
  <si>
    <t>Treasury Simulation 33</t>
  </si>
  <si>
    <t>Treasury Simulation 34</t>
  </si>
  <si>
    <t>Treasury Simulation 35</t>
  </si>
  <si>
    <t>Treasury Simulation 36</t>
  </si>
  <si>
    <t>Treasury Simulation 37</t>
  </si>
  <si>
    <t>Treasury Simulation 38</t>
  </si>
  <si>
    <t>Treasury Simulation 39</t>
  </si>
  <si>
    <t>Treasury Simulation 40</t>
  </si>
  <si>
    <t>Treasury Simulation 41</t>
  </si>
  <si>
    <t>Treasury Simulation 42</t>
  </si>
  <si>
    <t>Treasury Simulation 43</t>
  </si>
  <si>
    <t>Treasury Simulation 44</t>
  </si>
  <si>
    <t>Treasury Simulation 45</t>
  </si>
  <si>
    <t>Treasury Simulation 46</t>
  </si>
  <si>
    <t>Treasury Simulation 47</t>
  </si>
  <si>
    <t>Treasury Simulation 48</t>
  </si>
  <si>
    <t>Treasury Simulation 49</t>
  </si>
  <si>
    <t>Treasury Simulation 50</t>
  </si>
  <si>
    <t>Treasury Simulation 51</t>
  </si>
  <si>
    <t>Treasury Simulation 52</t>
  </si>
  <si>
    <t>Treasury Simulation 53</t>
  </si>
  <si>
    <t>Treasury Simulation 54</t>
  </si>
  <si>
    <t>Treasury Simulation 55</t>
  </si>
  <si>
    <t>Treasury Simulation 56</t>
  </si>
  <si>
    <t>Treasury Simulation 57</t>
  </si>
  <si>
    <t>Treasury Simulation 58</t>
  </si>
  <si>
    <t>Treasury Simulation 59</t>
  </si>
  <si>
    <t>Treasury Simulation 60</t>
  </si>
  <si>
    <t>Treasury Simulation 61</t>
  </si>
  <si>
    <t>Treasury Simulation 62</t>
  </si>
  <si>
    <t>Treasury Simulation 63</t>
  </si>
  <si>
    <t>Treasury Simulation 64</t>
  </si>
  <si>
    <t>Treasury Simulation 65</t>
  </si>
  <si>
    <t>Treasury Simulation 66</t>
  </si>
  <si>
    <t>Treasury Simulation 67</t>
  </si>
  <si>
    <t>Treasury Simulation 68</t>
  </si>
  <si>
    <t>Treasury Simulation 69</t>
  </si>
  <si>
    <t>Treasury Simulation 70</t>
  </si>
  <si>
    <t>Treasury Simulation 71</t>
  </si>
  <si>
    <t>Treasury Simulation 72</t>
  </si>
  <si>
    <t>Treasury Simulation 73</t>
  </si>
  <si>
    <t>Treasury Simulation 74</t>
  </si>
  <si>
    <t>Treasury Simulation 75</t>
  </si>
  <si>
    <t>Treasury Simulation 76</t>
  </si>
  <si>
    <t>Treasury Simulation 77</t>
  </si>
  <si>
    <t>Treasury Simulation 78</t>
  </si>
  <si>
    <t>Treasury Simulation 79</t>
  </si>
  <si>
    <t>Treasury Simulation 80</t>
  </si>
  <si>
    <t>Treasury Simulation 81</t>
  </si>
  <si>
    <t>Treasury Simulation 82</t>
  </si>
  <si>
    <t>Treasury Simulation 83</t>
  </si>
  <si>
    <t>Treasury Simulation 84</t>
  </si>
  <si>
    <t>Treasury Simulation 85</t>
  </si>
  <si>
    <t>Treasury Simulation 86</t>
  </si>
  <si>
    <t>Treasury Simulation 87</t>
  </si>
  <si>
    <t>Treasury Simulation 88</t>
  </si>
  <si>
    <t>Treasury Simulation 89</t>
  </si>
  <si>
    <t>Treasury Simulation 90</t>
  </si>
  <si>
    <t>Treasury Simulation 91</t>
  </si>
  <si>
    <t>Treasury Simulation 92</t>
  </si>
  <si>
    <t>Treasury Simulation 93</t>
  </si>
  <si>
    <t>Treasury Simulation 94</t>
  </si>
  <si>
    <t>Treasury Simulation 95</t>
  </si>
  <si>
    <t>Treasury Simulation 96</t>
  </si>
  <si>
    <t>Treasury Simulation 97</t>
  </si>
  <si>
    <t>Treasury Simulation 98</t>
  </si>
  <si>
    <t>Treasury Simulation 99</t>
  </si>
  <si>
    <t>Treasury Simulation 100</t>
  </si>
  <si>
    <t>Portfolio Return 1</t>
  </si>
  <si>
    <t>Portfolio Return 2</t>
  </si>
  <si>
    <t>Portfolio Return 3</t>
  </si>
  <si>
    <t>Portfolio Return 4</t>
  </si>
  <si>
    <t>Portfolio Return 5</t>
  </si>
  <si>
    <t>Portfolio Return 6</t>
  </si>
  <si>
    <t>Portfolio Return 7</t>
  </si>
  <si>
    <t>Portfolio Return 8</t>
  </si>
  <si>
    <t>Portfolio Return 9</t>
  </si>
  <si>
    <t>Portfolio Return 10</t>
  </si>
  <si>
    <t>Portfolio Return 11</t>
  </si>
  <si>
    <t>Portfolio Return 12</t>
  </si>
  <si>
    <t>Portfolio Return 13</t>
  </si>
  <si>
    <t>Portfolio Return 14</t>
  </si>
  <si>
    <t>Portfolio Return 15</t>
  </si>
  <si>
    <t>Portfolio Return 16</t>
  </si>
  <si>
    <t>Portfolio Return 17</t>
  </si>
  <si>
    <t>Portfolio Return 18</t>
  </si>
  <si>
    <t>Portfolio Return 19</t>
  </si>
  <si>
    <t>Portfolio Return 20</t>
  </si>
  <si>
    <t>Portfolio Return 21</t>
  </si>
  <si>
    <t>Portfolio Return 22</t>
  </si>
  <si>
    <t>Portfolio Return 23</t>
  </si>
  <si>
    <t>Portfolio Return 24</t>
  </si>
  <si>
    <t>Portfolio Return 25</t>
  </si>
  <si>
    <t>Portfolio Return 26</t>
  </si>
  <si>
    <t>Portfolio Return 27</t>
  </si>
  <si>
    <t>Portfolio Return 28</t>
  </si>
  <si>
    <t>Portfolio Return 29</t>
  </si>
  <si>
    <t>Portfolio Return 30</t>
  </si>
  <si>
    <t>Portfolio Return 31</t>
  </si>
  <si>
    <t>Portfolio Return 32</t>
  </si>
  <si>
    <t>Portfolio Return 33</t>
  </si>
  <si>
    <t>Portfolio Return 34</t>
  </si>
  <si>
    <t>Portfolio Return 35</t>
  </si>
  <si>
    <t>Portfolio Return 36</t>
  </si>
  <si>
    <t>Portfolio Return 37</t>
  </si>
  <si>
    <t>Portfolio Return 38</t>
  </si>
  <si>
    <t>Portfolio Return 39</t>
  </si>
  <si>
    <t>Portfolio Return 40</t>
  </si>
  <si>
    <t>Portfolio Return 41</t>
  </si>
  <si>
    <t>Portfolio Return 42</t>
  </si>
  <si>
    <t>Portfolio Return 43</t>
  </si>
  <si>
    <t>Portfolio Return 44</t>
  </si>
  <si>
    <t>Portfolio Return 45</t>
  </si>
  <si>
    <t>Portfolio Return 46</t>
  </si>
  <si>
    <t>Portfolio Return 47</t>
  </si>
  <si>
    <t>Portfolio Return 48</t>
  </si>
  <si>
    <t>Portfolio Return 49</t>
  </si>
  <si>
    <t>Portfolio Return 50</t>
  </si>
  <si>
    <t>Portfolio Return 51</t>
  </si>
  <si>
    <t>Portfolio Return 52</t>
  </si>
  <si>
    <t>Portfolio Return 53</t>
  </si>
  <si>
    <t>Portfolio Return 54</t>
  </si>
  <si>
    <t>Portfolio Return 55</t>
  </si>
  <si>
    <t>Portfolio Return 56</t>
  </si>
  <si>
    <t>Portfolio Return 57</t>
  </si>
  <si>
    <t>Portfolio Return 58</t>
  </si>
  <si>
    <t>Portfolio Return 59</t>
  </si>
  <si>
    <t>Portfolio Return 60</t>
  </si>
  <si>
    <t>Portfolio Return 61</t>
  </si>
  <si>
    <t>Portfolio Return 62</t>
  </si>
  <si>
    <t>Portfolio Return 63</t>
  </si>
  <si>
    <t>Portfolio Return 64</t>
  </si>
  <si>
    <t>Portfolio Return 65</t>
  </si>
  <si>
    <t>Portfolio Return 66</t>
  </si>
  <si>
    <t>Portfolio Return 67</t>
  </si>
  <si>
    <t>Portfolio Return 68</t>
  </si>
  <si>
    <t>Portfolio Return 69</t>
  </si>
  <si>
    <t>Portfolio Return 70</t>
  </si>
  <si>
    <t>Portfolio Return 71</t>
  </si>
  <si>
    <t>Portfolio Return 72</t>
  </si>
  <si>
    <t>Portfolio Return 73</t>
  </si>
  <si>
    <t>Portfolio Return 74</t>
  </si>
  <si>
    <t>Portfolio Return 75</t>
  </si>
  <si>
    <t>Portfolio Return 76</t>
  </si>
  <si>
    <t>Portfolio Return 77</t>
  </si>
  <si>
    <t>Portfolio Return 78</t>
  </si>
  <si>
    <t>Portfolio Return 79</t>
  </si>
  <si>
    <t>Portfolio Return 80</t>
  </si>
  <si>
    <t>Portfolio Return 81</t>
  </si>
  <si>
    <t>Portfolio Return 82</t>
  </si>
  <si>
    <t>Portfolio Return 83</t>
  </si>
  <si>
    <t>Portfolio Return 84</t>
  </si>
  <si>
    <t>Portfolio Return 85</t>
  </si>
  <si>
    <t>Portfolio Return 86</t>
  </si>
  <si>
    <t>Portfolio Return 87</t>
  </si>
  <si>
    <t>Portfolio Return 88</t>
  </si>
  <si>
    <t>Portfolio Return 89</t>
  </si>
  <si>
    <t>Portfolio Return 90</t>
  </si>
  <si>
    <t>Portfolio Return 91</t>
  </si>
  <si>
    <t>Portfolio Return 92</t>
  </si>
  <si>
    <t>Portfolio Return 93</t>
  </si>
  <si>
    <t>Portfolio Return 94</t>
  </si>
  <si>
    <t>Portfolio Return 95</t>
  </si>
  <si>
    <t>Portfolio Return 96</t>
  </si>
  <si>
    <t>Portfolio Return 97</t>
  </si>
  <si>
    <t>Portfolio Return 98</t>
  </si>
  <si>
    <t>Portfolio Return 99</t>
  </si>
  <si>
    <t>Portfolio Return 100</t>
  </si>
  <si>
    <t>Averages</t>
  </si>
  <si>
    <t>Confidence Level:</t>
  </si>
  <si>
    <t>Living Expenses:</t>
  </si>
  <si>
    <t>Income ( Social Security):</t>
  </si>
  <si>
    <t>Years</t>
  </si>
  <si>
    <t>Table with Below Average, Average and Above Average Results</t>
  </si>
  <si>
    <t>(Age 100)</t>
  </si>
  <si>
    <t>Success</t>
  </si>
  <si>
    <t>Cash Holdings: (Money Market, T Bills)</t>
  </si>
  <si>
    <t>Risk Free Rate:</t>
  </si>
  <si>
    <t>Treasury Return</t>
  </si>
  <si>
    <t>Treasury StDev</t>
  </si>
  <si>
    <t>Macro 1</t>
  </si>
  <si>
    <t>Given assets, what is the maximum distribution with 95% confidence</t>
  </si>
  <si>
    <t>Macro 2</t>
  </si>
  <si>
    <t>Given distribution, what is asset value where we have 95% confidence</t>
  </si>
  <si>
    <t>Stress Test -- Macro 1 OR Macro 2</t>
  </si>
  <si>
    <t>Confidence Level (Stressed):</t>
  </si>
  <si>
    <t>10% loss in first two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</si>
</sst>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41">
    <font>
      <sz val="10"/>
      <name val="Geneva"/>
      <family val="2"/>
      <charset val="1"/>
    </font>
    <font>
      <sz val="12"/>
      <name val="Aptos Narrow"/>
    </font>
    <font>
      <sz val="12"/>
      <name val="Aptos Narrow"/>
    </font>
    <font>
      <b/>
      <sz val="10"/>
      <name val="Geneva"/>
      <family val="2"/>
      <charset val="1"/>
    </font>
    <font>
      <sz val="10"/>
      <name val="Geneva"/>
      <family val="2"/>
      <charset val="1"/>
    </font>
    <font>
      <sz val="12"/>
      <name val="Times"/>
      <family val="1"/>
    </font>
    <font>
      <b/>
      <sz val="12"/>
      <name val="Times"/>
      <family val="1"/>
    </font>
    <font>
      <b/>
      <i/>
      <sz val="12"/>
      <name val="Times"/>
      <family val="1"/>
    </font>
    <font>
      <u/>
      <sz val="10"/>
      <color indexed="12"/>
      <name val="Geneva"/>
      <family val="2"/>
      <charset val="1"/>
    </font>
    <font>
      <sz val="14"/>
      <color indexed="10"/>
      <name val="Times"/>
      <family val="1"/>
    </font>
    <font>
      <sz val="14"/>
      <color indexed="10"/>
      <name val="Geneva"/>
      <family val="2"/>
      <charset val="1"/>
    </font>
    <font>
      <sz val="8"/>
      <name val="Verdana"/>
      <family val="2"/>
    </font>
    <font>
      <sz val="12"/>
      <name val="Geneva"/>
      <family val="2"/>
      <charset val="1"/>
    </font>
    <font>
      <sz val="12"/>
      <name val="Calibri"/>
      <family val="2"/>
    </font>
    <font>
      <b/>
      <sz val="12"/>
      <name val="Geneva"/>
      <family val="2"/>
      <charset val="1"/>
    </font>
    <font>
      <b/>
      <sz val="14"/>
      <name val="Geneva"/>
      <family val="2"/>
      <charset val="1"/>
    </font>
    <font>
      <sz val="14"/>
      <name val="Geneva"/>
      <family val="2"/>
      <charset val="1"/>
    </font>
    <font>
      <b/>
      <sz val="9"/>
      <color indexed="8"/>
      <name val="Geneva"/>
      <family val="2"/>
      <charset val="1"/>
    </font>
    <font>
      <sz val="9"/>
      <color indexed="8"/>
      <name val="Geneva"/>
      <family val="2"/>
      <charset val="1"/>
    </font>
    <font>
      <b/>
      <sz val="12"/>
      <name val="Times"/>
    </font>
    <font>
      <b/>
      <i/>
      <sz val="12"/>
      <name val="Times"/>
    </font>
    <font>
      <sz val="12"/>
      <color theme="0"/>
      <name val="Calibri"/>
      <family val="2"/>
      <scheme val="minor"/>
    </font>
    <font>
      <b/>
      <sz val="12"/>
      <color theme="1"/>
      <name val="Calibri"/>
      <family val="2"/>
      <scheme val="minor"/>
    </font>
    <font>
      <sz val="12"/>
      <name val="Calibri"/>
      <family val="2"/>
      <scheme val="minor"/>
    </font>
    <font>
      <b/>
      <sz val="12"/>
      <color rgb="FF000000"/>
      <name val="Calibri"/>
      <family val="2"/>
    </font>
    <font>
      <i/>
      <sz val="12"/>
      <name val="Calibri"/>
      <family val="2"/>
      <scheme val="minor"/>
    </font>
    <font>
      <sz val="12"/>
      <color rgb="FFFF0000"/>
      <name val="Geneva"/>
      <family val="2"/>
      <charset val="1"/>
    </font>
    <font>
      <i/>
      <sz val="12"/>
      <color theme="0"/>
      <name val="Calibri"/>
      <family val="2"/>
      <scheme val="minor"/>
    </font>
    <font>
      <sz val="10"/>
      <color theme="0"/>
      <name val="Geneva"/>
      <family val="2"/>
      <charset val="1"/>
    </font>
    <font>
      <sz val="12"/>
      <color theme="0"/>
      <name val="Times"/>
      <family val="1"/>
    </font>
    <font>
      <i/>
      <sz val="12"/>
      <color theme="1"/>
      <name val="Calibri"/>
      <family val="2"/>
      <scheme val="minor"/>
    </font>
    <font>
      <sz val="12"/>
      <color rgb="FF000000"/>
      <name val="Calibri"/>
      <family val="2"/>
    </font>
    <font>
      <i/>
      <sz val="12"/>
      <color rgb="FF000000"/>
      <name val="Calibri"/>
      <family val="2"/>
    </font>
    <font>
      <b/>
      <sz val="12"/>
      <color theme="0"/>
      <name val="Times"/>
      <family val="1"/>
    </font>
    <font>
      <i/>
      <sz val="12"/>
      <color theme="1"/>
      <name val="Times"/>
      <family val="1"/>
    </font>
    <font>
      <b/>
      <i/>
      <sz val="12"/>
      <color theme="1"/>
      <name val="Aptos Narrow"/>
    </font>
    <font>
      <sz val="12"/>
      <color theme="1"/>
      <name val="Aptos Narrow"/>
    </font>
    <font>
      <sz val="8"/>
      <name val="Geneva"/>
      <family val="2"/>
      <charset val="1"/>
    </font>
    <font>
      <b/>
      <sz val="12"/>
      <name val="Aptos Narrow"/>
    </font>
    <font>
      <i/>
      <sz val="12"/>
      <name val="Aptos Narrow"/>
    </font>
    <font>
      <b/>
      <sz val="10"/>
      <name val="Geneva"/>
      <family val="2"/>
    </font>
  </fonts>
  <fills count="9">
    <fill>
      <patternFill patternType="none"/>
    </fill>
    <fill>
      <patternFill patternType="gray125"/>
    </fill>
    <fill>
      <patternFill patternType="solid">
        <fgColor indexed="13"/>
        <bgColor indexed="64"/>
      </patternFill>
    </fill>
    <fill>
      <patternFill patternType="solid">
        <fgColor theme="0"/>
        <bgColor indexed="64"/>
      </patternFill>
    </fill>
    <fill>
      <patternFill patternType="solid">
        <fgColor theme="2"/>
        <bgColor rgb="FF000000"/>
      </patternFill>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1"/>
      </top>
      <bottom style="thin">
        <color indexed="64"/>
      </bottom>
      <diagonal/>
    </border>
    <border>
      <left style="thin">
        <color theme="0"/>
      </left>
      <right style="thin">
        <color theme="0"/>
      </right>
      <top style="thin">
        <color indexed="64"/>
      </top>
      <bottom style="thin">
        <color theme="0"/>
      </bottom>
      <diagonal/>
    </border>
    <border>
      <left style="thin">
        <color indexed="64"/>
      </left>
      <right style="thin">
        <color indexed="64"/>
      </right>
      <top style="thin">
        <color indexed="64"/>
      </top>
      <bottom style="thin">
        <color theme="1"/>
      </bottom>
      <diagonal/>
    </border>
    <border>
      <left/>
      <right style="thin">
        <color indexed="64"/>
      </right>
      <top style="thin">
        <color theme="1"/>
      </top>
      <bottom style="thin">
        <color indexed="64"/>
      </bottom>
      <diagonal/>
    </border>
    <border>
      <left/>
      <right/>
      <top style="thin">
        <color theme="0"/>
      </top>
      <bottom/>
      <diagonal/>
    </border>
    <border>
      <left style="thin">
        <color theme="0"/>
      </left>
      <right style="thin">
        <color theme="0"/>
      </right>
      <top style="thin">
        <color theme="0"/>
      </top>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1"/>
      </top>
      <bottom style="thin">
        <color indexed="64"/>
      </bottom>
      <diagonal/>
    </border>
    <border>
      <left/>
      <right/>
      <top style="thin">
        <color theme="1"/>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style="medium">
        <color rgb="FF000000"/>
      </right>
      <top style="medium">
        <color indexed="64"/>
      </top>
      <bottom style="thin">
        <color indexed="64"/>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style="thin">
        <color theme="0"/>
      </top>
      <bottom style="thin">
        <color theme="0"/>
      </bottom>
      <diagonal/>
    </border>
    <border>
      <left/>
      <right style="medium">
        <color indexed="64"/>
      </right>
      <top style="thin">
        <color theme="0"/>
      </top>
      <bottom style="thin">
        <color theme="0"/>
      </bottom>
      <diagonal/>
    </border>
    <border>
      <left/>
      <right style="medium">
        <color indexed="64"/>
      </right>
      <top style="thin">
        <color theme="0"/>
      </top>
      <bottom/>
      <diagonal/>
    </border>
    <border>
      <left style="medium">
        <color indexed="64"/>
      </left>
      <right style="medium">
        <color indexed="64"/>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medium">
        <color indexed="64"/>
      </right>
      <top/>
      <bottom style="thin">
        <color theme="0"/>
      </bottom>
      <diagonal/>
    </border>
    <border>
      <left/>
      <right style="medium">
        <color indexed="64"/>
      </right>
      <top/>
      <bottom style="thin">
        <color theme="0"/>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s>
  <cellStyleXfs count="4">
    <xf numFmtId="0" fontId="0" fillId="0" borderId="0"/>
    <xf numFmtId="44" fontId="4" fillId="0" borderId="0" applyFont="0" applyFill="0" applyBorder="0" applyAlignment="0" applyProtection="0"/>
    <xf numFmtId="0" fontId="8" fillId="0" borderId="0" applyNumberFormat="0" applyFill="0" applyBorder="0" applyAlignment="0" applyProtection="0">
      <alignment vertical="top"/>
      <protection locked="0"/>
    </xf>
    <xf numFmtId="9" fontId="4" fillId="0" borderId="0" applyFont="0" applyFill="0" applyBorder="0" applyAlignment="0" applyProtection="0"/>
  </cellStyleXfs>
  <cellXfs count="209">
    <xf numFmtId="0" fontId="0" fillId="0" borderId="0" xfId="0"/>
    <xf numFmtId="0" fontId="5" fillId="0" borderId="1" xfId="0" applyFont="1" applyBorder="1" applyAlignment="1">
      <alignment horizontal="center"/>
    </xf>
    <xf numFmtId="10" fontId="5" fillId="0" borderId="1" xfId="0" applyNumberFormat="1" applyFont="1" applyBorder="1" applyAlignment="1">
      <alignment horizontal="center"/>
    </xf>
    <xf numFmtId="0" fontId="5" fillId="0" borderId="0" xfId="0" applyFont="1" applyAlignment="1">
      <alignment horizontal="center"/>
    </xf>
    <xf numFmtId="0" fontId="5" fillId="0" borderId="0" xfId="0" applyFont="1"/>
    <xf numFmtId="10" fontId="5" fillId="0" borderId="1" xfId="3" applyNumberFormat="1" applyFont="1" applyBorder="1" applyAlignment="1">
      <alignment horizontal="center"/>
    </xf>
    <xf numFmtId="0" fontId="0" fillId="0" borderId="0" xfId="0" applyAlignment="1">
      <alignment horizontal="center"/>
    </xf>
    <xf numFmtId="0" fontId="5" fillId="2" borderId="1" xfId="0" applyFont="1" applyFill="1" applyBorder="1" applyAlignment="1">
      <alignment horizontal="center"/>
    </xf>
    <xf numFmtId="0" fontId="9" fillId="0" borderId="0" xfId="0" applyFont="1"/>
    <xf numFmtId="0" fontId="10" fillId="0" borderId="0" xfId="0" applyFont="1"/>
    <xf numFmtId="10" fontId="0" fillId="0" borderId="0" xfId="0" applyNumberFormat="1" applyAlignment="1">
      <alignment horizontal="center"/>
    </xf>
    <xf numFmtId="10" fontId="0" fillId="0" borderId="1" xfId="0" applyNumberFormat="1" applyBorder="1" applyAlignment="1">
      <alignment horizontal="center"/>
    </xf>
    <xf numFmtId="10" fontId="23" fillId="0" borderId="1" xfId="0" applyNumberFormat="1" applyFont="1" applyBorder="1" applyAlignment="1">
      <alignment horizontal="center"/>
    </xf>
    <xf numFmtId="0" fontId="23" fillId="0" borderId="0" xfId="0" applyFont="1" applyAlignment="1">
      <alignment horizontal="center"/>
    </xf>
    <xf numFmtId="44" fontId="23" fillId="0" borderId="1" xfId="1" applyFont="1" applyBorder="1" applyAlignment="1">
      <alignment horizontal="center"/>
    </xf>
    <xf numFmtId="0" fontId="23" fillId="0" borderId="2" xfId="0" applyFont="1" applyBorder="1" applyAlignment="1">
      <alignment horizontal="center"/>
    </xf>
    <xf numFmtId="10" fontId="23" fillId="0" borderId="2" xfId="0" applyNumberFormat="1" applyFont="1" applyBorder="1" applyAlignment="1">
      <alignment horizontal="center"/>
    </xf>
    <xf numFmtId="0" fontId="23" fillId="0" borderId="3" xfId="0" applyFont="1" applyBorder="1" applyAlignment="1">
      <alignment horizontal="center" wrapText="1"/>
    </xf>
    <xf numFmtId="0" fontId="24" fillId="4" borderId="5" xfId="0" applyFont="1" applyFill="1" applyBorder="1"/>
    <xf numFmtId="0" fontId="24" fillId="4" borderId="6" xfId="0" applyFont="1" applyFill="1" applyBorder="1"/>
    <xf numFmtId="0" fontId="24" fillId="4" borderId="7" xfId="0" applyFont="1" applyFill="1" applyBorder="1"/>
    <xf numFmtId="0" fontId="25" fillId="0" borderId="8" xfId="0" applyFont="1" applyBorder="1" applyAlignment="1">
      <alignment horizontal="center" wrapText="1"/>
    </xf>
    <xf numFmtId="0" fontId="23" fillId="0" borderId="8" xfId="0" applyFont="1" applyBorder="1" applyAlignment="1">
      <alignment horizontal="center" wrapText="1"/>
    </xf>
    <xf numFmtId="0" fontId="5" fillId="0" borderId="0" xfId="0" applyFont="1" applyAlignment="1">
      <alignment wrapText="1"/>
    </xf>
    <xf numFmtId="10" fontId="5" fillId="0" borderId="0" xfId="3" applyNumberFormat="1" applyFont="1" applyBorder="1" applyAlignment="1">
      <alignment horizontal="center"/>
    </xf>
    <xf numFmtId="10" fontId="5" fillId="0" borderId="0" xfId="0" applyNumberFormat="1" applyFont="1" applyAlignment="1">
      <alignment horizontal="center"/>
    </xf>
    <xf numFmtId="10" fontId="0" fillId="0" borderId="0" xfId="3" applyNumberFormat="1" applyFont="1" applyAlignment="1">
      <alignment horizontal="center"/>
    </xf>
    <xf numFmtId="10" fontId="5" fillId="0" borderId="8" xfId="3" applyNumberFormat="1" applyFont="1" applyBorder="1" applyAlignment="1">
      <alignment horizontal="center"/>
    </xf>
    <xf numFmtId="0" fontId="6" fillId="0" borderId="0" xfId="0" applyFont="1" applyAlignment="1">
      <alignment horizontal="center"/>
    </xf>
    <xf numFmtId="0" fontId="10" fillId="0" borderId="0" xfId="0" applyFont="1" applyAlignment="1">
      <alignment horizontal="center"/>
    </xf>
    <xf numFmtId="0" fontId="12" fillId="0" borderId="0" xfId="0" applyFont="1"/>
    <xf numFmtId="0" fontId="26" fillId="0" borderId="1" xfId="0" applyFont="1" applyBorder="1" applyAlignment="1">
      <alignment vertical="center" wrapText="1"/>
    </xf>
    <xf numFmtId="0" fontId="12" fillId="0" borderId="1" xfId="0" applyFont="1" applyBorder="1" applyAlignment="1">
      <alignment vertical="top" wrapText="1"/>
    </xf>
    <xf numFmtId="0" fontId="26" fillId="0" borderId="1" xfId="0" applyFont="1" applyBorder="1" applyAlignment="1">
      <alignment vertical="center"/>
    </xf>
    <xf numFmtId="0" fontId="12" fillId="0" borderId="1" xfId="0" applyFont="1" applyBorder="1" applyAlignment="1">
      <alignment wrapText="1"/>
    </xf>
    <xf numFmtId="0" fontId="12" fillId="0" borderId="1" xfId="0" applyFont="1" applyBorder="1"/>
    <xf numFmtId="0" fontId="26" fillId="0" borderId="1" xfId="0" applyFont="1" applyBorder="1" applyAlignment="1">
      <alignment horizontal="left" vertical="center"/>
    </xf>
    <xf numFmtId="0" fontId="26" fillId="0" borderId="1" xfId="0" applyFont="1" applyBorder="1" applyAlignment="1">
      <alignment wrapText="1"/>
    </xf>
    <xf numFmtId="0" fontId="26" fillId="0" borderId="1" xfId="0" applyFont="1" applyBorder="1" applyAlignment="1">
      <alignment horizontal="left" vertical="top" wrapText="1"/>
    </xf>
    <xf numFmtId="0" fontId="15" fillId="0" borderId="10" xfId="0" applyFont="1" applyBorder="1" applyAlignment="1">
      <alignment vertical="center"/>
    </xf>
    <xf numFmtId="0" fontId="16" fillId="0" borderId="10" xfId="0" applyFont="1" applyBorder="1" applyAlignment="1">
      <alignment wrapText="1"/>
    </xf>
    <xf numFmtId="10" fontId="23" fillId="0" borderId="11" xfId="0" applyNumberFormat="1" applyFont="1" applyBorder="1" applyAlignment="1">
      <alignment horizontal="center"/>
    </xf>
    <xf numFmtId="0" fontId="13" fillId="4" borderId="12" xfId="0" applyFont="1" applyFill="1" applyBorder="1" applyAlignment="1">
      <alignment horizontal="left"/>
    </xf>
    <xf numFmtId="44" fontId="4" fillId="0" borderId="0" xfId="1" applyFont="1" applyFill="1" applyBorder="1" applyAlignment="1">
      <alignment horizontal="center"/>
    </xf>
    <xf numFmtId="44" fontId="23" fillId="0" borderId="13" xfId="1" applyFont="1" applyBorder="1" applyAlignment="1">
      <alignment horizontal="center"/>
    </xf>
    <xf numFmtId="0" fontId="5" fillId="0" borderId="8" xfId="0" applyFont="1" applyBorder="1" applyAlignment="1">
      <alignment horizontal="center"/>
    </xf>
    <xf numFmtId="10" fontId="0" fillId="0" borderId="8" xfId="0" applyNumberFormat="1" applyBorder="1" applyAlignment="1">
      <alignment horizontal="center"/>
    </xf>
    <xf numFmtId="0" fontId="6" fillId="0" borderId="3" xfId="0" applyFont="1" applyBorder="1" applyAlignment="1">
      <alignment horizontal="center"/>
    </xf>
    <xf numFmtId="44" fontId="23" fillId="0" borderId="4" xfId="1" applyFont="1" applyBorder="1" applyAlignment="1">
      <alignment horizontal="center"/>
    </xf>
    <xf numFmtId="44" fontId="23" fillId="0" borderId="9" xfId="1" applyFont="1" applyBorder="1" applyAlignment="1">
      <alignment horizontal="center"/>
    </xf>
    <xf numFmtId="44" fontId="23" fillId="0" borderId="14" xfId="1" applyFont="1" applyBorder="1" applyAlignment="1">
      <alignment horizontal="center"/>
    </xf>
    <xf numFmtId="0" fontId="22" fillId="0" borderId="8" xfId="0" applyFont="1" applyBorder="1" applyAlignment="1">
      <alignment horizontal="center" wrapText="1"/>
    </xf>
    <xf numFmtId="0" fontId="25" fillId="0" borderId="3" xfId="0" applyFont="1" applyBorder="1" applyAlignment="1">
      <alignment horizontal="center" wrapText="1"/>
    </xf>
    <xf numFmtId="0" fontId="23" fillId="0" borderId="11" xfId="0" applyFont="1" applyBorder="1" applyAlignment="1">
      <alignment horizontal="center"/>
    </xf>
    <xf numFmtId="44" fontId="23" fillId="0" borderId="15" xfId="1" applyFont="1" applyBorder="1" applyAlignment="1">
      <alignment horizontal="center"/>
    </xf>
    <xf numFmtId="0" fontId="27" fillId="5" borderId="30" xfId="0" applyFont="1" applyFill="1" applyBorder="1" applyAlignment="1">
      <alignment horizontal="center" wrapText="1"/>
    </xf>
    <xf numFmtId="10" fontId="21" fillId="5" borderId="30" xfId="0" applyNumberFormat="1" applyFont="1" applyFill="1" applyBorder="1" applyAlignment="1">
      <alignment horizontal="center"/>
    </xf>
    <xf numFmtId="44" fontId="23" fillId="0" borderId="16" xfId="1" applyFont="1" applyBorder="1" applyAlignment="1">
      <alignment horizontal="center"/>
    </xf>
    <xf numFmtId="44" fontId="23" fillId="0" borderId="31" xfId="1" applyFont="1" applyBorder="1" applyAlignment="1">
      <alignment horizontal="center"/>
    </xf>
    <xf numFmtId="44" fontId="28" fillId="5" borderId="1" xfId="1" applyFont="1" applyFill="1" applyBorder="1" applyAlignment="1">
      <alignment horizontal="center"/>
    </xf>
    <xf numFmtId="10" fontId="29" fillId="5" borderId="1" xfId="0" applyNumberFormat="1" applyFont="1" applyFill="1" applyBorder="1" applyAlignment="1">
      <alignment horizontal="center"/>
    </xf>
    <xf numFmtId="0" fontId="25" fillId="0" borderId="20" xfId="0" applyFont="1" applyBorder="1" applyAlignment="1">
      <alignment horizontal="center" wrapText="1"/>
    </xf>
    <xf numFmtId="44" fontId="23" fillId="0" borderId="34" xfId="1" applyFont="1" applyBorder="1" applyAlignment="1">
      <alignment horizontal="center"/>
    </xf>
    <xf numFmtId="0" fontId="30" fillId="0" borderId="30" xfId="0" applyFont="1" applyBorder="1" applyAlignment="1">
      <alignment horizontal="center" wrapText="1"/>
    </xf>
    <xf numFmtId="0" fontId="30" fillId="0" borderId="32" xfId="0" applyFont="1" applyBorder="1" applyAlignment="1">
      <alignment horizontal="center" wrapText="1"/>
    </xf>
    <xf numFmtId="0" fontId="31" fillId="0" borderId="0" xfId="0" applyFont="1" applyAlignment="1">
      <alignment horizontal="center"/>
    </xf>
    <xf numFmtId="0" fontId="9" fillId="0" borderId="0" xfId="0" applyFont="1" applyAlignment="1">
      <alignment horizontal="center"/>
    </xf>
    <xf numFmtId="0" fontId="5" fillId="0" borderId="35" xfId="0" applyFont="1" applyBorder="1" applyAlignment="1">
      <alignment horizontal="center"/>
    </xf>
    <xf numFmtId="0" fontId="5" fillId="0" borderId="8" xfId="0" applyFont="1" applyBorder="1" applyAlignment="1">
      <alignment horizontal="center" wrapText="1"/>
    </xf>
    <xf numFmtId="10" fontId="5" fillId="0" borderId="13" xfId="0" applyNumberFormat="1" applyFont="1" applyBorder="1" applyAlignment="1">
      <alignment horizontal="center"/>
    </xf>
    <xf numFmtId="0" fontId="7" fillId="0" borderId="0" xfId="0" applyFont="1" applyAlignment="1">
      <alignment horizontal="center"/>
    </xf>
    <xf numFmtId="0" fontId="23" fillId="0" borderId="13" xfId="0" applyFont="1" applyBorder="1" applyAlignment="1">
      <alignment horizontal="center"/>
    </xf>
    <xf numFmtId="10" fontId="21" fillId="5" borderId="36" xfId="0" applyNumberFormat="1" applyFont="1" applyFill="1" applyBorder="1" applyAlignment="1">
      <alignment horizontal="center"/>
    </xf>
    <xf numFmtId="0" fontId="5" fillId="0" borderId="37" xfId="0" applyFont="1" applyBorder="1" applyAlignment="1">
      <alignment horizontal="center" wrapText="1"/>
    </xf>
    <xf numFmtId="10" fontId="5" fillId="0" borderId="37" xfId="0" applyNumberFormat="1" applyFont="1" applyBorder="1" applyAlignment="1">
      <alignment horizontal="center"/>
    </xf>
    <xf numFmtId="10" fontId="5" fillId="0" borderId="38" xfId="0" applyNumberFormat="1" applyFont="1" applyBorder="1" applyAlignment="1">
      <alignment horizontal="center"/>
    </xf>
    <xf numFmtId="0" fontId="5" fillId="0" borderId="39" xfId="0" applyFont="1" applyBorder="1" applyAlignment="1">
      <alignment horizontal="center"/>
    </xf>
    <xf numFmtId="10" fontId="5" fillId="0" borderId="8" xfId="0" applyNumberFormat="1" applyFont="1" applyBorder="1" applyAlignment="1">
      <alignment horizontal="center"/>
    </xf>
    <xf numFmtId="10" fontId="5" fillId="0" borderId="33" xfId="0" applyNumberFormat="1" applyFont="1" applyBorder="1" applyAlignment="1">
      <alignment horizontal="center"/>
    </xf>
    <xf numFmtId="0" fontId="5" fillId="0" borderId="0" xfId="0" applyFont="1" applyAlignment="1">
      <alignment horizontal="center" wrapText="1"/>
    </xf>
    <xf numFmtId="0" fontId="35" fillId="6" borderId="10" xfId="0" applyFont="1" applyFill="1" applyBorder="1" applyAlignment="1">
      <alignment horizontal="center" vertical="center" wrapText="1"/>
    </xf>
    <xf numFmtId="0" fontId="35" fillId="6" borderId="17" xfId="0" applyFont="1" applyFill="1" applyBorder="1" applyAlignment="1">
      <alignment horizontal="center" vertical="center" wrapText="1"/>
    </xf>
    <xf numFmtId="10" fontId="36" fillId="0" borderId="61" xfId="0" applyNumberFormat="1" applyFont="1" applyBorder="1" applyAlignment="1">
      <alignment horizontal="right"/>
    </xf>
    <xf numFmtId="10" fontId="36" fillId="0" borderId="62" xfId="0" applyNumberFormat="1" applyFont="1" applyBorder="1" applyAlignment="1">
      <alignment horizontal="right"/>
    </xf>
    <xf numFmtId="10" fontId="36" fillId="0" borderId="56" xfId="0" applyNumberFormat="1" applyFont="1" applyBorder="1" applyAlignment="1">
      <alignment horizontal="right"/>
    </xf>
    <xf numFmtId="10" fontId="36" fillId="0" borderId="57" xfId="0" applyNumberFormat="1" applyFont="1" applyBorder="1" applyAlignment="1">
      <alignment horizontal="right"/>
    </xf>
    <xf numFmtId="10" fontId="36" fillId="0" borderId="58" xfId="0" applyNumberFormat="1" applyFont="1" applyBorder="1" applyAlignment="1">
      <alignment horizontal="right"/>
    </xf>
    <xf numFmtId="10" fontId="36" fillId="0" borderId="59" xfId="0" applyNumberFormat="1" applyFont="1" applyBorder="1" applyAlignment="1">
      <alignment horizontal="right"/>
    </xf>
    <xf numFmtId="10" fontId="36" fillId="0" borderId="19" xfId="0" applyNumberFormat="1" applyFont="1" applyBorder="1" applyAlignment="1">
      <alignment horizontal="right"/>
    </xf>
    <xf numFmtId="10" fontId="36" fillId="0" borderId="60" xfId="0" applyNumberFormat="1" applyFont="1" applyBorder="1" applyAlignment="1">
      <alignment horizontal="right"/>
    </xf>
    <xf numFmtId="0" fontId="36" fillId="0" borderId="55" xfId="0" applyFont="1" applyBorder="1" applyAlignment="1">
      <alignment horizontal="right"/>
    </xf>
    <xf numFmtId="0" fontId="36" fillId="0" borderId="18" xfId="0" applyFont="1" applyBorder="1" applyAlignment="1">
      <alignment horizontal="right"/>
    </xf>
    <xf numFmtId="0" fontId="2" fillId="0" borderId="0" xfId="0" applyFont="1"/>
    <xf numFmtId="10" fontId="2" fillId="0" borderId="0" xfId="0" applyNumberFormat="1" applyFont="1"/>
    <xf numFmtId="10" fontId="2" fillId="0" borderId="0" xfId="3" applyNumberFormat="1" applyFont="1"/>
    <xf numFmtId="10" fontId="2" fillId="0" borderId="0" xfId="3" applyNumberFormat="1" applyFont="1" applyBorder="1"/>
    <xf numFmtId="2" fontId="2" fillId="0" borderId="0" xfId="0" applyNumberFormat="1" applyFont="1"/>
    <xf numFmtId="10" fontId="2" fillId="0" borderId="54" xfId="0" applyNumberFormat="1" applyFont="1" applyBorder="1"/>
    <xf numFmtId="10" fontId="2" fillId="0" borderId="54" xfId="3" applyNumberFormat="1" applyFont="1" applyBorder="1"/>
    <xf numFmtId="2" fontId="2" fillId="0" borderId="54" xfId="0" applyNumberFormat="1" applyFont="1" applyBorder="1"/>
    <xf numFmtId="0" fontId="2" fillId="0" borderId="54" xfId="0" applyFont="1" applyBorder="1"/>
    <xf numFmtId="9" fontId="0" fillId="0" borderId="0" xfId="0" applyNumberFormat="1"/>
    <xf numFmtId="9" fontId="2" fillId="0" borderId="0" xfId="0" applyNumberFormat="1" applyFont="1"/>
    <xf numFmtId="0" fontId="1" fillId="0" borderId="0" xfId="0" applyFont="1"/>
    <xf numFmtId="2" fontId="2" fillId="0" borderId="63" xfId="0" applyNumberFormat="1" applyFont="1" applyBorder="1"/>
    <xf numFmtId="2" fontId="2" fillId="0" borderId="65" xfId="0" applyNumberFormat="1" applyFont="1" applyBorder="1"/>
    <xf numFmtId="0" fontId="1" fillId="0" borderId="0" xfId="0" applyFont="1" applyAlignment="1">
      <alignment horizontal="center" vertical="center" wrapText="1"/>
    </xf>
    <xf numFmtId="0" fontId="0" fillId="0" borderId="0" xfId="0" applyAlignment="1">
      <alignment horizontal="center" vertical="center"/>
    </xf>
    <xf numFmtId="44" fontId="0" fillId="0" borderId="0" xfId="0" applyNumberFormat="1"/>
    <xf numFmtId="44" fontId="0" fillId="7" borderId="0" xfId="1" applyFont="1" applyFill="1"/>
    <xf numFmtId="9" fontId="0" fillId="7" borderId="0" xfId="0" applyNumberFormat="1" applyFill="1"/>
    <xf numFmtId="0" fontId="0" fillId="7" borderId="0" xfId="0" applyFill="1"/>
    <xf numFmtId="9" fontId="0" fillId="0" borderId="0" xfId="3" applyFont="1" applyAlignment="1">
      <alignment horizontal="center" vertical="center"/>
    </xf>
    <xf numFmtId="7" fontId="0" fillId="7" borderId="0" xfId="1" applyNumberFormat="1" applyFont="1" applyFill="1"/>
    <xf numFmtId="0" fontId="38" fillId="6" borderId="10" xfId="0" applyFont="1" applyFill="1" applyBorder="1" applyAlignment="1">
      <alignment horizontal="center" vertical="center" wrapText="1"/>
    </xf>
    <xf numFmtId="0" fontId="2" fillId="0" borderId="55" xfId="0" applyFont="1" applyBorder="1"/>
    <xf numFmtId="0" fontId="38" fillId="6" borderId="10" xfId="0" applyFont="1" applyFill="1" applyBorder="1" applyAlignment="1">
      <alignment horizontal="center" vertical="center"/>
    </xf>
    <xf numFmtId="0" fontId="2" fillId="0" borderId="18" xfId="0" applyFont="1" applyBorder="1"/>
    <xf numFmtId="0" fontId="2" fillId="0" borderId="67" xfId="0" applyFont="1" applyBorder="1"/>
    <xf numFmtId="10" fontId="0" fillId="0" borderId="55" xfId="3" applyNumberFormat="1" applyFont="1" applyBorder="1" applyAlignment="1">
      <alignment horizontal="center" vertical="center"/>
    </xf>
    <xf numFmtId="10" fontId="0" fillId="0" borderId="18" xfId="3" applyNumberFormat="1" applyFont="1" applyBorder="1" applyAlignment="1">
      <alignment horizontal="center" vertical="center"/>
    </xf>
    <xf numFmtId="10" fontId="0" fillId="0" borderId="67" xfId="3" applyNumberFormat="1" applyFont="1" applyBorder="1" applyAlignment="1">
      <alignment horizontal="center" vertical="center" wrapText="1"/>
    </xf>
    <xf numFmtId="10" fontId="0" fillId="0" borderId="55" xfId="3" applyNumberFormat="1" applyFont="1" applyBorder="1" applyAlignment="1">
      <alignment horizontal="center" vertical="center" wrapText="1"/>
    </xf>
    <xf numFmtId="10" fontId="0" fillId="0" borderId="18" xfId="3" applyNumberFormat="1" applyFont="1" applyBorder="1" applyAlignment="1">
      <alignment horizontal="center" vertical="center" wrapText="1"/>
    </xf>
    <xf numFmtId="0" fontId="0" fillId="0" borderId="0" xfId="0" applyAlignment="1">
      <alignment horizontal="center" vertical="center" wrapText="1"/>
    </xf>
    <xf numFmtId="0" fontId="40" fillId="6" borderId="10" xfId="0" applyFont="1" applyFill="1" applyBorder="1" applyAlignment="1">
      <alignment horizontal="center" vertical="center" wrapText="1"/>
    </xf>
    <xf numFmtId="44" fontId="0" fillId="0" borderId="55" xfId="0" applyNumberFormat="1" applyBorder="1" applyAlignment="1">
      <alignment horizontal="center" vertical="center"/>
    </xf>
    <xf numFmtId="44" fontId="0" fillId="0" borderId="18" xfId="0" applyNumberFormat="1" applyBorder="1" applyAlignment="1">
      <alignment horizontal="center" vertical="center"/>
    </xf>
    <xf numFmtId="44" fontId="0" fillId="0" borderId="67" xfId="0" applyNumberFormat="1" applyBorder="1" applyAlignment="1">
      <alignment horizontal="center" vertical="center"/>
    </xf>
    <xf numFmtId="0" fontId="0" fillId="0" borderId="67" xfId="0" applyBorder="1" applyAlignment="1">
      <alignment horizontal="center" vertical="center"/>
    </xf>
    <xf numFmtId="0" fontId="0" fillId="0" borderId="55" xfId="0" applyBorder="1" applyAlignment="1">
      <alignment horizontal="center" vertical="center"/>
    </xf>
    <xf numFmtId="0" fontId="0" fillId="0" borderId="18" xfId="0" applyBorder="1" applyAlignment="1">
      <alignment horizontal="center" vertical="center"/>
    </xf>
    <xf numFmtId="44" fontId="40" fillId="6" borderId="10" xfId="0" applyNumberFormat="1" applyFont="1" applyFill="1" applyBorder="1" applyAlignment="1">
      <alignment horizontal="center" vertical="center"/>
    </xf>
    <xf numFmtId="0" fontId="40" fillId="6" borderId="10" xfId="0" applyFont="1" applyFill="1" applyBorder="1" applyAlignment="1">
      <alignment horizontal="center" vertical="center"/>
    </xf>
    <xf numFmtId="0" fontId="40" fillId="6" borderId="17" xfId="0" applyFont="1" applyFill="1" applyBorder="1" applyAlignment="1">
      <alignment horizontal="center" vertical="center"/>
    </xf>
    <xf numFmtId="9" fontId="40" fillId="6" borderId="10" xfId="0" applyNumberFormat="1" applyFont="1" applyFill="1" applyBorder="1" applyAlignment="1">
      <alignment horizontal="center" vertical="center"/>
    </xf>
    <xf numFmtId="44" fontId="0" fillId="0" borderId="67" xfId="1" applyFont="1" applyBorder="1" applyAlignment="1">
      <alignment horizontal="center" vertical="center"/>
    </xf>
    <xf numFmtId="44" fontId="0" fillId="0" borderId="55" xfId="1" applyFont="1" applyBorder="1" applyAlignment="1">
      <alignment horizontal="center" vertical="center"/>
    </xf>
    <xf numFmtId="44" fontId="0" fillId="0" borderId="18" xfId="1" applyFont="1" applyBorder="1" applyAlignment="1">
      <alignment horizontal="center" vertical="center"/>
    </xf>
    <xf numFmtId="0" fontId="0" fillId="0" borderId="69" xfId="0" applyBorder="1" applyAlignment="1">
      <alignment horizontal="center" vertical="center"/>
    </xf>
    <xf numFmtId="10" fontId="0" fillId="0" borderId="68" xfId="3" applyNumberFormat="1" applyFont="1" applyBorder="1" applyAlignment="1">
      <alignment horizontal="center" vertical="center" wrapText="1"/>
    </xf>
    <xf numFmtId="10" fontId="0" fillId="0" borderId="68" xfId="3" applyNumberFormat="1" applyFont="1" applyBorder="1" applyAlignment="1">
      <alignment horizontal="center" vertical="center"/>
    </xf>
    <xf numFmtId="10" fontId="39" fillId="0" borderId="67" xfId="3" applyNumberFormat="1" applyFont="1" applyBorder="1"/>
    <xf numFmtId="10" fontId="39" fillId="0" borderId="55" xfId="3" applyNumberFormat="1" applyFont="1" applyBorder="1"/>
    <xf numFmtId="10" fontId="39" fillId="0" borderId="18" xfId="3" applyNumberFormat="1" applyFont="1" applyBorder="1"/>
    <xf numFmtId="0" fontId="2" fillId="8" borderId="55" xfId="0" applyFont="1" applyFill="1" applyBorder="1" applyAlignment="1">
      <alignment horizontal="center" vertical="center"/>
    </xf>
    <xf numFmtId="0" fontId="2" fillId="8" borderId="18" xfId="0" applyFont="1" applyFill="1" applyBorder="1" applyAlignment="1">
      <alignment horizontal="center" vertical="center"/>
    </xf>
    <xf numFmtId="0" fontId="0" fillId="8" borderId="55" xfId="0" applyFill="1" applyBorder="1" applyAlignment="1">
      <alignment horizontal="center" vertical="center"/>
    </xf>
    <xf numFmtId="0" fontId="0" fillId="8" borderId="0" xfId="0" applyFill="1" applyAlignment="1">
      <alignment horizontal="center" vertical="center"/>
    </xf>
    <xf numFmtId="0" fontId="0" fillId="8" borderId="18" xfId="0" applyFill="1" applyBorder="1" applyAlignment="1">
      <alignment horizontal="center" vertical="center"/>
    </xf>
    <xf numFmtId="0" fontId="0" fillId="8" borderId="19" xfId="0" applyFill="1" applyBorder="1" applyAlignment="1">
      <alignment horizontal="center" vertical="center"/>
    </xf>
    <xf numFmtId="0" fontId="2" fillId="8" borderId="67" xfId="0" applyFont="1" applyFill="1" applyBorder="1" applyAlignment="1">
      <alignment horizontal="center" vertical="center"/>
    </xf>
    <xf numFmtId="0" fontId="0" fillId="8" borderId="67" xfId="0" applyFill="1" applyBorder="1" applyAlignment="1">
      <alignment horizontal="center" vertical="center"/>
    </xf>
    <xf numFmtId="10" fontId="40" fillId="7" borderId="67" xfId="3" applyNumberFormat="1" applyFont="1" applyFill="1" applyBorder="1" applyAlignment="1">
      <alignment horizontal="center" vertical="center"/>
    </xf>
    <xf numFmtId="10" fontId="40" fillId="7" borderId="55" xfId="3" applyNumberFormat="1" applyFont="1" applyFill="1" applyBorder="1" applyAlignment="1">
      <alignment horizontal="center" vertical="center"/>
    </xf>
    <xf numFmtId="44" fontId="0" fillId="0" borderId="0" xfId="1" applyFont="1"/>
    <xf numFmtId="0" fontId="14" fillId="0" borderId="1" xfId="0" applyFont="1" applyBorder="1" applyAlignment="1">
      <alignment horizontal="center"/>
    </xf>
    <xf numFmtId="0" fontId="3" fillId="0" borderId="1" xfId="0" applyFont="1" applyBorder="1" applyAlignment="1">
      <alignment horizontal="center"/>
    </xf>
    <xf numFmtId="15" fontId="32" fillId="4" borderId="21" xfId="0" applyNumberFormat="1" applyFont="1" applyFill="1" applyBorder="1" applyAlignment="1">
      <alignment horizontal="left"/>
    </xf>
    <xf numFmtId="15" fontId="32" fillId="4" borderId="22" xfId="0" applyNumberFormat="1" applyFont="1" applyFill="1" applyBorder="1" applyAlignment="1">
      <alignment horizontal="left"/>
    </xf>
    <xf numFmtId="15" fontId="32" fillId="4" borderId="42" xfId="0" applyNumberFormat="1" applyFont="1" applyFill="1" applyBorder="1" applyAlignment="1">
      <alignment horizontal="left"/>
    </xf>
    <xf numFmtId="0" fontId="8" fillId="4" borderId="2" xfId="2" applyFill="1" applyBorder="1" applyAlignment="1" applyProtection="1">
      <alignment horizontal="left"/>
    </xf>
    <xf numFmtId="0" fontId="8" fillId="4" borderId="12" xfId="2" applyFill="1" applyBorder="1" applyAlignment="1" applyProtection="1">
      <alignment horizontal="left"/>
    </xf>
    <xf numFmtId="0" fontId="8" fillId="4" borderId="43" xfId="2" applyFill="1" applyBorder="1" applyAlignment="1" applyProtection="1">
      <alignment horizontal="left"/>
    </xf>
    <xf numFmtId="15" fontId="8" fillId="4" borderId="2" xfId="2" applyNumberFormat="1" applyFill="1" applyBorder="1" applyAlignment="1" applyProtection="1">
      <alignment horizontal="left"/>
    </xf>
    <xf numFmtId="15" fontId="8" fillId="4" borderId="12" xfId="2" applyNumberFormat="1" applyFill="1" applyBorder="1" applyAlignment="1" applyProtection="1">
      <alignment horizontal="left"/>
    </xf>
    <xf numFmtId="15" fontId="8" fillId="4" borderId="43" xfId="2" applyNumberFormat="1" applyFill="1" applyBorder="1" applyAlignment="1" applyProtection="1">
      <alignment horizontal="left"/>
    </xf>
    <xf numFmtId="0" fontId="8" fillId="4" borderId="2" xfId="2" applyFill="1" applyBorder="1" applyAlignment="1" applyProtection="1"/>
    <xf numFmtId="0" fontId="8" fillId="4" borderId="12" xfId="2" applyFill="1" applyBorder="1" applyAlignment="1" applyProtection="1"/>
    <xf numFmtId="0" fontId="8" fillId="4" borderId="43" xfId="2" applyFill="1" applyBorder="1" applyAlignment="1" applyProtection="1"/>
    <xf numFmtId="0" fontId="13" fillId="4" borderId="2" xfId="0" applyFont="1" applyFill="1" applyBorder="1" applyAlignment="1">
      <alignment horizontal="left"/>
    </xf>
    <xf numFmtId="0" fontId="13" fillId="4" borderId="12" xfId="0" applyFont="1" applyFill="1" applyBorder="1" applyAlignment="1">
      <alignment horizontal="left"/>
    </xf>
    <xf numFmtId="0" fontId="13" fillId="4" borderId="15" xfId="0" applyFont="1" applyFill="1" applyBorder="1" applyAlignment="1">
      <alignment horizontal="left"/>
    </xf>
    <xf numFmtId="0" fontId="13" fillId="4" borderId="2" xfId="0" applyFont="1" applyFill="1" applyBorder="1" applyAlignment="1">
      <alignment horizontal="center"/>
    </xf>
    <xf numFmtId="0" fontId="13" fillId="4" borderId="12" xfId="0" applyFont="1" applyFill="1" applyBorder="1" applyAlignment="1">
      <alignment horizontal="center"/>
    </xf>
    <xf numFmtId="0" fontId="13" fillId="4" borderId="43" xfId="0" applyFont="1" applyFill="1" applyBorder="1" applyAlignment="1">
      <alignment horizontal="center"/>
    </xf>
    <xf numFmtId="0" fontId="19" fillId="0" borderId="23" xfId="0" applyFont="1" applyBorder="1" applyAlignment="1">
      <alignment horizontal="center"/>
    </xf>
    <xf numFmtId="0" fontId="19" fillId="0" borderId="17" xfId="0" applyFont="1" applyBorder="1" applyAlignment="1">
      <alignment horizontal="center"/>
    </xf>
    <xf numFmtId="0" fontId="7" fillId="0" borderId="25" xfId="0" applyFont="1" applyBorder="1" applyAlignment="1">
      <alignment horizontal="center"/>
    </xf>
    <xf numFmtId="0" fontId="7" fillId="0" borderId="26" xfId="0" applyFont="1" applyBorder="1" applyAlignment="1">
      <alignment horizontal="center"/>
    </xf>
    <xf numFmtId="0" fontId="8" fillId="4" borderId="27" xfId="2" applyFill="1" applyBorder="1" applyAlignment="1" applyProtection="1">
      <alignment horizontal="left"/>
    </xf>
    <xf numFmtId="0" fontId="8" fillId="4" borderId="28" xfId="2" applyFill="1" applyBorder="1" applyAlignment="1" applyProtection="1">
      <alignment horizontal="left"/>
    </xf>
    <xf numFmtId="0" fontId="8" fillId="4" borderId="44" xfId="2" applyFill="1" applyBorder="1" applyAlignment="1" applyProtection="1">
      <alignment horizontal="left"/>
    </xf>
    <xf numFmtId="0" fontId="6" fillId="0" borderId="23" xfId="0" applyFont="1" applyBorder="1" applyAlignment="1">
      <alignment horizontal="center"/>
    </xf>
    <xf numFmtId="0" fontId="6" fillId="0" borderId="24" xfId="0" applyFont="1" applyBorder="1" applyAlignment="1">
      <alignment horizontal="center"/>
    </xf>
    <xf numFmtId="0" fontId="6" fillId="0" borderId="17" xfId="0" applyFont="1" applyBorder="1" applyAlignment="1">
      <alignment horizontal="center"/>
    </xf>
    <xf numFmtId="0" fontId="6" fillId="0" borderId="37" xfId="0" applyFont="1" applyBorder="1" applyAlignment="1">
      <alignment horizontal="center"/>
    </xf>
    <xf numFmtId="0" fontId="34" fillId="3" borderId="48" xfId="0" applyFont="1" applyFill="1" applyBorder="1" applyAlignment="1">
      <alignment horizontal="center" wrapText="1"/>
    </xf>
    <xf numFmtId="0" fontId="34" fillId="3" borderId="49" xfId="0" applyFont="1" applyFill="1" applyBorder="1" applyAlignment="1">
      <alignment horizontal="center" wrapText="1"/>
    </xf>
    <xf numFmtId="0" fontId="34" fillId="3" borderId="50" xfId="0" applyFont="1" applyFill="1" applyBorder="1" applyAlignment="1">
      <alignment horizontal="center" wrapText="1"/>
    </xf>
    <xf numFmtId="0" fontId="34" fillId="3" borderId="51" xfId="0" applyFont="1" applyFill="1" applyBorder="1" applyAlignment="1">
      <alignment horizontal="center" wrapText="1"/>
    </xf>
    <xf numFmtId="0" fontId="34" fillId="3" borderId="52" xfId="0" applyFont="1" applyFill="1" applyBorder="1" applyAlignment="1">
      <alignment horizontal="center" wrapText="1"/>
    </xf>
    <xf numFmtId="0" fontId="34" fillId="3" borderId="53" xfId="0" applyFont="1" applyFill="1" applyBorder="1" applyAlignment="1">
      <alignment horizontal="center" wrapText="1"/>
    </xf>
    <xf numFmtId="0" fontId="6" fillId="0" borderId="41" xfId="0" applyFont="1" applyBorder="1" applyAlignment="1">
      <alignment horizontal="center"/>
    </xf>
    <xf numFmtId="0" fontId="6" fillId="0" borderId="40" xfId="0" applyFont="1" applyBorder="1" applyAlignment="1">
      <alignment horizontal="center"/>
    </xf>
    <xf numFmtId="0" fontId="6" fillId="0" borderId="45" xfId="0" applyFont="1" applyBorder="1" applyAlignment="1">
      <alignment horizontal="center"/>
    </xf>
    <xf numFmtId="0" fontId="6" fillId="0" borderId="46" xfId="0" applyFont="1" applyBorder="1" applyAlignment="1">
      <alignment horizontal="center"/>
    </xf>
    <xf numFmtId="0" fontId="6" fillId="0" borderId="47" xfId="0" applyFont="1" applyBorder="1" applyAlignment="1">
      <alignment horizontal="center"/>
    </xf>
    <xf numFmtId="0" fontId="20" fillId="0" borderId="40" xfId="0" applyFont="1" applyBorder="1" applyAlignment="1">
      <alignment horizontal="center"/>
    </xf>
    <xf numFmtId="0" fontId="20" fillId="0" borderId="41" xfId="0" applyFont="1" applyBorder="1" applyAlignment="1">
      <alignment horizontal="center"/>
    </xf>
    <xf numFmtId="0" fontId="7" fillId="0" borderId="29" xfId="0" applyFont="1" applyBorder="1" applyAlignment="1">
      <alignment horizontal="center"/>
    </xf>
    <xf numFmtId="0" fontId="0" fillId="0" borderId="25" xfId="0" applyBorder="1" applyAlignment="1">
      <alignment horizontal="center"/>
    </xf>
    <xf numFmtId="0" fontId="33" fillId="5" borderId="30" xfId="0" applyFont="1" applyFill="1" applyBorder="1" applyAlignment="1">
      <alignment horizontal="center"/>
    </xf>
    <xf numFmtId="0" fontId="7" fillId="0" borderId="37" xfId="0" applyFont="1" applyBorder="1" applyAlignment="1">
      <alignment horizontal="center"/>
    </xf>
    <xf numFmtId="0" fontId="0" fillId="0" borderId="0" xfId="0" applyAlignment="1">
      <alignment horizontal="left"/>
    </xf>
    <xf numFmtId="0" fontId="2" fillId="0" borderId="0" xfId="0" applyFont="1" applyAlignment="1">
      <alignment horizontal="left"/>
    </xf>
    <xf numFmtId="2" fontId="2" fillId="0" borderId="63" xfId="0" applyNumberFormat="1" applyFont="1" applyBorder="1" applyAlignment="1">
      <alignment horizontal="center"/>
    </xf>
    <xf numFmtId="2" fontId="2" fillId="0" borderId="64" xfId="0" applyNumberFormat="1" applyFont="1" applyBorder="1" applyAlignment="1">
      <alignment horizontal="center"/>
    </xf>
    <xf numFmtId="0" fontId="1" fillId="0" borderId="66" xfId="0" applyFont="1" applyBorder="1" applyAlignment="1">
      <alignment horizontal="center"/>
    </xf>
  </cellXfs>
  <cellStyles count="4">
    <cellStyle name="Currency" xfId="1" builtinId="4"/>
    <cellStyle name="Hyperlink" xfId="2" builtinId="8"/>
    <cellStyle name="Normal" xfId="0" builtinId="0"/>
    <cellStyle name="Percent" xfId="3" builtinId="5"/>
  </cellStyles>
  <dxfs count="31">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685800</xdr:colOff>
      <xdr:row>3</xdr:row>
      <xdr:rowOff>152400</xdr:rowOff>
    </xdr:from>
    <xdr:to>
      <xdr:col>11</xdr:col>
      <xdr:colOff>723900</xdr:colOff>
      <xdr:row>5</xdr:row>
      <xdr:rowOff>57150</xdr:rowOff>
    </xdr:to>
    <xdr:sp macro="[0]!Distribution" textlink="">
      <xdr:nvSpPr>
        <xdr:cNvPr id="2" name="Rectangle 1">
          <a:extLst>
            <a:ext uri="{FF2B5EF4-FFF2-40B4-BE49-F238E27FC236}">
              <a16:creationId xmlns:a16="http://schemas.microsoft.com/office/drawing/2014/main" id="{5C02AF05-65C6-0822-9E20-4ABFB332C726}"/>
            </a:ext>
          </a:extLst>
        </xdr:cNvPr>
        <xdr:cNvSpPr/>
      </xdr:nvSpPr>
      <xdr:spPr bwMode="auto">
        <a:xfrm>
          <a:off x="10109200" y="685800"/>
          <a:ext cx="990600" cy="260350"/>
        </a:xfrm>
        <a:prstGeom prst="rect">
          <a:avLst/>
        </a:prstGeom>
        <a:solidFill>
          <a:srgbClr val="00B0F0"/>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txBody>
        <a:bodyPr vertOverflow="clip" wrap="square" lIns="18288" tIns="0" rIns="0" bIns="0" rtlCol="0" anchor="ctr" upright="1"/>
        <a:lstStyle/>
        <a:p>
          <a:pPr algn="ctr"/>
          <a:r>
            <a:rPr lang="en-US" sz="1100"/>
            <a:t>Find Max</a:t>
          </a:r>
          <a:r>
            <a:rPr lang="en-US" sz="1100" baseline="0"/>
            <a:t> Dist</a:t>
          </a:r>
        </a:p>
      </xdr:txBody>
    </xdr:sp>
    <xdr:clientData/>
  </xdr:twoCellAnchor>
  <xdr:twoCellAnchor>
    <xdr:from>
      <xdr:col>10</xdr:col>
      <xdr:colOff>692150</xdr:colOff>
      <xdr:row>5</xdr:row>
      <xdr:rowOff>133350</xdr:rowOff>
    </xdr:from>
    <xdr:to>
      <xdr:col>12</xdr:col>
      <xdr:colOff>819150</xdr:colOff>
      <xdr:row>7</xdr:row>
      <xdr:rowOff>38100</xdr:rowOff>
    </xdr:to>
    <xdr:sp macro="[0]!Assets" textlink="">
      <xdr:nvSpPr>
        <xdr:cNvPr id="3" name="Rectangle 2">
          <a:extLst>
            <a:ext uri="{FF2B5EF4-FFF2-40B4-BE49-F238E27FC236}">
              <a16:creationId xmlns:a16="http://schemas.microsoft.com/office/drawing/2014/main" id="{4B0C50CC-4918-694D-BEA3-9FBE3D4E0FFD}"/>
            </a:ext>
          </a:extLst>
        </xdr:cNvPr>
        <xdr:cNvSpPr/>
      </xdr:nvSpPr>
      <xdr:spPr bwMode="auto">
        <a:xfrm>
          <a:off x="10115550" y="1022350"/>
          <a:ext cx="2032000" cy="260350"/>
        </a:xfrm>
        <a:prstGeom prst="rect">
          <a:avLst/>
        </a:prstGeom>
        <a:solidFill>
          <a:srgbClr val="00B0F0"/>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txBody>
        <a:bodyPr vertOverflow="clip" wrap="square" lIns="18288" tIns="0" rIns="0" bIns="0" rtlCol="0" anchor="ctr" upright="1"/>
        <a:lstStyle/>
        <a:p>
          <a:pPr algn="ctr"/>
          <a:r>
            <a:rPr lang="en-US" sz="1100"/>
            <a:t>Find Assets</a:t>
          </a:r>
          <a:r>
            <a:rPr lang="en-US" sz="1100" baseline="0"/>
            <a:t> given living expenses</a:t>
          </a:r>
        </a:p>
      </xdr:txBody>
    </xdr:sp>
    <xdr:clientData/>
  </xdr:twoCellAnchor>
  <xdr:twoCellAnchor>
    <xdr:from>
      <xdr:col>10</xdr:col>
      <xdr:colOff>685800</xdr:colOff>
      <xdr:row>7</xdr:row>
      <xdr:rowOff>107950</xdr:rowOff>
    </xdr:from>
    <xdr:to>
      <xdr:col>11</xdr:col>
      <xdr:colOff>844550</xdr:colOff>
      <xdr:row>9</xdr:row>
      <xdr:rowOff>12700</xdr:rowOff>
    </xdr:to>
    <xdr:sp macro="[0]!Assets_Stress" textlink="">
      <xdr:nvSpPr>
        <xdr:cNvPr id="4" name="Rectangle 3">
          <a:extLst>
            <a:ext uri="{FF2B5EF4-FFF2-40B4-BE49-F238E27FC236}">
              <a16:creationId xmlns:a16="http://schemas.microsoft.com/office/drawing/2014/main" id="{CDCA70D2-3ED0-1349-B721-F256481EA1AB}"/>
            </a:ext>
          </a:extLst>
        </xdr:cNvPr>
        <xdr:cNvSpPr/>
      </xdr:nvSpPr>
      <xdr:spPr bwMode="auto">
        <a:xfrm>
          <a:off x="11061700" y="1352550"/>
          <a:ext cx="1111250" cy="260350"/>
        </a:xfrm>
        <a:prstGeom prst="rect">
          <a:avLst/>
        </a:prstGeom>
        <a:solidFill>
          <a:srgbClr val="00B0F0"/>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txBody>
        <a:bodyPr vertOverflow="clip" wrap="square" lIns="18288" tIns="0" rIns="0" bIns="0" rtlCol="0" anchor="ctr" upright="1"/>
        <a:lstStyle/>
        <a:p>
          <a:pPr algn="ctr"/>
          <a:r>
            <a:rPr lang="en-US" sz="1100"/>
            <a:t>Find Assets</a:t>
          </a:r>
          <a:r>
            <a:rPr lang="en-US" sz="1100" baseline="0"/>
            <a:t> - Stress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35844C-5580-4549-9083-4551ABD31B7D}" name="Table1" displayName="Table1" ref="A20:AB117" totalsRowShown="0" headerRowDxfId="30" headerRowBorderDxfId="29" tableBorderDxfId="28">
  <autoFilter ref="A20:AB117" xr:uid="{11203E9B-B3CB-D645-93F5-7C8677B60074}"/>
  <tableColumns count="28">
    <tableColumn id="1" xr3:uid="{00000000-0010-0000-0100-000001000000}" name="Year" dataDxfId="27"/>
    <tableColumn id="2" xr3:uid="{00000000-0010-0000-0100-000002000000}" name="S&amp;P 500 (includes dividends)" dataDxfId="26"/>
    <tableColumn id="22" xr3:uid="{00000000-0010-0000-0100-000016000000}" name="US Small cap (bottom decile)" dataDxfId="25">
      <calculatedColumnFormula>#REF!</calculatedColumnFormula>
    </tableColumn>
    <tableColumn id="3" xr3:uid="{00000000-0010-0000-0100-000003000000}" name="3-month T.Bill" dataDxfId="24"/>
    <tableColumn id="4" xr3:uid="{00000000-0010-0000-0100-000004000000}" name="US T. Bond (10-year)" dataDxfId="23"/>
    <tableColumn id="16" xr3:uid="{00000000-0010-0000-0100-000010000000}" name=" Baa Corporate Bond" dataDxfId="22">
      <calculatedColumnFormula>#REF!</calculatedColumnFormula>
    </tableColumn>
    <tableColumn id="15" xr3:uid="{00000000-0010-0000-0100-00000F000000}" name="Real Estate" dataDxfId="21">
      <calculatedColumnFormula>#REF!/#REF!-1</calculatedColumnFormula>
    </tableColumn>
    <tableColumn id="24" xr3:uid="{00000000-0010-0000-0100-000018000000}" name="Gold*" dataDxfId="20"/>
    <tableColumn id="5" xr3:uid="{00000000-0010-0000-0100-000005000000}" name="S&amp;P 500 (includes dividends)3" dataDxfId="19" dataCellStyle="Currency"/>
    <tableColumn id="23" xr3:uid="{00000000-0010-0000-0100-000017000000}" name="US Small cap (bottom decile) Cum Value" dataDxfId="18" dataCellStyle="Currency">
      <calculatedColumnFormula>J20*(1+C21)</calculatedColumnFormula>
    </tableColumn>
    <tableColumn id="6" xr3:uid="{00000000-0010-0000-0100-000006000000}" name="3-month T.Bill4" dataDxfId="17" dataCellStyle="Currency"/>
    <tableColumn id="7" xr3:uid="{00000000-0010-0000-0100-000007000000}" name="US T. Bond5" dataDxfId="16" dataCellStyle="Currency"/>
    <tableColumn id="17" xr3:uid="{00000000-0010-0000-0100-000011000000}" name=" Baa Corporate Bond2" dataDxfId="15" dataCellStyle="Currency"/>
    <tableColumn id="20" xr3:uid="{00000000-0010-0000-0100-000014000000}" name="Real Estate2" dataDxfId="14" dataCellStyle="Currency">
      <calculatedColumnFormula>N20*(1+G21)</calculatedColumnFormula>
    </tableColumn>
    <tableColumn id="25" xr3:uid="{00000000-0010-0000-0100-000019000000}" name="Gold2" dataDxfId="13" dataCellStyle="Currency">
      <calculatedColumnFormula>O20*(1+H21)</calculatedColumnFormula>
    </tableColumn>
    <tableColumn id="8" xr3:uid="{00000000-0010-0000-0100-000008000000}" name="Stocks - Bills" dataDxfId="12"/>
    <tableColumn id="9" xr3:uid="{00000000-0010-0000-0100-000009000000}" name="Stocks - Bonds" dataDxfId="11"/>
    <tableColumn id="28" xr3:uid="{00000000-0010-0000-0100-00001C000000}" name="Small Cap Premium (S&amp;P 500 minus Bottom Decile)" dataDxfId="10">
      <calculatedColumnFormula>'Returns by year'!$C21-'Returns by year'!$B21</calculatedColumnFormula>
    </tableColumn>
    <tableColumn id="18" xr3:uid="{00000000-0010-0000-0100-000012000000}" name="Stocks - Baa Corp Bond" dataDxfId="9">
      <calculatedColumnFormula>B21-F21</calculatedColumnFormula>
    </tableColumn>
    <tableColumn id="10" xr3:uid="{00000000-0010-0000-0100-00000A000000}" name="Historical ERP" dataDxfId="8"/>
    <tableColumn id="11" xr3:uid="{00000000-0010-0000-0100-00000B000000}" name="Inflation Rate" dataDxfId="7" dataCellStyle="Percent"/>
    <tableColumn id="12" xr3:uid="{00000000-0010-0000-0100-00000C000000}" name="S&amp;P 500 (includes dividends)2" dataDxfId="6">
      <calculatedColumnFormula>(1+B21)/(1+$U21)-1</calculatedColumnFormula>
    </tableColumn>
    <tableColumn id="27" xr3:uid="{00000000-0010-0000-0100-00001B000000}" name="US Small cap (bottom decile)22" dataDxfId="5">
      <calculatedColumnFormula>(1+C21)/(1+$U21)-1</calculatedColumnFormula>
    </tableColumn>
    <tableColumn id="13" xr3:uid="{00000000-0010-0000-0100-00000D000000}" name="3-month T. Bill (Real)" dataDxfId="4">
      <calculatedColumnFormula>(1+D21)/(1+$U21)-1</calculatedColumnFormula>
    </tableColumn>
    <tableColumn id="14" xr3:uid="{00000000-0010-0000-0100-00000E000000}" name="!0-year T.Bonds" dataDxfId="3">
      <calculatedColumnFormula>(1+E21)/(1+$U21)-1</calculatedColumnFormula>
    </tableColumn>
    <tableColumn id="19" xr3:uid="{00000000-0010-0000-0100-000013000000}" name="Baa Corp Bonds" dataDxfId="2">
      <calculatedColumnFormula>(1+F21)/(1+$U21)-1</calculatedColumnFormula>
    </tableColumn>
    <tableColumn id="21" xr3:uid="{00000000-0010-0000-0100-000015000000}" name="Real Estate3" dataDxfId="1">
      <calculatedColumnFormula>(1+G21)/(1+$U21)-1</calculatedColumnFormula>
    </tableColumn>
    <tableColumn id="26" xr3:uid="{00000000-0010-0000-0100-00001A000000}" name="Gold" dataDxfId="0">
      <calculatedColumnFormula>(1+H21)/(1+$U21)-1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stern.nyu.edu/~adamodar/New_Home_Page/data.html" TargetMode="External"/><Relationship Id="rId7" Type="http://schemas.openxmlformats.org/officeDocument/2006/relationships/table" Target="../tables/table1.x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vmlDrawing" Target="../drawings/vmlDrawing1.v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734F5-2A63-A145-B318-1903DE9B691F}">
  <sheetPr codeName="Sheet1"/>
  <dimension ref="A1:B28"/>
  <sheetViews>
    <sheetView topLeftCell="A3" zoomScale="125" workbookViewId="0">
      <selection activeCell="F6" sqref="F6"/>
    </sheetView>
  </sheetViews>
  <sheetFormatPr baseColWidth="10" defaultColWidth="11.42578125" defaultRowHeight="14"/>
  <cols>
    <col min="1" max="1" width="26.7109375" customWidth="1"/>
    <col min="2" max="2" width="84.85546875" customWidth="1"/>
  </cols>
  <sheetData>
    <row r="1" spans="1:2" ht="61" thickBot="1">
      <c r="A1" s="39" t="s">
        <v>44</v>
      </c>
      <c r="B1" s="40" t="s">
        <v>43</v>
      </c>
    </row>
    <row r="2" spans="1:2" ht="16">
      <c r="A2" s="30"/>
      <c r="B2" s="30"/>
    </row>
    <row r="3" spans="1:2" ht="16">
      <c r="A3" s="156" t="s">
        <v>45</v>
      </c>
      <c r="B3" s="156"/>
    </row>
    <row r="4" spans="1:2" ht="85">
      <c r="A4" s="31" t="s">
        <v>46</v>
      </c>
      <c r="B4" s="32" t="s">
        <v>70</v>
      </c>
    </row>
    <row r="5" spans="1:2" ht="34">
      <c r="A5" s="31" t="s">
        <v>97</v>
      </c>
      <c r="B5" s="32" t="s">
        <v>98</v>
      </c>
    </row>
    <row r="6" spans="1:2" ht="136">
      <c r="A6" s="33" t="s">
        <v>47</v>
      </c>
      <c r="B6" s="32" t="s">
        <v>48</v>
      </c>
    </row>
    <row r="7" spans="1:2" ht="51">
      <c r="A7" s="33" t="s">
        <v>49</v>
      </c>
      <c r="B7" s="32" t="s">
        <v>82</v>
      </c>
    </row>
    <row r="8" spans="1:2" ht="34">
      <c r="A8" s="31" t="s">
        <v>65</v>
      </c>
      <c r="B8" s="32" t="s">
        <v>66</v>
      </c>
    </row>
    <row r="9" spans="1:2" ht="68">
      <c r="A9" s="31" t="s">
        <v>67</v>
      </c>
      <c r="B9" s="32" t="s">
        <v>99</v>
      </c>
    </row>
    <row r="10" spans="1:2" ht="17">
      <c r="A10" s="31" t="s">
        <v>72</v>
      </c>
      <c r="B10" s="32" t="s">
        <v>74</v>
      </c>
    </row>
    <row r="11" spans="1:2" ht="16">
      <c r="A11" s="33" t="s">
        <v>27</v>
      </c>
      <c r="B11" s="35" t="s">
        <v>50</v>
      </c>
    </row>
    <row r="12" spans="1:2" ht="34">
      <c r="A12" s="33" t="s">
        <v>51</v>
      </c>
      <c r="B12" s="34" t="s">
        <v>52</v>
      </c>
    </row>
    <row r="13" spans="1:2" ht="16">
      <c r="A13" s="33" t="s">
        <v>53</v>
      </c>
      <c r="B13" s="35" t="s">
        <v>55</v>
      </c>
    </row>
    <row r="14" spans="1:2" ht="68">
      <c r="A14" s="36" t="s">
        <v>54</v>
      </c>
      <c r="B14" s="34" t="s">
        <v>57</v>
      </c>
    </row>
    <row r="15" spans="1:2" ht="34">
      <c r="A15" s="33" t="s">
        <v>2</v>
      </c>
      <c r="B15" s="34" t="s">
        <v>56</v>
      </c>
    </row>
    <row r="16" spans="1:2" ht="16">
      <c r="A16" s="30"/>
      <c r="B16" s="30"/>
    </row>
    <row r="17" spans="1:2" ht="16" customHeight="1">
      <c r="A17" s="157" t="s">
        <v>58</v>
      </c>
      <c r="B17" s="157"/>
    </row>
    <row r="18" spans="1:2" ht="34">
      <c r="A18" s="37" t="s">
        <v>59</v>
      </c>
      <c r="B18" s="34" t="s">
        <v>60</v>
      </c>
    </row>
    <row r="19" spans="1:2" ht="68">
      <c r="A19" s="31" t="s">
        <v>61</v>
      </c>
      <c r="B19" s="34" t="s">
        <v>62</v>
      </c>
    </row>
    <row r="20" spans="1:2" ht="85">
      <c r="A20" s="38" t="s">
        <v>63</v>
      </c>
      <c r="B20" s="32" t="s">
        <v>64</v>
      </c>
    </row>
    <row r="21" spans="1:2" ht="16">
      <c r="A21" s="30"/>
      <c r="B21" s="30"/>
    </row>
    <row r="22" spans="1:2" ht="16">
      <c r="A22" s="30"/>
      <c r="B22" s="30"/>
    </row>
    <row r="23" spans="1:2" ht="16">
      <c r="A23" s="30"/>
      <c r="B23" s="30"/>
    </row>
    <row r="24" spans="1:2" ht="16">
      <c r="A24" s="30"/>
      <c r="B24" s="30"/>
    </row>
    <row r="25" spans="1:2" ht="16">
      <c r="A25" s="30"/>
      <c r="B25" s="30"/>
    </row>
    <row r="26" spans="1:2" ht="16">
      <c r="A26" s="30"/>
      <c r="B26" s="30"/>
    </row>
    <row r="27" spans="1:2" ht="16">
      <c r="A27" s="30"/>
      <c r="B27" s="30"/>
    </row>
    <row r="28" spans="1:2" ht="16">
      <c r="A28" s="30"/>
      <c r="B28" s="30"/>
    </row>
  </sheetData>
  <mergeCells count="2">
    <mergeCell ref="A3:B3"/>
    <mergeCell ref="A17:B1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A1A80-7198-7B42-B78D-8B8119266EBB}">
  <sheetPr codeName="Sheet2"/>
  <dimension ref="A1:AK130"/>
  <sheetViews>
    <sheetView topLeftCell="A3" zoomScale="125" workbookViewId="0">
      <selection activeCell="A20" sqref="A20:H117"/>
    </sheetView>
  </sheetViews>
  <sheetFormatPr baseColWidth="10" defaultRowHeight="16"/>
  <cols>
    <col min="1" max="1" width="72.85546875" style="4" bestFit="1" customWidth="1"/>
    <col min="2" max="2" width="13.140625" style="4" bestFit="1" customWidth="1"/>
    <col min="3" max="3" width="12.28515625" style="4" bestFit="1" customWidth="1"/>
    <col min="4" max="4" width="15.85546875" style="4" bestFit="1" customWidth="1"/>
    <col min="5" max="5" width="16.85546875" style="4" bestFit="1" customWidth="1"/>
    <col min="6" max="6" width="16.28515625" style="4" bestFit="1" customWidth="1"/>
    <col min="7" max="7" width="13.85546875" style="4" bestFit="1" customWidth="1"/>
    <col min="8" max="8" width="10" style="4" bestFit="1" customWidth="1"/>
    <col min="9" max="9" width="14" style="3" bestFit="1" customWidth="1"/>
    <col min="10" max="10" width="20.28515625" style="3" bestFit="1" customWidth="1"/>
    <col min="11" max="11" width="16.7109375" style="3" bestFit="1" customWidth="1"/>
    <col min="12" max="12" width="14.42578125" style="3" bestFit="1" customWidth="1"/>
    <col min="13" max="13" width="16.28515625" style="3" bestFit="1" customWidth="1"/>
    <col min="14" max="14" width="14.7109375" style="3" bestFit="1" customWidth="1"/>
    <col min="15" max="15" width="13" style="3" bestFit="1" customWidth="1"/>
    <col min="16" max="16" width="14.28515625" style="3" bestFit="1" customWidth="1"/>
    <col min="17" max="17" width="15.5703125" style="3" bestFit="1" customWidth="1"/>
    <col min="18" max="18" width="17.28515625" style="3" bestFit="1" customWidth="1"/>
    <col min="19" max="19" width="11.5703125" style="3" bestFit="1" customWidth="1"/>
    <col min="20" max="20" width="12" style="3" bestFit="1" customWidth="1"/>
    <col min="21" max="21" width="11.140625" style="3" bestFit="1" customWidth="1"/>
    <col min="22" max="22" width="12.5703125" style="3" bestFit="1" customWidth="1"/>
    <col min="23" max="23" width="12.28515625" style="3" bestFit="1" customWidth="1"/>
    <col min="24" max="24" width="13" style="3" bestFit="1" customWidth="1"/>
    <col min="25" max="25" width="10.85546875" style="3" bestFit="1" customWidth="1"/>
    <col min="26" max="26" width="11.5703125" style="3" bestFit="1" customWidth="1"/>
    <col min="27" max="27" width="10.5703125" style="3" bestFit="1" customWidth="1"/>
    <col min="28" max="28" width="8.5703125" style="3" bestFit="1" customWidth="1"/>
    <col min="29" max="29" width="10.140625" style="3" bestFit="1" customWidth="1"/>
    <col min="30" max="30" width="14" style="3" bestFit="1" customWidth="1"/>
    <col min="31" max="32" width="7.85546875" style="3" bestFit="1" customWidth="1"/>
    <col min="33" max="33" width="9.28515625" style="3" bestFit="1" customWidth="1"/>
    <col min="34" max="34" width="11.7109375" style="3" bestFit="1" customWidth="1"/>
    <col min="35" max="35" width="13" style="3" bestFit="1" customWidth="1"/>
    <col min="36" max="36" width="7.140625" style="3" bestFit="1" customWidth="1"/>
    <col min="37" max="37" width="6.85546875" style="3" bestFit="1" customWidth="1"/>
    <col min="38" max="256" width="8.7109375" style="4" customWidth="1"/>
    <col min="257" max="16384" width="10.7109375" style="4"/>
  </cols>
  <sheetData>
    <row r="1" spans="1:37">
      <c r="A1" s="18" t="s">
        <v>16</v>
      </c>
      <c r="B1" s="158">
        <v>44196</v>
      </c>
      <c r="C1" s="159"/>
      <c r="D1" s="159"/>
      <c r="E1" s="159"/>
      <c r="F1" s="159"/>
      <c r="G1" s="159"/>
      <c r="H1" s="159"/>
      <c r="I1" s="159"/>
      <c r="J1" s="159"/>
      <c r="K1" s="160"/>
    </row>
    <row r="2" spans="1:37">
      <c r="A2" s="19" t="s">
        <v>17</v>
      </c>
      <c r="B2" s="161" t="s">
        <v>18</v>
      </c>
      <c r="C2" s="162"/>
      <c r="D2" s="162"/>
      <c r="E2" s="162"/>
      <c r="F2" s="162"/>
      <c r="G2" s="162"/>
      <c r="H2" s="162"/>
      <c r="I2" s="162"/>
      <c r="J2" s="162"/>
      <c r="K2" s="163"/>
    </row>
    <row r="3" spans="1:37">
      <c r="A3" s="19" t="s">
        <v>24</v>
      </c>
      <c r="B3" s="170" t="s">
        <v>38</v>
      </c>
      <c r="C3" s="171"/>
      <c r="D3" s="171"/>
      <c r="E3" s="171"/>
      <c r="F3" s="172"/>
      <c r="G3" s="42"/>
      <c r="H3" s="42"/>
      <c r="I3" s="173" t="s">
        <v>86</v>
      </c>
      <c r="J3" s="174"/>
      <c r="K3" s="175"/>
      <c r="L3" s="65"/>
      <c r="M3" s="65"/>
      <c r="N3" s="65"/>
      <c r="O3" s="65"/>
      <c r="P3" s="65"/>
    </row>
    <row r="4" spans="1:37">
      <c r="A4" s="19" t="s">
        <v>19</v>
      </c>
      <c r="B4" s="164" t="s">
        <v>20</v>
      </c>
      <c r="C4" s="165"/>
      <c r="D4" s="165"/>
      <c r="E4" s="165"/>
      <c r="F4" s="165"/>
      <c r="G4" s="165"/>
      <c r="H4" s="165"/>
      <c r="I4" s="165"/>
      <c r="J4" s="165"/>
      <c r="K4" s="166"/>
    </row>
    <row r="5" spans="1:37">
      <c r="A5" s="19" t="s">
        <v>21</v>
      </c>
      <c r="B5" s="167" t="s">
        <v>79</v>
      </c>
      <c r="C5" s="168"/>
      <c r="D5" s="168"/>
      <c r="E5" s="168"/>
      <c r="F5" s="168"/>
      <c r="G5" s="168"/>
      <c r="H5" s="168"/>
      <c r="I5" s="168"/>
      <c r="J5" s="168"/>
      <c r="K5" s="169"/>
    </row>
    <row r="6" spans="1:37">
      <c r="A6" s="19" t="s">
        <v>22</v>
      </c>
      <c r="B6" s="161" t="s">
        <v>80</v>
      </c>
      <c r="C6" s="162"/>
      <c r="D6" s="162"/>
      <c r="E6" s="162"/>
      <c r="F6" s="162"/>
      <c r="G6" s="162"/>
      <c r="H6" s="162"/>
      <c r="I6" s="162"/>
      <c r="J6" s="162"/>
      <c r="K6" s="163"/>
    </row>
    <row r="7" spans="1:37" ht="17" thickBot="1">
      <c r="A7" s="20" t="s">
        <v>23</v>
      </c>
      <c r="B7" s="180" t="s">
        <v>81</v>
      </c>
      <c r="C7" s="181"/>
      <c r="D7" s="181"/>
      <c r="E7" s="181"/>
      <c r="F7" s="181"/>
      <c r="G7" s="181"/>
      <c r="H7" s="181"/>
      <c r="I7" s="181"/>
      <c r="J7" s="181"/>
      <c r="K7" s="182"/>
    </row>
    <row r="8" spans="1:37" s="9" customFormat="1" ht="20" thickBot="1">
      <c r="A8" s="8" t="s">
        <v>25</v>
      </c>
      <c r="B8" s="8"/>
      <c r="C8" s="8"/>
      <c r="D8" s="8"/>
      <c r="E8" s="8"/>
      <c r="F8" s="8"/>
      <c r="G8" s="8"/>
      <c r="H8" s="8"/>
      <c r="I8" s="66"/>
      <c r="J8" s="66"/>
      <c r="K8" s="66"/>
      <c r="L8" s="29"/>
      <c r="M8" s="29"/>
      <c r="N8" s="29"/>
      <c r="O8" s="29"/>
      <c r="P8" s="29"/>
      <c r="Q8" s="29"/>
      <c r="R8" s="29"/>
      <c r="S8" s="29"/>
      <c r="T8" s="29"/>
      <c r="U8" s="29"/>
      <c r="V8" s="29"/>
      <c r="W8" s="29"/>
      <c r="X8" s="29"/>
      <c r="Y8" s="29"/>
      <c r="Z8" s="29"/>
      <c r="AA8" s="29"/>
      <c r="AB8" s="29"/>
      <c r="AC8" s="29"/>
      <c r="AD8" s="29"/>
      <c r="AE8" s="29"/>
      <c r="AF8" s="29"/>
      <c r="AG8" s="29"/>
      <c r="AH8" s="29"/>
      <c r="AI8" s="29"/>
      <c r="AJ8" s="29"/>
      <c r="AK8" s="29"/>
    </row>
    <row r="9" spans="1:37">
      <c r="A9" s="4" t="s">
        <v>5</v>
      </c>
      <c r="D9" s="7" t="s">
        <v>10</v>
      </c>
      <c r="G9" s="187" t="s">
        <v>15</v>
      </c>
      <c r="H9" s="188"/>
      <c r="I9" s="188"/>
      <c r="J9" s="188"/>
      <c r="K9" s="189"/>
      <c r="L9"/>
      <c r="M9"/>
      <c r="N9"/>
      <c r="O9"/>
      <c r="P9"/>
      <c r="Q9"/>
      <c r="R9"/>
      <c r="S9"/>
    </row>
    <row r="10" spans="1:37" ht="17" thickBot="1">
      <c r="A10" s="4" t="s">
        <v>6</v>
      </c>
      <c r="D10" s="7">
        <v>1975</v>
      </c>
      <c r="G10" s="190"/>
      <c r="H10" s="191"/>
      <c r="I10" s="191"/>
      <c r="J10" s="191"/>
      <c r="K10" s="192"/>
      <c r="L10"/>
      <c r="M10"/>
      <c r="N10"/>
      <c r="O10"/>
      <c r="P10"/>
      <c r="Q10"/>
      <c r="R10"/>
      <c r="S10"/>
    </row>
    <row r="11" spans="1:37">
      <c r="F11" s="3"/>
      <c r="G11" s="3"/>
      <c r="H11" s="3"/>
      <c r="L11" s="67"/>
    </row>
    <row r="12" spans="1:37">
      <c r="A12" s="4" t="s">
        <v>8</v>
      </c>
      <c r="E12" s="59" t="e">
        <f>IF(D10=1928,100,VLOOKUP(D10-1,A21:O117,9))</f>
        <v>#REF!</v>
      </c>
      <c r="F12" s="43"/>
    </row>
    <row r="13" spans="1:37">
      <c r="A13" s="4" t="s">
        <v>13</v>
      </c>
      <c r="E13" s="59" t="e">
        <f>IF(D10=1928,100,VLOOKUP(D10-1,A21:L117,11))</f>
        <v>#REF!</v>
      </c>
      <c r="F13" s="43"/>
    </row>
    <row r="14" spans="1:37">
      <c r="A14" s="4" t="s">
        <v>9</v>
      </c>
      <c r="E14" s="59" t="e">
        <f>IF(D10=1928,100,VLOOKUP(D10-1,A20:L117,12))</f>
        <v>#REF!</v>
      </c>
      <c r="F14" s="43"/>
      <c r="K14" s="67"/>
    </row>
    <row r="15" spans="1:37">
      <c r="A15" s="4" t="s">
        <v>83</v>
      </c>
      <c r="E15" s="59" t="e">
        <f>IF(D10=1928,100,VLOOKUP(D10-1,A20:N117,14))</f>
        <v>#REF!</v>
      </c>
      <c r="F15" s="43"/>
    </row>
    <row r="16" spans="1:37">
      <c r="A16" s="4" t="s">
        <v>84</v>
      </c>
      <c r="E16" s="59" t="e">
        <f>IF(D10=1928,100,VLOOKUP(D10-1,A20:O117,15))</f>
        <v>#REF!</v>
      </c>
      <c r="F16" s="43"/>
    </row>
    <row r="17" spans="1:37">
      <c r="A17" s="4" t="s">
        <v>7</v>
      </c>
      <c r="E17" s="60" t="e">
        <f>IF(D9="ST",(I117/E12)^(1/(A117-D10+1))-(K117/E13)^(1/(A117-D10+1)),(I117/E12)^(1/(A117-D10+1))-(L117/E14)^(1/(A117-D10+1)))</f>
        <v>#REF!</v>
      </c>
      <c r="F17" s="25"/>
    </row>
    <row r="18" spans="1:37" ht="17" thickBot="1"/>
    <row r="19" spans="1:37" ht="17" thickBot="1">
      <c r="B19" s="202" t="s">
        <v>0</v>
      </c>
      <c r="C19" s="202"/>
      <c r="D19" s="202"/>
      <c r="E19" s="202"/>
      <c r="F19" s="202"/>
      <c r="G19" s="202"/>
      <c r="H19" s="202"/>
      <c r="I19" s="193" t="s">
        <v>35</v>
      </c>
      <c r="J19" s="193"/>
      <c r="K19" s="186"/>
      <c r="L19" s="186"/>
      <c r="M19" s="186"/>
      <c r="N19" s="186"/>
      <c r="O19" s="186"/>
      <c r="P19" s="195" t="s">
        <v>36</v>
      </c>
      <c r="Q19" s="196"/>
      <c r="R19" s="196"/>
      <c r="S19" s="196"/>
      <c r="T19" s="197"/>
      <c r="U19" s="186" t="s">
        <v>77</v>
      </c>
      <c r="V19" s="186"/>
      <c r="W19" s="186"/>
      <c r="X19" s="186"/>
      <c r="Y19" s="186"/>
      <c r="Z19" s="186"/>
      <c r="AA19" s="186"/>
      <c r="AB19" s="186"/>
      <c r="AC19" s="193" t="s">
        <v>89</v>
      </c>
      <c r="AD19" s="193"/>
      <c r="AE19" s="186"/>
      <c r="AF19" s="186"/>
      <c r="AG19" s="186"/>
      <c r="AH19" s="186"/>
      <c r="AI19" s="194"/>
      <c r="AJ19" s="176" t="s">
        <v>90</v>
      </c>
      <c r="AK19" s="177"/>
    </row>
    <row r="20" spans="1:37" s="23" customFormat="1" ht="51">
      <c r="A20" s="52" t="s">
        <v>1</v>
      </c>
      <c r="B20" s="55" t="s">
        <v>26</v>
      </c>
      <c r="C20" s="55" t="s">
        <v>93</v>
      </c>
      <c r="D20" s="55" t="s">
        <v>14</v>
      </c>
      <c r="E20" s="55" t="s">
        <v>85</v>
      </c>
      <c r="F20" s="55" t="s">
        <v>39</v>
      </c>
      <c r="G20" s="55" t="s">
        <v>67</v>
      </c>
      <c r="H20" s="55" t="s">
        <v>75</v>
      </c>
      <c r="I20" s="61" t="s">
        <v>40</v>
      </c>
      <c r="J20" s="63" t="s">
        <v>100</v>
      </c>
      <c r="K20" s="21" t="s">
        <v>41</v>
      </c>
      <c r="L20" s="21" t="s">
        <v>42</v>
      </c>
      <c r="M20" s="21" t="s">
        <v>71</v>
      </c>
      <c r="N20" s="21" t="s">
        <v>68</v>
      </c>
      <c r="O20" s="21" t="s">
        <v>73</v>
      </c>
      <c r="P20" s="22" t="s">
        <v>94</v>
      </c>
      <c r="Q20" s="22" t="s">
        <v>11</v>
      </c>
      <c r="R20" s="17" t="s">
        <v>109</v>
      </c>
      <c r="S20" s="17" t="s">
        <v>31</v>
      </c>
      <c r="T20" s="17" t="s">
        <v>96</v>
      </c>
      <c r="U20" s="22" t="s">
        <v>27</v>
      </c>
      <c r="V20" s="22" t="s">
        <v>28</v>
      </c>
      <c r="W20" s="63" t="s">
        <v>95</v>
      </c>
      <c r="X20" s="22" t="s">
        <v>29</v>
      </c>
      <c r="Y20" s="22" t="s">
        <v>30</v>
      </c>
      <c r="Z20" s="22" t="s">
        <v>32</v>
      </c>
      <c r="AA20" s="22" t="s">
        <v>69</v>
      </c>
      <c r="AB20" s="22" t="s">
        <v>72</v>
      </c>
      <c r="AC20" s="21" t="s">
        <v>40</v>
      </c>
      <c r="AD20" s="64" t="s">
        <v>95</v>
      </c>
      <c r="AE20" s="21" t="s">
        <v>41</v>
      </c>
      <c r="AF20" s="21" t="s">
        <v>42</v>
      </c>
      <c r="AG20" s="21" t="s">
        <v>71</v>
      </c>
      <c r="AH20" s="21" t="s">
        <v>68</v>
      </c>
      <c r="AI20" s="21" t="s">
        <v>73</v>
      </c>
      <c r="AJ20" s="68" t="s">
        <v>91</v>
      </c>
      <c r="AK20" s="68" t="s">
        <v>92</v>
      </c>
    </row>
    <row r="21" spans="1:37">
      <c r="A21" s="15">
        <v>1928</v>
      </c>
      <c r="B21" s="56" t="e">
        <f>(#REF!-#REF!+#REF!)/#REF!</f>
        <v>#REF!</v>
      </c>
      <c r="C21" s="56" t="e">
        <f>#REF!</f>
        <v>#REF!</v>
      </c>
      <c r="D21" s="56">
        <v>3.0800000000000001E-2</v>
      </c>
      <c r="E21" s="56" t="e">
        <f>#REF!</f>
        <v>#REF!</v>
      </c>
      <c r="F21" s="56" t="e">
        <f>#REF!</f>
        <v>#REF!</v>
      </c>
      <c r="G21" s="56" t="e">
        <f>#REF!/#REF!-1</f>
        <v>#REF!</v>
      </c>
      <c r="H21" s="56" t="e">
        <f>#REF!/#REF!-1</f>
        <v>#REF!</v>
      </c>
      <c r="I21" s="54" t="e">
        <f>100*(1+B21)</f>
        <v>#REF!</v>
      </c>
      <c r="J21" s="54">
        <v>159.91</v>
      </c>
      <c r="K21" s="14">
        <f>100*(1+D21)</f>
        <v>103.08</v>
      </c>
      <c r="L21" s="14" t="e">
        <f>100*(1+E21)</f>
        <v>#REF!</v>
      </c>
      <c r="M21" s="14" t="e">
        <f>100*(1+F21)</f>
        <v>#REF!</v>
      </c>
      <c r="N21" s="14" t="e">
        <f>100*(1+G21)</f>
        <v>#REF!</v>
      </c>
      <c r="O21" s="14" t="e">
        <f>100*(1+H21)</f>
        <v>#REF!</v>
      </c>
      <c r="P21" s="12" t="e">
        <f t="shared" ref="P21:P52" si="0">B21-D21</f>
        <v>#REF!</v>
      </c>
      <c r="Q21" s="12" t="e">
        <f t="shared" ref="Q21:Q52" si="1">B21-E21</f>
        <v>#REF!</v>
      </c>
      <c r="R21" s="16" t="e">
        <f>'Returns by year'!$C21-'Returns by year'!$B21</f>
        <v>#REF!</v>
      </c>
      <c r="S21" s="16" t="e">
        <f t="shared" ref="S21:S52" si="2">B21-F21</f>
        <v>#REF!</v>
      </c>
      <c r="T21" s="15"/>
      <c r="U21" s="26" t="e">
        <f>#REF!</f>
        <v>#REF!</v>
      </c>
      <c r="V21" s="5" t="e">
        <f t="shared" ref="V21:V52" si="3">(1+B21)/(1+$U21)-1</f>
        <v>#REF!</v>
      </c>
      <c r="W21" s="5" t="e">
        <f t="shared" ref="W21:W52" si="4">(1+C21)/(1+$U21)-1</f>
        <v>#REF!</v>
      </c>
      <c r="X21" s="5" t="e">
        <f t="shared" ref="X21:X52" si="5">(1+D21)/(1+$U21)-1</f>
        <v>#REF!</v>
      </c>
      <c r="Y21" s="5" t="e">
        <f t="shared" ref="Y21:Y52" si="6">(1+E21)/(1+$U21)-1</f>
        <v>#REF!</v>
      </c>
      <c r="Z21" s="5" t="e">
        <f t="shared" ref="Z21:Z52" si="7">(1+F21)/(1+$U21)-1</f>
        <v>#REF!</v>
      </c>
      <c r="AA21" s="5" t="e">
        <f t="shared" ref="AA21:AA52" si="8">(1+G21)/(1+$U21)-1</f>
        <v>#REF!</v>
      </c>
      <c r="AB21" s="5" t="e">
        <f t="shared" ref="AB21:AB52" si="9">(1+H21)/(1+$U21)-1</f>
        <v>#REF!</v>
      </c>
      <c r="AC21" s="54" t="e">
        <f t="shared" ref="AC21:AI21" si="10">100*(1+V21)</f>
        <v>#REF!</v>
      </c>
      <c r="AD21" s="54" t="e">
        <f t="shared" si="10"/>
        <v>#REF!</v>
      </c>
      <c r="AE21" s="14" t="e">
        <f t="shared" si="10"/>
        <v>#REF!</v>
      </c>
      <c r="AF21" s="14" t="e">
        <f t="shared" si="10"/>
        <v>#REF!</v>
      </c>
      <c r="AG21" s="14" t="e">
        <f t="shared" si="10"/>
        <v>#REF!</v>
      </c>
      <c r="AH21" s="14" t="e">
        <f t="shared" si="10"/>
        <v>#REF!</v>
      </c>
      <c r="AI21" s="14" t="e">
        <f t="shared" si="10"/>
        <v>#REF!</v>
      </c>
      <c r="AJ21" s="2" t="e">
        <f>'Returns by year'!$V21-'Returns by year'!$X21</f>
        <v>#REF!</v>
      </c>
      <c r="AK21" s="2" t="e">
        <f>'Returns by year'!$V21-'Returns by year'!$Y21</f>
        <v>#REF!</v>
      </c>
    </row>
    <row r="22" spans="1:37">
      <c r="A22" s="15">
        <v>1929</v>
      </c>
      <c r="B22" s="56" t="e">
        <f>(#REF!-#REF!+#REF!)/#REF!</f>
        <v>#REF!</v>
      </c>
      <c r="C22" s="56" t="e">
        <f>#REF!</f>
        <v>#REF!</v>
      </c>
      <c r="D22" s="56">
        <v>3.1600000000000003E-2</v>
      </c>
      <c r="E22" s="56" t="e">
        <f>#REF!</f>
        <v>#REF!</v>
      </c>
      <c r="F22" s="56" t="e">
        <f>#REF!</f>
        <v>#REF!</v>
      </c>
      <c r="G22" s="56" t="e">
        <f>#REF!/#REF!-1</f>
        <v>#REF!</v>
      </c>
      <c r="H22" s="56" t="e">
        <f>#REF!/#REF!-1</f>
        <v>#REF!</v>
      </c>
      <c r="I22" s="57" t="e">
        <f t="shared" ref="I22:I53" si="11">I21*(1+B22)</f>
        <v>#REF!</v>
      </c>
      <c r="J22" s="14" t="e">
        <f t="shared" ref="J22:J52" si="12">J21*(1+C22)</f>
        <v>#REF!</v>
      </c>
      <c r="K22" s="14">
        <f t="shared" ref="K22:K53" si="13">K21*(1+D22)</f>
        <v>106.337328</v>
      </c>
      <c r="L22" s="14" t="e">
        <f t="shared" ref="L22:L53" si="14">L21*(1+E22)</f>
        <v>#REF!</v>
      </c>
      <c r="M22" s="14" t="e">
        <f t="shared" ref="M22:M53" si="15">M21*(1+F22)</f>
        <v>#REF!</v>
      </c>
      <c r="N22" s="14" t="e">
        <f t="shared" ref="N22:N53" si="16">N21*(1+G22)</f>
        <v>#REF!</v>
      </c>
      <c r="O22" s="14" t="e">
        <f t="shared" ref="O22:O53" si="17">O21*(1+H22)</f>
        <v>#REF!</v>
      </c>
      <c r="P22" s="12" t="e">
        <f t="shared" si="0"/>
        <v>#REF!</v>
      </c>
      <c r="Q22" s="12" t="e">
        <f t="shared" si="1"/>
        <v>#REF!</v>
      </c>
      <c r="R22" s="16" t="e">
        <f>'Returns by year'!$C22-'Returns by year'!$B22</f>
        <v>#REF!</v>
      </c>
      <c r="S22" s="16" t="e">
        <f t="shared" si="2"/>
        <v>#REF!</v>
      </c>
      <c r="T22" s="15"/>
      <c r="U22" s="26" t="e">
        <f>#REF!</f>
        <v>#REF!</v>
      </c>
      <c r="V22" s="2" t="e">
        <f t="shared" si="3"/>
        <v>#REF!</v>
      </c>
      <c r="W22" s="2" t="e">
        <f t="shared" si="4"/>
        <v>#REF!</v>
      </c>
      <c r="X22" s="2" t="e">
        <f t="shared" si="5"/>
        <v>#REF!</v>
      </c>
      <c r="Y22" s="2" t="e">
        <f t="shared" si="6"/>
        <v>#REF!</v>
      </c>
      <c r="Z22" s="2" t="e">
        <f t="shared" si="7"/>
        <v>#REF!</v>
      </c>
      <c r="AA22" s="2" t="e">
        <f t="shared" si="8"/>
        <v>#REF!</v>
      </c>
      <c r="AB22" s="2" t="e">
        <f t="shared" si="9"/>
        <v>#REF!</v>
      </c>
      <c r="AC22" s="57" t="e">
        <f t="shared" ref="AC22:AD85" si="18">AC21*(1+V22)</f>
        <v>#REF!</v>
      </c>
      <c r="AD22" s="57" t="e">
        <f t="shared" si="18"/>
        <v>#REF!</v>
      </c>
      <c r="AE22" s="14" t="e">
        <f t="shared" ref="AE22:AE85" si="19">AE21*(1+X22)</f>
        <v>#REF!</v>
      </c>
      <c r="AF22" s="14" t="e">
        <f t="shared" ref="AF22:AF85" si="20">AF21*(1+Y22)</f>
        <v>#REF!</v>
      </c>
      <c r="AG22" s="14" t="e">
        <f t="shared" ref="AG22:AG85" si="21">AG21*(1+Z22)</f>
        <v>#REF!</v>
      </c>
      <c r="AH22" s="14" t="e">
        <f t="shared" ref="AH22:AH85" si="22">AH21*(1+AA22)</f>
        <v>#REF!</v>
      </c>
      <c r="AI22" s="14" t="e">
        <f t="shared" ref="AI22:AI85" si="23">AI21*(1+AB22)</f>
        <v>#REF!</v>
      </c>
      <c r="AJ22" s="2" t="e">
        <f>'Returns by year'!$V22-'Returns by year'!$X22</f>
        <v>#REF!</v>
      </c>
      <c r="AK22" s="2" t="e">
        <f>'Returns by year'!$V22-'Returns by year'!$Y22</f>
        <v>#REF!</v>
      </c>
    </row>
    <row r="23" spans="1:37">
      <c r="A23" s="15">
        <v>1930</v>
      </c>
      <c r="B23" s="56" t="e">
        <f>(#REF!-#REF!+#REF!)/#REF!</f>
        <v>#REF!</v>
      </c>
      <c r="C23" s="56" t="e">
        <f>#REF!</f>
        <v>#REF!</v>
      </c>
      <c r="D23" s="56">
        <v>4.5499999999999999E-2</v>
      </c>
      <c r="E23" s="56" t="e">
        <f>#REF!</f>
        <v>#REF!</v>
      </c>
      <c r="F23" s="56" t="e">
        <f>#REF!</f>
        <v>#REF!</v>
      </c>
      <c r="G23" s="56" t="e">
        <f>#REF!/#REF!-1</f>
        <v>#REF!</v>
      </c>
      <c r="H23" s="56" t="e">
        <f>#REF!/#REF!-1</f>
        <v>#REF!</v>
      </c>
      <c r="I23" s="62" t="e">
        <f t="shared" si="11"/>
        <v>#REF!</v>
      </c>
      <c r="J23" s="14" t="e">
        <f t="shared" si="12"/>
        <v>#REF!</v>
      </c>
      <c r="K23" s="14">
        <f t="shared" si="13"/>
        <v>111.17567642400002</v>
      </c>
      <c r="L23" s="14" t="e">
        <f t="shared" si="14"/>
        <v>#REF!</v>
      </c>
      <c r="M23" s="14" t="e">
        <f t="shared" si="15"/>
        <v>#REF!</v>
      </c>
      <c r="N23" s="14" t="e">
        <f t="shared" si="16"/>
        <v>#REF!</v>
      </c>
      <c r="O23" s="14" t="e">
        <f t="shared" si="17"/>
        <v>#REF!</v>
      </c>
      <c r="P23" s="12" t="e">
        <f t="shared" si="0"/>
        <v>#REF!</v>
      </c>
      <c r="Q23" s="12" t="e">
        <f t="shared" si="1"/>
        <v>#REF!</v>
      </c>
      <c r="R23" s="16" t="e">
        <f>'Returns by year'!$C23-'Returns by year'!$B23</f>
        <v>#REF!</v>
      </c>
      <c r="S23" s="16" t="e">
        <f t="shared" si="2"/>
        <v>#REF!</v>
      </c>
      <c r="T23" s="15"/>
      <c r="U23" s="26" t="e">
        <f>#REF!</f>
        <v>#REF!</v>
      </c>
      <c r="V23" s="2" t="e">
        <f t="shared" si="3"/>
        <v>#REF!</v>
      </c>
      <c r="W23" s="2" t="e">
        <f t="shared" si="4"/>
        <v>#REF!</v>
      </c>
      <c r="X23" s="2" t="e">
        <f t="shared" si="5"/>
        <v>#REF!</v>
      </c>
      <c r="Y23" s="2" t="e">
        <f t="shared" si="6"/>
        <v>#REF!</v>
      </c>
      <c r="Z23" s="2" t="e">
        <f t="shared" si="7"/>
        <v>#REF!</v>
      </c>
      <c r="AA23" s="2" t="e">
        <f t="shared" si="8"/>
        <v>#REF!</v>
      </c>
      <c r="AB23" s="2" t="e">
        <f t="shared" si="9"/>
        <v>#REF!</v>
      </c>
      <c r="AC23" s="58" t="e">
        <f t="shared" si="18"/>
        <v>#REF!</v>
      </c>
      <c r="AD23" s="57" t="e">
        <f t="shared" si="18"/>
        <v>#REF!</v>
      </c>
      <c r="AE23" s="14" t="e">
        <f t="shared" si="19"/>
        <v>#REF!</v>
      </c>
      <c r="AF23" s="14" t="e">
        <f t="shared" si="20"/>
        <v>#REF!</v>
      </c>
      <c r="AG23" s="14" t="e">
        <f t="shared" si="21"/>
        <v>#REF!</v>
      </c>
      <c r="AH23" s="14" t="e">
        <f t="shared" si="22"/>
        <v>#REF!</v>
      </c>
      <c r="AI23" s="14" t="e">
        <f t="shared" si="23"/>
        <v>#REF!</v>
      </c>
      <c r="AJ23" s="2" t="e">
        <f>'Returns by year'!$V23-'Returns by year'!$X23</f>
        <v>#REF!</v>
      </c>
      <c r="AK23" s="2" t="e">
        <f>'Returns by year'!$V23-'Returns by year'!$Y23</f>
        <v>#REF!</v>
      </c>
    </row>
    <row r="24" spans="1:37">
      <c r="A24" s="15">
        <v>1931</v>
      </c>
      <c r="B24" s="56" t="e">
        <f>(#REF!-#REF!+#REF!)/#REF!</f>
        <v>#REF!</v>
      </c>
      <c r="C24" s="56" t="e">
        <f>#REF!</f>
        <v>#REF!</v>
      </c>
      <c r="D24" s="56">
        <v>2.3099999999999999E-2</v>
      </c>
      <c r="E24" s="56" t="e">
        <f>#REF!</f>
        <v>#REF!</v>
      </c>
      <c r="F24" s="56" t="e">
        <f>#REF!</f>
        <v>#REF!</v>
      </c>
      <c r="G24" s="56" t="e">
        <f>#REF!/#REF!-1</f>
        <v>#REF!</v>
      </c>
      <c r="H24" s="56" t="e">
        <f>#REF!/#REF!-1</f>
        <v>#REF!</v>
      </c>
      <c r="I24" s="54" t="e">
        <f t="shared" si="11"/>
        <v>#REF!</v>
      </c>
      <c r="J24" s="14" t="e">
        <f t="shared" si="12"/>
        <v>#REF!</v>
      </c>
      <c r="K24" s="14">
        <f t="shared" si="13"/>
        <v>113.74383454939441</v>
      </c>
      <c r="L24" s="14" t="e">
        <f t="shared" si="14"/>
        <v>#REF!</v>
      </c>
      <c r="M24" s="14" t="e">
        <f t="shared" si="15"/>
        <v>#REF!</v>
      </c>
      <c r="N24" s="14" t="e">
        <f t="shared" si="16"/>
        <v>#REF!</v>
      </c>
      <c r="O24" s="14" t="e">
        <f t="shared" si="17"/>
        <v>#REF!</v>
      </c>
      <c r="P24" s="12" t="e">
        <f t="shared" si="0"/>
        <v>#REF!</v>
      </c>
      <c r="Q24" s="12" t="e">
        <f t="shared" si="1"/>
        <v>#REF!</v>
      </c>
      <c r="R24" s="16" t="e">
        <f>'Returns by year'!$C24-'Returns by year'!$B24</f>
        <v>#REF!</v>
      </c>
      <c r="S24" s="16" t="e">
        <f t="shared" si="2"/>
        <v>#REF!</v>
      </c>
      <c r="T24" s="15"/>
      <c r="U24" s="26" t="e">
        <f>#REF!</f>
        <v>#REF!</v>
      </c>
      <c r="V24" s="2" t="e">
        <f t="shared" si="3"/>
        <v>#REF!</v>
      </c>
      <c r="W24" s="2" t="e">
        <f t="shared" si="4"/>
        <v>#REF!</v>
      </c>
      <c r="X24" s="2" t="e">
        <f t="shared" si="5"/>
        <v>#REF!</v>
      </c>
      <c r="Y24" s="2" t="e">
        <f t="shared" si="6"/>
        <v>#REF!</v>
      </c>
      <c r="Z24" s="2" t="e">
        <f t="shared" si="7"/>
        <v>#REF!</v>
      </c>
      <c r="AA24" s="2" t="e">
        <f t="shared" si="8"/>
        <v>#REF!</v>
      </c>
      <c r="AB24" s="2" t="e">
        <f t="shared" si="9"/>
        <v>#REF!</v>
      </c>
      <c r="AC24" s="54" t="e">
        <f t="shared" si="18"/>
        <v>#REF!</v>
      </c>
      <c r="AD24" s="57" t="e">
        <f t="shared" si="18"/>
        <v>#REF!</v>
      </c>
      <c r="AE24" s="14" t="e">
        <f t="shared" si="19"/>
        <v>#REF!</v>
      </c>
      <c r="AF24" s="14" t="e">
        <f t="shared" si="20"/>
        <v>#REF!</v>
      </c>
      <c r="AG24" s="14" t="e">
        <f t="shared" si="21"/>
        <v>#REF!</v>
      </c>
      <c r="AH24" s="14" t="e">
        <f t="shared" si="22"/>
        <v>#REF!</v>
      </c>
      <c r="AI24" s="14" t="e">
        <f t="shared" si="23"/>
        <v>#REF!</v>
      </c>
      <c r="AJ24" s="2" t="e">
        <f>'Returns by year'!$V24-'Returns by year'!$X24</f>
        <v>#REF!</v>
      </c>
      <c r="AK24" s="2" t="e">
        <f>'Returns by year'!$V24-'Returns by year'!$Y24</f>
        <v>#REF!</v>
      </c>
    </row>
    <row r="25" spans="1:37">
      <c r="A25" s="15">
        <v>1932</v>
      </c>
      <c r="B25" s="56" t="e">
        <f>(#REF!-#REF!+#REF!)/#REF!</f>
        <v>#REF!</v>
      </c>
      <c r="C25" s="56" t="e">
        <f>#REF!</f>
        <v>#REF!</v>
      </c>
      <c r="D25" s="56">
        <v>1.0699999999999999E-2</v>
      </c>
      <c r="E25" s="56" t="e">
        <f>#REF!</f>
        <v>#REF!</v>
      </c>
      <c r="F25" s="56" t="e">
        <f>#REF!</f>
        <v>#REF!</v>
      </c>
      <c r="G25" s="56" t="e">
        <f>#REF!/#REF!-1</f>
        <v>#REF!</v>
      </c>
      <c r="H25" s="56" t="e">
        <f>#REF!/#REF!-1</f>
        <v>#REF!</v>
      </c>
      <c r="I25" s="54" t="e">
        <f t="shared" si="11"/>
        <v>#REF!</v>
      </c>
      <c r="J25" s="14" t="e">
        <f t="shared" si="12"/>
        <v>#REF!</v>
      </c>
      <c r="K25" s="14">
        <f t="shared" si="13"/>
        <v>114.96089357907292</v>
      </c>
      <c r="L25" s="14" t="e">
        <f t="shared" si="14"/>
        <v>#REF!</v>
      </c>
      <c r="M25" s="14" t="e">
        <f t="shared" si="15"/>
        <v>#REF!</v>
      </c>
      <c r="N25" s="14" t="e">
        <f t="shared" si="16"/>
        <v>#REF!</v>
      </c>
      <c r="O25" s="14" t="e">
        <f t="shared" si="17"/>
        <v>#REF!</v>
      </c>
      <c r="P25" s="12" t="e">
        <f t="shared" si="0"/>
        <v>#REF!</v>
      </c>
      <c r="Q25" s="12" t="e">
        <f t="shared" si="1"/>
        <v>#REF!</v>
      </c>
      <c r="R25" s="16" t="e">
        <f>'Returns by year'!$C25-'Returns by year'!$B25</f>
        <v>#REF!</v>
      </c>
      <c r="S25" s="16" t="e">
        <f t="shared" si="2"/>
        <v>#REF!</v>
      </c>
      <c r="T25" s="15"/>
      <c r="U25" s="26" t="e">
        <f>#REF!</f>
        <v>#REF!</v>
      </c>
      <c r="V25" s="2" t="e">
        <f t="shared" si="3"/>
        <v>#REF!</v>
      </c>
      <c r="W25" s="2" t="e">
        <f t="shared" si="4"/>
        <v>#REF!</v>
      </c>
      <c r="X25" s="2" t="e">
        <f t="shared" si="5"/>
        <v>#REF!</v>
      </c>
      <c r="Y25" s="2" t="e">
        <f t="shared" si="6"/>
        <v>#REF!</v>
      </c>
      <c r="Z25" s="2" t="e">
        <f t="shared" si="7"/>
        <v>#REF!</v>
      </c>
      <c r="AA25" s="2" t="e">
        <f t="shared" si="8"/>
        <v>#REF!</v>
      </c>
      <c r="AB25" s="2" t="e">
        <f t="shared" si="9"/>
        <v>#REF!</v>
      </c>
      <c r="AC25" s="54" t="e">
        <f t="shared" si="18"/>
        <v>#REF!</v>
      </c>
      <c r="AD25" s="57" t="e">
        <f t="shared" si="18"/>
        <v>#REF!</v>
      </c>
      <c r="AE25" s="14" t="e">
        <f t="shared" si="19"/>
        <v>#REF!</v>
      </c>
      <c r="AF25" s="14" t="e">
        <f t="shared" si="20"/>
        <v>#REF!</v>
      </c>
      <c r="AG25" s="14" t="e">
        <f t="shared" si="21"/>
        <v>#REF!</v>
      </c>
      <c r="AH25" s="14" t="e">
        <f t="shared" si="22"/>
        <v>#REF!</v>
      </c>
      <c r="AI25" s="14" t="e">
        <f t="shared" si="23"/>
        <v>#REF!</v>
      </c>
      <c r="AJ25" s="2" t="e">
        <f>'Returns by year'!$V25-'Returns by year'!$X25</f>
        <v>#REF!</v>
      </c>
      <c r="AK25" s="2" t="e">
        <f>'Returns by year'!$V25-'Returns by year'!$Y25</f>
        <v>#REF!</v>
      </c>
    </row>
    <row r="26" spans="1:37">
      <c r="A26" s="15">
        <v>1933</v>
      </c>
      <c r="B26" s="56" t="e">
        <f>(#REF!-#REF!+#REF!)/#REF!</f>
        <v>#REF!</v>
      </c>
      <c r="C26" s="56" t="e">
        <f>#REF!</f>
        <v>#REF!</v>
      </c>
      <c r="D26" s="56">
        <v>9.5999999999999992E-3</v>
      </c>
      <c r="E26" s="56" t="e">
        <f>#REF!</f>
        <v>#REF!</v>
      </c>
      <c r="F26" s="56" t="e">
        <f>#REF!</f>
        <v>#REF!</v>
      </c>
      <c r="G26" s="56" t="e">
        <f>#REF!/#REF!-1</f>
        <v>#REF!</v>
      </c>
      <c r="H26" s="56" t="e">
        <f>#REF!/#REF!-1</f>
        <v>#REF!</v>
      </c>
      <c r="I26" s="54" t="e">
        <f t="shared" si="11"/>
        <v>#REF!</v>
      </c>
      <c r="J26" s="14" t="e">
        <f t="shared" si="12"/>
        <v>#REF!</v>
      </c>
      <c r="K26" s="14">
        <f t="shared" si="13"/>
        <v>116.06451815743202</v>
      </c>
      <c r="L26" s="14" t="e">
        <f t="shared" si="14"/>
        <v>#REF!</v>
      </c>
      <c r="M26" s="14" t="e">
        <f t="shared" si="15"/>
        <v>#REF!</v>
      </c>
      <c r="N26" s="14" t="e">
        <f t="shared" si="16"/>
        <v>#REF!</v>
      </c>
      <c r="O26" s="14" t="e">
        <f t="shared" si="17"/>
        <v>#REF!</v>
      </c>
      <c r="P26" s="12" t="e">
        <f t="shared" si="0"/>
        <v>#REF!</v>
      </c>
      <c r="Q26" s="12" t="e">
        <f t="shared" si="1"/>
        <v>#REF!</v>
      </c>
      <c r="R26" s="16" t="e">
        <f>'Returns by year'!$C26-'Returns by year'!$B26</f>
        <v>#REF!</v>
      </c>
      <c r="S26" s="16" t="e">
        <f t="shared" si="2"/>
        <v>#REF!</v>
      </c>
      <c r="T26" s="15"/>
      <c r="U26" s="26" t="e">
        <f>#REF!</f>
        <v>#REF!</v>
      </c>
      <c r="V26" s="2" t="e">
        <f t="shared" si="3"/>
        <v>#REF!</v>
      </c>
      <c r="W26" s="2" t="e">
        <f t="shared" si="4"/>
        <v>#REF!</v>
      </c>
      <c r="X26" s="2" t="e">
        <f t="shared" si="5"/>
        <v>#REF!</v>
      </c>
      <c r="Y26" s="2" t="e">
        <f t="shared" si="6"/>
        <v>#REF!</v>
      </c>
      <c r="Z26" s="2" t="e">
        <f t="shared" si="7"/>
        <v>#REF!</v>
      </c>
      <c r="AA26" s="2" t="e">
        <f t="shared" si="8"/>
        <v>#REF!</v>
      </c>
      <c r="AB26" s="2" t="e">
        <f t="shared" si="9"/>
        <v>#REF!</v>
      </c>
      <c r="AC26" s="54" t="e">
        <f t="shared" si="18"/>
        <v>#REF!</v>
      </c>
      <c r="AD26" s="57" t="e">
        <f t="shared" si="18"/>
        <v>#REF!</v>
      </c>
      <c r="AE26" s="14" t="e">
        <f t="shared" si="19"/>
        <v>#REF!</v>
      </c>
      <c r="AF26" s="14" t="e">
        <f t="shared" si="20"/>
        <v>#REF!</v>
      </c>
      <c r="AG26" s="14" t="e">
        <f t="shared" si="21"/>
        <v>#REF!</v>
      </c>
      <c r="AH26" s="14" t="e">
        <f t="shared" si="22"/>
        <v>#REF!</v>
      </c>
      <c r="AI26" s="14" t="e">
        <f t="shared" si="23"/>
        <v>#REF!</v>
      </c>
      <c r="AJ26" s="2" t="e">
        <f>'Returns by year'!$V26-'Returns by year'!$X26</f>
        <v>#REF!</v>
      </c>
      <c r="AK26" s="2" t="e">
        <f>'Returns by year'!$V26-'Returns by year'!$Y26</f>
        <v>#REF!</v>
      </c>
    </row>
    <row r="27" spans="1:37">
      <c r="A27" s="15">
        <v>1934</v>
      </c>
      <c r="B27" s="56" t="e">
        <f>(#REF!-#REF!+#REF!)/#REF!</f>
        <v>#REF!</v>
      </c>
      <c r="C27" s="56" t="e">
        <f>#REF!</f>
        <v>#REF!</v>
      </c>
      <c r="D27" s="56" t="e">
        <f>#REF!</f>
        <v>#REF!</v>
      </c>
      <c r="E27" s="56" t="e">
        <f>#REF!</f>
        <v>#REF!</v>
      </c>
      <c r="F27" s="56" t="e">
        <f>#REF!</f>
        <v>#REF!</v>
      </c>
      <c r="G27" s="56" t="e">
        <f>#REF!/#REF!-1</f>
        <v>#REF!</v>
      </c>
      <c r="H27" s="56" t="e">
        <f>#REF!/#REF!-1</f>
        <v>#REF!</v>
      </c>
      <c r="I27" s="54" t="e">
        <f t="shared" si="11"/>
        <v>#REF!</v>
      </c>
      <c r="J27" s="14" t="e">
        <f t="shared" si="12"/>
        <v>#REF!</v>
      </c>
      <c r="K27" s="14" t="e">
        <f t="shared" si="13"/>
        <v>#REF!</v>
      </c>
      <c r="L27" s="14" t="e">
        <f t="shared" si="14"/>
        <v>#REF!</v>
      </c>
      <c r="M27" s="14" t="e">
        <f t="shared" si="15"/>
        <v>#REF!</v>
      </c>
      <c r="N27" s="14" t="e">
        <f t="shared" si="16"/>
        <v>#REF!</v>
      </c>
      <c r="O27" s="14" t="e">
        <f t="shared" si="17"/>
        <v>#REF!</v>
      </c>
      <c r="P27" s="12" t="e">
        <f t="shared" si="0"/>
        <v>#REF!</v>
      </c>
      <c r="Q27" s="12" t="e">
        <f t="shared" si="1"/>
        <v>#REF!</v>
      </c>
      <c r="R27" s="16" t="e">
        <f>'Returns by year'!$C27-'Returns by year'!$B27</f>
        <v>#REF!</v>
      </c>
      <c r="S27" s="16" t="e">
        <f t="shared" si="2"/>
        <v>#REF!</v>
      </c>
      <c r="T27" s="15"/>
      <c r="U27" s="26" t="e">
        <f>#REF!</f>
        <v>#REF!</v>
      </c>
      <c r="V27" s="2" t="e">
        <f t="shared" si="3"/>
        <v>#REF!</v>
      </c>
      <c r="W27" s="2" t="e">
        <f t="shared" si="4"/>
        <v>#REF!</v>
      </c>
      <c r="X27" s="2" t="e">
        <f t="shared" si="5"/>
        <v>#REF!</v>
      </c>
      <c r="Y27" s="2" t="e">
        <f t="shared" si="6"/>
        <v>#REF!</v>
      </c>
      <c r="Z27" s="2" t="e">
        <f t="shared" si="7"/>
        <v>#REF!</v>
      </c>
      <c r="AA27" s="2" t="e">
        <f t="shared" si="8"/>
        <v>#REF!</v>
      </c>
      <c r="AB27" s="2" t="e">
        <f t="shared" si="9"/>
        <v>#REF!</v>
      </c>
      <c r="AC27" s="54" t="e">
        <f t="shared" si="18"/>
        <v>#REF!</v>
      </c>
      <c r="AD27" s="57" t="e">
        <f t="shared" si="18"/>
        <v>#REF!</v>
      </c>
      <c r="AE27" s="14" t="e">
        <f t="shared" si="19"/>
        <v>#REF!</v>
      </c>
      <c r="AF27" s="14" t="e">
        <f t="shared" si="20"/>
        <v>#REF!</v>
      </c>
      <c r="AG27" s="14" t="e">
        <f t="shared" si="21"/>
        <v>#REF!</v>
      </c>
      <c r="AH27" s="14" t="e">
        <f t="shared" si="22"/>
        <v>#REF!</v>
      </c>
      <c r="AI27" s="14" t="e">
        <f t="shared" si="23"/>
        <v>#REF!</v>
      </c>
      <c r="AJ27" s="2" t="e">
        <f>'Returns by year'!$V27-'Returns by year'!$X27</f>
        <v>#REF!</v>
      </c>
      <c r="AK27" s="2" t="e">
        <f>'Returns by year'!$V27-'Returns by year'!$Y27</f>
        <v>#REF!</v>
      </c>
    </row>
    <row r="28" spans="1:37">
      <c r="A28" s="15">
        <v>1935</v>
      </c>
      <c r="B28" s="56" t="e">
        <f>(#REF!-#REF!+#REF!)/#REF!</f>
        <v>#REF!</v>
      </c>
      <c r="C28" s="56" t="e">
        <f>#REF!</f>
        <v>#REF!</v>
      </c>
      <c r="D28" s="56" t="e">
        <f>#REF!</f>
        <v>#REF!</v>
      </c>
      <c r="E28" s="56" t="e">
        <f>#REF!</f>
        <v>#REF!</v>
      </c>
      <c r="F28" s="56" t="e">
        <f>#REF!</f>
        <v>#REF!</v>
      </c>
      <c r="G28" s="56" t="e">
        <f>#REF!/#REF!-1</f>
        <v>#REF!</v>
      </c>
      <c r="H28" s="56" t="e">
        <f>#REF!/#REF!-1</f>
        <v>#REF!</v>
      </c>
      <c r="I28" s="54" t="e">
        <f t="shared" si="11"/>
        <v>#REF!</v>
      </c>
      <c r="J28" s="14" t="e">
        <f t="shared" si="12"/>
        <v>#REF!</v>
      </c>
      <c r="K28" s="14" t="e">
        <f t="shared" si="13"/>
        <v>#REF!</v>
      </c>
      <c r="L28" s="14" t="e">
        <f t="shared" si="14"/>
        <v>#REF!</v>
      </c>
      <c r="M28" s="14" t="e">
        <f t="shared" si="15"/>
        <v>#REF!</v>
      </c>
      <c r="N28" s="14" t="e">
        <f t="shared" si="16"/>
        <v>#REF!</v>
      </c>
      <c r="O28" s="14" t="e">
        <f t="shared" si="17"/>
        <v>#REF!</v>
      </c>
      <c r="P28" s="12" t="e">
        <f t="shared" si="0"/>
        <v>#REF!</v>
      </c>
      <c r="Q28" s="12" t="e">
        <f t="shared" si="1"/>
        <v>#REF!</v>
      </c>
      <c r="R28" s="16" t="e">
        <f>'Returns by year'!$C28-'Returns by year'!$B28</f>
        <v>#REF!</v>
      </c>
      <c r="S28" s="16" t="e">
        <f t="shared" si="2"/>
        <v>#REF!</v>
      </c>
      <c r="T28" s="15"/>
      <c r="U28" s="26" t="e">
        <f>#REF!</f>
        <v>#REF!</v>
      </c>
      <c r="V28" s="2" t="e">
        <f t="shared" si="3"/>
        <v>#REF!</v>
      </c>
      <c r="W28" s="2" t="e">
        <f t="shared" si="4"/>
        <v>#REF!</v>
      </c>
      <c r="X28" s="2" t="e">
        <f t="shared" si="5"/>
        <v>#REF!</v>
      </c>
      <c r="Y28" s="2" t="e">
        <f t="shared" si="6"/>
        <v>#REF!</v>
      </c>
      <c r="Z28" s="2" t="e">
        <f t="shared" si="7"/>
        <v>#REF!</v>
      </c>
      <c r="AA28" s="2" t="e">
        <f t="shared" si="8"/>
        <v>#REF!</v>
      </c>
      <c r="AB28" s="2" t="e">
        <f t="shared" si="9"/>
        <v>#REF!</v>
      </c>
      <c r="AC28" s="54" t="e">
        <f t="shared" si="18"/>
        <v>#REF!</v>
      </c>
      <c r="AD28" s="57" t="e">
        <f t="shared" si="18"/>
        <v>#REF!</v>
      </c>
      <c r="AE28" s="14" t="e">
        <f t="shared" si="19"/>
        <v>#REF!</v>
      </c>
      <c r="AF28" s="14" t="e">
        <f t="shared" si="20"/>
        <v>#REF!</v>
      </c>
      <c r="AG28" s="14" t="e">
        <f t="shared" si="21"/>
        <v>#REF!</v>
      </c>
      <c r="AH28" s="14" t="e">
        <f t="shared" si="22"/>
        <v>#REF!</v>
      </c>
      <c r="AI28" s="14" t="e">
        <f t="shared" si="23"/>
        <v>#REF!</v>
      </c>
      <c r="AJ28" s="2" t="e">
        <f>'Returns by year'!$V28-'Returns by year'!$X28</f>
        <v>#REF!</v>
      </c>
      <c r="AK28" s="2" t="e">
        <f>'Returns by year'!$V28-'Returns by year'!$Y28</f>
        <v>#REF!</v>
      </c>
    </row>
    <row r="29" spans="1:37">
      <c r="A29" s="15">
        <v>1936</v>
      </c>
      <c r="B29" s="56" t="e">
        <f>(#REF!-#REF!+#REF!)/#REF!</f>
        <v>#REF!</v>
      </c>
      <c r="C29" s="56" t="e">
        <f>#REF!</f>
        <v>#REF!</v>
      </c>
      <c r="D29" s="56" t="e">
        <f>#REF!</f>
        <v>#REF!</v>
      </c>
      <c r="E29" s="56" t="e">
        <f>#REF!</f>
        <v>#REF!</v>
      </c>
      <c r="F29" s="56" t="e">
        <f>#REF!</f>
        <v>#REF!</v>
      </c>
      <c r="G29" s="56" t="e">
        <f>#REF!/#REF!-1</f>
        <v>#REF!</v>
      </c>
      <c r="H29" s="56" t="e">
        <f>#REF!/#REF!-1</f>
        <v>#REF!</v>
      </c>
      <c r="I29" s="54" t="e">
        <f t="shared" si="11"/>
        <v>#REF!</v>
      </c>
      <c r="J29" s="14" t="e">
        <f t="shared" si="12"/>
        <v>#REF!</v>
      </c>
      <c r="K29" s="14" t="e">
        <f t="shared" si="13"/>
        <v>#REF!</v>
      </c>
      <c r="L29" s="14" t="e">
        <f t="shared" si="14"/>
        <v>#REF!</v>
      </c>
      <c r="M29" s="14" t="e">
        <f t="shared" si="15"/>
        <v>#REF!</v>
      </c>
      <c r="N29" s="14" t="e">
        <f t="shared" si="16"/>
        <v>#REF!</v>
      </c>
      <c r="O29" s="14" t="e">
        <f t="shared" si="17"/>
        <v>#REF!</v>
      </c>
      <c r="P29" s="12" t="e">
        <f t="shared" si="0"/>
        <v>#REF!</v>
      </c>
      <c r="Q29" s="12" t="e">
        <f t="shared" si="1"/>
        <v>#REF!</v>
      </c>
      <c r="R29" s="16" t="e">
        <f>'Returns by year'!$C29-'Returns by year'!$B29</f>
        <v>#REF!</v>
      </c>
      <c r="S29" s="16" t="e">
        <f t="shared" si="2"/>
        <v>#REF!</v>
      </c>
      <c r="T29" s="15"/>
      <c r="U29" s="26" t="e">
        <f>#REF!</f>
        <v>#REF!</v>
      </c>
      <c r="V29" s="2" t="e">
        <f t="shared" si="3"/>
        <v>#REF!</v>
      </c>
      <c r="W29" s="2" t="e">
        <f t="shared" si="4"/>
        <v>#REF!</v>
      </c>
      <c r="X29" s="2" t="e">
        <f t="shared" si="5"/>
        <v>#REF!</v>
      </c>
      <c r="Y29" s="2" t="e">
        <f t="shared" si="6"/>
        <v>#REF!</v>
      </c>
      <c r="Z29" s="2" t="e">
        <f t="shared" si="7"/>
        <v>#REF!</v>
      </c>
      <c r="AA29" s="2" t="e">
        <f t="shared" si="8"/>
        <v>#REF!</v>
      </c>
      <c r="AB29" s="2" t="e">
        <f t="shared" si="9"/>
        <v>#REF!</v>
      </c>
      <c r="AC29" s="54" t="e">
        <f t="shared" si="18"/>
        <v>#REF!</v>
      </c>
      <c r="AD29" s="57" t="e">
        <f t="shared" si="18"/>
        <v>#REF!</v>
      </c>
      <c r="AE29" s="14" t="e">
        <f t="shared" si="19"/>
        <v>#REF!</v>
      </c>
      <c r="AF29" s="14" t="e">
        <f t="shared" si="20"/>
        <v>#REF!</v>
      </c>
      <c r="AG29" s="14" t="e">
        <f t="shared" si="21"/>
        <v>#REF!</v>
      </c>
      <c r="AH29" s="14" t="e">
        <f t="shared" si="22"/>
        <v>#REF!</v>
      </c>
      <c r="AI29" s="14" t="e">
        <f t="shared" si="23"/>
        <v>#REF!</v>
      </c>
      <c r="AJ29" s="2" t="e">
        <f>'Returns by year'!$V29-'Returns by year'!$X29</f>
        <v>#REF!</v>
      </c>
      <c r="AK29" s="2" t="e">
        <f>'Returns by year'!$V29-'Returns by year'!$Y29</f>
        <v>#REF!</v>
      </c>
    </row>
    <row r="30" spans="1:37">
      <c r="A30" s="15">
        <v>1937</v>
      </c>
      <c r="B30" s="56" t="e">
        <f>(#REF!-#REF!+#REF!)/#REF!</f>
        <v>#REF!</v>
      </c>
      <c r="C30" s="56" t="e">
        <f>#REF!</f>
        <v>#REF!</v>
      </c>
      <c r="D30" s="56" t="e">
        <f>#REF!</f>
        <v>#REF!</v>
      </c>
      <c r="E30" s="56" t="e">
        <f>#REF!</f>
        <v>#REF!</v>
      </c>
      <c r="F30" s="56" t="e">
        <f>#REF!</f>
        <v>#REF!</v>
      </c>
      <c r="G30" s="56" t="e">
        <f>#REF!/#REF!-1</f>
        <v>#REF!</v>
      </c>
      <c r="H30" s="56" t="e">
        <f>#REF!/#REF!-1</f>
        <v>#REF!</v>
      </c>
      <c r="I30" s="54" t="e">
        <f t="shared" si="11"/>
        <v>#REF!</v>
      </c>
      <c r="J30" s="14" t="e">
        <f t="shared" si="12"/>
        <v>#REF!</v>
      </c>
      <c r="K30" s="14" t="e">
        <f t="shared" si="13"/>
        <v>#REF!</v>
      </c>
      <c r="L30" s="14" t="e">
        <f t="shared" si="14"/>
        <v>#REF!</v>
      </c>
      <c r="M30" s="14" t="e">
        <f t="shared" si="15"/>
        <v>#REF!</v>
      </c>
      <c r="N30" s="14" t="e">
        <f t="shared" si="16"/>
        <v>#REF!</v>
      </c>
      <c r="O30" s="14" t="e">
        <f t="shared" si="17"/>
        <v>#REF!</v>
      </c>
      <c r="P30" s="12" t="e">
        <f t="shared" si="0"/>
        <v>#REF!</v>
      </c>
      <c r="Q30" s="12" t="e">
        <f t="shared" si="1"/>
        <v>#REF!</v>
      </c>
      <c r="R30" s="16" t="e">
        <f>'Returns by year'!$C30-'Returns by year'!$B30</f>
        <v>#REF!</v>
      </c>
      <c r="S30" s="16" t="e">
        <f t="shared" si="2"/>
        <v>#REF!</v>
      </c>
      <c r="T30" s="15"/>
      <c r="U30" s="26" t="e">
        <f>#REF!</f>
        <v>#REF!</v>
      </c>
      <c r="V30" s="2" t="e">
        <f t="shared" si="3"/>
        <v>#REF!</v>
      </c>
      <c r="W30" s="2" t="e">
        <f t="shared" si="4"/>
        <v>#REF!</v>
      </c>
      <c r="X30" s="2" t="e">
        <f t="shared" si="5"/>
        <v>#REF!</v>
      </c>
      <c r="Y30" s="2" t="e">
        <f t="shared" si="6"/>
        <v>#REF!</v>
      </c>
      <c r="Z30" s="2" t="e">
        <f t="shared" si="7"/>
        <v>#REF!</v>
      </c>
      <c r="AA30" s="2" t="e">
        <f t="shared" si="8"/>
        <v>#REF!</v>
      </c>
      <c r="AB30" s="2" t="e">
        <f t="shared" si="9"/>
        <v>#REF!</v>
      </c>
      <c r="AC30" s="54" t="e">
        <f t="shared" si="18"/>
        <v>#REF!</v>
      </c>
      <c r="AD30" s="57" t="e">
        <f t="shared" si="18"/>
        <v>#REF!</v>
      </c>
      <c r="AE30" s="14" t="e">
        <f t="shared" si="19"/>
        <v>#REF!</v>
      </c>
      <c r="AF30" s="14" t="e">
        <f t="shared" si="20"/>
        <v>#REF!</v>
      </c>
      <c r="AG30" s="14" t="e">
        <f t="shared" si="21"/>
        <v>#REF!</v>
      </c>
      <c r="AH30" s="14" t="e">
        <f t="shared" si="22"/>
        <v>#REF!</v>
      </c>
      <c r="AI30" s="14" t="e">
        <f t="shared" si="23"/>
        <v>#REF!</v>
      </c>
      <c r="AJ30" s="2" t="e">
        <f>'Returns by year'!$V30-'Returns by year'!$X30</f>
        <v>#REF!</v>
      </c>
      <c r="AK30" s="2" t="e">
        <f>'Returns by year'!$V30-'Returns by year'!$Y30</f>
        <v>#REF!</v>
      </c>
    </row>
    <row r="31" spans="1:37">
      <c r="A31" s="15">
        <v>1938</v>
      </c>
      <c r="B31" s="56" t="e">
        <f>(#REF!-#REF!+#REF!)/#REF!</f>
        <v>#REF!</v>
      </c>
      <c r="C31" s="56" t="e">
        <f>#REF!</f>
        <v>#REF!</v>
      </c>
      <c r="D31" s="56" t="e">
        <f>#REF!</f>
        <v>#REF!</v>
      </c>
      <c r="E31" s="56" t="e">
        <f>#REF!</f>
        <v>#REF!</v>
      </c>
      <c r="F31" s="56" t="e">
        <f>#REF!</f>
        <v>#REF!</v>
      </c>
      <c r="G31" s="56" t="e">
        <f>#REF!/#REF!-1</f>
        <v>#REF!</v>
      </c>
      <c r="H31" s="56" t="e">
        <f>#REF!/#REF!-1</f>
        <v>#REF!</v>
      </c>
      <c r="I31" s="54" t="e">
        <f t="shared" si="11"/>
        <v>#REF!</v>
      </c>
      <c r="J31" s="14" t="e">
        <f t="shared" si="12"/>
        <v>#REF!</v>
      </c>
      <c r="K31" s="14" t="e">
        <f t="shared" si="13"/>
        <v>#REF!</v>
      </c>
      <c r="L31" s="14" t="e">
        <f t="shared" si="14"/>
        <v>#REF!</v>
      </c>
      <c r="M31" s="14" t="e">
        <f t="shared" si="15"/>
        <v>#REF!</v>
      </c>
      <c r="N31" s="14" t="e">
        <f t="shared" si="16"/>
        <v>#REF!</v>
      </c>
      <c r="O31" s="14" t="e">
        <f t="shared" si="17"/>
        <v>#REF!</v>
      </c>
      <c r="P31" s="12" t="e">
        <f t="shared" si="0"/>
        <v>#REF!</v>
      </c>
      <c r="Q31" s="12" t="e">
        <f t="shared" si="1"/>
        <v>#REF!</v>
      </c>
      <c r="R31" s="16" t="e">
        <f>'Returns by year'!$C31-'Returns by year'!$B31</f>
        <v>#REF!</v>
      </c>
      <c r="S31" s="16" t="e">
        <f t="shared" si="2"/>
        <v>#REF!</v>
      </c>
      <c r="T31" s="15"/>
      <c r="U31" s="26" t="e">
        <f>#REF!</f>
        <v>#REF!</v>
      </c>
      <c r="V31" s="2" t="e">
        <f t="shared" si="3"/>
        <v>#REF!</v>
      </c>
      <c r="W31" s="2" t="e">
        <f t="shared" si="4"/>
        <v>#REF!</v>
      </c>
      <c r="X31" s="2" t="e">
        <f t="shared" si="5"/>
        <v>#REF!</v>
      </c>
      <c r="Y31" s="2" t="e">
        <f t="shared" si="6"/>
        <v>#REF!</v>
      </c>
      <c r="Z31" s="2" t="e">
        <f t="shared" si="7"/>
        <v>#REF!</v>
      </c>
      <c r="AA31" s="2" t="e">
        <f t="shared" si="8"/>
        <v>#REF!</v>
      </c>
      <c r="AB31" s="2" t="e">
        <f t="shared" si="9"/>
        <v>#REF!</v>
      </c>
      <c r="AC31" s="54" t="e">
        <f t="shared" si="18"/>
        <v>#REF!</v>
      </c>
      <c r="AD31" s="57" t="e">
        <f t="shared" si="18"/>
        <v>#REF!</v>
      </c>
      <c r="AE31" s="14" t="e">
        <f t="shared" si="19"/>
        <v>#REF!</v>
      </c>
      <c r="AF31" s="14" t="e">
        <f t="shared" si="20"/>
        <v>#REF!</v>
      </c>
      <c r="AG31" s="14" t="e">
        <f t="shared" si="21"/>
        <v>#REF!</v>
      </c>
      <c r="AH31" s="14" t="e">
        <f t="shared" si="22"/>
        <v>#REF!</v>
      </c>
      <c r="AI31" s="14" t="e">
        <f t="shared" si="23"/>
        <v>#REF!</v>
      </c>
      <c r="AJ31" s="2" t="e">
        <f>'Returns by year'!$V31-'Returns by year'!$X31</f>
        <v>#REF!</v>
      </c>
      <c r="AK31" s="2" t="e">
        <f>'Returns by year'!$V31-'Returns by year'!$Y31</f>
        <v>#REF!</v>
      </c>
    </row>
    <row r="32" spans="1:37">
      <c r="A32" s="15">
        <v>1939</v>
      </c>
      <c r="B32" s="56" t="e">
        <f>(#REF!-#REF!+#REF!)/#REF!</f>
        <v>#REF!</v>
      </c>
      <c r="C32" s="56" t="e">
        <f>#REF!</f>
        <v>#REF!</v>
      </c>
      <c r="D32" s="56" t="e">
        <f>#REF!</f>
        <v>#REF!</v>
      </c>
      <c r="E32" s="56" t="e">
        <f>#REF!</f>
        <v>#REF!</v>
      </c>
      <c r="F32" s="56" t="e">
        <f>#REF!</f>
        <v>#REF!</v>
      </c>
      <c r="G32" s="56" t="e">
        <f>#REF!/#REF!-1</f>
        <v>#REF!</v>
      </c>
      <c r="H32" s="56" t="e">
        <f>#REF!/#REF!-1</f>
        <v>#REF!</v>
      </c>
      <c r="I32" s="54" t="e">
        <f t="shared" si="11"/>
        <v>#REF!</v>
      </c>
      <c r="J32" s="14" t="e">
        <f t="shared" si="12"/>
        <v>#REF!</v>
      </c>
      <c r="K32" s="14" t="e">
        <f t="shared" si="13"/>
        <v>#REF!</v>
      </c>
      <c r="L32" s="14" t="e">
        <f t="shared" si="14"/>
        <v>#REF!</v>
      </c>
      <c r="M32" s="14" t="e">
        <f t="shared" si="15"/>
        <v>#REF!</v>
      </c>
      <c r="N32" s="14" t="e">
        <f t="shared" si="16"/>
        <v>#REF!</v>
      </c>
      <c r="O32" s="14" t="e">
        <f t="shared" si="17"/>
        <v>#REF!</v>
      </c>
      <c r="P32" s="12" t="e">
        <f t="shared" si="0"/>
        <v>#REF!</v>
      </c>
      <c r="Q32" s="12" t="e">
        <f t="shared" si="1"/>
        <v>#REF!</v>
      </c>
      <c r="R32" s="16" t="e">
        <f>'Returns by year'!$C32-'Returns by year'!$B32</f>
        <v>#REF!</v>
      </c>
      <c r="S32" s="16" t="e">
        <f t="shared" si="2"/>
        <v>#REF!</v>
      </c>
      <c r="T32" s="15"/>
      <c r="U32" s="26" t="e">
        <f>#REF!</f>
        <v>#REF!</v>
      </c>
      <c r="V32" s="2" t="e">
        <f t="shared" si="3"/>
        <v>#REF!</v>
      </c>
      <c r="W32" s="2" t="e">
        <f t="shared" si="4"/>
        <v>#REF!</v>
      </c>
      <c r="X32" s="2" t="e">
        <f t="shared" si="5"/>
        <v>#REF!</v>
      </c>
      <c r="Y32" s="2" t="e">
        <f t="shared" si="6"/>
        <v>#REF!</v>
      </c>
      <c r="Z32" s="2" t="e">
        <f t="shared" si="7"/>
        <v>#REF!</v>
      </c>
      <c r="AA32" s="2" t="e">
        <f t="shared" si="8"/>
        <v>#REF!</v>
      </c>
      <c r="AB32" s="2" t="e">
        <f t="shared" si="9"/>
        <v>#REF!</v>
      </c>
      <c r="AC32" s="54" t="e">
        <f t="shared" si="18"/>
        <v>#REF!</v>
      </c>
      <c r="AD32" s="57" t="e">
        <f t="shared" si="18"/>
        <v>#REF!</v>
      </c>
      <c r="AE32" s="14" t="e">
        <f t="shared" si="19"/>
        <v>#REF!</v>
      </c>
      <c r="AF32" s="14" t="e">
        <f t="shared" si="20"/>
        <v>#REF!</v>
      </c>
      <c r="AG32" s="14" t="e">
        <f t="shared" si="21"/>
        <v>#REF!</v>
      </c>
      <c r="AH32" s="14" t="e">
        <f t="shared" si="22"/>
        <v>#REF!</v>
      </c>
      <c r="AI32" s="14" t="e">
        <f t="shared" si="23"/>
        <v>#REF!</v>
      </c>
      <c r="AJ32" s="2" t="e">
        <f>'Returns by year'!$V32-'Returns by year'!$X32</f>
        <v>#REF!</v>
      </c>
      <c r="AK32" s="2" t="e">
        <f>'Returns by year'!$V32-'Returns by year'!$Y32</f>
        <v>#REF!</v>
      </c>
    </row>
    <row r="33" spans="1:37">
      <c r="A33" s="15">
        <v>1940</v>
      </c>
      <c r="B33" s="56" t="e">
        <f>(#REF!-#REF!+#REF!)/#REF!</f>
        <v>#REF!</v>
      </c>
      <c r="C33" s="56" t="e">
        <f>#REF!</f>
        <v>#REF!</v>
      </c>
      <c r="D33" s="56" t="e">
        <f>#REF!</f>
        <v>#REF!</v>
      </c>
      <c r="E33" s="56" t="e">
        <f>#REF!</f>
        <v>#REF!</v>
      </c>
      <c r="F33" s="56" t="e">
        <f>#REF!</f>
        <v>#REF!</v>
      </c>
      <c r="G33" s="56" t="e">
        <f>#REF!/#REF!-1</f>
        <v>#REF!</v>
      </c>
      <c r="H33" s="56" t="e">
        <f>#REF!/#REF!-1</f>
        <v>#REF!</v>
      </c>
      <c r="I33" s="54" t="e">
        <f t="shared" si="11"/>
        <v>#REF!</v>
      </c>
      <c r="J33" s="14" t="e">
        <f t="shared" si="12"/>
        <v>#REF!</v>
      </c>
      <c r="K33" s="14" t="e">
        <f t="shared" si="13"/>
        <v>#REF!</v>
      </c>
      <c r="L33" s="14" t="e">
        <f t="shared" si="14"/>
        <v>#REF!</v>
      </c>
      <c r="M33" s="14" t="e">
        <f t="shared" si="15"/>
        <v>#REF!</v>
      </c>
      <c r="N33" s="14" t="e">
        <f t="shared" si="16"/>
        <v>#REF!</v>
      </c>
      <c r="O33" s="14" t="e">
        <f t="shared" si="17"/>
        <v>#REF!</v>
      </c>
      <c r="P33" s="12" t="e">
        <f t="shared" si="0"/>
        <v>#REF!</v>
      </c>
      <c r="Q33" s="12" t="e">
        <f t="shared" si="1"/>
        <v>#REF!</v>
      </c>
      <c r="R33" s="16" t="e">
        <f>'Returns by year'!$C33-'Returns by year'!$B33</f>
        <v>#REF!</v>
      </c>
      <c r="S33" s="16" t="e">
        <f t="shared" si="2"/>
        <v>#REF!</v>
      </c>
      <c r="T33" s="15"/>
      <c r="U33" s="26" t="e">
        <f>#REF!</f>
        <v>#REF!</v>
      </c>
      <c r="V33" s="2" t="e">
        <f t="shared" si="3"/>
        <v>#REF!</v>
      </c>
      <c r="W33" s="2" t="e">
        <f t="shared" si="4"/>
        <v>#REF!</v>
      </c>
      <c r="X33" s="2" t="e">
        <f t="shared" si="5"/>
        <v>#REF!</v>
      </c>
      <c r="Y33" s="2" t="e">
        <f t="shared" si="6"/>
        <v>#REF!</v>
      </c>
      <c r="Z33" s="2" t="e">
        <f t="shared" si="7"/>
        <v>#REF!</v>
      </c>
      <c r="AA33" s="2" t="e">
        <f t="shared" si="8"/>
        <v>#REF!</v>
      </c>
      <c r="AB33" s="2" t="e">
        <f t="shared" si="9"/>
        <v>#REF!</v>
      </c>
      <c r="AC33" s="54" t="e">
        <f t="shared" si="18"/>
        <v>#REF!</v>
      </c>
      <c r="AD33" s="57" t="e">
        <f t="shared" si="18"/>
        <v>#REF!</v>
      </c>
      <c r="AE33" s="14" t="e">
        <f t="shared" si="19"/>
        <v>#REF!</v>
      </c>
      <c r="AF33" s="14" t="e">
        <f t="shared" si="20"/>
        <v>#REF!</v>
      </c>
      <c r="AG33" s="14" t="e">
        <f t="shared" si="21"/>
        <v>#REF!</v>
      </c>
      <c r="AH33" s="14" t="e">
        <f t="shared" si="22"/>
        <v>#REF!</v>
      </c>
      <c r="AI33" s="14" t="e">
        <f t="shared" si="23"/>
        <v>#REF!</v>
      </c>
      <c r="AJ33" s="2" t="e">
        <f>'Returns by year'!$V33-'Returns by year'!$X33</f>
        <v>#REF!</v>
      </c>
      <c r="AK33" s="2" t="e">
        <f>'Returns by year'!$V33-'Returns by year'!$Y33</f>
        <v>#REF!</v>
      </c>
    </row>
    <row r="34" spans="1:37">
      <c r="A34" s="15">
        <v>1941</v>
      </c>
      <c r="B34" s="56" t="e">
        <f>(#REF!-#REF!+#REF!)/#REF!</f>
        <v>#REF!</v>
      </c>
      <c r="C34" s="56" t="e">
        <f>#REF!</f>
        <v>#REF!</v>
      </c>
      <c r="D34" s="56" t="e">
        <f>#REF!</f>
        <v>#REF!</v>
      </c>
      <c r="E34" s="56" t="e">
        <f>#REF!</f>
        <v>#REF!</v>
      </c>
      <c r="F34" s="56" t="e">
        <f>#REF!</f>
        <v>#REF!</v>
      </c>
      <c r="G34" s="56" t="e">
        <f>#REF!/#REF!-1</f>
        <v>#REF!</v>
      </c>
      <c r="H34" s="56" t="e">
        <f>#REF!/#REF!-1</f>
        <v>#REF!</v>
      </c>
      <c r="I34" s="54" t="e">
        <f t="shared" si="11"/>
        <v>#REF!</v>
      </c>
      <c r="J34" s="14" t="e">
        <f t="shared" si="12"/>
        <v>#REF!</v>
      </c>
      <c r="K34" s="14" t="e">
        <f t="shared" si="13"/>
        <v>#REF!</v>
      </c>
      <c r="L34" s="14" t="e">
        <f t="shared" si="14"/>
        <v>#REF!</v>
      </c>
      <c r="M34" s="14" t="e">
        <f t="shared" si="15"/>
        <v>#REF!</v>
      </c>
      <c r="N34" s="14" t="e">
        <f t="shared" si="16"/>
        <v>#REF!</v>
      </c>
      <c r="O34" s="14" t="e">
        <f t="shared" si="17"/>
        <v>#REF!</v>
      </c>
      <c r="P34" s="12" t="e">
        <f t="shared" si="0"/>
        <v>#REF!</v>
      </c>
      <c r="Q34" s="12" t="e">
        <f t="shared" si="1"/>
        <v>#REF!</v>
      </c>
      <c r="R34" s="16" t="e">
        <f>'Returns by year'!$C34-'Returns by year'!$B34</f>
        <v>#REF!</v>
      </c>
      <c r="S34" s="16" t="e">
        <f t="shared" si="2"/>
        <v>#REF!</v>
      </c>
      <c r="T34" s="15"/>
      <c r="U34" s="26" t="e">
        <f>#REF!</f>
        <v>#REF!</v>
      </c>
      <c r="V34" s="2" t="e">
        <f t="shared" si="3"/>
        <v>#REF!</v>
      </c>
      <c r="W34" s="2" t="e">
        <f t="shared" si="4"/>
        <v>#REF!</v>
      </c>
      <c r="X34" s="2" t="e">
        <f t="shared" si="5"/>
        <v>#REF!</v>
      </c>
      <c r="Y34" s="2" t="e">
        <f t="shared" si="6"/>
        <v>#REF!</v>
      </c>
      <c r="Z34" s="2" t="e">
        <f t="shared" si="7"/>
        <v>#REF!</v>
      </c>
      <c r="AA34" s="2" t="e">
        <f t="shared" si="8"/>
        <v>#REF!</v>
      </c>
      <c r="AB34" s="2" t="e">
        <f t="shared" si="9"/>
        <v>#REF!</v>
      </c>
      <c r="AC34" s="54" t="e">
        <f t="shared" si="18"/>
        <v>#REF!</v>
      </c>
      <c r="AD34" s="57" t="e">
        <f t="shared" si="18"/>
        <v>#REF!</v>
      </c>
      <c r="AE34" s="14" t="e">
        <f t="shared" si="19"/>
        <v>#REF!</v>
      </c>
      <c r="AF34" s="14" t="e">
        <f t="shared" si="20"/>
        <v>#REF!</v>
      </c>
      <c r="AG34" s="14" t="e">
        <f t="shared" si="21"/>
        <v>#REF!</v>
      </c>
      <c r="AH34" s="14" t="e">
        <f t="shared" si="22"/>
        <v>#REF!</v>
      </c>
      <c r="AI34" s="14" t="e">
        <f t="shared" si="23"/>
        <v>#REF!</v>
      </c>
      <c r="AJ34" s="2" t="e">
        <f>'Returns by year'!$V34-'Returns by year'!$X34</f>
        <v>#REF!</v>
      </c>
      <c r="AK34" s="2" t="e">
        <f>'Returns by year'!$V34-'Returns by year'!$Y34</f>
        <v>#REF!</v>
      </c>
    </row>
    <row r="35" spans="1:37">
      <c r="A35" s="15">
        <v>1942</v>
      </c>
      <c r="B35" s="56" t="e">
        <f>(#REF!-#REF!+#REF!)/#REF!</f>
        <v>#REF!</v>
      </c>
      <c r="C35" s="56" t="e">
        <f>#REF!</f>
        <v>#REF!</v>
      </c>
      <c r="D35" s="56" t="e">
        <f>#REF!</f>
        <v>#REF!</v>
      </c>
      <c r="E35" s="56" t="e">
        <f>#REF!</f>
        <v>#REF!</v>
      </c>
      <c r="F35" s="56" t="e">
        <f>#REF!</f>
        <v>#REF!</v>
      </c>
      <c r="G35" s="56" t="e">
        <f>#REF!/#REF!-1</f>
        <v>#REF!</v>
      </c>
      <c r="H35" s="56" t="e">
        <f>#REF!/#REF!-1</f>
        <v>#REF!</v>
      </c>
      <c r="I35" s="54" t="e">
        <f t="shared" si="11"/>
        <v>#REF!</v>
      </c>
      <c r="J35" s="14" t="e">
        <f t="shared" si="12"/>
        <v>#REF!</v>
      </c>
      <c r="K35" s="14" t="e">
        <f t="shared" si="13"/>
        <v>#REF!</v>
      </c>
      <c r="L35" s="14" t="e">
        <f t="shared" si="14"/>
        <v>#REF!</v>
      </c>
      <c r="M35" s="14" t="e">
        <f t="shared" si="15"/>
        <v>#REF!</v>
      </c>
      <c r="N35" s="14" t="e">
        <f t="shared" si="16"/>
        <v>#REF!</v>
      </c>
      <c r="O35" s="14" t="e">
        <f t="shared" si="17"/>
        <v>#REF!</v>
      </c>
      <c r="P35" s="12" t="e">
        <f t="shared" si="0"/>
        <v>#REF!</v>
      </c>
      <c r="Q35" s="12" t="e">
        <f t="shared" si="1"/>
        <v>#REF!</v>
      </c>
      <c r="R35" s="16" t="e">
        <f>'Returns by year'!$C35-'Returns by year'!$B35</f>
        <v>#REF!</v>
      </c>
      <c r="S35" s="16" t="e">
        <f t="shared" si="2"/>
        <v>#REF!</v>
      </c>
      <c r="T35" s="15"/>
      <c r="U35" s="26" t="e">
        <f>#REF!</f>
        <v>#REF!</v>
      </c>
      <c r="V35" s="2" t="e">
        <f t="shared" si="3"/>
        <v>#REF!</v>
      </c>
      <c r="W35" s="2" t="e">
        <f t="shared" si="4"/>
        <v>#REF!</v>
      </c>
      <c r="X35" s="2" t="e">
        <f t="shared" si="5"/>
        <v>#REF!</v>
      </c>
      <c r="Y35" s="2" t="e">
        <f t="shared" si="6"/>
        <v>#REF!</v>
      </c>
      <c r="Z35" s="2" t="e">
        <f t="shared" si="7"/>
        <v>#REF!</v>
      </c>
      <c r="AA35" s="2" t="e">
        <f t="shared" si="8"/>
        <v>#REF!</v>
      </c>
      <c r="AB35" s="2" t="e">
        <f t="shared" si="9"/>
        <v>#REF!</v>
      </c>
      <c r="AC35" s="54" t="e">
        <f t="shared" si="18"/>
        <v>#REF!</v>
      </c>
      <c r="AD35" s="57" t="e">
        <f t="shared" si="18"/>
        <v>#REF!</v>
      </c>
      <c r="AE35" s="14" t="e">
        <f t="shared" si="19"/>
        <v>#REF!</v>
      </c>
      <c r="AF35" s="14" t="e">
        <f t="shared" si="20"/>
        <v>#REF!</v>
      </c>
      <c r="AG35" s="14" t="e">
        <f t="shared" si="21"/>
        <v>#REF!</v>
      </c>
      <c r="AH35" s="14" t="e">
        <f t="shared" si="22"/>
        <v>#REF!</v>
      </c>
      <c r="AI35" s="14" t="e">
        <f t="shared" si="23"/>
        <v>#REF!</v>
      </c>
      <c r="AJ35" s="2" t="e">
        <f>'Returns by year'!$V35-'Returns by year'!$X35</f>
        <v>#REF!</v>
      </c>
      <c r="AK35" s="2" t="e">
        <f>'Returns by year'!$V35-'Returns by year'!$Y35</f>
        <v>#REF!</v>
      </c>
    </row>
    <row r="36" spans="1:37">
      <c r="A36" s="15">
        <v>1943</v>
      </c>
      <c r="B36" s="56" t="e">
        <f>(#REF!-#REF!+#REF!)/#REF!</f>
        <v>#REF!</v>
      </c>
      <c r="C36" s="56" t="e">
        <f>#REF!</f>
        <v>#REF!</v>
      </c>
      <c r="D36" s="56" t="e">
        <f>#REF!</f>
        <v>#REF!</v>
      </c>
      <c r="E36" s="56" t="e">
        <f>#REF!</f>
        <v>#REF!</v>
      </c>
      <c r="F36" s="56" t="e">
        <f>#REF!</f>
        <v>#REF!</v>
      </c>
      <c r="G36" s="56" t="e">
        <f>#REF!/#REF!-1</f>
        <v>#REF!</v>
      </c>
      <c r="H36" s="56" t="e">
        <f>#REF!/#REF!-1</f>
        <v>#REF!</v>
      </c>
      <c r="I36" s="54" t="e">
        <f t="shared" si="11"/>
        <v>#REF!</v>
      </c>
      <c r="J36" s="14" t="e">
        <f t="shared" si="12"/>
        <v>#REF!</v>
      </c>
      <c r="K36" s="14" t="e">
        <f t="shared" si="13"/>
        <v>#REF!</v>
      </c>
      <c r="L36" s="14" t="e">
        <f t="shared" si="14"/>
        <v>#REF!</v>
      </c>
      <c r="M36" s="14" t="e">
        <f t="shared" si="15"/>
        <v>#REF!</v>
      </c>
      <c r="N36" s="14" t="e">
        <f t="shared" si="16"/>
        <v>#REF!</v>
      </c>
      <c r="O36" s="14" t="e">
        <f t="shared" si="17"/>
        <v>#REF!</v>
      </c>
      <c r="P36" s="12" t="e">
        <f t="shared" si="0"/>
        <v>#REF!</v>
      </c>
      <c r="Q36" s="12" t="e">
        <f t="shared" si="1"/>
        <v>#REF!</v>
      </c>
      <c r="R36" s="16" t="e">
        <f>'Returns by year'!$C36-'Returns by year'!$B36</f>
        <v>#REF!</v>
      </c>
      <c r="S36" s="16" t="e">
        <f t="shared" si="2"/>
        <v>#REF!</v>
      </c>
      <c r="T36" s="15"/>
      <c r="U36" s="26" t="e">
        <f>#REF!</f>
        <v>#REF!</v>
      </c>
      <c r="V36" s="2" t="e">
        <f t="shared" si="3"/>
        <v>#REF!</v>
      </c>
      <c r="W36" s="2" t="e">
        <f t="shared" si="4"/>
        <v>#REF!</v>
      </c>
      <c r="X36" s="2" t="e">
        <f t="shared" si="5"/>
        <v>#REF!</v>
      </c>
      <c r="Y36" s="2" t="e">
        <f t="shared" si="6"/>
        <v>#REF!</v>
      </c>
      <c r="Z36" s="2" t="e">
        <f t="shared" si="7"/>
        <v>#REF!</v>
      </c>
      <c r="AA36" s="2" t="e">
        <f t="shared" si="8"/>
        <v>#REF!</v>
      </c>
      <c r="AB36" s="2" t="e">
        <f t="shared" si="9"/>
        <v>#REF!</v>
      </c>
      <c r="AC36" s="54" t="e">
        <f t="shared" si="18"/>
        <v>#REF!</v>
      </c>
      <c r="AD36" s="57" t="e">
        <f t="shared" si="18"/>
        <v>#REF!</v>
      </c>
      <c r="AE36" s="14" t="e">
        <f t="shared" si="19"/>
        <v>#REF!</v>
      </c>
      <c r="AF36" s="14" t="e">
        <f t="shared" si="20"/>
        <v>#REF!</v>
      </c>
      <c r="AG36" s="14" t="e">
        <f t="shared" si="21"/>
        <v>#REF!</v>
      </c>
      <c r="AH36" s="14" t="e">
        <f t="shared" si="22"/>
        <v>#REF!</v>
      </c>
      <c r="AI36" s="14" t="e">
        <f t="shared" si="23"/>
        <v>#REF!</v>
      </c>
      <c r="AJ36" s="2" t="e">
        <f>'Returns by year'!$V36-'Returns by year'!$X36</f>
        <v>#REF!</v>
      </c>
      <c r="AK36" s="2" t="e">
        <f>'Returns by year'!$V36-'Returns by year'!$Y36</f>
        <v>#REF!</v>
      </c>
    </row>
    <row r="37" spans="1:37">
      <c r="A37" s="15">
        <v>1944</v>
      </c>
      <c r="B37" s="56" t="e">
        <f>(#REF!-#REF!+#REF!)/#REF!</f>
        <v>#REF!</v>
      </c>
      <c r="C37" s="56" t="e">
        <f>#REF!</f>
        <v>#REF!</v>
      </c>
      <c r="D37" s="56" t="e">
        <f>#REF!</f>
        <v>#REF!</v>
      </c>
      <c r="E37" s="56" t="e">
        <f>#REF!</f>
        <v>#REF!</v>
      </c>
      <c r="F37" s="56" t="e">
        <f>#REF!</f>
        <v>#REF!</v>
      </c>
      <c r="G37" s="56" t="e">
        <f>#REF!/#REF!-1</f>
        <v>#REF!</v>
      </c>
      <c r="H37" s="56" t="e">
        <f>#REF!/#REF!-1</f>
        <v>#REF!</v>
      </c>
      <c r="I37" s="54" t="e">
        <f t="shared" si="11"/>
        <v>#REF!</v>
      </c>
      <c r="J37" s="14" t="e">
        <f t="shared" si="12"/>
        <v>#REF!</v>
      </c>
      <c r="K37" s="14" t="e">
        <f t="shared" si="13"/>
        <v>#REF!</v>
      </c>
      <c r="L37" s="14" t="e">
        <f t="shared" si="14"/>
        <v>#REF!</v>
      </c>
      <c r="M37" s="14" t="e">
        <f t="shared" si="15"/>
        <v>#REF!</v>
      </c>
      <c r="N37" s="14" t="e">
        <f t="shared" si="16"/>
        <v>#REF!</v>
      </c>
      <c r="O37" s="14" t="e">
        <f t="shared" si="17"/>
        <v>#REF!</v>
      </c>
      <c r="P37" s="12" t="e">
        <f t="shared" si="0"/>
        <v>#REF!</v>
      </c>
      <c r="Q37" s="12" t="e">
        <f t="shared" si="1"/>
        <v>#REF!</v>
      </c>
      <c r="R37" s="16" t="e">
        <f>'Returns by year'!$C37-'Returns by year'!$B37</f>
        <v>#REF!</v>
      </c>
      <c r="S37" s="16" t="e">
        <f t="shared" si="2"/>
        <v>#REF!</v>
      </c>
      <c r="T37" s="15"/>
      <c r="U37" s="26" t="e">
        <f>#REF!</f>
        <v>#REF!</v>
      </c>
      <c r="V37" s="2" t="e">
        <f t="shared" si="3"/>
        <v>#REF!</v>
      </c>
      <c r="W37" s="2" t="e">
        <f t="shared" si="4"/>
        <v>#REF!</v>
      </c>
      <c r="X37" s="2" t="e">
        <f t="shared" si="5"/>
        <v>#REF!</v>
      </c>
      <c r="Y37" s="2" t="e">
        <f t="shared" si="6"/>
        <v>#REF!</v>
      </c>
      <c r="Z37" s="2" t="e">
        <f t="shared" si="7"/>
        <v>#REF!</v>
      </c>
      <c r="AA37" s="2" t="e">
        <f t="shared" si="8"/>
        <v>#REF!</v>
      </c>
      <c r="AB37" s="2" t="e">
        <f t="shared" si="9"/>
        <v>#REF!</v>
      </c>
      <c r="AC37" s="54" t="e">
        <f t="shared" si="18"/>
        <v>#REF!</v>
      </c>
      <c r="AD37" s="57" t="e">
        <f t="shared" si="18"/>
        <v>#REF!</v>
      </c>
      <c r="AE37" s="14" t="e">
        <f t="shared" si="19"/>
        <v>#REF!</v>
      </c>
      <c r="AF37" s="14" t="e">
        <f t="shared" si="20"/>
        <v>#REF!</v>
      </c>
      <c r="AG37" s="14" t="e">
        <f t="shared" si="21"/>
        <v>#REF!</v>
      </c>
      <c r="AH37" s="14" t="e">
        <f t="shared" si="22"/>
        <v>#REF!</v>
      </c>
      <c r="AI37" s="14" t="e">
        <f t="shared" si="23"/>
        <v>#REF!</v>
      </c>
      <c r="AJ37" s="2" t="e">
        <f>'Returns by year'!$V37-'Returns by year'!$X37</f>
        <v>#REF!</v>
      </c>
      <c r="AK37" s="2" t="e">
        <f>'Returns by year'!$V37-'Returns by year'!$Y37</f>
        <v>#REF!</v>
      </c>
    </row>
    <row r="38" spans="1:37">
      <c r="A38" s="15">
        <v>1945</v>
      </c>
      <c r="B38" s="56" t="e">
        <f>(#REF!-#REF!+#REF!)/#REF!</f>
        <v>#REF!</v>
      </c>
      <c r="C38" s="56" t="e">
        <f>#REF!</f>
        <v>#REF!</v>
      </c>
      <c r="D38" s="56" t="e">
        <f>#REF!</f>
        <v>#REF!</v>
      </c>
      <c r="E38" s="56" t="e">
        <f>#REF!</f>
        <v>#REF!</v>
      </c>
      <c r="F38" s="56" t="e">
        <f>#REF!</f>
        <v>#REF!</v>
      </c>
      <c r="G38" s="56" t="e">
        <f>#REF!/#REF!-1</f>
        <v>#REF!</v>
      </c>
      <c r="H38" s="56" t="e">
        <f>#REF!/#REF!-1</f>
        <v>#REF!</v>
      </c>
      <c r="I38" s="54" t="e">
        <f t="shared" si="11"/>
        <v>#REF!</v>
      </c>
      <c r="J38" s="14" t="e">
        <f t="shared" si="12"/>
        <v>#REF!</v>
      </c>
      <c r="K38" s="14" t="e">
        <f t="shared" si="13"/>
        <v>#REF!</v>
      </c>
      <c r="L38" s="14" t="e">
        <f t="shared" si="14"/>
        <v>#REF!</v>
      </c>
      <c r="M38" s="14" t="e">
        <f t="shared" si="15"/>
        <v>#REF!</v>
      </c>
      <c r="N38" s="14" t="e">
        <f t="shared" si="16"/>
        <v>#REF!</v>
      </c>
      <c r="O38" s="14" t="e">
        <f t="shared" si="17"/>
        <v>#REF!</v>
      </c>
      <c r="P38" s="12" t="e">
        <f t="shared" si="0"/>
        <v>#REF!</v>
      </c>
      <c r="Q38" s="12" t="e">
        <f t="shared" si="1"/>
        <v>#REF!</v>
      </c>
      <c r="R38" s="16" t="e">
        <f>'Returns by year'!$C38-'Returns by year'!$B38</f>
        <v>#REF!</v>
      </c>
      <c r="S38" s="16" t="e">
        <f t="shared" si="2"/>
        <v>#REF!</v>
      </c>
      <c r="T38" s="15"/>
      <c r="U38" s="26" t="e">
        <f>#REF!</f>
        <v>#REF!</v>
      </c>
      <c r="V38" s="2" t="e">
        <f t="shared" si="3"/>
        <v>#REF!</v>
      </c>
      <c r="W38" s="2" t="e">
        <f t="shared" si="4"/>
        <v>#REF!</v>
      </c>
      <c r="X38" s="2" t="e">
        <f t="shared" si="5"/>
        <v>#REF!</v>
      </c>
      <c r="Y38" s="2" t="e">
        <f t="shared" si="6"/>
        <v>#REF!</v>
      </c>
      <c r="Z38" s="2" t="e">
        <f t="shared" si="7"/>
        <v>#REF!</v>
      </c>
      <c r="AA38" s="2" t="e">
        <f t="shared" si="8"/>
        <v>#REF!</v>
      </c>
      <c r="AB38" s="2" t="e">
        <f t="shared" si="9"/>
        <v>#REF!</v>
      </c>
      <c r="AC38" s="54" t="e">
        <f t="shared" si="18"/>
        <v>#REF!</v>
      </c>
      <c r="AD38" s="57" t="e">
        <f t="shared" si="18"/>
        <v>#REF!</v>
      </c>
      <c r="AE38" s="14" t="e">
        <f t="shared" si="19"/>
        <v>#REF!</v>
      </c>
      <c r="AF38" s="14" t="e">
        <f t="shared" si="20"/>
        <v>#REF!</v>
      </c>
      <c r="AG38" s="14" t="e">
        <f t="shared" si="21"/>
        <v>#REF!</v>
      </c>
      <c r="AH38" s="14" t="e">
        <f t="shared" si="22"/>
        <v>#REF!</v>
      </c>
      <c r="AI38" s="14" t="e">
        <f t="shared" si="23"/>
        <v>#REF!</v>
      </c>
      <c r="AJ38" s="2" t="e">
        <f>'Returns by year'!$V38-'Returns by year'!$X38</f>
        <v>#REF!</v>
      </c>
      <c r="AK38" s="2" t="e">
        <f>'Returns by year'!$V38-'Returns by year'!$Y38</f>
        <v>#REF!</v>
      </c>
    </row>
    <row r="39" spans="1:37">
      <c r="A39" s="15">
        <v>1946</v>
      </c>
      <c r="B39" s="56" t="e">
        <f>(#REF!-#REF!+#REF!)/#REF!</f>
        <v>#REF!</v>
      </c>
      <c r="C39" s="56" t="e">
        <f>#REF!</f>
        <v>#REF!</v>
      </c>
      <c r="D39" s="56" t="e">
        <f>#REF!</f>
        <v>#REF!</v>
      </c>
      <c r="E39" s="56" t="e">
        <f>#REF!</f>
        <v>#REF!</v>
      </c>
      <c r="F39" s="56" t="e">
        <f>#REF!</f>
        <v>#REF!</v>
      </c>
      <c r="G39" s="56" t="e">
        <f>#REF!/#REF!-1</f>
        <v>#REF!</v>
      </c>
      <c r="H39" s="56" t="e">
        <f>#REF!/#REF!-1</f>
        <v>#REF!</v>
      </c>
      <c r="I39" s="54" t="e">
        <f t="shared" si="11"/>
        <v>#REF!</v>
      </c>
      <c r="J39" s="14" t="e">
        <f t="shared" si="12"/>
        <v>#REF!</v>
      </c>
      <c r="K39" s="14" t="e">
        <f t="shared" si="13"/>
        <v>#REF!</v>
      </c>
      <c r="L39" s="14" t="e">
        <f t="shared" si="14"/>
        <v>#REF!</v>
      </c>
      <c r="M39" s="14" t="e">
        <f t="shared" si="15"/>
        <v>#REF!</v>
      </c>
      <c r="N39" s="14" t="e">
        <f t="shared" si="16"/>
        <v>#REF!</v>
      </c>
      <c r="O39" s="14" t="e">
        <f t="shared" si="17"/>
        <v>#REF!</v>
      </c>
      <c r="P39" s="12" t="e">
        <f t="shared" si="0"/>
        <v>#REF!</v>
      </c>
      <c r="Q39" s="12" t="e">
        <f t="shared" si="1"/>
        <v>#REF!</v>
      </c>
      <c r="R39" s="16" t="e">
        <f>'Returns by year'!$C39-'Returns by year'!$B39</f>
        <v>#REF!</v>
      </c>
      <c r="S39" s="16" t="e">
        <f t="shared" si="2"/>
        <v>#REF!</v>
      </c>
      <c r="T39" s="15"/>
      <c r="U39" s="26" t="e">
        <f>#REF!</f>
        <v>#REF!</v>
      </c>
      <c r="V39" s="2" t="e">
        <f t="shared" si="3"/>
        <v>#REF!</v>
      </c>
      <c r="W39" s="2" t="e">
        <f t="shared" si="4"/>
        <v>#REF!</v>
      </c>
      <c r="X39" s="2" t="e">
        <f t="shared" si="5"/>
        <v>#REF!</v>
      </c>
      <c r="Y39" s="2" t="e">
        <f t="shared" si="6"/>
        <v>#REF!</v>
      </c>
      <c r="Z39" s="2" t="e">
        <f t="shared" si="7"/>
        <v>#REF!</v>
      </c>
      <c r="AA39" s="2" t="e">
        <f t="shared" si="8"/>
        <v>#REF!</v>
      </c>
      <c r="AB39" s="2" t="e">
        <f t="shared" si="9"/>
        <v>#REF!</v>
      </c>
      <c r="AC39" s="54" t="e">
        <f t="shared" si="18"/>
        <v>#REF!</v>
      </c>
      <c r="AD39" s="57" t="e">
        <f t="shared" si="18"/>
        <v>#REF!</v>
      </c>
      <c r="AE39" s="14" t="e">
        <f t="shared" si="19"/>
        <v>#REF!</v>
      </c>
      <c r="AF39" s="14" t="e">
        <f t="shared" si="20"/>
        <v>#REF!</v>
      </c>
      <c r="AG39" s="14" t="e">
        <f t="shared" si="21"/>
        <v>#REF!</v>
      </c>
      <c r="AH39" s="14" t="e">
        <f t="shared" si="22"/>
        <v>#REF!</v>
      </c>
      <c r="AI39" s="14" t="e">
        <f t="shared" si="23"/>
        <v>#REF!</v>
      </c>
      <c r="AJ39" s="2" t="e">
        <f>'Returns by year'!$V39-'Returns by year'!$X39</f>
        <v>#REF!</v>
      </c>
      <c r="AK39" s="2" t="e">
        <f>'Returns by year'!$V39-'Returns by year'!$Y39</f>
        <v>#REF!</v>
      </c>
    </row>
    <row r="40" spans="1:37">
      <c r="A40" s="15">
        <v>1947</v>
      </c>
      <c r="B40" s="56" t="e">
        <f>(#REF!-#REF!+#REF!)/#REF!</f>
        <v>#REF!</v>
      </c>
      <c r="C40" s="56" t="e">
        <f>#REF!</f>
        <v>#REF!</v>
      </c>
      <c r="D40" s="56" t="e">
        <f>#REF!</f>
        <v>#REF!</v>
      </c>
      <c r="E40" s="56" t="e">
        <f>#REF!</f>
        <v>#REF!</v>
      </c>
      <c r="F40" s="56" t="e">
        <f>#REF!</f>
        <v>#REF!</v>
      </c>
      <c r="G40" s="56" t="e">
        <f>#REF!/#REF!-1</f>
        <v>#REF!</v>
      </c>
      <c r="H40" s="56" t="e">
        <f>#REF!/#REF!-1</f>
        <v>#REF!</v>
      </c>
      <c r="I40" s="54" t="e">
        <f t="shared" si="11"/>
        <v>#REF!</v>
      </c>
      <c r="J40" s="14" t="e">
        <f t="shared" si="12"/>
        <v>#REF!</v>
      </c>
      <c r="K40" s="14" t="e">
        <f t="shared" si="13"/>
        <v>#REF!</v>
      </c>
      <c r="L40" s="14" t="e">
        <f t="shared" si="14"/>
        <v>#REF!</v>
      </c>
      <c r="M40" s="14" t="e">
        <f t="shared" si="15"/>
        <v>#REF!</v>
      </c>
      <c r="N40" s="14" t="e">
        <f t="shared" si="16"/>
        <v>#REF!</v>
      </c>
      <c r="O40" s="14" t="e">
        <f t="shared" si="17"/>
        <v>#REF!</v>
      </c>
      <c r="P40" s="12" t="e">
        <f t="shared" si="0"/>
        <v>#REF!</v>
      </c>
      <c r="Q40" s="12" t="e">
        <f t="shared" si="1"/>
        <v>#REF!</v>
      </c>
      <c r="R40" s="16" t="e">
        <f>'Returns by year'!$C40-'Returns by year'!$B40</f>
        <v>#REF!</v>
      </c>
      <c r="S40" s="16" t="e">
        <f t="shared" si="2"/>
        <v>#REF!</v>
      </c>
      <c r="T40" s="15"/>
      <c r="U40" s="26" t="e">
        <f>#REF!</f>
        <v>#REF!</v>
      </c>
      <c r="V40" s="2" t="e">
        <f t="shared" si="3"/>
        <v>#REF!</v>
      </c>
      <c r="W40" s="2" t="e">
        <f t="shared" si="4"/>
        <v>#REF!</v>
      </c>
      <c r="X40" s="2" t="e">
        <f t="shared" si="5"/>
        <v>#REF!</v>
      </c>
      <c r="Y40" s="2" t="e">
        <f t="shared" si="6"/>
        <v>#REF!</v>
      </c>
      <c r="Z40" s="2" t="e">
        <f t="shared" si="7"/>
        <v>#REF!</v>
      </c>
      <c r="AA40" s="2" t="e">
        <f t="shared" si="8"/>
        <v>#REF!</v>
      </c>
      <c r="AB40" s="2" t="e">
        <f t="shared" si="9"/>
        <v>#REF!</v>
      </c>
      <c r="AC40" s="54" t="e">
        <f t="shared" si="18"/>
        <v>#REF!</v>
      </c>
      <c r="AD40" s="57" t="e">
        <f t="shared" si="18"/>
        <v>#REF!</v>
      </c>
      <c r="AE40" s="14" t="e">
        <f t="shared" si="19"/>
        <v>#REF!</v>
      </c>
      <c r="AF40" s="14" t="e">
        <f t="shared" si="20"/>
        <v>#REF!</v>
      </c>
      <c r="AG40" s="14" t="e">
        <f t="shared" si="21"/>
        <v>#REF!</v>
      </c>
      <c r="AH40" s="14" t="e">
        <f t="shared" si="22"/>
        <v>#REF!</v>
      </c>
      <c r="AI40" s="14" t="e">
        <f t="shared" si="23"/>
        <v>#REF!</v>
      </c>
      <c r="AJ40" s="2" t="e">
        <f>'Returns by year'!$V40-'Returns by year'!$X40</f>
        <v>#REF!</v>
      </c>
      <c r="AK40" s="2" t="e">
        <f>'Returns by year'!$V40-'Returns by year'!$Y40</f>
        <v>#REF!</v>
      </c>
    </row>
    <row r="41" spans="1:37">
      <c r="A41" s="15">
        <v>1948</v>
      </c>
      <c r="B41" s="56" t="e">
        <f>(#REF!-#REF!+#REF!)/#REF!</f>
        <v>#REF!</v>
      </c>
      <c r="C41" s="56" t="e">
        <f>#REF!</f>
        <v>#REF!</v>
      </c>
      <c r="D41" s="56" t="e">
        <f>#REF!</f>
        <v>#REF!</v>
      </c>
      <c r="E41" s="56" t="e">
        <f>#REF!</f>
        <v>#REF!</v>
      </c>
      <c r="F41" s="56" t="e">
        <f>#REF!</f>
        <v>#REF!</v>
      </c>
      <c r="G41" s="56" t="e">
        <f>#REF!/#REF!-1</f>
        <v>#REF!</v>
      </c>
      <c r="H41" s="56" t="e">
        <f>#REF!/#REF!-1</f>
        <v>#REF!</v>
      </c>
      <c r="I41" s="54" t="e">
        <f t="shared" si="11"/>
        <v>#REF!</v>
      </c>
      <c r="J41" s="14" t="e">
        <f t="shared" si="12"/>
        <v>#REF!</v>
      </c>
      <c r="K41" s="14" t="e">
        <f t="shared" si="13"/>
        <v>#REF!</v>
      </c>
      <c r="L41" s="14" t="e">
        <f t="shared" si="14"/>
        <v>#REF!</v>
      </c>
      <c r="M41" s="14" t="e">
        <f t="shared" si="15"/>
        <v>#REF!</v>
      </c>
      <c r="N41" s="14" t="e">
        <f t="shared" si="16"/>
        <v>#REF!</v>
      </c>
      <c r="O41" s="14" t="e">
        <f t="shared" si="17"/>
        <v>#REF!</v>
      </c>
      <c r="P41" s="12" t="e">
        <f t="shared" si="0"/>
        <v>#REF!</v>
      </c>
      <c r="Q41" s="12" t="e">
        <f t="shared" si="1"/>
        <v>#REF!</v>
      </c>
      <c r="R41" s="16" t="e">
        <f>'Returns by year'!$C41-'Returns by year'!$B41</f>
        <v>#REF!</v>
      </c>
      <c r="S41" s="16" t="e">
        <f t="shared" si="2"/>
        <v>#REF!</v>
      </c>
      <c r="T41" s="15"/>
      <c r="U41" s="26" t="e">
        <f>#REF!</f>
        <v>#REF!</v>
      </c>
      <c r="V41" s="2" t="e">
        <f t="shared" si="3"/>
        <v>#REF!</v>
      </c>
      <c r="W41" s="2" t="e">
        <f t="shared" si="4"/>
        <v>#REF!</v>
      </c>
      <c r="X41" s="2" t="e">
        <f t="shared" si="5"/>
        <v>#REF!</v>
      </c>
      <c r="Y41" s="2" t="e">
        <f t="shared" si="6"/>
        <v>#REF!</v>
      </c>
      <c r="Z41" s="2" t="e">
        <f t="shared" si="7"/>
        <v>#REF!</v>
      </c>
      <c r="AA41" s="2" t="e">
        <f t="shared" si="8"/>
        <v>#REF!</v>
      </c>
      <c r="AB41" s="2" t="e">
        <f t="shared" si="9"/>
        <v>#REF!</v>
      </c>
      <c r="AC41" s="54" t="e">
        <f t="shared" si="18"/>
        <v>#REF!</v>
      </c>
      <c r="AD41" s="57" t="e">
        <f t="shared" si="18"/>
        <v>#REF!</v>
      </c>
      <c r="AE41" s="14" t="e">
        <f t="shared" si="19"/>
        <v>#REF!</v>
      </c>
      <c r="AF41" s="14" t="e">
        <f t="shared" si="20"/>
        <v>#REF!</v>
      </c>
      <c r="AG41" s="14" t="e">
        <f t="shared" si="21"/>
        <v>#REF!</v>
      </c>
      <c r="AH41" s="14" t="e">
        <f t="shared" si="22"/>
        <v>#REF!</v>
      </c>
      <c r="AI41" s="14" t="e">
        <f t="shared" si="23"/>
        <v>#REF!</v>
      </c>
      <c r="AJ41" s="2" t="e">
        <f>'Returns by year'!$V41-'Returns by year'!$X41</f>
        <v>#REF!</v>
      </c>
      <c r="AK41" s="2" t="e">
        <f>'Returns by year'!$V41-'Returns by year'!$Y41</f>
        <v>#REF!</v>
      </c>
    </row>
    <row r="42" spans="1:37">
      <c r="A42" s="15">
        <v>1949</v>
      </c>
      <c r="B42" s="56" t="e">
        <f>(#REF!-#REF!+#REF!)/#REF!</f>
        <v>#REF!</v>
      </c>
      <c r="C42" s="56" t="e">
        <f>#REF!</f>
        <v>#REF!</v>
      </c>
      <c r="D42" s="56" t="e">
        <f>#REF!</f>
        <v>#REF!</v>
      </c>
      <c r="E42" s="56" t="e">
        <f>#REF!</f>
        <v>#REF!</v>
      </c>
      <c r="F42" s="56" t="e">
        <f>#REF!</f>
        <v>#REF!</v>
      </c>
      <c r="G42" s="56" t="e">
        <f>#REF!/#REF!-1</f>
        <v>#REF!</v>
      </c>
      <c r="H42" s="56" t="e">
        <f>#REF!/#REF!-1</f>
        <v>#REF!</v>
      </c>
      <c r="I42" s="54" t="e">
        <f t="shared" si="11"/>
        <v>#REF!</v>
      </c>
      <c r="J42" s="14" t="e">
        <f t="shared" si="12"/>
        <v>#REF!</v>
      </c>
      <c r="K42" s="14" t="e">
        <f t="shared" si="13"/>
        <v>#REF!</v>
      </c>
      <c r="L42" s="14" t="e">
        <f t="shared" si="14"/>
        <v>#REF!</v>
      </c>
      <c r="M42" s="14" t="e">
        <f t="shared" si="15"/>
        <v>#REF!</v>
      </c>
      <c r="N42" s="14" t="e">
        <f t="shared" si="16"/>
        <v>#REF!</v>
      </c>
      <c r="O42" s="14" t="e">
        <f t="shared" si="17"/>
        <v>#REF!</v>
      </c>
      <c r="P42" s="12" t="e">
        <f t="shared" si="0"/>
        <v>#REF!</v>
      </c>
      <c r="Q42" s="12" t="e">
        <f t="shared" si="1"/>
        <v>#REF!</v>
      </c>
      <c r="R42" s="16" t="e">
        <f>'Returns by year'!$C42-'Returns by year'!$B42</f>
        <v>#REF!</v>
      </c>
      <c r="S42" s="16" t="e">
        <f t="shared" si="2"/>
        <v>#REF!</v>
      </c>
      <c r="T42" s="15"/>
      <c r="U42" s="26" t="e">
        <f>#REF!</f>
        <v>#REF!</v>
      </c>
      <c r="V42" s="2" t="e">
        <f t="shared" si="3"/>
        <v>#REF!</v>
      </c>
      <c r="W42" s="2" t="e">
        <f t="shared" si="4"/>
        <v>#REF!</v>
      </c>
      <c r="X42" s="2" t="e">
        <f t="shared" si="5"/>
        <v>#REF!</v>
      </c>
      <c r="Y42" s="2" t="e">
        <f t="shared" si="6"/>
        <v>#REF!</v>
      </c>
      <c r="Z42" s="2" t="e">
        <f t="shared" si="7"/>
        <v>#REF!</v>
      </c>
      <c r="AA42" s="2" t="e">
        <f t="shared" si="8"/>
        <v>#REF!</v>
      </c>
      <c r="AB42" s="2" t="e">
        <f t="shared" si="9"/>
        <v>#REF!</v>
      </c>
      <c r="AC42" s="54" t="e">
        <f t="shared" si="18"/>
        <v>#REF!</v>
      </c>
      <c r="AD42" s="57" t="e">
        <f t="shared" si="18"/>
        <v>#REF!</v>
      </c>
      <c r="AE42" s="14" t="e">
        <f t="shared" si="19"/>
        <v>#REF!</v>
      </c>
      <c r="AF42" s="14" t="e">
        <f t="shared" si="20"/>
        <v>#REF!</v>
      </c>
      <c r="AG42" s="14" t="e">
        <f t="shared" si="21"/>
        <v>#REF!</v>
      </c>
      <c r="AH42" s="14" t="e">
        <f t="shared" si="22"/>
        <v>#REF!</v>
      </c>
      <c r="AI42" s="14" t="e">
        <f t="shared" si="23"/>
        <v>#REF!</v>
      </c>
      <c r="AJ42" s="2" t="e">
        <f>'Returns by year'!$V42-'Returns by year'!$X42</f>
        <v>#REF!</v>
      </c>
      <c r="AK42" s="2" t="e">
        <f>'Returns by year'!$V42-'Returns by year'!$Y42</f>
        <v>#REF!</v>
      </c>
    </row>
    <row r="43" spans="1:37">
      <c r="A43" s="15">
        <v>1950</v>
      </c>
      <c r="B43" s="56" t="e">
        <f>(#REF!-#REF!+#REF!)/#REF!</f>
        <v>#REF!</v>
      </c>
      <c r="C43" s="56" t="e">
        <f>#REF!</f>
        <v>#REF!</v>
      </c>
      <c r="D43" s="56" t="e">
        <f>#REF!</f>
        <v>#REF!</v>
      </c>
      <c r="E43" s="56" t="e">
        <f>#REF!</f>
        <v>#REF!</v>
      </c>
      <c r="F43" s="56" t="e">
        <f>#REF!</f>
        <v>#REF!</v>
      </c>
      <c r="G43" s="56" t="e">
        <f>#REF!/#REF!-1</f>
        <v>#REF!</v>
      </c>
      <c r="H43" s="56" t="e">
        <f>#REF!/#REF!-1</f>
        <v>#REF!</v>
      </c>
      <c r="I43" s="54" t="e">
        <f t="shared" si="11"/>
        <v>#REF!</v>
      </c>
      <c r="J43" s="14" t="e">
        <f t="shared" si="12"/>
        <v>#REF!</v>
      </c>
      <c r="K43" s="14" t="e">
        <f t="shared" si="13"/>
        <v>#REF!</v>
      </c>
      <c r="L43" s="14" t="e">
        <f t="shared" si="14"/>
        <v>#REF!</v>
      </c>
      <c r="M43" s="14" t="e">
        <f t="shared" si="15"/>
        <v>#REF!</v>
      </c>
      <c r="N43" s="14" t="e">
        <f t="shared" si="16"/>
        <v>#REF!</v>
      </c>
      <c r="O43" s="14" t="e">
        <f t="shared" si="17"/>
        <v>#REF!</v>
      </c>
      <c r="P43" s="12" t="e">
        <f t="shared" si="0"/>
        <v>#REF!</v>
      </c>
      <c r="Q43" s="12" t="e">
        <f t="shared" si="1"/>
        <v>#REF!</v>
      </c>
      <c r="R43" s="16" t="e">
        <f>'Returns by year'!$C43-'Returns by year'!$B43</f>
        <v>#REF!</v>
      </c>
      <c r="S43" s="16" t="e">
        <f t="shared" si="2"/>
        <v>#REF!</v>
      </c>
      <c r="T43" s="15"/>
      <c r="U43" s="26" t="e">
        <f>#REF!</f>
        <v>#REF!</v>
      </c>
      <c r="V43" s="2" t="e">
        <f t="shared" si="3"/>
        <v>#REF!</v>
      </c>
      <c r="W43" s="2" t="e">
        <f t="shared" si="4"/>
        <v>#REF!</v>
      </c>
      <c r="X43" s="2" t="e">
        <f t="shared" si="5"/>
        <v>#REF!</v>
      </c>
      <c r="Y43" s="2" t="e">
        <f t="shared" si="6"/>
        <v>#REF!</v>
      </c>
      <c r="Z43" s="2" t="e">
        <f t="shared" si="7"/>
        <v>#REF!</v>
      </c>
      <c r="AA43" s="2" t="e">
        <f t="shared" si="8"/>
        <v>#REF!</v>
      </c>
      <c r="AB43" s="2" t="e">
        <f t="shared" si="9"/>
        <v>#REF!</v>
      </c>
      <c r="AC43" s="54" t="e">
        <f t="shared" si="18"/>
        <v>#REF!</v>
      </c>
      <c r="AD43" s="57" t="e">
        <f t="shared" si="18"/>
        <v>#REF!</v>
      </c>
      <c r="AE43" s="14" t="e">
        <f t="shared" si="19"/>
        <v>#REF!</v>
      </c>
      <c r="AF43" s="14" t="e">
        <f t="shared" si="20"/>
        <v>#REF!</v>
      </c>
      <c r="AG43" s="14" t="e">
        <f t="shared" si="21"/>
        <v>#REF!</v>
      </c>
      <c r="AH43" s="14" t="e">
        <f t="shared" si="22"/>
        <v>#REF!</v>
      </c>
      <c r="AI43" s="14" t="e">
        <f t="shared" si="23"/>
        <v>#REF!</v>
      </c>
      <c r="AJ43" s="2" t="e">
        <f>'Returns by year'!$V43-'Returns by year'!$X43</f>
        <v>#REF!</v>
      </c>
      <c r="AK43" s="2" t="e">
        <f>'Returns by year'!$V43-'Returns by year'!$Y43</f>
        <v>#REF!</v>
      </c>
    </row>
    <row r="44" spans="1:37">
      <c r="A44" s="15">
        <v>1951</v>
      </c>
      <c r="B44" s="56" t="e">
        <f>(#REF!-#REF!+#REF!)/#REF!</f>
        <v>#REF!</v>
      </c>
      <c r="C44" s="56" t="e">
        <f>#REF!</f>
        <v>#REF!</v>
      </c>
      <c r="D44" s="56" t="e">
        <f>#REF!</f>
        <v>#REF!</v>
      </c>
      <c r="E44" s="56" t="e">
        <f>#REF!</f>
        <v>#REF!</v>
      </c>
      <c r="F44" s="56" t="e">
        <f>#REF!</f>
        <v>#REF!</v>
      </c>
      <c r="G44" s="56" t="e">
        <f>#REF!/#REF!-1</f>
        <v>#REF!</v>
      </c>
      <c r="H44" s="56" t="e">
        <f>#REF!/#REF!-1</f>
        <v>#REF!</v>
      </c>
      <c r="I44" s="54" t="e">
        <f t="shared" si="11"/>
        <v>#REF!</v>
      </c>
      <c r="J44" s="14" t="e">
        <f t="shared" si="12"/>
        <v>#REF!</v>
      </c>
      <c r="K44" s="14" t="e">
        <f t="shared" si="13"/>
        <v>#REF!</v>
      </c>
      <c r="L44" s="14" t="e">
        <f t="shared" si="14"/>
        <v>#REF!</v>
      </c>
      <c r="M44" s="14" t="e">
        <f t="shared" si="15"/>
        <v>#REF!</v>
      </c>
      <c r="N44" s="14" t="e">
        <f t="shared" si="16"/>
        <v>#REF!</v>
      </c>
      <c r="O44" s="14" t="e">
        <f t="shared" si="17"/>
        <v>#REF!</v>
      </c>
      <c r="P44" s="12" t="e">
        <f t="shared" si="0"/>
        <v>#REF!</v>
      </c>
      <c r="Q44" s="12" t="e">
        <f t="shared" si="1"/>
        <v>#REF!</v>
      </c>
      <c r="R44" s="16" t="e">
        <f>'Returns by year'!$C44-'Returns by year'!$B44</f>
        <v>#REF!</v>
      </c>
      <c r="S44" s="16" t="e">
        <f t="shared" si="2"/>
        <v>#REF!</v>
      </c>
      <c r="T44" s="15"/>
      <c r="U44" s="26" t="e">
        <f>#REF!</f>
        <v>#REF!</v>
      </c>
      <c r="V44" s="2" t="e">
        <f t="shared" si="3"/>
        <v>#REF!</v>
      </c>
      <c r="W44" s="2" t="e">
        <f t="shared" si="4"/>
        <v>#REF!</v>
      </c>
      <c r="X44" s="2" t="e">
        <f t="shared" si="5"/>
        <v>#REF!</v>
      </c>
      <c r="Y44" s="2" t="e">
        <f t="shared" si="6"/>
        <v>#REF!</v>
      </c>
      <c r="Z44" s="2" t="e">
        <f t="shared" si="7"/>
        <v>#REF!</v>
      </c>
      <c r="AA44" s="2" t="e">
        <f t="shared" si="8"/>
        <v>#REF!</v>
      </c>
      <c r="AB44" s="2" t="e">
        <f t="shared" si="9"/>
        <v>#REF!</v>
      </c>
      <c r="AC44" s="54" t="e">
        <f t="shared" si="18"/>
        <v>#REF!</v>
      </c>
      <c r="AD44" s="57" t="e">
        <f t="shared" si="18"/>
        <v>#REF!</v>
      </c>
      <c r="AE44" s="14" t="e">
        <f t="shared" si="19"/>
        <v>#REF!</v>
      </c>
      <c r="AF44" s="14" t="e">
        <f t="shared" si="20"/>
        <v>#REF!</v>
      </c>
      <c r="AG44" s="14" t="e">
        <f t="shared" si="21"/>
        <v>#REF!</v>
      </c>
      <c r="AH44" s="14" t="e">
        <f t="shared" si="22"/>
        <v>#REF!</v>
      </c>
      <c r="AI44" s="14" t="e">
        <f t="shared" si="23"/>
        <v>#REF!</v>
      </c>
      <c r="AJ44" s="2" t="e">
        <f>'Returns by year'!$V44-'Returns by year'!$X44</f>
        <v>#REF!</v>
      </c>
      <c r="AK44" s="2" t="e">
        <f>'Returns by year'!$V44-'Returns by year'!$Y44</f>
        <v>#REF!</v>
      </c>
    </row>
    <row r="45" spans="1:37">
      <c r="A45" s="15">
        <v>1952</v>
      </c>
      <c r="B45" s="56" t="e">
        <f>(#REF!-#REF!+#REF!)/#REF!</f>
        <v>#REF!</v>
      </c>
      <c r="C45" s="56" t="e">
        <f>#REF!</f>
        <v>#REF!</v>
      </c>
      <c r="D45" s="56" t="e">
        <f>#REF!</f>
        <v>#REF!</v>
      </c>
      <c r="E45" s="56" t="e">
        <f>#REF!</f>
        <v>#REF!</v>
      </c>
      <c r="F45" s="56" t="e">
        <f>#REF!</f>
        <v>#REF!</v>
      </c>
      <c r="G45" s="56" t="e">
        <f>#REF!/#REF!-1</f>
        <v>#REF!</v>
      </c>
      <c r="H45" s="56" t="e">
        <f>#REF!/#REF!-1</f>
        <v>#REF!</v>
      </c>
      <c r="I45" s="54" t="e">
        <f t="shared" si="11"/>
        <v>#REF!</v>
      </c>
      <c r="J45" s="14" t="e">
        <f t="shared" si="12"/>
        <v>#REF!</v>
      </c>
      <c r="K45" s="14" t="e">
        <f t="shared" si="13"/>
        <v>#REF!</v>
      </c>
      <c r="L45" s="14" t="e">
        <f t="shared" si="14"/>
        <v>#REF!</v>
      </c>
      <c r="M45" s="14" t="e">
        <f t="shared" si="15"/>
        <v>#REF!</v>
      </c>
      <c r="N45" s="14" t="e">
        <f t="shared" si="16"/>
        <v>#REF!</v>
      </c>
      <c r="O45" s="14" t="e">
        <f t="shared" si="17"/>
        <v>#REF!</v>
      </c>
      <c r="P45" s="12" t="e">
        <f t="shared" si="0"/>
        <v>#REF!</v>
      </c>
      <c r="Q45" s="12" t="e">
        <f t="shared" si="1"/>
        <v>#REF!</v>
      </c>
      <c r="R45" s="16" t="e">
        <f>'Returns by year'!$C45-'Returns by year'!$B45</f>
        <v>#REF!</v>
      </c>
      <c r="S45" s="16" t="e">
        <f t="shared" si="2"/>
        <v>#REF!</v>
      </c>
      <c r="T45" s="15"/>
      <c r="U45" s="26" t="e">
        <f>#REF!</f>
        <v>#REF!</v>
      </c>
      <c r="V45" s="2" t="e">
        <f t="shared" si="3"/>
        <v>#REF!</v>
      </c>
      <c r="W45" s="2" t="e">
        <f t="shared" si="4"/>
        <v>#REF!</v>
      </c>
      <c r="X45" s="2" t="e">
        <f t="shared" si="5"/>
        <v>#REF!</v>
      </c>
      <c r="Y45" s="2" t="e">
        <f t="shared" si="6"/>
        <v>#REF!</v>
      </c>
      <c r="Z45" s="2" t="e">
        <f t="shared" si="7"/>
        <v>#REF!</v>
      </c>
      <c r="AA45" s="2" t="e">
        <f t="shared" si="8"/>
        <v>#REF!</v>
      </c>
      <c r="AB45" s="2" t="e">
        <f t="shared" si="9"/>
        <v>#REF!</v>
      </c>
      <c r="AC45" s="54" t="e">
        <f t="shared" si="18"/>
        <v>#REF!</v>
      </c>
      <c r="AD45" s="57" t="e">
        <f t="shared" si="18"/>
        <v>#REF!</v>
      </c>
      <c r="AE45" s="14" t="e">
        <f t="shared" si="19"/>
        <v>#REF!</v>
      </c>
      <c r="AF45" s="14" t="e">
        <f t="shared" si="20"/>
        <v>#REF!</v>
      </c>
      <c r="AG45" s="14" t="e">
        <f t="shared" si="21"/>
        <v>#REF!</v>
      </c>
      <c r="AH45" s="14" t="e">
        <f t="shared" si="22"/>
        <v>#REF!</v>
      </c>
      <c r="AI45" s="14" t="e">
        <f t="shared" si="23"/>
        <v>#REF!</v>
      </c>
      <c r="AJ45" s="2" t="e">
        <f>'Returns by year'!$V45-'Returns by year'!$X45</f>
        <v>#REF!</v>
      </c>
      <c r="AK45" s="2" t="e">
        <f>'Returns by year'!$V45-'Returns by year'!$Y45</f>
        <v>#REF!</v>
      </c>
    </row>
    <row r="46" spans="1:37">
      <c r="A46" s="15">
        <v>1953</v>
      </c>
      <c r="B46" s="56" t="e">
        <f>(#REF!-#REF!+#REF!)/#REF!</f>
        <v>#REF!</v>
      </c>
      <c r="C46" s="56" t="e">
        <f>#REF!</f>
        <v>#REF!</v>
      </c>
      <c r="D46" s="56" t="e">
        <f>#REF!</f>
        <v>#REF!</v>
      </c>
      <c r="E46" s="56" t="e">
        <f>#REF!</f>
        <v>#REF!</v>
      </c>
      <c r="F46" s="56" t="e">
        <f>#REF!</f>
        <v>#REF!</v>
      </c>
      <c r="G46" s="56" t="e">
        <f>#REF!/#REF!-1</f>
        <v>#REF!</v>
      </c>
      <c r="H46" s="56" t="e">
        <f>#REF!/#REF!-1</f>
        <v>#REF!</v>
      </c>
      <c r="I46" s="54" t="e">
        <f t="shared" si="11"/>
        <v>#REF!</v>
      </c>
      <c r="J46" s="14" t="e">
        <f t="shared" si="12"/>
        <v>#REF!</v>
      </c>
      <c r="K46" s="14" t="e">
        <f t="shared" si="13"/>
        <v>#REF!</v>
      </c>
      <c r="L46" s="14" t="e">
        <f t="shared" si="14"/>
        <v>#REF!</v>
      </c>
      <c r="M46" s="14" t="e">
        <f t="shared" si="15"/>
        <v>#REF!</v>
      </c>
      <c r="N46" s="14" t="e">
        <f t="shared" si="16"/>
        <v>#REF!</v>
      </c>
      <c r="O46" s="14" t="e">
        <f t="shared" si="17"/>
        <v>#REF!</v>
      </c>
      <c r="P46" s="12" t="e">
        <f t="shared" si="0"/>
        <v>#REF!</v>
      </c>
      <c r="Q46" s="12" t="e">
        <f t="shared" si="1"/>
        <v>#REF!</v>
      </c>
      <c r="R46" s="16" t="e">
        <f>'Returns by year'!$C46-'Returns by year'!$B46</f>
        <v>#REF!</v>
      </c>
      <c r="S46" s="16" t="e">
        <f t="shared" si="2"/>
        <v>#REF!</v>
      </c>
      <c r="T46" s="15"/>
      <c r="U46" s="26" t="e">
        <f>#REF!</f>
        <v>#REF!</v>
      </c>
      <c r="V46" s="2" t="e">
        <f t="shared" si="3"/>
        <v>#REF!</v>
      </c>
      <c r="W46" s="2" t="e">
        <f t="shared" si="4"/>
        <v>#REF!</v>
      </c>
      <c r="X46" s="2" t="e">
        <f t="shared" si="5"/>
        <v>#REF!</v>
      </c>
      <c r="Y46" s="2" t="e">
        <f t="shared" si="6"/>
        <v>#REF!</v>
      </c>
      <c r="Z46" s="2" t="e">
        <f t="shared" si="7"/>
        <v>#REF!</v>
      </c>
      <c r="AA46" s="2" t="e">
        <f t="shared" si="8"/>
        <v>#REF!</v>
      </c>
      <c r="AB46" s="2" t="e">
        <f t="shared" si="9"/>
        <v>#REF!</v>
      </c>
      <c r="AC46" s="54" t="e">
        <f t="shared" si="18"/>
        <v>#REF!</v>
      </c>
      <c r="AD46" s="57" t="e">
        <f t="shared" si="18"/>
        <v>#REF!</v>
      </c>
      <c r="AE46" s="14" t="e">
        <f t="shared" si="19"/>
        <v>#REF!</v>
      </c>
      <c r="AF46" s="14" t="e">
        <f t="shared" si="20"/>
        <v>#REF!</v>
      </c>
      <c r="AG46" s="14" t="e">
        <f t="shared" si="21"/>
        <v>#REF!</v>
      </c>
      <c r="AH46" s="14" t="e">
        <f t="shared" si="22"/>
        <v>#REF!</v>
      </c>
      <c r="AI46" s="14" t="e">
        <f t="shared" si="23"/>
        <v>#REF!</v>
      </c>
      <c r="AJ46" s="2" t="e">
        <f>'Returns by year'!$V46-'Returns by year'!$X46</f>
        <v>#REF!</v>
      </c>
      <c r="AK46" s="2" t="e">
        <f>'Returns by year'!$V46-'Returns by year'!$Y46</f>
        <v>#REF!</v>
      </c>
    </row>
    <row r="47" spans="1:37">
      <c r="A47" s="15">
        <v>1954</v>
      </c>
      <c r="B47" s="56" t="e">
        <f>(#REF!-#REF!+#REF!)/#REF!</f>
        <v>#REF!</v>
      </c>
      <c r="C47" s="56" t="e">
        <f>#REF!</f>
        <v>#REF!</v>
      </c>
      <c r="D47" s="56" t="e">
        <f>#REF!</f>
        <v>#REF!</v>
      </c>
      <c r="E47" s="56" t="e">
        <f>#REF!</f>
        <v>#REF!</v>
      </c>
      <c r="F47" s="56" t="e">
        <f>#REF!</f>
        <v>#REF!</v>
      </c>
      <c r="G47" s="56" t="e">
        <f>#REF!/#REF!-1</f>
        <v>#REF!</v>
      </c>
      <c r="H47" s="56" t="e">
        <f>#REF!/#REF!-1</f>
        <v>#REF!</v>
      </c>
      <c r="I47" s="54" t="e">
        <f t="shared" si="11"/>
        <v>#REF!</v>
      </c>
      <c r="J47" s="14" t="e">
        <f t="shared" si="12"/>
        <v>#REF!</v>
      </c>
      <c r="K47" s="14" t="e">
        <f t="shared" si="13"/>
        <v>#REF!</v>
      </c>
      <c r="L47" s="14" t="e">
        <f t="shared" si="14"/>
        <v>#REF!</v>
      </c>
      <c r="M47" s="14" t="e">
        <f t="shared" si="15"/>
        <v>#REF!</v>
      </c>
      <c r="N47" s="14" t="e">
        <f t="shared" si="16"/>
        <v>#REF!</v>
      </c>
      <c r="O47" s="14" t="e">
        <f t="shared" si="17"/>
        <v>#REF!</v>
      </c>
      <c r="P47" s="12" t="e">
        <f t="shared" si="0"/>
        <v>#REF!</v>
      </c>
      <c r="Q47" s="12" t="e">
        <f t="shared" si="1"/>
        <v>#REF!</v>
      </c>
      <c r="R47" s="16" t="e">
        <f>'Returns by year'!$C47-'Returns by year'!$B47</f>
        <v>#REF!</v>
      </c>
      <c r="S47" s="16" t="e">
        <f t="shared" si="2"/>
        <v>#REF!</v>
      </c>
      <c r="T47" s="15"/>
      <c r="U47" s="26" t="e">
        <f>#REF!</f>
        <v>#REF!</v>
      </c>
      <c r="V47" s="2" t="e">
        <f t="shared" si="3"/>
        <v>#REF!</v>
      </c>
      <c r="W47" s="2" t="e">
        <f t="shared" si="4"/>
        <v>#REF!</v>
      </c>
      <c r="X47" s="2" t="e">
        <f t="shared" si="5"/>
        <v>#REF!</v>
      </c>
      <c r="Y47" s="2" t="e">
        <f t="shared" si="6"/>
        <v>#REF!</v>
      </c>
      <c r="Z47" s="2" t="e">
        <f t="shared" si="7"/>
        <v>#REF!</v>
      </c>
      <c r="AA47" s="2" t="e">
        <f t="shared" si="8"/>
        <v>#REF!</v>
      </c>
      <c r="AB47" s="2" t="e">
        <f t="shared" si="9"/>
        <v>#REF!</v>
      </c>
      <c r="AC47" s="54" t="e">
        <f t="shared" si="18"/>
        <v>#REF!</v>
      </c>
      <c r="AD47" s="57" t="e">
        <f t="shared" si="18"/>
        <v>#REF!</v>
      </c>
      <c r="AE47" s="14" t="e">
        <f t="shared" si="19"/>
        <v>#REF!</v>
      </c>
      <c r="AF47" s="14" t="e">
        <f t="shared" si="20"/>
        <v>#REF!</v>
      </c>
      <c r="AG47" s="14" t="e">
        <f t="shared" si="21"/>
        <v>#REF!</v>
      </c>
      <c r="AH47" s="14" t="e">
        <f t="shared" si="22"/>
        <v>#REF!</v>
      </c>
      <c r="AI47" s="14" t="e">
        <f t="shared" si="23"/>
        <v>#REF!</v>
      </c>
      <c r="AJ47" s="2" t="e">
        <f>'Returns by year'!$V47-'Returns by year'!$X47</f>
        <v>#REF!</v>
      </c>
      <c r="AK47" s="2" t="e">
        <f>'Returns by year'!$V47-'Returns by year'!$Y47</f>
        <v>#REF!</v>
      </c>
    </row>
    <row r="48" spans="1:37">
      <c r="A48" s="15">
        <v>1955</v>
      </c>
      <c r="B48" s="56" t="e">
        <f>(#REF!-#REF!+#REF!)/#REF!</f>
        <v>#REF!</v>
      </c>
      <c r="C48" s="56" t="e">
        <f>#REF!</f>
        <v>#REF!</v>
      </c>
      <c r="D48" s="56" t="e">
        <f>#REF!</f>
        <v>#REF!</v>
      </c>
      <c r="E48" s="56" t="e">
        <f>#REF!</f>
        <v>#REF!</v>
      </c>
      <c r="F48" s="56" t="e">
        <f>#REF!</f>
        <v>#REF!</v>
      </c>
      <c r="G48" s="56" t="e">
        <f>#REF!/#REF!-1</f>
        <v>#REF!</v>
      </c>
      <c r="H48" s="56" t="e">
        <f>#REF!/#REF!-1</f>
        <v>#REF!</v>
      </c>
      <c r="I48" s="54" t="e">
        <f t="shared" si="11"/>
        <v>#REF!</v>
      </c>
      <c r="J48" s="14" t="e">
        <f t="shared" si="12"/>
        <v>#REF!</v>
      </c>
      <c r="K48" s="14" t="e">
        <f t="shared" si="13"/>
        <v>#REF!</v>
      </c>
      <c r="L48" s="14" t="e">
        <f t="shared" si="14"/>
        <v>#REF!</v>
      </c>
      <c r="M48" s="14" t="e">
        <f t="shared" si="15"/>
        <v>#REF!</v>
      </c>
      <c r="N48" s="14" t="e">
        <f t="shared" si="16"/>
        <v>#REF!</v>
      </c>
      <c r="O48" s="14" t="e">
        <f t="shared" si="17"/>
        <v>#REF!</v>
      </c>
      <c r="P48" s="12" t="e">
        <f t="shared" si="0"/>
        <v>#REF!</v>
      </c>
      <c r="Q48" s="12" t="e">
        <f t="shared" si="1"/>
        <v>#REF!</v>
      </c>
      <c r="R48" s="16" t="e">
        <f>'Returns by year'!$C48-'Returns by year'!$B48</f>
        <v>#REF!</v>
      </c>
      <c r="S48" s="16" t="e">
        <f t="shared" si="2"/>
        <v>#REF!</v>
      </c>
      <c r="T48" s="15"/>
      <c r="U48" s="26" t="e">
        <f>#REF!</f>
        <v>#REF!</v>
      </c>
      <c r="V48" s="2" t="e">
        <f t="shared" si="3"/>
        <v>#REF!</v>
      </c>
      <c r="W48" s="2" t="e">
        <f t="shared" si="4"/>
        <v>#REF!</v>
      </c>
      <c r="X48" s="2" t="e">
        <f t="shared" si="5"/>
        <v>#REF!</v>
      </c>
      <c r="Y48" s="2" t="e">
        <f t="shared" si="6"/>
        <v>#REF!</v>
      </c>
      <c r="Z48" s="2" t="e">
        <f t="shared" si="7"/>
        <v>#REF!</v>
      </c>
      <c r="AA48" s="2" t="e">
        <f t="shared" si="8"/>
        <v>#REF!</v>
      </c>
      <c r="AB48" s="2" t="e">
        <f t="shared" si="9"/>
        <v>#REF!</v>
      </c>
      <c r="AC48" s="54" t="e">
        <f t="shared" si="18"/>
        <v>#REF!</v>
      </c>
      <c r="AD48" s="57" t="e">
        <f t="shared" si="18"/>
        <v>#REF!</v>
      </c>
      <c r="AE48" s="14" t="e">
        <f t="shared" si="19"/>
        <v>#REF!</v>
      </c>
      <c r="AF48" s="14" t="e">
        <f t="shared" si="20"/>
        <v>#REF!</v>
      </c>
      <c r="AG48" s="14" t="e">
        <f t="shared" si="21"/>
        <v>#REF!</v>
      </c>
      <c r="AH48" s="14" t="e">
        <f t="shared" si="22"/>
        <v>#REF!</v>
      </c>
      <c r="AI48" s="14" t="e">
        <f t="shared" si="23"/>
        <v>#REF!</v>
      </c>
      <c r="AJ48" s="2" t="e">
        <f>'Returns by year'!$V48-'Returns by year'!$X48</f>
        <v>#REF!</v>
      </c>
      <c r="AK48" s="2" t="e">
        <f>'Returns by year'!$V48-'Returns by year'!$Y48</f>
        <v>#REF!</v>
      </c>
    </row>
    <row r="49" spans="1:37">
      <c r="A49" s="15">
        <v>1956</v>
      </c>
      <c r="B49" s="56" t="e">
        <f>(#REF!-#REF!+#REF!)/#REF!</f>
        <v>#REF!</v>
      </c>
      <c r="C49" s="56" t="e">
        <f>#REF!</f>
        <v>#REF!</v>
      </c>
      <c r="D49" s="56" t="e">
        <f>#REF!</f>
        <v>#REF!</v>
      </c>
      <c r="E49" s="56" t="e">
        <f>#REF!</f>
        <v>#REF!</v>
      </c>
      <c r="F49" s="56" t="e">
        <f>#REF!</f>
        <v>#REF!</v>
      </c>
      <c r="G49" s="56" t="e">
        <f>#REF!/#REF!-1</f>
        <v>#REF!</v>
      </c>
      <c r="H49" s="56" t="e">
        <f>#REF!/#REF!-1</f>
        <v>#REF!</v>
      </c>
      <c r="I49" s="54" t="e">
        <f t="shared" si="11"/>
        <v>#REF!</v>
      </c>
      <c r="J49" s="14" t="e">
        <f t="shared" si="12"/>
        <v>#REF!</v>
      </c>
      <c r="K49" s="14" t="e">
        <f t="shared" si="13"/>
        <v>#REF!</v>
      </c>
      <c r="L49" s="14" t="e">
        <f t="shared" si="14"/>
        <v>#REF!</v>
      </c>
      <c r="M49" s="14" t="e">
        <f t="shared" si="15"/>
        <v>#REF!</v>
      </c>
      <c r="N49" s="14" t="e">
        <f t="shared" si="16"/>
        <v>#REF!</v>
      </c>
      <c r="O49" s="14" t="e">
        <f t="shared" si="17"/>
        <v>#REF!</v>
      </c>
      <c r="P49" s="12" t="e">
        <f t="shared" si="0"/>
        <v>#REF!</v>
      </c>
      <c r="Q49" s="12" t="e">
        <f t="shared" si="1"/>
        <v>#REF!</v>
      </c>
      <c r="R49" s="16" t="e">
        <f>'Returns by year'!$C49-'Returns by year'!$B49</f>
        <v>#REF!</v>
      </c>
      <c r="S49" s="16" t="e">
        <f t="shared" si="2"/>
        <v>#REF!</v>
      </c>
      <c r="T49" s="15"/>
      <c r="U49" s="26" t="e">
        <f>#REF!</f>
        <v>#REF!</v>
      </c>
      <c r="V49" s="2" t="e">
        <f t="shared" si="3"/>
        <v>#REF!</v>
      </c>
      <c r="W49" s="2" t="e">
        <f t="shared" si="4"/>
        <v>#REF!</v>
      </c>
      <c r="X49" s="2" t="e">
        <f t="shared" si="5"/>
        <v>#REF!</v>
      </c>
      <c r="Y49" s="2" t="e">
        <f t="shared" si="6"/>
        <v>#REF!</v>
      </c>
      <c r="Z49" s="2" t="e">
        <f t="shared" si="7"/>
        <v>#REF!</v>
      </c>
      <c r="AA49" s="2" t="e">
        <f t="shared" si="8"/>
        <v>#REF!</v>
      </c>
      <c r="AB49" s="2" t="e">
        <f t="shared" si="9"/>
        <v>#REF!</v>
      </c>
      <c r="AC49" s="54" t="e">
        <f t="shared" si="18"/>
        <v>#REF!</v>
      </c>
      <c r="AD49" s="57" t="e">
        <f t="shared" si="18"/>
        <v>#REF!</v>
      </c>
      <c r="AE49" s="14" t="e">
        <f t="shared" si="19"/>
        <v>#REF!</v>
      </c>
      <c r="AF49" s="14" t="e">
        <f t="shared" si="20"/>
        <v>#REF!</v>
      </c>
      <c r="AG49" s="14" t="e">
        <f t="shared" si="21"/>
        <v>#REF!</v>
      </c>
      <c r="AH49" s="14" t="e">
        <f t="shared" si="22"/>
        <v>#REF!</v>
      </c>
      <c r="AI49" s="14" t="e">
        <f t="shared" si="23"/>
        <v>#REF!</v>
      </c>
      <c r="AJ49" s="2" t="e">
        <f>'Returns by year'!$V49-'Returns by year'!$X49</f>
        <v>#REF!</v>
      </c>
      <c r="AK49" s="2" t="e">
        <f>'Returns by year'!$V49-'Returns by year'!$Y49</f>
        <v>#REF!</v>
      </c>
    </row>
    <row r="50" spans="1:37">
      <c r="A50" s="15">
        <v>1957</v>
      </c>
      <c r="B50" s="56" t="e">
        <f>(#REF!-#REF!+#REF!)/#REF!</f>
        <v>#REF!</v>
      </c>
      <c r="C50" s="56" t="e">
        <f>#REF!</f>
        <v>#REF!</v>
      </c>
      <c r="D50" s="56" t="e">
        <f>#REF!</f>
        <v>#REF!</v>
      </c>
      <c r="E50" s="56" t="e">
        <f>#REF!</f>
        <v>#REF!</v>
      </c>
      <c r="F50" s="56" t="e">
        <f>#REF!</f>
        <v>#REF!</v>
      </c>
      <c r="G50" s="56" t="e">
        <f>#REF!/#REF!-1</f>
        <v>#REF!</v>
      </c>
      <c r="H50" s="56" t="e">
        <f>#REF!/#REF!-1</f>
        <v>#REF!</v>
      </c>
      <c r="I50" s="54" t="e">
        <f t="shared" si="11"/>
        <v>#REF!</v>
      </c>
      <c r="J50" s="14" t="e">
        <f t="shared" si="12"/>
        <v>#REF!</v>
      </c>
      <c r="K50" s="14" t="e">
        <f t="shared" si="13"/>
        <v>#REF!</v>
      </c>
      <c r="L50" s="14" t="e">
        <f t="shared" si="14"/>
        <v>#REF!</v>
      </c>
      <c r="M50" s="14" t="e">
        <f t="shared" si="15"/>
        <v>#REF!</v>
      </c>
      <c r="N50" s="14" t="e">
        <f t="shared" si="16"/>
        <v>#REF!</v>
      </c>
      <c r="O50" s="14" t="e">
        <f t="shared" si="17"/>
        <v>#REF!</v>
      </c>
      <c r="P50" s="12" t="e">
        <f t="shared" si="0"/>
        <v>#REF!</v>
      </c>
      <c r="Q50" s="12" t="e">
        <f t="shared" si="1"/>
        <v>#REF!</v>
      </c>
      <c r="R50" s="16" t="e">
        <f>'Returns by year'!$C50-'Returns by year'!$B50</f>
        <v>#REF!</v>
      </c>
      <c r="S50" s="16" t="e">
        <f t="shared" si="2"/>
        <v>#REF!</v>
      </c>
      <c r="T50" s="15"/>
      <c r="U50" s="26" t="e">
        <f>#REF!</f>
        <v>#REF!</v>
      </c>
      <c r="V50" s="2" t="e">
        <f t="shared" si="3"/>
        <v>#REF!</v>
      </c>
      <c r="W50" s="2" t="e">
        <f t="shared" si="4"/>
        <v>#REF!</v>
      </c>
      <c r="X50" s="2" t="e">
        <f t="shared" si="5"/>
        <v>#REF!</v>
      </c>
      <c r="Y50" s="2" t="e">
        <f t="shared" si="6"/>
        <v>#REF!</v>
      </c>
      <c r="Z50" s="2" t="e">
        <f t="shared" si="7"/>
        <v>#REF!</v>
      </c>
      <c r="AA50" s="2" t="e">
        <f t="shared" si="8"/>
        <v>#REF!</v>
      </c>
      <c r="AB50" s="2" t="e">
        <f t="shared" si="9"/>
        <v>#REF!</v>
      </c>
      <c r="AC50" s="54" t="e">
        <f t="shared" si="18"/>
        <v>#REF!</v>
      </c>
      <c r="AD50" s="57" t="e">
        <f t="shared" si="18"/>
        <v>#REF!</v>
      </c>
      <c r="AE50" s="14" t="e">
        <f t="shared" si="19"/>
        <v>#REF!</v>
      </c>
      <c r="AF50" s="14" t="e">
        <f t="shared" si="20"/>
        <v>#REF!</v>
      </c>
      <c r="AG50" s="14" t="e">
        <f t="shared" si="21"/>
        <v>#REF!</v>
      </c>
      <c r="AH50" s="14" t="e">
        <f t="shared" si="22"/>
        <v>#REF!</v>
      </c>
      <c r="AI50" s="14" t="e">
        <f t="shared" si="23"/>
        <v>#REF!</v>
      </c>
      <c r="AJ50" s="2" t="e">
        <f>'Returns by year'!$V50-'Returns by year'!$X50</f>
        <v>#REF!</v>
      </c>
      <c r="AK50" s="2" t="e">
        <f>'Returns by year'!$V50-'Returns by year'!$Y50</f>
        <v>#REF!</v>
      </c>
    </row>
    <row r="51" spans="1:37">
      <c r="A51" s="15">
        <v>1958</v>
      </c>
      <c r="B51" s="56" t="e">
        <f>(#REF!-#REF!+#REF!)/#REF!</f>
        <v>#REF!</v>
      </c>
      <c r="C51" s="56" t="e">
        <f>#REF!</f>
        <v>#REF!</v>
      </c>
      <c r="D51" s="56" t="e">
        <f>#REF!</f>
        <v>#REF!</v>
      </c>
      <c r="E51" s="56" t="e">
        <f>#REF!</f>
        <v>#REF!</v>
      </c>
      <c r="F51" s="56" t="e">
        <f>#REF!</f>
        <v>#REF!</v>
      </c>
      <c r="G51" s="56" t="e">
        <f>#REF!/#REF!-1</f>
        <v>#REF!</v>
      </c>
      <c r="H51" s="56" t="e">
        <f>#REF!/#REF!-1</f>
        <v>#REF!</v>
      </c>
      <c r="I51" s="54" t="e">
        <f t="shared" si="11"/>
        <v>#REF!</v>
      </c>
      <c r="J51" s="14" t="e">
        <f t="shared" si="12"/>
        <v>#REF!</v>
      </c>
      <c r="K51" s="14" t="e">
        <f t="shared" si="13"/>
        <v>#REF!</v>
      </c>
      <c r="L51" s="14" t="e">
        <f t="shared" si="14"/>
        <v>#REF!</v>
      </c>
      <c r="M51" s="14" t="e">
        <f t="shared" si="15"/>
        <v>#REF!</v>
      </c>
      <c r="N51" s="14" t="e">
        <f t="shared" si="16"/>
        <v>#REF!</v>
      </c>
      <c r="O51" s="14" t="e">
        <f t="shared" si="17"/>
        <v>#REF!</v>
      </c>
      <c r="P51" s="12" t="e">
        <f t="shared" si="0"/>
        <v>#REF!</v>
      </c>
      <c r="Q51" s="12" t="e">
        <f t="shared" si="1"/>
        <v>#REF!</v>
      </c>
      <c r="R51" s="16" t="e">
        <f>'Returns by year'!$C51-'Returns by year'!$B51</f>
        <v>#REF!</v>
      </c>
      <c r="S51" s="16" t="e">
        <f t="shared" si="2"/>
        <v>#REF!</v>
      </c>
      <c r="T51" s="15"/>
      <c r="U51" s="26" t="e">
        <f>#REF!</f>
        <v>#REF!</v>
      </c>
      <c r="V51" s="2" t="e">
        <f t="shared" si="3"/>
        <v>#REF!</v>
      </c>
      <c r="W51" s="2" t="e">
        <f t="shared" si="4"/>
        <v>#REF!</v>
      </c>
      <c r="X51" s="2" t="e">
        <f t="shared" si="5"/>
        <v>#REF!</v>
      </c>
      <c r="Y51" s="2" t="e">
        <f t="shared" si="6"/>
        <v>#REF!</v>
      </c>
      <c r="Z51" s="2" t="e">
        <f t="shared" si="7"/>
        <v>#REF!</v>
      </c>
      <c r="AA51" s="2" t="e">
        <f t="shared" si="8"/>
        <v>#REF!</v>
      </c>
      <c r="AB51" s="2" t="e">
        <f t="shared" si="9"/>
        <v>#REF!</v>
      </c>
      <c r="AC51" s="54" t="e">
        <f t="shared" si="18"/>
        <v>#REF!</v>
      </c>
      <c r="AD51" s="57" t="e">
        <f t="shared" si="18"/>
        <v>#REF!</v>
      </c>
      <c r="AE51" s="14" t="e">
        <f t="shared" si="19"/>
        <v>#REF!</v>
      </c>
      <c r="AF51" s="14" t="e">
        <f t="shared" si="20"/>
        <v>#REF!</v>
      </c>
      <c r="AG51" s="14" t="e">
        <f t="shared" si="21"/>
        <v>#REF!</v>
      </c>
      <c r="AH51" s="14" t="e">
        <f t="shared" si="22"/>
        <v>#REF!</v>
      </c>
      <c r="AI51" s="14" t="e">
        <f t="shared" si="23"/>
        <v>#REF!</v>
      </c>
      <c r="AJ51" s="2" t="e">
        <f>'Returns by year'!$V51-'Returns by year'!$X51</f>
        <v>#REF!</v>
      </c>
      <c r="AK51" s="2" t="e">
        <f>'Returns by year'!$V51-'Returns by year'!$Y51</f>
        <v>#REF!</v>
      </c>
    </row>
    <row r="52" spans="1:37">
      <c r="A52" s="15">
        <v>1959</v>
      </c>
      <c r="B52" s="56" t="e">
        <f>(#REF!-#REF!+#REF!)/#REF!</f>
        <v>#REF!</v>
      </c>
      <c r="C52" s="56" t="e">
        <f>#REF!</f>
        <v>#REF!</v>
      </c>
      <c r="D52" s="56" t="e">
        <f>#REF!</f>
        <v>#REF!</v>
      </c>
      <c r="E52" s="56" t="e">
        <f>#REF!</f>
        <v>#REF!</v>
      </c>
      <c r="F52" s="56" t="e">
        <f>#REF!</f>
        <v>#REF!</v>
      </c>
      <c r="G52" s="56" t="e">
        <f>#REF!/#REF!-1</f>
        <v>#REF!</v>
      </c>
      <c r="H52" s="56" t="e">
        <f>#REF!/#REF!-1</f>
        <v>#REF!</v>
      </c>
      <c r="I52" s="54" t="e">
        <f t="shared" si="11"/>
        <v>#REF!</v>
      </c>
      <c r="J52" s="14" t="e">
        <f t="shared" si="12"/>
        <v>#REF!</v>
      </c>
      <c r="K52" s="14" t="e">
        <f t="shared" si="13"/>
        <v>#REF!</v>
      </c>
      <c r="L52" s="14" t="e">
        <f t="shared" si="14"/>
        <v>#REF!</v>
      </c>
      <c r="M52" s="14" t="e">
        <f t="shared" si="15"/>
        <v>#REF!</v>
      </c>
      <c r="N52" s="14" t="e">
        <f t="shared" si="16"/>
        <v>#REF!</v>
      </c>
      <c r="O52" s="14" t="e">
        <f t="shared" si="17"/>
        <v>#REF!</v>
      </c>
      <c r="P52" s="12" t="e">
        <f t="shared" si="0"/>
        <v>#REF!</v>
      </c>
      <c r="Q52" s="12" t="e">
        <f t="shared" si="1"/>
        <v>#REF!</v>
      </c>
      <c r="R52" s="16" t="e">
        <f>'Returns by year'!$C52-'Returns by year'!$B52</f>
        <v>#REF!</v>
      </c>
      <c r="S52" s="16" t="e">
        <f t="shared" si="2"/>
        <v>#REF!</v>
      </c>
      <c r="T52" s="15"/>
      <c r="U52" s="26" t="e">
        <f>#REF!</f>
        <v>#REF!</v>
      </c>
      <c r="V52" s="2" t="e">
        <f t="shared" si="3"/>
        <v>#REF!</v>
      </c>
      <c r="W52" s="2" t="e">
        <f t="shared" si="4"/>
        <v>#REF!</v>
      </c>
      <c r="X52" s="2" t="e">
        <f t="shared" si="5"/>
        <v>#REF!</v>
      </c>
      <c r="Y52" s="2" t="e">
        <f t="shared" si="6"/>
        <v>#REF!</v>
      </c>
      <c r="Z52" s="2" t="e">
        <f t="shared" si="7"/>
        <v>#REF!</v>
      </c>
      <c r="AA52" s="2" t="e">
        <f t="shared" si="8"/>
        <v>#REF!</v>
      </c>
      <c r="AB52" s="2" t="e">
        <f t="shared" si="9"/>
        <v>#REF!</v>
      </c>
      <c r="AC52" s="54" t="e">
        <f t="shared" si="18"/>
        <v>#REF!</v>
      </c>
      <c r="AD52" s="57" t="e">
        <f t="shared" si="18"/>
        <v>#REF!</v>
      </c>
      <c r="AE52" s="14" t="e">
        <f t="shared" si="19"/>
        <v>#REF!</v>
      </c>
      <c r="AF52" s="14" t="e">
        <f t="shared" si="20"/>
        <v>#REF!</v>
      </c>
      <c r="AG52" s="14" t="e">
        <f t="shared" si="21"/>
        <v>#REF!</v>
      </c>
      <c r="AH52" s="14" t="e">
        <f t="shared" si="22"/>
        <v>#REF!</v>
      </c>
      <c r="AI52" s="14" t="e">
        <f t="shared" si="23"/>
        <v>#REF!</v>
      </c>
      <c r="AJ52" s="2" t="e">
        <f>'Returns by year'!$V52-'Returns by year'!$X52</f>
        <v>#REF!</v>
      </c>
      <c r="AK52" s="2" t="e">
        <f>'Returns by year'!$V52-'Returns by year'!$Y52</f>
        <v>#REF!</v>
      </c>
    </row>
    <row r="53" spans="1:37">
      <c r="A53" s="15">
        <v>1960</v>
      </c>
      <c r="B53" s="56" t="e">
        <f>(#REF!-#REF!+#REF!)/#REF!</f>
        <v>#REF!</v>
      </c>
      <c r="C53" s="56" t="e">
        <f>#REF!</f>
        <v>#REF!</v>
      </c>
      <c r="D53" s="56" t="e">
        <f>#REF!</f>
        <v>#REF!</v>
      </c>
      <c r="E53" s="56" t="e">
        <f>#REF!</f>
        <v>#REF!</v>
      </c>
      <c r="F53" s="56" t="e">
        <f>#REF!</f>
        <v>#REF!</v>
      </c>
      <c r="G53" s="56" t="e">
        <f>#REF!/#REF!-1</f>
        <v>#REF!</v>
      </c>
      <c r="H53" s="56" t="e">
        <f>#REF!/#REF!-1</f>
        <v>#REF!</v>
      </c>
      <c r="I53" s="54" t="e">
        <f t="shared" si="11"/>
        <v>#REF!</v>
      </c>
      <c r="J53" s="14" t="e">
        <f t="shared" ref="J53:J84" si="24">J52*(1+C53)</f>
        <v>#REF!</v>
      </c>
      <c r="K53" s="14" t="e">
        <f t="shared" si="13"/>
        <v>#REF!</v>
      </c>
      <c r="L53" s="14" t="e">
        <f t="shared" si="14"/>
        <v>#REF!</v>
      </c>
      <c r="M53" s="14" t="e">
        <f t="shared" si="15"/>
        <v>#REF!</v>
      </c>
      <c r="N53" s="14" t="e">
        <f t="shared" si="16"/>
        <v>#REF!</v>
      </c>
      <c r="O53" s="14" t="e">
        <f t="shared" si="17"/>
        <v>#REF!</v>
      </c>
      <c r="P53" s="12" t="e">
        <f t="shared" ref="P53:P84" si="25">B53-D53</f>
        <v>#REF!</v>
      </c>
      <c r="Q53" s="12" t="e">
        <f t="shared" ref="Q53:Q84" si="26">B53-E53</f>
        <v>#REF!</v>
      </c>
      <c r="R53" s="16" t="e">
        <f>'Returns by year'!$C53-'Returns by year'!$B53</f>
        <v>#REF!</v>
      </c>
      <c r="S53" s="16" t="e">
        <f t="shared" ref="S53:S84" si="27">B53-F53</f>
        <v>#REF!</v>
      </c>
      <c r="T53" s="16" t="e">
        <f t="shared" ref="T53:T84" si="28">((I53/100)^(1/(A53-$A$21+1)))-((L53/100)^(1/(A53-$A$21+1)))</f>
        <v>#REF!</v>
      </c>
      <c r="U53" s="26" t="e">
        <f>#REF!</f>
        <v>#REF!</v>
      </c>
      <c r="V53" s="2" t="e">
        <f t="shared" ref="V53:V84" si="29">(1+B53)/(1+$U53)-1</f>
        <v>#REF!</v>
      </c>
      <c r="W53" s="2" t="e">
        <f t="shared" ref="W53:W84" si="30">(1+C53)/(1+$U53)-1</f>
        <v>#REF!</v>
      </c>
      <c r="X53" s="2" t="e">
        <f t="shared" ref="X53:X84" si="31">(1+D53)/(1+$U53)-1</f>
        <v>#REF!</v>
      </c>
      <c r="Y53" s="2" t="e">
        <f t="shared" ref="Y53:Y84" si="32">(1+E53)/(1+$U53)-1</f>
        <v>#REF!</v>
      </c>
      <c r="Z53" s="2" t="e">
        <f t="shared" ref="Z53:Z84" si="33">(1+F53)/(1+$U53)-1</f>
        <v>#REF!</v>
      </c>
      <c r="AA53" s="2" t="e">
        <f t="shared" ref="AA53:AA84" si="34">(1+G53)/(1+$U53)-1</f>
        <v>#REF!</v>
      </c>
      <c r="AB53" s="2" t="e">
        <f t="shared" ref="AB53:AB84" si="35">(1+H53)/(1+$U53)-1</f>
        <v>#REF!</v>
      </c>
      <c r="AC53" s="54" t="e">
        <f t="shared" si="18"/>
        <v>#REF!</v>
      </c>
      <c r="AD53" s="57" t="e">
        <f t="shared" si="18"/>
        <v>#REF!</v>
      </c>
      <c r="AE53" s="14" t="e">
        <f t="shared" si="19"/>
        <v>#REF!</v>
      </c>
      <c r="AF53" s="14" t="e">
        <f t="shared" si="20"/>
        <v>#REF!</v>
      </c>
      <c r="AG53" s="14" t="e">
        <f t="shared" si="21"/>
        <v>#REF!</v>
      </c>
      <c r="AH53" s="14" t="e">
        <f t="shared" si="22"/>
        <v>#REF!</v>
      </c>
      <c r="AI53" s="14" t="e">
        <f t="shared" si="23"/>
        <v>#REF!</v>
      </c>
      <c r="AJ53" s="2" t="e">
        <f>'Returns by year'!$V53-'Returns by year'!$X53</f>
        <v>#REF!</v>
      </c>
      <c r="AK53" s="2" t="e">
        <f>'Returns by year'!$V53-'Returns by year'!$Y53</f>
        <v>#REF!</v>
      </c>
    </row>
    <row r="54" spans="1:37">
      <c r="A54" s="15">
        <v>1961</v>
      </c>
      <c r="B54" s="56" t="e">
        <f>(#REF!-#REF!+#REF!)/#REF!</f>
        <v>#REF!</v>
      </c>
      <c r="C54" s="56" t="e">
        <f>#REF!</f>
        <v>#REF!</v>
      </c>
      <c r="D54" s="56" t="e">
        <f>#REF!</f>
        <v>#REF!</v>
      </c>
      <c r="E54" s="56" t="e">
        <f>#REF!</f>
        <v>#REF!</v>
      </c>
      <c r="F54" s="56" t="e">
        <f>#REF!</f>
        <v>#REF!</v>
      </c>
      <c r="G54" s="56" t="e">
        <f>#REF!/#REF!-1</f>
        <v>#REF!</v>
      </c>
      <c r="H54" s="56" t="e">
        <f>#REF!/#REF!-1</f>
        <v>#REF!</v>
      </c>
      <c r="I54" s="54" t="e">
        <f t="shared" ref="I54:I85" si="36">I53*(1+B54)</f>
        <v>#REF!</v>
      </c>
      <c r="J54" s="14" t="e">
        <f t="shared" si="24"/>
        <v>#REF!</v>
      </c>
      <c r="K54" s="14" t="e">
        <f t="shared" ref="K54:K85" si="37">K53*(1+D54)</f>
        <v>#REF!</v>
      </c>
      <c r="L54" s="14" t="e">
        <f t="shared" ref="L54:L85" si="38">L53*(1+E54)</f>
        <v>#REF!</v>
      </c>
      <c r="M54" s="14" t="e">
        <f t="shared" ref="M54:M85" si="39">M53*(1+F54)</f>
        <v>#REF!</v>
      </c>
      <c r="N54" s="14" t="e">
        <f t="shared" ref="N54:N85" si="40">N53*(1+G54)</f>
        <v>#REF!</v>
      </c>
      <c r="O54" s="14" t="e">
        <f t="shared" ref="O54:O85" si="41">O53*(1+H54)</f>
        <v>#REF!</v>
      </c>
      <c r="P54" s="12" t="e">
        <f t="shared" si="25"/>
        <v>#REF!</v>
      </c>
      <c r="Q54" s="12" t="e">
        <f t="shared" si="26"/>
        <v>#REF!</v>
      </c>
      <c r="R54" s="16" t="e">
        <f>'Returns by year'!$C54-'Returns by year'!$B54</f>
        <v>#REF!</v>
      </c>
      <c r="S54" s="16" t="e">
        <f t="shared" si="27"/>
        <v>#REF!</v>
      </c>
      <c r="T54" s="16" t="e">
        <f t="shared" si="28"/>
        <v>#REF!</v>
      </c>
      <c r="U54" s="26" t="e">
        <f>#REF!</f>
        <v>#REF!</v>
      </c>
      <c r="V54" s="2" t="e">
        <f t="shared" si="29"/>
        <v>#REF!</v>
      </c>
      <c r="W54" s="2" t="e">
        <f t="shared" si="30"/>
        <v>#REF!</v>
      </c>
      <c r="X54" s="2" t="e">
        <f t="shared" si="31"/>
        <v>#REF!</v>
      </c>
      <c r="Y54" s="2" t="e">
        <f t="shared" si="32"/>
        <v>#REF!</v>
      </c>
      <c r="Z54" s="2" t="e">
        <f t="shared" si="33"/>
        <v>#REF!</v>
      </c>
      <c r="AA54" s="2" t="e">
        <f t="shared" si="34"/>
        <v>#REF!</v>
      </c>
      <c r="AB54" s="2" t="e">
        <f t="shared" si="35"/>
        <v>#REF!</v>
      </c>
      <c r="AC54" s="54" t="e">
        <f t="shared" si="18"/>
        <v>#REF!</v>
      </c>
      <c r="AD54" s="57" t="e">
        <f t="shared" si="18"/>
        <v>#REF!</v>
      </c>
      <c r="AE54" s="14" t="e">
        <f t="shared" si="19"/>
        <v>#REF!</v>
      </c>
      <c r="AF54" s="14" t="e">
        <f t="shared" si="20"/>
        <v>#REF!</v>
      </c>
      <c r="AG54" s="14" t="e">
        <f t="shared" si="21"/>
        <v>#REF!</v>
      </c>
      <c r="AH54" s="14" t="e">
        <f t="shared" si="22"/>
        <v>#REF!</v>
      </c>
      <c r="AI54" s="14" t="e">
        <f t="shared" si="23"/>
        <v>#REF!</v>
      </c>
      <c r="AJ54" s="2" t="e">
        <f>'Returns by year'!$V54-'Returns by year'!$X54</f>
        <v>#REF!</v>
      </c>
      <c r="AK54" s="2" t="e">
        <f>'Returns by year'!$V54-'Returns by year'!$Y54</f>
        <v>#REF!</v>
      </c>
    </row>
    <row r="55" spans="1:37">
      <c r="A55" s="15">
        <v>1962</v>
      </c>
      <c r="B55" s="56" t="e">
        <f>(#REF!-#REF!+#REF!)/#REF!</f>
        <v>#REF!</v>
      </c>
      <c r="C55" s="56" t="e">
        <f>#REF!</f>
        <v>#REF!</v>
      </c>
      <c r="D55" s="56" t="e">
        <f>#REF!</f>
        <v>#REF!</v>
      </c>
      <c r="E55" s="56" t="e">
        <f>#REF!</f>
        <v>#REF!</v>
      </c>
      <c r="F55" s="56" t="e">
        <f>#REF!</f>
        <v>#REF!</v>
      </c>
      <c r="G55" s="56" t="e">
        <f>#REF!/#REF!-1</f>
        <v>#REF!</v>
      </c>
      <c r="H55" s="56" t="e">
        <f>#REF!/#REF!-1</f>
        <v>#REF!</v>
      </c>
      <c r="I55" s="54" t="e">
        <f t="shared" si="36"/>
        <v>#REF!</v>
      </c>
      <c r="J55" s="14" t="e">
        <f t="shared" si="24"/>
        <v>#REF!</v>
      </c>
      <c r="K55" s="14" t="e">
        <f t="shared" si="37"/>
        <v>#REF!</v>
      </c>
      <c r="L55" s="14" t="e">
        <f t="shared" si="38"/>
        <v>#REF!</v>
      </c>
      <c r="M55" s="14" t="e">
        <f t="shared" si="39"/>
        <v>#REF!</v>
      </c>
      <c r="N55" s="14" t="e">
        <f t="shared" si="40"/>
        <v>#REF!</v>
      </c>
      <c r="O55" s="14" t="e">
        <f t="shared" si="41"/>
        <v>#REF!</v>
      </c>
      <c r="P55" s="12" t="e">
        <f t="shared" si="25"/>
        <v>#REF!</v>
      </c>
      <c r="Q55" s="12" t="e">
        <f t="shared" si="26"/>
        <v>#REF!</v>
      </c>
      <c r="R55" s="16" t="e">
        <f>'Returns by year'!$C55-'Returns by year'!$B55</f>
        <v>#REF!</v>
      </c>
      <c r="S55" s="16" t="e">
        <f t="shared" si="27"/>
        <v>#REF!</v>
      </c>
      <c r="T55" s="16" t="e">
        <f t="shared" si="28"/>
        <v>#REF!</v>
      </c>
      <c r="U55" s="26" t="e">
        <f>#REF!</f>
        <v>#REF!</v>
      </c>
      <c r="V55" s="2" t="e">
        <f t="shared" si="29"/>
        <v>#REF!</v>
      </c>
      <c r="W55" s="2" t="e">
        <f t="shared" si="30"/>
        <v>#REF!</v>
      </c>
      <c r="X55" s="2" t="e">
        <f t="shared" si="31"/>
        <v>#REF!</v>
      </c>
      <c r="Y55" s="2" t="e">
        <f t="shared" si="32"/>
        <v>#REF!</v>
      </c>
      <c r="Z55" s="2" t="e">
        <f t="shared" si="33"/>
        <v>#REF!</v>
      </c>
      <c r="AA55" s="2" t="e">
        <f t="shared" si="34"/>
        <v>#REF!</v>
      </c>
      <c r="AB55" s="2" t="e">
        <f t="shared" si="35"/>
        <v>#REF!</v>
      </c>
      <c r="AC55" s="54" t="e">
        <f t="shared" si="18"/>
        <v>#REF!</v>
      </c>
      <c r="AD55" s="57" t="e">
        <f t="shared" si="18"/>
        <v>#REF!</v>
      </c>
      <c r="AE55" s="14" t="e">
        <f t="shared" si="19"/>
        <v>#REF!</v>
      </c>
      <c r="AF55" s="14" t="e">
        <f t="shared" si="20"/>
        <v>#REF!</v>
      </c>
      <c r="AG55" s="14" t="e">
        <f t="shared" si="21"/>
        <v>#REF!</v>
      </c>
      <c r="AH55" s="14" t="e">
        <f t="shared" si="22"/>
        <v>#REF!</v>
      </c>
      <c r="AI55" s="14" t="e">
        <f t="shared" si="23"/>
        <v>#REF!</v>
      </c>
      <c r="AJ55" s="2" t="e">
        <f>'Returns by year'!$V55-'Returns by year'!$X55</f>
        <v>#REF!</v>
      </c>
      <c r="AK55" s="2" t="e">
        <f>'Returns by year'!$V55-'Returns by year'!$Y55</f>
        <v>#REF!</v>
      </c>
    </row>
    <row r="56" spans="1:37">
      <c r="A56" s="15">
        <v>1963</v>
      </c>
      <c r="B56" s="56" t="e">
        <f>(#REF!-#REF!+#REF!)/#REF!</f>
        <v>#REF!</v>
      </c>
      <c r="C56" s="56" t="e">
        <f>#REF!</f>
        <v>#REF!</v>
      </c>
      <c r="D56" s="56" t="e">
        <f>#REF!</f>
        <v>#REF!</v>
      </c>
      <c r="E56" s="56" t="e">
        <f>#REF!</f>
        <v>#REF!</v>
      </c>
      <c r="F56" s="56" t="e">
        <f>#REF!</f>
        <v>#REF!</v>
      </c>
      <c r="G56" s="56" t="e">
        <f>#REF!/#REF!-1</f>
        <v>#REF!</v>
      </c>
      <c r="H56" s="56" t="e">
        <f>#REF!/#REF!-1</f>
        <v>#REF!</v>
      </c>
      <c r="I56" s="54" t="e">
        <f t="shared" si="36"/>
        <v>#REF!</v>
      </c>
      <c r="J56" s="14" t="e">
        <f t="shared" si="24"/>
        <v>#REF!</v>
      </c>
      <c r="K56" s="14" t="e">
        <f t="shared" si="37"/>
        <v>#REF!</v>
      </c>
      <c r="L56" s="14" t="e">
        <f t="shared" si="38"/>
        <v>#REF!</v>
      </c>
      <c r="M56" s="14" t="e">
        <f t="shared" si="39"/>
        <v>#REF!</v>
      </c>
      <c r="N56" s="14" t="e">
        <f t="shared" si="40"/>
        <v>#REF!</v>
      </c>
      <c r="O56" s="14" t="e">
        <f t="shared" si="41"/>
        <v>#REF!</v>
      </c>
      <c r="P56" s="12" t="e">
        <f t="shared" si="25"/>
        <v>#REF!</v>
      </c>
      <c r="Q56" s="12" t="e">
        <f t="shared" si="26"/>
        <v>#REF!</v>
      </c>
      <c r="R56" s="16" t="e">
        <f>'Returns by year'!$C56-'Returns by year'!$B56</f>
        <v>#REF!</v>
      </c>
      <c r="S56" s="16" t="e">
        <f t="shared" si="27"/>
        <v>#REF!</v>
      </c>
      <c r="T56" s="16" t="e">
        <f t="shared" si="28"/>
        <v>#REF!</v>
      </c>
      <c r="U56" s="26" t="e">
        <f>#REF!</f>
        <v>#REF!</v>
      </c>
      <c r="V56" s="2" t="e">
        <f t="shared" si="29"/>
        <v>#REF!</v>
      </c>
      <c r="W56" s="2" t="e">
        <f t="shared" si="30"/>
        <v>#REF!</v>
      </c>
      <c r="X56" s="2" t="e">
        <f t="shared" si="31"/>
        <v>#REF!</v>
      </c>
      <c r="Y56" s="2" t="e">
        <f t="shared" si="32"/>
        <v>#REF!</v>
      </c>
      <c r="Z56" s="2" t="e">
        <f t="shared" si="33"/>
        <v>#REF!</v>
      </c>
      <c r="AA56" s="2" t="e">
        <f t="shared" si="34"/>
        <v>#REF!</v>
      </c>
      <c r="AB56" s="2" t="e">
        <f t="shared" si="35"/>
        <v>#REF!</v>
      </c>
      <c r="AC56" s="54" t="e">
        <f t="shared" si="18"/>
        <v>#REF!</v>
      </c>
      <c r="AD56" s="57" t="e">
        <f t="shared" si="18"/>
        <v>#REF!</v>
      </c>
      <c r="AE56" s="14" t="e">
        <f t="shared" si="19"/>
        <v>#REF!</v>
      </c>
      <c r="AF56" s="14" t="e">
        <f t="shared" si="20"/>
        <v>#REF!</v>
      </c>
      <c r="AG56" s="14" t="e">
        <f t="shared" si="21"/>
        <v>#REF!</v>
      </c>
      <c r="AH56" s="14" t="e">
        <f t="shared" si="22"/>
        <v>#REF!</v>
      </c>
      <c r="AI56" s="14" t="e">
        <f t="shared" si="23"/>
        <v>#REF!</v>
      </c>
      <c r="AJ56" s="2" t="e">
        <f>'Returns by year'!$V56-'Returns by year'!$X56</f>
        <v>#REF!</v>
      </c>
      <c r="AK56" s="2" t="e">
        <f>'Returns by year'!$V56-'Returns by year'!$Y56</f>
        <v>#REF!</v>
      </c>
    </row>
    <row r="57" spans="1:37">
      <c r="A57" s="15">
        <v>1964</v>
      </c>
      <c r="B57" s="56" t="e">
        <f>(#REF!-#REF!+#REF!)/#REF!</f>
        <v>#REF!</v>
      </c>
      <c r="C57" s="56" t="e">
        <f>#REF!</f>
        <v>#REF!</v>
      </c>
      <c r="D57" s="56" t="e">
        <f>#REF!</f>
        <v>#REF!</v>
      </c>
      <c r="E57" s="56" t="e">
        <f>#REF!</f>
        <v>#REF!</v>
      </c>
      <c r="F57" s="56" t="e">
        <f>#REF!</f>
        <v>#REF!</v>
      </c>
      <c r="G57" s="56" t="e">
        <f>#REF!/#REF!-1</f>
        <v>#REF!</v>
      </c>
      <c r="H57" s="56" t="e">
        <f>#REF!/#REF!-1</f>
        <v>#REF!</v>
      </c>
      <c r="I57" s="54" t="e">
        <f t="shared" si="36"/>
        <v>#REF!</v>
      </c>
      <c r="J57" s="14" t="e">
        <f t="shared" si="24"/>
        <v>#REF!</v>
      </c>
      <c r="K57" s="14" t="e">
        <f t="shared" si="37"/>
        <v>#REF!</v>
      </c>
      <c r="L57" s="14" t="e">
        <f t="shared" si="38"/>
        <v>#REF!</v>
      </c>
      <c r="M57" s="14" t="e">
        <f t="shared" si="39"/>
        <v>#REF!</v>
      </c>
      <c r="N57" s="14" t="e">
        <f t="shared" si="40"/>
        <v>#REF!</v>
      </c>
      <c r="O57" s="14" t="e">
        <f t="shared" si="41"/>
        <v>#REF!</v>
      </c>
      <c r="P57" s="12" t="e">
        <f t="shared" si="25"/>
        <v>#REF!</v>
      </c>
      <c r="Q57" s="12" t="e">
        <f t="shared" si="26"/>
        <v>#REF!</v>
      </c>
      <c r="R57" s="16" t="e">
        <f>'Returns by year'!$C57-'Returns by year'!$B57</f>
        <v>#REF!</v>
      </c>
      <c r="S57" s="16" t="e">
        <f t="shared" si="27"/>
        <v>#REF!</v>
      </c>
      <c r="T57" s="16" t="e">
        <f t="shared" si="28"/>
        <v>#REF!</v>
      </c>
      <c r="U57" s="26" t="e">
        <f>#REF!</f>
        <v>#REF!</v>
      </c>
      <c r="V57" s="2" t="e">
        <f t="shared" si="29"/>
        <v>#REF!</v>
      </c>
      <c r="W57" s="2" t="e">
        <f t="shared" si="30"/>
        <v>#REF!</v>
      </c>
      <c r="X57" s="2" t="e">
        <f t="shared" si="31"/>
        <v>#REF!</v>
      </c>
      <c r="Y57" s="2" t="e">
        <f t="shared" si="32"/>
        <v>#REF!</v>
      </c>
      <c r="Z57" s="2" t="e">
        <f t="shared" si="33"/>
        <v>#REF!</v>
      </c>
      <c r="AA57" s="2" t="e">
        <f t="shared" si="34"/>
        <v>#REF!</v>
      </c>
      <c r="AB57" s="2" t="e">
        <f t="shared" si="35"/>
        <v>#REF!</v>
      </c>
      <c r="AC57" s="54" t="e">
        <f t="shared" si="18"/>
        <v>#REF!</v>
      </c>
      <c r="AD57" s="57" t="e">
        <f t="shared" si="18"/>
        <v>#REF!</v>
      </c>
      <c r="AE57" s="14" t="e">
        <f t="shared" si="19"/>
        <v>#REF!</v>
      </c>
      <c r="AF57" s="14" t="e">
        <f t="shared" si="20"/>
        <v>#REF!</v>
      </c>
      <c r="AG57" s="14" t="e">
        <f t="shared" si="21"/>
        <v>#REF!</v>
      </c>
      <c r="AH57" s="14" t="e">
        <f t="shared" si="22"/>
        <v>#REF!</v>
      </c>
      <c r="AI57" s="14" t="e">
        <f t="shared" si="23"/>
        <v>#REF!</v>
      </c>
      <c r="AJ57" s="2" t="e">
        <f>'Returns by year'!$V57-'Returns by year'!$X57</f>
        <v>#REF!</v>
      </c>
      <c r="AK57" s="2" t="e">
        <f>'Returns by year'!$V57-'Returns by year'!$Y57</f>
        <v>#REF!</v>
      </c>
    </row>
    <row r="58" spans="1:37">
      <c r="A58" s="15">
        <v>1965</v>
      </c>
      <c r="B58" s="56" t="e">
        <f>(#REF!-#REF!+#REF!)/#REF!</f>
        <v>#REF!</v>
      </c>
      <c r="C58" s="56" t="e">
        <f>#REF!</f>
        <v>#REF!</v>
      </c>
      <c r="D58" s="56" t="e">
        <f>#REF!</f>
        <v>#REF!</v>
      </c>
      <c r="E58" s="56" t="e">
        <f>#REF!</f>
        <v>#REF!</v>
      </c>
      <c r="F58" s="56" t="e">
        <f>#REF!</f>
        <v>#REF!</v>
      </c>
      <c r="G58" s="56" t="e">
        <f>#REF!/#REF!-1</f>
        <v>#REF!</v>
      </c>
      <c r="H58" s="56" t="e">
        <f>#REF!/#REF!-1</f>
        <v>#REF!</v>
      </c>
      <c r="I58" s="54" t="e">
        <f t="shared" si="36"/>
        <v>#REF!</v>
      </c>
      <c r="J58" s="14" t="e">
        <f t="shared" si="24"/>
        <v>#REF!</v>
      </c>
      <c r="K58" s="14" t="e">
        <f t="shared" si="37"/>
        <v>#REF!</v>
      </c>
      <c r="L58" s="14" t="e">
        <f t="shared" si="38"/>
        <v>#REF!</v>
      </c>
      <c r="M58" s="14" t="e">
        <f t="shared" si="39"/>
        <v>#REF!</v>
      </c>
      <c r="N58" s="14" t="e">
        <f t="shared" si="40"/>
        <v>#REF!</v>
      </c>
      <c r="O58" s="14" t="e">
        <f t="shared" si="41"/>
        <v>#REF!</v>
      </c>
      <c r="P58" s="12" t="e">
        <f t="shared" si="25"/>
        <v>#REF!</v>
      </c>
      <c r="Q58" s="12" t="e">
        <f t="shared" si="26"/>
        <v>#REF!</v>
      </c>
      <c r="R58" s="16" t="e">
        <f>'Returns by year'!$C58-'Returns by year'!$B58</f>
        <v>#REF!</v>
      </c>
      <c r="S58" s="16" t="e">
        <f t="shared" si="27"/>
        <v>#REF!</v>
      </c>
      <c r="T58" s="16" t="e">
        <f t="shared" si="28"/>
        <v>#REF!</v>
      </c>
      <c r="U58" s="26" t="e">
        <f>#REF!</f>
        <v>#REF!</v>
      </c>
      <c r="V58" s="2" t="e">
        <f t="shared" si="29"/>
        <v>#REF!</v>
      </c>
      <c r="W58" s="2" t="e">
        <f t="shared" si="30"/>
        <v>#REF!</v>
      </c>
      <c r="X58" s="2" t="e">
        <f t="shared" si="31"/>
        <v>#REF!</v>
      </c>
      <c r="Y58" s="2" t="e">
        <f t="shared" si="32"/>
        <v>#REF!</v>
      </c>
      <c r="Z58" s="2" t="e">
        <f t="shared" si="33"/>
        <v>#REF!</v>
      </c>
      <c r="AA58" s="2" t="e">
        <f t="shared" si="34"/>
        <v>#REF!</v>
      </c>
      <c r="AB58" s="2" t="e">
        <f t="shared" si="35"/>
        <v>#REF!</v>
      </c>
      <c r="AC58" s="54" t="e">
        <f t="shared" si="18"/>
        <v>#REF!</v>
      </c>
      <c r="AD58" s="57" t="e">
        <f t="shared" si="18"/>
        <v>#REF!</v>
      </c>
      <c r="AE58" s="14" t="e">
        <f t="shared" si="19"/>
        <v>#REF!</v>
      </c>
      <c r="AF58" s="14" t="e">
        <f t="shared" si="20"/>
        <v>#REF!</v>
      </c>
      <c r="AG58" s="14" t="e">
        <f t="shared" si="21"/>
        <v>#REF!</v>
      </c>
      <c r="AH58" s="14" t="e">
        <f t="shared" si="22"/>
        <v>#REF!</v>
      </c>
      <c r="AI58" s="14" t="e">
        <f t="shared" si="23"/>
        <v>#REF!</v>
      </c>
      <c r="AJ58" s="2" t="e">
        <f>'Returns by year'!$V58-'Returns by year'!$X58</f>
        <v>#REF!</v>
      </c>
      <c r="AK58" s="2" t="e">
        <f>'Returns by year'!$V58-'Returns by year'!$Y58</f>
        <v>#REF!</v>
      </c>
    </row>
    <row r="59" spans="1:37">
      <c r="A59" s="15">
        <v>1966</v>
      </c>
      <c r="B59" s="56" t="e">
        <f>(#REF!-#REF!+#REF!)/#REF!</f>
        <v>#REF!</v>
      </c>
      <c r="C59" s="56" t="e">
        <f>#REF!</f>
        <v>#REF!</v>
      </c>
      <c r="D59" s="56" t="e">
        <f>#REF!</f>
        <v>#REF!</v>
      </c>
      <c r="E59" s="56" t="e">
        <f>#REF!</f>
        <v>#REF!</v>
      </c>
      <c r="F59" s="56" t="e">
        <f>#REF!</f>
        <v>#REF!</v>
      </c>
      <c r="G59" s="56" t="e">
        <f>#REF!/#REF!-1</f>
        <v>#REF!</v>
      </c>
      <c r="H59" s="56" t="e">
        <f>#REF!/#REF!-1</f>
        <v>#REF!</v>
      </c>
      <c r="I59" s="54" t="e">
        <f t="shared" si="36"/>
        <v>#REF!</v>
      </c>
      <c r="J59" s="14" t="e">
        <f t="shared" si="24"/>
        <v>#REF!</v>
      </c>
      <c r="K59" s="14" t="e">
        <f t="shared" si="37"/>
        <v>#REF!</v>
      </c>
      <c r="L59" s="14" t="e">
        <f t="shared" si="38"/>
        <v>#REF!</v>
      </c>
      <c r="M59" s="14" t="e">
        <f t="shared" si="39"/>
        <v>#REF!</v>
      </c>
      <c r="N59" s="14" t="e">
        <f t="shared" si="40"/>
        <v>#REF!</v>
      </c>
      <c r="O59" s="14" t="e">
        <f t="shared" si="41"/>
        <v>#REF!</v>
      </c>
      <c r="P59" s="12" t="e">
        <f t="shared" si="25"/>
        <v>#REF!</v>
      </c>
      <c r="Q59" s="12" t="e">
        <f t="shared" si="26"/>
        <v>#REF!</v>
      </c>
      <c r="R59" s="16" t="e">
        <f>'Returns by year'!$C59-'Returns by year'!$B59</f>
        <v>#REF!</v>
      </c>
      <c r="S59" s="16" t="e">
        <f t="shared" si="27"/>
        <v>#REF!</v>
      </c>
      <c r="T59" s="16" t="e">
        <f t="shared" si="28"/>
        <v>#REF!</v>
      </c>
      <c r="U59" s="26" t="e">
        <f>#REF!</f>
        <v>#REF!</v>
      </c>
      <c r="V59" s="2" t="e">
        <f t="shared" si="29"/>
        <v>#REF!</v>
      </c>
      <c r="W59" s="2" t="e">
        <f t="shared" si="30"/>
        <v>#REF!</v>
      </c>
      <c r="X59" s="2" t="e">
        <f t="shared" si="31"/>
        <v>#REF!</v>
      </c>
      <c r="Y59" s="2" t="e">
        <f t="shared" si="32"/>
        <v>#REF!</v>
      </c>
      <c r="Z59" s="2" t="e">
        <f t="shared" si="33"/>
        <v>#REF!</v>
      </c>
      <c r="AA59" s="2" t="e">
        <f t="shared" si="34"/>
        <v>#REF!</v>
      </c>
      <c r="AB59" s="2" t="e">
        <f t="shared" si="35"/>
        <v>#REF!</v>
      </c>
      <c r="AC59" s="54" t="e">
        <f t="shared" si="18"/>
        <v>#REF!</v>
      </c>
      <c r="AD59" s="57" t="e">
        <f t="shared" si="18"/>
        <v>#REF!</v>
      </c>
      <c r="AE59" s="14" t="e">
        <f t="shared" si="19"/>
        <v>#REF!</v>
      </c>
      <c r="AF59" s="14" t="e">
        <f t="shared" si="20"/>
        <v>#REF!</v>
      </c>
      <c r="AG59" s="14" t="e">
        <f t="shared" si="21"/>
        <v>#REF!</v>
      </c>
      <c r="AH59" s="14" t="e">
        <f t="shared" si="22"/>
        <v>#REF!</v>
      </c>
      <c r="AI59" s="14" t="e">
        <f t="shared" si="23"/>
        <v>#REF!</v>
      </c>
      <c r="AJ59" s="2" t="e">
        <f>'Returns by year'!$V59-'Returns by year'!$X59</f>
        <v>#REF!</v>
      </c>
      <c r="AK59" s="2" t="e">
        <f>'Returns by year'!$V59-'Returns by year'!$Y59</f>
        <v>#REF!</v>
      </c>
    </row>
    <row r="60" spans="1:37">
      <c r="A60" s="15">
        <v>1967</v>
      </c>
      <c r="B60" s="56" t="e">
        <f>(#REF!-#REF!+#REF!)/#REF!</f>
        <v>#REF!</v>
      </c>
      <c r="C60" s="56" t="e">
        <f>#REF!</f>
        <v>#REF!</v>
      </c>
      <c r="D60" s="56" t="e">
        <f>#REF!</f>
        <v>#REF!</v>
      </c>
      <c r="E60" s="56" t="e">
        <f>#REF!</f>
        <v>#REF!</v>
      </c>
      <c r="F60" s="56" t="e">
        <f>#REF!</f>
        <v>#REF!</v>
      </c>
      <c r="G60" s="56" t="e">
        <f>#REF!/#REF!-1</f>
        <v>#REF!</v>
      </c>
      <c r="H60" s="56" t="e">
        <f>#REF!/#REF!-1</f>
        <v>#REF!</v>
      </c>
      <c r="I60" s="54" t="e">
        <f t="shared" si="36"/>
        <v>#REF!</v>
      </c>
      <c r="J60" s="14" t="e">
        <f t="shared" si="24"/>
        <v>#REF!</v>
      </c>
      <c r="K60" s="14" t="e">
        <f t="shared" si="37"/>
        <v>#REF!</v>
      </c>
      <c r="L60" s="14" t="e">
        <f t="shared" si="38"/>
        <v>#REF!</v>
      </c>
      <c r="M60" s="14" t="e">
        <f t="shared" si="39"/>
        <v>#REF!</v>
      </c>
      <c r="N60" s="14" t="e">
        <f t="shared" si="40"/>
        <v>#REF!</v>
      </c>
      <c r="O60" s="14" t="e">
        <f t="shared" si="41"/>
        <v>#REF!</v>
      </c>
      <c r="P60" s="12" t="e">
        <f t="shared" si="25"/>
        <v>#REF!</v>
      </c>
      <c r="Q60" s="12" t="e">
        <f t="shared" si="26"/>
        <v>#REF!</v>
      </c>
      <c r="R60" s="16" t="e">
        <f>'Returns by year'!$C60-'Returns by year'!$B60</f>
        <v>#REF!</v>
      </c>
      <c r="S60" s="16" t="e">
        <f t="shared" si="27"/>
        <v>#REF!</v>
      </c>
      <c r="T60" s="16" t="e">
        <f t="shared" si="28"/>
        <v>#REF!</v>
      </c>
      <c r="U60" s="26" t="e">
        <f>#REF!</f>
        <v>#REF!</v>
      </c>
      <c r="V60" s="2" t="e">
        <f t="shared" si="29"/>
        <v>#REF!</v>
      </c>
      <c r="W60" s="2" t="e">
        <f t="shared" si="30"/>
        <v>#REF!</v>
      </c>
      <c r="X60" s="2" t="e">
        <f t="shared" si="31"/>
        <v>#REF!</v>
      </c>
      <c r="Y60" s="2" t="e">
        <f t="shared" si="32"/>
        <v>#REF!</v>
      </c>
      <c r="Z60" s="2" t="e">
        <f t="shared" si="33"/>
        <v>#REF!</v>
      </c>
      <c r="AA60" s="2" t="e">
        <f t="shared" si="34"/>
        <v>#REF!</v>
      </c>
      <c r="AB60" s="2" t="e">
        <f t="shared" si="35"/>
        <v>#REF!</v>
      </c>
      <c r="AC60" s="54" t="e">
        <f t="shared" si="18"/>
        <v>#REF!</v>
      </c>
      <c r="AD60" s="57" t="e">
        <f t="shared" si="18"/>
        <v>#REF!</v>
      </c>
      <c r="AE60" s="14" t="e">
        <f t="shared" si="19"/>
        <v>#REF!</v>
      </c>
      <c r="AF60" s="14" t="e">
        <f t="shared" si="20"/>
        <v>#REF!</v>
      </c>
      <c r="AG60" s="14" t="e">
        <f t="shared" si="21"/>
        <v>#REF!</v>
      </c>
      <c r="AH60" s="14" t="e">
        <f t="shared" si="22"/>
        <v>#REF!</v>
      </c>
      <c r="AI60" s="14" t="e">
        <f t="shared" si="23"/>
        <v>#REF!</v>
      </c>
      <c r="AJ60" s="2" t="e">
        <f>'Returns by year'!$V60-'Returns by year'!$X60</f>
        <v>#REF!</v>
      </c>
      <c r="AK60" s="2" t="e">
        <f>'Returns by year'!$V60-'Returns by year'!$Y60</f>
        <v>#REF!</v>
      </c>
    </row>
    <row r="61" spans="1:37">
      <c r="A61" s="15">
        <v>1968</v>
      </c>
      <c r="B61" s="56" t="e">
        <f>(#REF!-#REF!+#REF!)/#REF!</f>
        <v>#REF!</v>
      </c>
      <c r="C61" s="56" t="e">
        <f>#REF!</f>
        <v>#REF!</v>
      </c>
      <c r="D61" s="56" t="e">
        <f>#REF!</f>
        <v>#REF!</v>
      </c>
      <c r="E61" s="56" t="e">
        <f>#REF!</f>
        <v>#REF!</v>
      </c>
      <c r="F61" s="56" t="e">
        <f>#REF!</f>
        <v>#REF!</v>
      </c>
      <c r="G61" s="56" t="e">
        <f>#REF!/#REF!-1</f>
        <v>#REF!</v>
      </c>
      <c r="H61" s="56" t="e">
        <f>#REF!/#REF!-1</f>
        <v>#REF!</v>
      </c>
      <c r="I61" s="54" t="e">
        <f t="shared" si="36"/>
        <v>#REF!</v>
      </c>
      <c r="J61" s="14" t="e">
        <f>J60*(1+C61)</f>
        <v>#REF!</v>
      </c>
      <c r="K61" s="14" t="e">
        <f t="shared" si="37"/>
        <v>#REF!</v>
      </c>
      <c r="L61" s="14" t="e">
        <f t="shared" si="38"/>
        <v>#REF!</v>
      </c>
      <c r="M61" s="14" t="e">
        <f t="shared" si="39"/>
        <v>#REF!</v>
      </c>
      <c r="N61" s="14" t="e">
        <f t="shared" si="40"/>
        <v>#REF!</v>
      </c>
      <c r="O61" s="14" t="e">
        <f t="shared" si="41"/>
        <v>#REF!</v>
      </c>
      <c r="P61" s="12" t="e">
        <f t="shared" si="25"/>
        <v>#REF!</v>
      </c>
      <c r="Q61" s="12" t="e">
        <f t="shared" si="26"/>
        <v>#REF!</v>
      </c>
      <c r="R61" s="16" t="e">
        <f>'Returns by year'!$C61-'Returns by year'!$B61</f>
        <v>#REF!</v>
      </c>
      <c r="S61" s="16" t="e">
        <f t="shared" si="27"/>
        <v>#REF!</v>
      </c>
      <c r="T61" s="16" t="e">
        <f t="shared" si="28"/>
        <v>#REF!</v>
      </c>
      <c r="U61" s="26" t="e">
        <f>#REF!</f>
        <v>#REF!</v>
      </c>
      <c r="V61" s="2" t="e">
        <f t="shared" si="29"/>
        <v>#REF!</v>
      </c>
      <c r="W61" s="2" t="e">
        <f t="shared" si="30"/>
        <v>#REF!</v>
      </c>
      <c r="X61" s="2" t="e">
        <f t="shared" si="31"/>
        <v>#REF!</v>
      </c>
      <c r="Y61" s="2" t="e">
        <f t="shared" si="32"/>
        <v>#REF!</v>
      </c>
      <c r="Z61" s="2" t="e">
        <f t="shared" si="33"/>
        <v>#REF!</v>
      </c>
      <c r="AA61" s="2" t="e">
        <f t="shared" si="34"/>
        <v>#REF!</v>
      </c>
      <c r="AB61" s="2" t="e">
        <f t="shared" si="35"/>
        <v>#REF!</v>
      </c>
      <c r="AC61" s="54" t="e">
        <f t="shared" si="18"/>
        <v>#REF!</v>
      </c>
      <c r="AD61" s="57" t="e">
        <f t="shared" si="18"/>
        <v>#REF!</v>
      </c>
      <c r="AE61" s="14" t="e">
        <f t="shared" si="19"/>
        <v>#REF!</v>
      </c>
      <c r="AF61" s="14" t="e">
        <f t="shared" si="20"/>
        <v>#REF!</v>
      </c>
      <c r="AG61" s="14" t="e">
        <f t="shared" si="21"/>
        <v>#REF!</v>
      </c>
      <c r="AH61" s="14" t="e">
        <f t="shared" si="22"/>
        <v>#REF!</v>
      </c>
      <c r="AI61" s="14" t="e">
        <f t="shared" si="23"/>
        <v>#REF!</v>
      </c>
      <c r="AJ61" s="2" t="e">
        <f>'Returns by year'!$V61-'Returns by year'!$X61</f>
        <v>#REF!</v>
      </c>
      <c r="AK61" s="2" t="e">
        <f>'Returns by year'!$V61-'Returns by year'!$Y61</f>
        <v>#REF!</v>
      </c>
    </row>
    <row r="62" spans="1:37">
      <c r="A62" s="15">
        <v>1969</v>
      </c>
      <c r="B62" s="56" t="e">
        <f>(#REF!-#REF!+#REF!)/#REF!</f>
        <v>#REF!</v>
      </c>
      <c r="C62" s="56" t="e">
        <f>#REF!</f>
        <v>#REF!</v>
      </c>
      <c r="D62" s="56" t="e">
        <f>#REF!</f>
        <v>#REF!</v>
      </c>
      <c r="E62" s="56" t="e">
        <f>#REF!</f>
        <v>#REF!</v>
      </c>
      <c r="F62" s="56" t="e">
        <f>#REF!</f>
        <v>#REF!</v>
      </c>
      <c r="G62" s="56" t="e">
        <f>#REF!/#REF!-1</f>
        <v>#REF!</v>
      </c>
      <c r="H62" s="56" t="e">
        <f>#REF!/#REF!-1</f>
        <v>#REF!</v>
      </c>
      <c r="I62" s="54" t="e">
        <f t="shared" si="36"/>
        <v>#REF!</v>
      </c>
      <c r="J62" s="14" t="e">
        <f t="shared" si="24"/>
        <v>#REF!</v>
      </c>
      <c r="K62" s="14" t="e">
        <f t="shared" si="37"/>
        <v>#REF!</v>
      </c>
      <c r="L62" s="14" t="e">
        <f t="shared" si="38"/>
        <v>#REF!</v>
      </c>
      <c r="M62" s="14" t="e">
        <f t="shared" si="39"/>
        <v>#REF!</v>
      </c>
      <c r="N62" s="14" t="e">
        <f t="shared" si="40"/>
        <v>#REF!</v>
      </c>
      <c r="O62" s="14" t="e">
        <f t="shared" si="41"/>
        <v>#REF!</v>
      </c>
      <c r="P62" s="12" t="e">
        <f t="shared" si="25"/>
        <v>#REF!</v>
      </c>
      <c r="Q62" s="12" t="e">
        <f t="shared" si="26"/>
        <v>#REF!</v>
      </c>
      <c r="R62" s="16" t="e">
        <f>'Returns by year'!$C62-'Returns by year'!$B62</f>
        <v>#REF!</v>
      </c>
      <c r="S62" s="16" t="e">
        <f t="shared" si="27"/>
        <v>#REF!</v>
      </c>
      <c r="T62" s="16" t="e">
        <f t="shared" si="28"/>
        <v>#REF!</v>
      </c>
      <c r="U62" s="26" t="e">
        <f>#REF!</f>
        <v>#REF!</v>
      </c>
      <c r="V62" s="2" t="e">
        <f t="shared" si="29"/>
        <v>#REF!</v>
      </c>
      <c r="W62" s="2" t="e">
        <f t="shared" si="30"/>
        <v>#REF!</v>
      </c>
      <c r="X62" s="2" t="e">
        <f t="shared" si="31"/>
        <v>#REF!</v>
      </c>
      <c r="Y62" s="2" t="e">
        <f t="shared" si="32"/>
        <v>#REF!</v>
      </c>
      <c r="Z62" s="2" t="e">
        <f t="shared" si="33"/>
        <v>#REF!</v>
      </c>
      <c r="AA62" s="2" t="e">
        <f t="shared" si="34"/>
        <v>#REF!</v>
      </c>
      <c r="AB62" s="2" t="e">
        <f t="shared" si="35"/>
        <v>#REF!</v>
      </c>
      <c r="AC62" s="54" t="e">
        <f t="shared" si="18"/>
        <v>#REF!</v>
      </c>
      <c r="AD62" s="57" t="e">
        <f t="shared" si="18"/>
        <v>#REF!</v>
      </c>
      <c r="AE62" s="14" t="e">
        <f t="shared" si="19"/>
        <v>#REF!</v>
      </c>
      <c r="AF62" s="14" t="e">
        <f t="shared" si="20"/>
        <v>#REF!</v>
      </c>
      <c r="AG62" s="14" t="e">
        <f t="shared" si="21"/>
        <v>#REF!</v>
      </c>
      <c r="AH62" s="14" t="e">
        <f t="shared" si="22"/>
        <v>#REF!</v>
      </c>
      <c r="AI62" s="14" t="e">
        <f t="shared" si="23"/>
        <v>#REF!</v>
      </c>
      <c r="AJ62" s="2" t="e">
        <f>'Returns by year'!$V62-'Returns by year'!$X62</f>
        <v>#REF!</v>
      </c>
      <c r="AK62" s="2" t="e">
        <f>'Returns by year'!$V62-'Returns by year'!$Y62</f>
        <v>#REF!</v>
      </c>
    </row>
    <row r="63" spans="1:37">
      <c r="A63" s="15">
        <v>1970</v>
      </c>
      <c r="B63" s="56" t="e">
        <f>(#REF!-#REF!+#REF!)/#REF!</f>
        <v>#REF!</v>
      </c>
      <c r="C63" s="56" t="e">
        <f>#REF!</f>
        <v>#REF!</v>
      </c>
      <c r="D63" s="56" t="e">
        <f>#REF!</f>
        <v>#REF!</v>
      </c>
      <c r="E63" s="56" t="e">
        <f>#REF!</f>
        <v>#REF!</v>
      </c>
      <c r="F63" s="56" t="e">
        <f>#REF!</f>
        <v>#REF!</v>
      </c>
      <c r="G63" s="56" t="e">
        <f>#REF!/#REF!-1</f>
        <v>#REF!</v>
      </c>
      <c r="H63" s="56" t="e">
        <f>#REF!/#REF!-1</f>
        <v>#REF!</v>
      </c>
      <c r="I63" s="54" t="e">
        <f t="shared" si="36"/>
        <v>#REF!</v>
      </c>
      <c r="J63" s="14" t="e">
        <f t="shared" si="24"/>
        <v>#REF!</v>
      </c>
      <c r="K63" s="14" t="e">
        <f t="shared" si="37"/>
        <v>#REF!</v>
      </c>
      <c r="L63" s="14" t="e">
        <f t="shared" si="38"/>
        <v>#REF!</v>
      </c>
      <c r="M63" s="14" t="e">
        <f t="shared" si="39"/>
        <v>#REF!</v>
      </c>
      <c r="N63" s="14" t="e">
        <f t="shared" si="40"/>
        <v>#REF!</v>
      </c>
      <c r="O63" s="14" t="e">
        <f t="shared" si="41"/>
        <v>#REF!</v>
      </c>
      <c r="P63" s="12" t="e">
        <f t="shared" si="25"/>
        <v>#REF!</v>
      </c>
      <c r="Q63" s="12" t="e">
        <f t="shared" si="26"/>
        <v>#REF!</v>
      </c>
      <c r="R63" s="16" t="e">
        <f>'Returns by year'!$C63-'Returns by year'!$B63</f>
        <v>#REF!</v>
      </c>
      <c r="S63" s="16" t="e">
        <f t="shared" si="27"/>
        <v>#REF!</v>
      </c>
      <c r="T63" s="16" t="e">
        <f t="shared" si="28"/>
        <v>#REF!</v>
      </c>
      <c r="U63" s="26" t="e">
        <f>#REF!</f>
        <v>#REF!</v>
      </c>
      <c r="V63" s="2" t="e">
        <f t="shared" si="29"/>
        <v>#REF!</v>
      </c>
      <c r="W63" s="2" t="e">
        <f t="shared" si="30"/>
        <v>#REF!</v>
      </c>
      <c r="X63" s="2" t="e">
        <f t="shared" si="31"/>
        <v>#REF!</v>
      </c>
      <c r="Y63" s="2" t="e">
        <f t="shared" si="32"/>
        <v>#REF!</v>
      </c>
      <c r="Z63" s="2" t="e">
        <f t="shared" si="33"/>
        <v>#REF!</v>
      </c>
      <c r="AA63" s="2" t="e">
        <f t="shared" si="34"/>
        <v>#REF!</v>
      </c>
      <c r="AB63" s="2" t="e">
        <f t="shared" si="35"/>
        <v>#REF!</v>
      </c>
      <c r="AC63" s="54" t="e">
        <f t="shared" si="18"/>
        <v>#REF!</v>
      </c>
      <c r="AD63" s="57" t="e">
        <f t="shared" si="18"/>
        <v>#REF!</v>
      </c>
      <c r="AE63" s="14" t="e">
        <f t="shared" si="19"/>
        <v>#REF!</v>
      </c>
      <c r="AF63" s="14" t="e">
        <f t="shared" si="20"/>
        <v>#REF!</v>
      </c>
      <c r="AG63" s="14" t="e">
        <f t="shared" si="21"/>
        <v>#REF!</v>
      </c>
      <c r="AH63" s="14" t="e">
        <f t="shared" si="22"/>
        <v>#REF!</v>
      </c>
      <c r="AI63" s="14" t="e">
        <f t="shared" si="23"/>
        <v>#REF!</v>
      </c>
      <c r="AJ63" s="2" t="e">
        <f>'Returns by year'!$V63-'Returns by year'!$X63</f>
        <v>#REF!</v>
      </c>
      <c r="AK63" s="2" t="e">
        <f>'Returns by year'!$V63-'Returns by year'!$Y63</f>
        <v>#REF!</v>
      </c>
    </row>
    <row r="64" spans="1:37">
      <c r="A64" s="15">
        <v>1971</v>
      </c>
      <c r="B64" s="56" t="e">
        <f>(#REF!-#REF!+#REF!)/#REF!</f>
        <v>#REF!</v>
      </c>
      <c r="C64" s="56" t="e">
        <f>#REF!</f>
        <v>#REF!</v>
      </c>
      <c r="D64" s="56" t="e">
        <f>#REF!</f>
        <v>#REF!</v>
      </c>
      <c r="E64" s="56" t="e">
        <f>#REF!</f>
        <v>#REF!</v>
      </c>
      <c r="F64" s="56" t="e">
        <f>#REF!</f>
        <v>#REF!</v>
      </c>
      <c r="G64" s="56" t="e">
        <f>#REF!/#REF!-1</f>
        <v>#REF!</v>
      </c>
      <c r="H64" s="56" t="e">
        <f>#REF!/#REF!-1</f>
        <v>#REF!</v>
      </c>
      <c r="I64" s="54" t="e">
        <f t="shared" si="36"/>
        <v>#REF!</v>
      </c>
      <c r="J64" s="14" t="e">
        <f>J63*(1+C64)</f>
        <v>#REF!</v>
      </c>
      <c r="K64" s="14" t="e">
        <f t="shared" si="37"/>
        <v>#REF!</v>
      </c>
      <c r="L64" s="14" t="e">
        <f t="shared" si="38"/>
        <v>#REF!</v>
      </c>
      <c r="M64" s="14" t="e">
        <f t="shared" si="39"/>
        <v>#REF!</v>
      </c>
      <c r="N64" s="14" t="e">
        <f t="shared" si="40"/>
        <v>#REF!</v>
      </c>
      <c r="O64" s="14" t="e">
        <f t="shared" si="41"/>
        <v>#REF!</v>
      </c>
      <c r="P64" s="12" t="e">
        <f t="shared" si="25"/>
        <v>#REF!</v>
      </c>
      <c r="Q64" s="12" t="e">
        <f t="shared" si="26"/>
        <v>#REF!</v>
      </c>
      <c r="R64" s="16" t="e">
        <f>'Returns by year'!$C64-'Returns by year'!$B64</f>
        <v>#REF!</v>
      </c>
      <c r="S64" s="16" t="e">
        <f t="shared" si="27"/>
        <v>#REF!</v>
      </c>
      <c r="T64" s="16" t="e">
        <f t="shared" si="28"/>
        <v>#REF!</v>
      </c>
      <c r="U64" s="26" t="e">
        <f>#REF!</f>
        <v>#REF!</v>
      </c>
      <c r="V64" s="2" t="e">
        <f t="shared" si="29"/>
        <v>#REF!</v>
      </c>
      <c r="W64" s="2" t="e">
        <f t="shared" si="30"/>
        <v>#REF!</v>
      </c>
      <c r="X64" s="2" t="e">
        <f t="shared" si="31"/>
        <v>#REF!</v>
      </c>
      <c r="Y64" s="2" t="e">
        <f t="shared" si="32"/>
        <v>#REF!</v>
      </c>
      <c r="Z64" s="2" t="e">
        <f t="shared" si="33"/>
        <v>#REF!</v>
      </c>
      <c r="AA64" s="2" t="e">
        <f t="shared" si="34"/>
        <v>#REF!</v>
      </c>
      <c r="AB64" s="2" t="e">
        <f t="shared" si="35"/>
        <v>#REF!</v>
      </c>
      <c r="AC64" s="54" t="e">
        <f t="shared" si="18"/>
        <v>#REF!</v>
      </c>
      <c r="AD64" s="57" t="e">
        <f t="shared" si="18"/>
        <v>#REF!</v>
      </c>
      <c r="AE64" s="14" t="e">
        <f t="shared" si="19"/>
        <v>#REF!</v>
      </c>
      <c r="AF64" s="14" t="e">
        <f t="shared" si="20"/>
        <v>#REF!</v>
      </c>
      <c r="AG64" s="14" t="e">
        <f t="shared" si="21"/>
        <v>#REF!</v>
      </c>
      <c r="AH64" s="14" t="e">
        <f t="shared" si="22"/>
        <v>#REF!</v>
      </c>
      <c r="AI64" s="14" t="e">
        <f t="shared" si="23"/>
        <v>#REF!</v>
      </c>
      <c r="AJ64" s="2" t="e">
        <f>'Returns by year'!$V64-'Returns by year'!$X64</f>
        <v>#REF!</v>
      </c>
      <c r="AK64" s="2" t="e">
        <f>'Returns by year'!$V64-'Returns by year'!$Y64</f>
        <v>#REF!</v>
      </c>
    </row>
    <row r="65" spans="1:37">
      <c r="A65" s="15">
        <v>1972</v>
      </c>
      <c r="B65" s="56" t="e">
        <f>(#REF!-#REF!+#REF!)/#REF!</f>
        <v>#REF!</v>
      </c>
      <c r="C65" s="56" t="e">
        <f>#REF!</f>
        <v>#REF!</v>
      </c>
      <c r="D65" s="56" t="e">
        <f>#REF!</f>
        <v>#REF!</v>
      </c>
      <c r="E65" s="56" t="e">
        <f>#REF!</f>
        <v>#REF!</v>
      </c>
      <c r="F65" s="56" t="e">
        <f>#REF!</f>
        <v>#REF!</v>
      </c>
      <c r="G65" s="56" t="e">
        <f>#REF!/#REF!-1</f>
        <v>#REF!</v>
      </c>
      <c r="H65" s="56" t="e">
        <f>#REF!/#REF!-1</f>
        <v>#REF!</v>
      </c>
      <c r="I65" s="54" t="e">
        <f t="shared" si="36"/>
        <v>#REF!</v>
      </c>
      <c r="J65" s="14" t="e">
        <f t="shared" si="24"/>
        <v>#REF!</v>
      </c>
      <c r="K65" s="14" t="e">
        <f t="shared" si="37"/>
        <v>#REF!</v>
      </c>
      <c r="L65" s="14" t="e">
        <f t="shared" si="38"/>
        <v>#REF!</v>
      </c>
      <c r="M65" s="14" t="e">
        <f t="shared" si="39"/>
        <v>#REF!</v>
      </c>
      <c r="N65" s="14" t="e">
        <f t="shared" si="40"/>
        <v>#REF!</v>
      </c>
      <c r="O65" s="14" t="e">
        <f t="shared" si="41"/>
        <v>#REF!</v>
      </c>
      <c r="P65" s="12" t="e">
        <f t="shared" si="25"/>
        <v>#REF!</v>
      </c>
      <c r="Q65" s="12" t="e">
        <f t="shared" si="26"/>
        <v>#REF!</v>
      </c>
      <c r="R65" s="16" t="e">
        <f>'Returns by year'!$C65-'Returns by year'!$B65</f>
        <v>#REF!</v>
      </c>
      <c r="S65" s="16" t="e">
        <f t="shared" si="27"/>
        <v>#REF!</v>
      </c>
      <c r="T65" s="16" t="e">
        <f t="shared" si="28"/>
        <v>#REF!</v>
      </c>
      <c r="U65" s="26" t="e">
        <f>#REF!</f>
        <v>#REF!</v>
      </c>
      <c r="V65" s="2" t="e">
        <f t="shared" si="29"/>
        <v>#REF!</v>
      </c>
      <c r="W65" s="2" t="e">
        <f t="shared" si="30"/>
        <v>#REF!</v>
      </c>
      <c r="X65" s="2" t="e">
        <f t="shared" si="31"/>
        <v>#REF!</v>
      </c>
      <c r="Y65" s="2" t="e">
        <f t="shared" si="32"/>
        <v>#REF!</v>
      </c>
      <c r="Z65" s="2" t="e">
        <f t="shared" si="33"/>
        <v>#REF!</v>
      </c>
      <c r="AA65" s="2" t="e">
        <f t="shared" si="34"/>
        <v>#REF!</v>
      </c>
      <c r="AB65" s="2" t="e">
        <f t="shared" si="35"/>
        <v>#REF!</v>
      </c>
      <c r="AC65" s="54" t="e">
        <f t="shared" si="18"/>
        <v>#REF!</v>
      </c>
      <c r="AD65" s="57" t="e">
        <f t="shared" si="18"/>
        <v>#REF!</v>
      </c>
      <c r="AE65" s="14" t="e">
        <f t="shared" si="19"/>
        <v>#REF!</v>
      </c>
      <c r="AF65" s="14" t="e">
        <f t="shared" si="20"/>
        <v>#REF!</v>
      </c>
      <c r="AG65" s="14" t="e">
        <f t="shared" si="21"/>
        <v>#REF!</v>
      </c>
      <c r="AH65" s="14" t="e">
        <f t="shared" si="22"/>
        <v>#REF!</v>
      </c>
      <c r="AI65" s="14" t="e">
        <f t="shared" si="23"/>
        <v>#REF!</v>
      </c>
      <c r="AJ65" s="2" t="e">
        <f>'Returns by year'!$V65-'Returns by year'!$X65</f>
        <v>#REF!</v>
      </c>
      <c r="AK65" s="2" t="e">
        <f>'Returns by year'!$V65-'Returns by year'!$Y65</f>
        <v>#REF!</v>
      </c>
    </row>
    <row r="66" spans="1:37">
      <c r="A66" s="15">
        <v>1973</v>
      </c>
      <c r="B66" s="56" t="e">
        <f>(#REF!-#REF!+#REF!)/#REF!</f>
        <v>#REF!</v>
      </c>
      <c r="C66" s="56" t="e">
        <f>#REF!</f>
        <v>#REF!</v>
      </c>
      <c r="D66" s="56" t="e">
        <f>#REF!</f>
        <v>#REF!</v>
      </c>
      <c r="E66" s="56" t="e">
        <f>#REF!</f>
        <v>#REF!</v>
      </c>
      <c r="F66" s="56" t="e">
        <f>#REF!</f>
        <v>#REF!</v>
      </c>
      <c r="G66" s="56" t="e">
        <f>#REF!/#REF!-1</f>
        <v>#REF!</v>
      </c>
      <c r="H66" s="56" t="e">
        <f>#REF!/#REF!-1</f>
        <v>#REF!</v>
      </c>
      <c r="I66" s="54" t="e">
        <f t="shared" si="36"/>
        <v>#REF!</v>
      </c>
      <c r="J66" s="14" t="e">
        <f t="shared" si="24"/>
        <v>#REF!</v>
      </c>
      <c r="K66" s="14" t="e">
        <f t="shared" si="37"/>
        <v>#REF!</v>
      </c>
      <c r="L66" s="14" t="e">
        <f t="shared" si="38"/>
        <v>#REF!</v>
      </c>
      <c r="M66" s="14" t="e">
        <f t="shared" si="39"/>
        <v>#REF!</v>
      </c>
      <c r="N66" s="14" t="e">
        <f t="shared" si="40"/>
        <v>#REF!</v>
      </c>
      <c r="O66" s="14" t="e">
        <f t="shared" si="41"/>
        <v>#REF!</v>
      </c>
      <c r="P66" s="12" t="e">
        <f t="shared" si="25"/>
        <v>#REF!</v>
      </c>
      <c r="Q66" s="12" t="e">
        <f t="shared" si="26"/>
        <v>#REF!</v>
      </c>
      <c r="R66" s="16" t="e">
        <f>'Returns by year'!$C66-'Returns by year'!$B66</f>
        <v>#REF!</v>
      </c>
      <c r="S66" s="16" t="e">
        <f t="shared" si="27"/>
        <v>#REF!</v>
      </c>
      <c r="T66" s="16" t="e">
        <f t="shared" si="28"/>
        <v>#REF!</v>
      </c>
      <c r="U66" s="26" t="e">
        <f>#REF!</f>
        <v>#REF!</v>
      </c>
      <c r="V66" s="2" t="e">
        <f t="shared" si="29"/>
        <v>#REF!</v>
      </c>
      <c r="W66" s="2" t="e">
        <f t="shared" si="30"/>
        <v>#REF!</v>
      </c>
      <c r="X66" s="2" t="e">
        <f t="shared" si="31"/>
        <v>#REF!</v>
      </c>
      <c r="Y66" s="2" t="e">
        <f t="shared" si="32"/>
        <v>#REF!</v>
      </c>
      <c r="Z66" s="2" t="e">
        <f t="shared" si="33"/>
        <v>#REF!</v>
      </c>
      <c r="AA66" s="2" t="e">
        <f t="shared" si="34"/>
        <v>#REF!</v>
      </c>
      <c r="AB66" s="2" t="e">
        <f t="shared" si="35"/>
        <v>#REF!</v>
      </c>
      <c r="AC66" s="54" t="e">
        <f t="shared" si="18"/>
        <v>#REF!</v>
      </c>
      <c r="AD66" s="57" t="e">
        <f t="shared" si="18"/>
        <v>#REF!</v>
      </c>
      <c r="AE66" s="14" t="e">
        <f t="shared" si="19"/>
        <v>#REF!</v>
      </c>
      <c r="AF66" s="14" t="e">
        <f t="shared" si="20"/>
        <v>#REF!</v>
      </c>
      <c r="AG66" s="14" t="e">
        <f t="shared" si="21"/>
        <v>#REF!</v>
      </c>
      <c r="AH66" s="14" t="e">
        <f t="shared" si="22"/>
        <v>#REF!</v>
      </c>
      <c r="AI66" s="14" t="e">
        <f t="shared" si="23"/>
        <v>#REF!</v>
      </c>
      <c r="AJ66" s="2" t="e">
        <f>'Returns by year'!$V66-'Returns by year'!$X66</f>
        <v>#REF!</v>
      </c>
      <c r="AK66" s="2" t="e">
        <f>'Returns by year'!$V66-'Returns by year'!$Y66</f>
        <v>#REF!</v>
      </c>
    </row>
    <row r="67" spans="1:37">
      <c r="A67" s="15">
        <v>1974</v>
      </c>
      <c r="B67" s="56" t="e">
        <f>(#REF!-#REF!+#REF!)/#REF!</f>
        <v>#REF!</v>
      </c>
      <c r="C67" s="56" t="e">
        <f>#REF!</f>
        <v>#REF!</v>
      </c>
      <c r="D67" s="56" t="e">
        <f>#REF!</f>
        <v>#REF!</v>
      </c>
      <c r="E67" s="56" t="e">
        <f>#REF!</f>
        <v>#REF!</v>
      </c>
      <c r="F67" s="56" t="e">
        <f>#REF!</f>
        <v>#REF!</v>
      </c>
      <c r="G67" s="56" t="e">
        <f>#REF!/#REF!-1</f>
        <v>#REF!</v>
      </c>
      <c r="H67" s="56" t="e">
        <f>#REF!/#REF!-1</f>
        <v>#REF!</v>
      </c>
      <c r="I67" s="54" t="e">
        <f t="shared" si="36"/>
        <v>#REF!</v>
      </c>
      <c r="J67" s="14" t="e">
        <f>J66*(1+C67)</f>
        <v>#REF!</v>
      </c>
      <c r="K67" s="14" t="e">
        <f t="shared" si="37"/>
        <v>#REF!</v>
      </c>
      <c r="L67" s="14" t="e">
        <f t="shared" si="38"/>
        <v>#REF!</v>
      </c>
      <c r="M67" s="14" t="e">
        <f t="shared" si="39"/>
        <v>#REF!</v>
      </c>
      <c r="N67" s="14" t="e">
        <f t="shared" si="40"/>
        <v>#REF!</v>
      </c>
      <c r="O67" s="14" t="e">
        <f t="shared" si="41"/>
        <v>#REF!</v>
      </c>
      <c r="P67" s="12" t="e">
        <f t="shared" si="25"/>
        <v>#REF!</v>
      </c>
      <c r="Q67" s="12" t="e">
        <f t="shared" si="26"/>
        <v>#REF!</v>
      </c>
      <c r="R67" s="16" t="e">
        <f>'Returns by year'!$C67-'Returns by year'!$B67</f>
        <v>#REF!</v>
      </c>
      <c r="S67" s="16" t="e">
        <f t="shared" si="27"/>
        <v>#REF!</v>
      </c>
      <c r="T67" s="16" t="e">
        <f t="shared" si="28"/>
        <v>#REF!</v>
      </c>
      <c r="U67" s="26" t="e">
        <f>#REF!</f>
        <v>#REF!</v>
      </c>
      <c r="V67" s="2" t="e">
        <f t="shared" si="29"/>
        <v>#REF!</v>
      </c>
      <c r="W67" s="2" t="e">
        <f t="shared" si="30"/>
        <v>#REF!</v>
      </c>
      <c r="X67" s="2" t="e">
        <f t="shared" si="31"/>
        <v>#REF!</v>
      </c>
      <c r="Y67" s="2" t="e">
        <f t="shared" si="32"/>
        <v>#REF!</v>
      </c>
      <c r="Z67" s="2" t="e">
        <f t="shared" si="33"/>
        <v>#REF!</v>
      </c>
      <c r="AA67" s="2" t="e">
        <f t="shared" si="34"/>
        <v>#REF!</v>
      </c>
      <c r="AB67" s="2" t="e">
        <f t="shared" si="35"/>
        <v>#REF!</v>
      </c>
      <c r="AC67" s="54" t="e">
        <f t="shared" si="18"/>
        <v>#REF!</v>
      </c>
      <c r="AD67" s="57" t="e">
        <f t="shared" si="18"/>
        <v>#REF!</v>
      </c>
      <c r="AE67" s="14" t="e">
        <f t="shared" si="19"/>
        <v>#REF!</v>
      </c>
      <c r="AF67" s="14" t="e">
        <f t="shared" si="20"/>
        <v>#REF!</v>
      </c>
      <c r="AG67" s="14" t="e">
        <f t="shared" si="21"/>
        <v>#REF!</v>
      </c>
      <c r="AH67" s="14" t="e">
        <f t="shared" si="22"/>
        <v>#REF!</v>
      </c>
      <c r="AI67" s="14" t="e">
        <f t="shared" si="23"/>
        <v>#REF!</v>
      </c>
      <c r="AJ67" s="2" t="e">
        <f>'Returns by year'!$V67-'Returns by year'!$X67</f>
        <v>#REF!</v>
      </c>
      <c r="AK67" s="2" t="e">
        <f>'Returns by year'!$V67-'Returns by year'!$Y67</f>
        <v>#REF!</v>
      </c>
    </row>
    <row r="68" spans="1:37">
      <c r="A68" s="15">
        <v>1975</v>
      </c>
      <c r="B68" s="56" t="e">
        <f>(#REF!-#REF!+#REF!)/#REF!</f>
        <v>#REF!</v>
      </c>
      <c r="C68" s="56" t="e">
        <f>#REF!</f>
        <v>#REF!</v>
      </c>
      <c r="D68" s="56" t="e">
        <f>#REF!</f>
        <v>#REF!</v>
      </c>
      <c r="E68" s="56" t="e">
        <f>#REF!</f>
        <v>#REF!</v>
      </c>
      <c r="F68" s="56" t="e">
        <f>#REF!</f>
        <v>#REF!</v>
      </c>
      <c r="G68" s="56" t="e">
        <f>#REF!/#REF!-1</f>
        <v>#REF!</v>
      </c>
      <c r="H68" s="56" t="e">
        <f>#REF!/#REF!-1</f>
        <v>#REF!</v>
      </c>
      <c r="I68" s="54" t="e">
        <f t="shared" si="36"/>
        <v>#REF!</v>
      </c>
      <c r="J68" s="14" t="e">
        <f t="shared" si="24"/>
        <v>#REF!</v>
      </c>
      <c r="K68" s="14" t="e">
        <f t="shared" si="37"/>
        <v>#REF!</v>
      </c>
      <c r="L68" s="14" t="e">
        <f t="shared" si="38"/>
        <v>#REF!</v>
      </c>
      <c r="M68" s="14" t="e">
        <f t="shared" si="39"/>
        <v>#REF!</v>
      </c>
      <c r="N68" s="14" t="e">
        <f t="shared" si="40"/>
        <v>#REF!</v>
      </c>
      <c r="O68" s="14" t="e">
        <f t="shared" si="41"/>
        <v>#REF!</v>
      </c>
      <c r="P68" s="12" t="e">
        <f t="shared" si="25"/>
        <v>#REF!</v>
      </c>
      <c r="Q68" s="12" t="e">
        <f t="shared" si="26"/>
        <v>#REF!</v>
      </c>
      <c r="R68" s="16" t="e">
        <f>'Returns by year'!$C68-'Returns by year'!$B68</f>
        <v>#REF!</v>
      </c>
      <c r="S68" s="16" t="e">
        <f t="shared" si="27"/>
        <v>#REF!</v>
      </c>
      <c r="T68" s="16" t="e">
        <f t="shared" si="28"/>
        <v>#REF!</v>
      </c>
      <c r="U68" s="26" t="e">
        <f>#REF!</f>
        <v>#REF!</v>
      </c>
      <c r="V68" s="2" t="e">
        <f t="shared" si="29"/>
        <v>#REF!</v>
      </c>
      <c r="W68" s="2" t="e">
        <f t="shared" si="30"/>
        <v>#REF!</v>
      </c>
      <c r="X68" s="2" t="e">
        <f t="shared" si="31"/>
        <v>#REF!</v>
      </c>
      <c r="Y68" s="2" t="e">
        <f t="shared" si="32"/>
        <v>#REF!</v>
      </c>
      <c r="Z68" s="2" t="e">
        <f t="shared" si="33"/>
        <v>#REF!</v>
      </c>
      <c r="AA68" s="2" t="e">
        <f t="shared" si="34"/>
        <v>#REF!</v>
      </c>
      <c r="AB68" s="2" t="e">
        <f t="shared" si="35"/>
        <v>#REF!</v>
      </c>
      <c r="AC68" s="54" t="e">
        <f t="shared" si="18"/>
        <v>#REF!</v>
      </c>
      <c r="AD68" s="57" t="e">
        <f t="shared" si="18"/>
        <v>#REF!</v>
      </c>
      <c r="AE68" s="14" t="e">
        <f t="shared" si="19"/>
        <v>#REF!</v>
      </c>
      <c r="AF68" s="14" t="e">
        <f t="shared" si="20"/>
        <v>#REF!</v>
      </c>
      <c r="AG68" s="14" t="e">
        <f t="shared" si="21"/>
        <v>#REF!</v>
      </c>
      <c r="AH68" s="14" t="e">
        <f t="shared" si="22"/>
        <v>#REF!</v>
      </c>
      <c r="AI68" s="14" t="e">
        <f t="shared" si="23"/>
        <v>#REF!</v>
      </c>
      <c r="AJ68" s="2" t="e">
        <f>'Returns by year'!$V68-'Returns by year'!$X68</f>
        <v>#REF!</v>
      </c>
      <c r="AK68" s="2" t="e">
        <f>'Returns by year'!$V68-'Returns by year'!$Y68</f>
        <v>#REF!</v>
      </c>
    </row>
    <row r="69" spans="1:37">
      <c r="A69" s="15">
        <v>1976</v>
      </c>
      <c r="B69" s="56" t="e">
        <f>(#REF!-#REF!+#REF!)/#REF!</f>
        <v>#REF!</v>
      </c>
      <c r="C69" s="56" t="e">
        <f>#REF!</f>
        <v>#REF!</v>
      </c>
      <c r="D69" s="56" t="e">
        <f>#REF!</f>
        <v>#REF!</v>
      </c>
      <c r="E69" s="56" t="e">
        <f>#REF!</f>
        <v>#REF!</v>
      </c>
      <c r="F69" s="56" t="e">
        <f>#REF!</f>
        <v>#REF!</v>
      </c>
      <c r="G69" s="56" t="e">
        <f>#REF!/#REF!-1</f>
        <v>#REF!</v>
      </c>
      <c r="H69" s="56" t="e">
        <f>#REF!/#REF!-1</f>
        <v>#REF!</v>
      </c>
      <c r="I69" s="54" t="e">
        <f t="shared" si="36"/>
        <v>#REF!</v>
      </c>
      <c r="J69" s="14" t="e">
        <f t="shared" si="24"/>
        <v>#REF!</v>
      </c>
      <c r="K69" s="14" t="e">
        <f t="shared" si="37"/>
        <v>#REF!</v>
      </c>
      <c r="L69" s="14" t="e">
        <f t="shared" si="38"/>
        <v>#REF!</v>
      </c>
      <c r="M69" s="14" t="e">
        <f t="shared" si="39"/>
        <v>#REF!</v>
      </c>
      <c r="N69" s="14" t="e">
        <f t="shared" si="40"/>
        <v>#REF!</v>
      </c>
      <c r="O69" s="14" t="e">
        <f t="shared" si="41"/>
        <v>#REF!</v>
      </c>
      <c r="P69" s="12" t="e">
        <f t="shared" si="25"/>
        <v>#REF!</v>
      </c>
      <c r="Q69" s="12" t="e">
        <f t="shared" si="26"/>
        <v>#REF!</v>
      </c>
      <c r="R69" s="16" t="e">
        <f>'Returns by year'!$C69-'Returns by year'!$B69</f>
        <v>#REF!</v>
      </c>
      <c r="S69" s="16" t="e">
        <f t="shared" si="27"/>
        <v>#REF!</v>
      </c>
      <c r="T69" s="16" t="e">
        <f t="shared" si="28"/>
        <v>#REF!</v>
      </c>
      <c r="U69" s="26" t="e">
        <f>#REF!</f>
        <v>#REF!</v>
      </c>
      <c r="V69" s="2" t="e">
        <f t="shared" si="29"/>
        <v>#REF!</v>
      </c>
      <c r="W69" s="2" t="e">
        <f t="shared" si="30"/>
        <v>#REF!</v>
      </c>
      <c r="X69" s="2" t="e">
        <f t="shared" si="31"/>
        <v>#REF!</v>
      </c>
      <c r="Y69" s="2" t="e">
        <f t="shared" si="32"/>
        <v>#REF!</v>
      </c>
      <c r="Z69" s="2" t="e">
        <f t="shared" si="33"/>
        <v>#REF!</v>
      </c>
      <c r="AA69" s="2" t="e">
        <f t="shared" si="34"/>
        <v>#REF!</v>
      </c>
      <c r="AB69" s="2" t="e">
        <f t="shared" si="35"/>
        <v>#REF!</v>
      </c>
      <c r="AC69" s="54" t="e">
        <f t="shared" si="18"/>
        <v>#REF!</v>
      </c>
      <c r="AD69" s="57" t="e">
        <f t="shared" si="18"/>
        <v>#REF!</v>
      </c>
      <c r="AE69" s="14" t="e">
        <f t="shared" si="19"/>
        <v>#REF!</v>
      </c>
      <c r="AF69" s="14" t="e">
        <f t="shared" si="20"/>
        <v>#REF!</v>
      </c>
      <c r="AG69" s="14" t="e">
        <f t="shared" si="21"/>
        <v>#REF!</v>
      </c>
      <c r="AH69" s="14" t="e">
        <f t="shared" si="22"/>
        <v>#REF!</v>
      </c>
      <c r="AI69" s="14" t="e">
        <f t="shared" si="23"/>
        <v>#REF!</v>
      </c>
      <c r="AJ69" s="2" t="e">
        <f>'Returns by year'!$V69-'Returns by year'!$X69</f>
        <v>#REF!</v>
      </c>
      <c r="AK69" s="2" t="e">
        <f>'Returns by year'!$V69-'Returns by year'!$Y69</f>
        <v>#REF!</v>
      </c>
    </row>
    <row r="70" spans="1:37">
      <c r="A70" s="15">
        <v>1977</v>
      </c>
      <c r="B70" s="56" t="e">
        <f>(#REF!-#REF!+#REF!)/#REF!</f>
        <v>#REF!</v>
      </c>
      <c r="C70" s="56" t="e">
        <f>#REF!</f>
        <v>#REF!</v>
      </c>
      <c r="D70" s="56" t="e">
        <f>#REF!</f>
        <v>#REF!</v>
      </c>
      <c r="E70" s="56" t="e">
        <f>#REF!</f>
        <v>#REF!</v>
      </c>
      <c r="F70" s="56" t="e">
        <f>#REF!</f>
        <v>#REF!</v>
      </c>
      <c r="G70" s="56" t="e">
        <f>#REF!/#REF!-1</f>
        <v>#REF!</v>
      </c>
      <c r="H70" s="56" t="e">
        <f>#REF!/#REF!-1</f>
        <v>#REF!</v>
      </c>
      <c r="I70" s="54" t="e">
        <f t="shared" si="36"/>
        <v>#REF!</v>
      </c>
      <c r="J70" s="14" t="e">
        <f t="shared" si="24"/>
        <v>#REF!</v>
      </c>
      <c r="K70" s="14" t="e">
        <f t="shared" si="37"/>
        <v>#REF!</v>
      </c>
      <c r="L70" s="14" t="e">
        <f t="shared" si="38"/>
        <v>#REF!</v>
      </c>
      <c r="M70" s="14" t="e">
        <f t="shared" si="39"/>
        <v>#REF!</v>
      </c>
      <c r="N70" s="14" t="e">
        <f t="shared" si="40"/>
        <v>#REF!</v>
      </c>
      <c r="O70" s="14" t="e">
        <f t="shared" si="41"/>
        <v>#REF!</v>
      </c>
      <c r="P70" s="12" t="e">
        <f t="shared" si="25"/>
        <v>#REF!</v>
      </c>
      <c r="Q70" s="12" t="e">
        <f t="shared" si="26"/>
        <v>#REF!</v>
      </c>
      <c r="R70" s="16" t="e">
        <f>'Returns by year'!$C70-'Returns by year'!$B70</f>
        <v>#REF!</v>
      </c>
      <c r="S70" s="16" t="e">
        <f t="shared" si="27"/>
        <v>#REF!</v>
      </c>
      <c r="T70" s="16" t="e">
        <f t="shared" si="28"/>
        <v>#REF!</v>
      </c>
      <c r="U70" s="26" t="e">
        <f>#REF!</f>
        <v>#REF!</v>
      </c>
      <c r="V70" s="2" t="e">
        <f t="shared" si="29"/>
        <v>#REF!</v>
      </c>
      <c r="W70" s="2" t="e">
        <f t="shared" si="30"/>
        <v>#REF!</v>
      </c>
      <c r="X70" s="2" t="e">
        <f t="shared" si="31"/>
        <v>#REF!</v>
      </c>
      <c r="Y70" s="2" t="e">
        <f t="shared" si="32"/>
        <v>#REF!</v>
      </c>
      <c r="Z70" s="2" t="e">
        <f t="shared" si="33"/>
        <v>#REF!</v>
      </c>
      <c r="AA70" s="2" t="e">
        <f t="shared" si="34"/>
        <v>#REF!</v>
      </c>
      <c r="AB70" s="2" t="e">
        <f t="shared" si="35"/>
        <v>#REF!</v>
      </c>
      <c r="AC70" s="54" t="e">
        <f t="shared" si="18"/>
        <v>#REF!</v>
      </c>
      <c r="AD70" s="57" t="e">
        <f t="shared" si="18"/>
        <v>#REF!</v>
      </c>
      <c r="AE70" s="14" t="e">
        <f t="shared" si="19"/>
        <v>#REF!</v>
      </c>
      <c r="AF70" s="14" t="e">
        <f t="shared" si="20"/>
        <v>#REF!</v>
      </c>
      <c r="AG70" s="14" t="e">
        <f t="shared" si="21"/>
        <v>#REF!</v>
      </c>
      <c r="AH70" s="14" t="e">
        <f t="shared" si="22"/>
        <v>#REF!</v>
      </c>
      <c r="AI70" s="14" t="e">
        <f t="shared" si="23"/>
        <v>#REF!</v>
      </c>
      <c r="AJ70" s="2" t="e">
        <f>'Returns by year'!$V70-'Returns by year'!$X70</f>
        <v>#REF!</v>
      </c>
      <c r="AK70" s="2" t="e">
        <f>'Returns by year'!$V70-'Returns by year'!$Y70</f>
        <v>#REF!</v>
      </c>
    </row>
    <row r="71" spans="1:37">
      <c r="A71" s="15">
        <v>1978</v>
      </c>
      <c r="B71" s="56" t="e">
        <f>(#REF!-#REF!+#REF!)/#REF!</f>
        <v>#REF!</v>
      </c>
      <c r="C71" s="56" t="e">
        <f>#REF!</f>
        <v>#REF!</v>
      </c>
      <c r="D71" s="56" t="e">
        <f>#REF!</f>
        <v>#REF!</v>
      </c>
      <c r="E71" s="56" t="e">
        <f>#REF!</f>
        <v>#REF!</v>
      </c>
      <c r="F71" s="56" t="e">
        <f>#REF!</f>
        <v>#REF!</v>
      </c>
      <c r="G71" s="56" t="e">
        <f>#REF!/#REF!-1</f>
        <v>#REF!</v>
      </c>
      <c r="H71" s="56" t="e">
        <f>#REF!/#REF!-1</f>
        <v>#REF!</v>
      </c>
      <c r="I71" s="54" t="e">
        <f t="shared" si="36"/>
        <v>#REF!</v>
      </c>
      <c r="J71" s="14" t="e">
        <f t="shared" si="24"/>
        <v>#REF!</v>
      </c>
      <c r="K71" s="14" t="e">
        <f t="shared" si="37"/>
        <v>#REF!</v>
      </c>
      <c r="L71" s="14" t="e">
        <f t="shared" si="38"/>
        <v>#REF!</v>
      </c>
      <c r="M71" s="14" t="e">
        <f t="shared" si="39"/>
        <v>#REF!</v>
      </c>
      <c r="N71" s="14" t="e">
        <f t="shared" si="40"/>
        <v>#REF!</v>
      </c>
      <c r="O71" s="14" t="e">
        <f t="shared" si="41"/>
        <v>#REF!</v>
      </c>
      <c r="P71" s="12" t="e">
        <f t="shared" si="25"/>
        <v>#REF!</v>
      </c>
      <c r="Q71" s="12" t="e">
        <f t="shared" si="26"/>
        <v>#REF!</v>
      </c>
      <c r="R71" s="16" t="e">
        <f>'Returns by year'!$C71-'Returns by year'!$B71</f>
        <v>#REF!</v>
      </c>
      <c r="S71" s="16" t="e">
        <f t="shared" si="27"/>
        <v>#REF!</v>
      </c>
      <c r="T71" s="16" t="e">
        <f t="shared" si="28"/>
        <v>#REF!</v>
      </c>
      <c r="U71" s="26" t="e">
        <f>#REF!</f>
        <v>#REF!</v>
      </c>
      <c r="V71" s="2" t="e">
        <f t="shared" si="29"/>
        <v>#REF!</v>
      </c>
      <c r="W71" s="2" t="e">
        <f t="shared" si="30"/>
        <v>#REF!</v>
      </c>
      <c r="X71" s="2" t="e">
        <f t="shared" si="31"/>
        <v>#REF!</v>
      </c>
      <c r="Y71" s="2" t="e">
        <f t="shared" si="32"/>
        <v>#REF!</v>
      </c>
      <c r="Z71" s="2" t="e">
        <f t="shared" si="33"/>
        <v>#REF!</v>
      </c>
      <c r="AA71" s="2" t="e">
        <f t="shared" si="34"/>
        <v>#REF!</v>
      </c>
      <c r="AB71" s="2" t="e">
        <f t="shared" si="35"/>
        <v>#REF!</v>
      </c>
      <c r="AC71" s="54" t="e">
        <f t="shared" si="18"/>
        <v>#REF!</v>
      </c>
      <c r="AD71" s="57" t="e">
        <f t="shared" si="18"/>
        <v>#REF!</v>
      </c>
      <c r="AE71" s="14" t="e">
        <f t="shared" si="19"/>
        <v>#REF!</v>
      </c>
      <c r="AF71" s="14" t="e">
        <f t="shared" si="20"/>
        <v>#REF!</v>
      </c>
      <c r="AG71" s="14" t="e">
        <f t="shared" si="21"/>
        <v>#REF!</v>
      </c>
      <c r="AH71" s="14" t="e">
        <f t="shared" si="22"/>
        <v>#REF!</v>
      </c>
      <c r="AI71" s="14" t="e">
        <f t="shared" si="23"/>
        <v>#REF!</v>
      </c>
      <c r="AJ71" s="2" t="e">
        <f>'Returns by year'!$V71-'Returns by year'!$X71</f>
        <v>#REF!</v>
      </c>
      <c r="AK71" s="2" t="e">
        <f>'Returns by year'!$V71-'Returns by year'!$Y71</f>
        <v>#REF!</v>
      </c>
    </row>
    <row r="72" spans="1:37">
      <c r="A72" s="15">
        <v>1979</v>
      </c>
      <c r="B72" s="56" t="e">
        <f>(#REF!-#REF!+#REF!)/#REF!</f>
        <v>#REF!</v>
      </c>
      <c r="C72" s="56" t="e">
        <f>#REF!</f>
        <v>#REF!</v>
      </c>
      <c r="D72" s="56" t="e">
        <f>#REF!</f>
        <v>#REF!</v>
      </c>
      <c r="E72" s="56" t="e">
        <f>#REF!</f>
        <v>#REF!</v>
      </c>
      <c r="F72" s="56" t="e">
        <f>#REF!</f>
        <v>#REF!</v>
      </c>
      <c r="G72" s="56" t="e">
        <f>#REF!/#REF!-1</f>
        <v>#REF!</v>
      </c>
      <c r="H72" s="56" t="e">
        <f>#REF!/#REF!-1</f>
        <v>#REF!</v>
      </c>
      <c r="I72" s="54" t="e">
        <f t="shared" si="36"/>
        <v>#REF!</v>
      </c>
      <c r="J72" s="14" t="e">
        <f t="shared" si="24"/>
        <v>#REF!</v>
      </c>
      <c r="K72" s="14" t="e">
        <f t="shared" si="37"/>
        <v>#REF!</v>
      </c>
      <c r="L72" s="14" t="e">
        <f t="shared" si="38"/>
        <v>#REF!</v>
      </c>
      <c r="M72" s="14" t="e">
        <f t="shared" si="39"/>
        <v>#REF!</v>
      </c>
      <c r="N72" s="14" t="e">
        <f t="shared" si="40"/>
        <v>#REF!</v>
      </c>
      <c r="O72" s="14" t="e">
        <f t="shared" si="41"/>
        <v>#REF!</v>
      </c>
      <c r="P72" s="12" t="e">
        <f t="shared" si="25"/>
        <v>#REF!</v>
      </c>
      <c r="Q72" s="12" t="e">
        <f t="shared" si="26"/>
        <v>#REF!</v>
      </c>
      <c r="R72" s="16" t="e">
        <f>'Returns by year'!$C72-'Returns by year'!$B72</f>
        <v>#REF!</v>
      </c>
      <c r="S72" s="16" t="e">
        <f t="shared" si="27"/>
        <v>#REF!</v>
      </c>
      <c r="T72" s="16" t="e">
        <f t="shared" si="28"/>
        <v>#REF!</v>
      </c>
      <c r="U72" s="26" t="e">
        <f>#REF!</f>
        <v>#REF!</v>
      </c>
      <c r="V72" s="2" t="e">
        <f t="shared" si="29"/>
        <v>#REF!</v>
      </c>
      <c r="W72" s="2" t="e">
        <f t="shared" si="30"/>
        <v>#REF!</v>
      </c>
      <c r="X72" s="2" t="e">
        <f t="shared" si="31"/>
        <v>#REF!</v>
      </c>
      <c r="Y72" s="2" t="e">
        <f t="shared" si="32"/>
        <v>#REF!</v>
      </c>
      <c r="Z72" s="2" t="e">
        <f t="shared" si="33"/>
        <v>#REF!</v>
      </c>
      <c r="AA72" s="2" t="e">
        <f t="shared" si="34"/>
        <v>#REF!</v>
      </c>
      <c r="AB72" s="2" t="e">
        <f t="shared" si="35"/>
        <v>#REF!</v>
      </c>
      <c r="AC72" s="54" t="e">
        <f t="shared" si="18"/>
        <v>#REF!</v>
      </c>
      <c r="AD72" s="57" t="e">
        <f t="shared" si="18"/>
        <v>#REF!</v>
      </c>
      <c r="AE72" s="14" t="e">
        <f t="shared" si="19"/>
        <v>#REF!</v>
      </c>
      <c r="AF72" s="14" t="e">
        <f t="shared" si="20"/>
        <v>#REF!</v>
      </c>
      <c r="AG72" s="14" t="e">
        <f t="shared" si="21"/>
        <v>#REF!</v>
      </c>
      <c r="AH72" s="14" t="e">
        <f t="shared" si="22"/>
        <v>#REF!</v>
      </c>
      <c r="AI72" s="14" t="e">
        <f t="shared" si="23"/>
        <v>#REF!</v>
      </c>
      <c r="AJ72" s="2" t="e">
        <f>'Returns by year'!$V72-'Returns by year'!$X72</f>
        <v>#REF!</v>
      </c>
      <c r="AK72" s="2" t="e">
        <f>'Returns by year'!$V72-'Returns by year'!$Y72</f>
        <v>#REF!</v>
      </c>
    </row>
    <row r="73" spans="1:37">
      <c r="A73" s="15">
        <v>1980</v>
      </c>
      <c r="B73" s="56" t="e">
        <f>(#REF!-#REF!+#REF!)/#REF!</f>
        <v>#REF!</v>
      </c>
      <c r="C73" s="56" t="e">
        <f>#REF!</f>
        <v>#REF!</v>
      </c>
      <c r="D73" s="56" t="e">
        <f>#REF!</f>
        <v>#REF!</v>
      </c>
      <c r="E73" s="56" t="e">
        <f>#REF!</f>
        <v>#REF!</v>
      </c>
      <c r="F73" s="56" t="e">
        <f>#REF!</f>
        <v>#REF!</v>
      </c>
      <c r="G73" s="56" t="e">
        <f>#REF!/#REF!-1</f>
        <v>#REF!</v>
      </c>
      <c r="H73" s="56" t="e">
        <f>#REF!/#REF!-1</f>
        <v>#REF!</v>
      </c>
      <c r="I73" s="54" t="e">
        <f t="shared" si="36"/>
        <v>#REF!</v>
      </c>
      <c r="J73" s="14" t="e">
        <f t="shared" si="24"/>
        <v>#REF!</v>
      </c>
      <c r="K73" s="14" t="e">
        <f t="shared" si="37"/>
        <v>#REF!</v>
      </c>
      <c r="L73" s="14" t="e">
        <f t="shared" si="38"/>
        <v>#REF!</v>
      </c>
      <c r="M73" s="14" t="e">
        <f t="shared" si="39"/>
        <v>#REF!</v>
      </c>
      <c r="N73" s="14" t="e">
        <f t="shared" si="40"/>
        <v>#REF!</v>
      </c>
      <c r="O73" s="14" t="e">
        <f t="shared" si="41"/>
        <v>#REF!</v>
      </c>
      <c r="P73" s="12" t="e">
        <f t="shared" si="25"/>
        <v>#REF!</v>
      </c>
      <c r="Q73" s="12" t="e">
        <f t="shared" si="26"/>
        <v>#REF!</v>
      </c>
      <c r="R73" s="16" t="e">
        <f>'Returns by year'!$C73-'Returns by year'!$B73</f>
        <v>#REF!</v>
      </c>
      <c r="S73" s="16" t="e">
        <f t="shared" si="27"/>
        <v>#REF!</v>
      </c>
      <c r="T73" s="16" t="e">
        <f t="shared" si="28"/>
        <v>#REF!</v>
      </c>
      <c r="U73" s="26" t="e">
        <f>#REF!</f>
        <v>#REF!</v>
      </c>
      <c r="V73" s="2" t="e">
        <f t="shared" si="29"/>
        <v>#REF!</v>
      </c>
      <c r="W73" s="2" t="e">
        <f t="shared" si="30"/>
        <v>#REF!</v>
      </c>
      <c r="X73" s="2" t="e">
        <f t="shared" si="31"/>
        <v>#REF!</v>
      </c>
      <c r="Y73" s="2" t="e">
        <f t="shared" si="32"/>
        <v>#REF!</v>
      </c>
      <c r="Z73" s="2" t="e">
        <f t="shared" si="33"/>
        <v>#REF!</v>
      </c>
      <c r="AA73" s="2" t="e">
        <f t="shared" si="34"/>
        <v>#REF!</v>
      </c>
      <c r="AB73" s="2" t="e">
        <f t="shared" si="35"/>
        <v>#REF!</v>
      </c>
      <c r="AC73" s="54" t="e">
        <f t="shared" si="18"/>
        <v>#REF!</v>
      </c>
      <c r="AD73" s="57" t="e">
        <f t="shared" si="18"/>
        <v>#REF!</v>
      </c>
      <c r="AE73" s="14" t="e">
        <f t="shared" si="19"/>
        <v>#REF!</v>
      </c>
      <c r="AF73" s="14" t="e">
        <f t="shared" si="20"/>
        <v>#REF!</v>
      </c>
      <c r="AG73" s="14" t="e">
        <f t="shared" si="21"/>
        <v>#REF!</v>
      </c>
      <c r="AH73" s="14" t="e">
        <f t="shared" si="22"/>
        <v>#REF!</v>
      </c>
      <c r="AI73" s="14" t="e">
        <f t="shared" si="23"/>
        <v>#REF!</v>
      </c>
      <c r="AJ73" s="2" t="e">
        <f>'Returns by year'!$V73-'Returns by year'!$X73</f>
        <v>#REF!</v>
      </c>
      <c r="AK73" s="2" t="e">
        <f>'Returns by year'!$V73-'Returns by year'!$Y73</f>
        <v>#REF!</v>
      </c>
    </row>
    <row r="74" spans="1:37">
      <c r="A74" s="15">
        <v>1981</v>
      </c>
      <c r="B74" s="56" t="e">
        <f>(#REF!-#REF!+#REF!)/#REF!</f>
        <v>#REF!</v>
      </c>
      <c r="C74" s="56" t="e">
        <f>#REF!</f>
        <v>#REF!</v>
      </c>
      <c r="D74" s="56" t="e">
        <f>#REF!</f>
        <v>#REF!</v>
      </c>
      <c r="E74" s="56" t="e">
        <f>#REF!</f>
        <v>#REF!</v>
      </c>
      <c r="F74" s="56" t="e">
        <f>#REF!</f>
        <v>#REF!</v>
      </c>
      <c r="G74" s="56" t="e">
        <f>#REF!/#REF!-1</f>
        <v>#REF!</v>
      </c>
      <c r="H74" s="56" t="e">
        <f>#REF!/#REF!-1</f>
        <v>#REF!</v>
      </c>
      <c r="I74" s="54" t="e">
        <f t="shared" si="36"/>
        <v>#REF!</v>
      </c>
      <c r="J74" s="14" t="e">
        <f t="shared" si="24"/>
        <v>#REF!</v>
      </c>
      <c r="K74" s="14" t="e">
        <f t="shared" si="37"/>
        <v>#REF!</v>
      </c>
      <c r="L74" s="14" t="e">
        <f t="shared" si="38"/>
        <v>#REF!</v>
      </c>
      <c r="M74" s="14" t="e">
        <f t="shared" si="39"/>
        <v>#REF!</v>
      </c>
      <c r="N74" s="14" t="e">
        <f t="shared" si="40"/>
        <v>#REF!</v>
      </c>
      <c r="O74" s="14" t="e">
        <f t="shared" si="41"/>
        <v>#REF!</v>
      </c>
      <c r="P74" s="12" t="e">
        <f t="shared" si="25"/>
        <v>#REF!</v>
      </c>
      <c r="Q74" s="12" t="e">
        <f t="shared" si="26"/>
        <v>#REF!</v>
      </c>
      <c r="R74" s="16" t="e">
        <f>'Returns by year'!$C74-'Returns by year'!$B74</f>
        <v>#REF!</v>
      </c>
      <c r="S74" s="16" t="e">
        <f t="shared" si="27"/>
        <v>#REF!</v>
      </c>
      <c r="T74" s="16" t="e">
        <f t="shared" si="28"/>
        <v>#REF!</v>
      </c>
      <c r="U74" s="26" t="e">
        <f>#REF!</f>
        <v>#REF!</v>
      </c>
      <c r="V74" s="2" t="e">
        <f t="shared" si="29"/>
        <v>#REF!</v>
      </c>
      <c r="W74" s="2" t="e">
        <f t="shared" si="30"/>
        <v>#REF!</v>
      </c>
      <c r="X74" s="2" t="e">
        <f t="shared" si="31"/>
        <v>#REF!</v>
      </c>
      <c r="Y74" s="2" t="e">
        <f t="shared" si="32"/>
        <v>#REF!</v>
      </c>
      <c r="Z74" s="2" t="e">
        <f t="shared" si="33"/>
        <v>#REF!</v>
      </c>
      <c r="AA74" s="2" t="e">
        <f t="shared" si="34"/>
        <v>#REF!</v>
      </c>
      <c r="AB74" s="2" t="e">
        <f t="shared" si="35"/>
        <v>#REF!</v>
      </c>
      <c r="AC74" s="54" t="e">
        <f t="shared" si="18"/>
        <v>#REF!</v>
      </c>
      <c r="AD74" s="57" t="e">
        <f t="shared" si="18"/>
        <v>#REF!</v>
      </c>
      <c r="AE74" s="14" t="e">
        <f t="shared" si="19"/>
        <v>#REF!</v>
      </c>
      <c r="AF74" s="14" t="e">
        <f t="shared" si="20"/>
        <v>#REF!</v>
      </c>
      <c r="AG74" s="14" t="e">
        <f t="shared" si="21"/>
        <v>#REF!</v>
      </c>
      <c r="AH74" s="14" t="e">
        <f t="shared" si="22"/>
        <v>#REF!</v>
      </c>
      <c r="AI74" s="14" t="e">
        <f t="shared" si="23"/>
        <v>#REF!</v>
      </c>
      <c r="AJ74" s="2" t="e">
        <f>'Returns by year'!$V74-'Returns by year'!$X74</f>
        <v>#REF!</v>
      </c>
      <c r="AK74" s="2" t="e">
        <f>'Returns by year'!$V74-'Returns by year'!$Y74</f>
        <v>#REF!</v>
      </c>
    </row>
    <row r="75" spans="1:37">
      <c r="A75" s="15">
        <v>1982</v>
      </c>
      <c r="B75" s="56" t="e">
        <f>(#REF!-#REF!+#REF!)/#REF!</f>
        <v>#REF!</v>
      </c>
      <c r="C75" s="56" t="e">
        <f>#REF!</f>
        <v>#REF!</v>
      </c>
      <c r="D75" s="56" t="e">
        <f>#REF!</f>
        <v>#REF!</v>
      </c>
      <c r="E75" s="56" t="e">
        <f>#REF!</f>
        <v>#REF!</v>
      </c>
      <c r="F75" s="56" t="e">
        <f>#REF!</f>
        <v>#REF!</v>
      </c>
      <c r="G75" s="56" t="e">
        <f>#REF!/#REF!-1</f>
        <v>#REF!</v>
      </c>
      <c r="H75" s="56" t="e">
        <f>#REF!/#REF!-1</f>
        <v>#REF!</v>
      </c>
      <c r="I75" s="54" t="e">
        <f t="shared" si="36"/>
        <v>#REF!</v>
      </c>
      <c r="J75" s="14" t="e">
        <f t="shared" si="24"/>
        <v>#REF!</v>
      </c>
      <c r="K75" s="14" t="e">
        <f t="shared" si="37"/>
        <v>#REF!</v>
      </c>
      <c r="L75" s="14" t="e">
        <f t="shared" si="38"/>
        <v>#REF!</v>
      </c>
      <c r="M75" s="14" t="e">
        <f t="shared" si="39"/>
        <v>#REF!</v>
      </c>
      <c r="N75" s="14" t="e">
        <f t="shared" si="40"/>
        <v>#REF!</v>
      </c>
      <c r="O75" s="14" t="e">
        <f t="shared" si="41"/>
        <v>#REF!</v>
      </c>
      <c r="P75" s="12" t="e">
        <f t="shared" si="25"/>
        <v>#REF!</v>
      </c>
      <c r="Q75" s="12" t="e">
        <f t="shared" si="26"/>
        <v>#REF!</v>
      </c>
      <c r="R75" s="16" t="e">
        <f>'Returns by year'!$C75-'Returns by year'!$B75</f>
        <v>#REF!</v>
      </c>
      <c r="S75" s="16" t="e">
        <f t="shared" si="27"/>
        <v>#REF!</v>
      </c>
      <c r="T75" s="16" t="e">
        <f t="shared" si="28"/>
        <v>#REF!</v>
      </c>
      <c r="U75" s="26" t="e">
        <f>#REF!</f>
        <v>#REF!</v>
      </c>
      <c r="V75" s="2" t="e">
        <f t="shared" si="29"/>
        <v>#REF!</v>
      </c>
      <c r="W75" s="2" t="e">
        <f t="shared" si="30"/>
        <v>#REF!</v>
      </c>
      <c r="X75" s="2" t="e">
        <f t="shared" si="31"/>
        <v>#REF!</v>
      </c>
      <c r="Y75" s="2" t="e">
        <f t="shared" si="32"/>
        <v>#REF!</v>
      </c>
      <c r="Z75" s="2" t="e">
        <f t="shared" si="33"/>
        <v>#REF!</v>
      </c>
      <c r="AA75" s="2" t="e">
        <f t="shared" si="34"/>
        <v>#REF!</v>
      </c>
      <c r="AB75" s="2" t="e">
        <f t="shared" si="35"/>
        <v>#REF!</v>
      </c>
      <c r="AC75" s="54" t="e">
        <f t="shared" si="18"/>
        <v>#REF!</v>
      </c>
      <c r="AD75" s="57" t="e">
        <f t="shared" si="18"/>
        <v>#REF!</v>
      </c>
      <c r="AE75" s="14" t="e">
        <f t="shared" si="19"/>
        <v>#REF!</v>
      </c>
      <c r="AF75" s="14" t="e">
        <f t="shared" si="20"/>
        <v>#REF!</v>
      </c>
      <c r="AG75" s="14" t="e">
        <f t="shared" si="21"/>
        <v>#REF!</v>
      </c>
      <c r="AH75" s="14" t="e">
        <f t="shared" si="22"/>
        <v>#REF!</v>
      </c>
      <c r="AI75" s="14" t="e">
        <f t="shared" si="23"/>
        <v>#REF!</v>
      </c>
      <c r="AJ75" s="2" t="e">
        <f>'Returns by year'!$V75-'Returns by year'!$X75</f>
        <v>#REF!</v>
      </c>
      <c r="AK75" s="2" t="e">
        <f>'Returns by year'!$V75-'Returns by year'!$Y75</f>
        <v>#REF!</v>
      </c>
    </row>
    <row r="76" spans="1:37">
      <c r="A76" s="15">
        <v>1983</v>
      </c>
      <c r="B76" s="56" t="e">
        <f>(#REF!-#REF!+#REF!)/#REF!</f>
        <v>#REF!</v>
      </c>
      <c r="C76" s="56" t="e">
        <f>#REF!</f>
        <v>#REF!</v>
      </c>
      <c r="D76" s="56" t="e">
        <f>#REF!</f>
        <v>#REF!</v>
      </c>
      <c r="E76" s="56" t="e">
        <f>#REF!</f>
        <v>#REF!</v>
      </c>
      <c r="F76" s="56" t="e">
        <f>#REF!</f>
        <v>#REF!</v>
      </c>
      <c r="G76" s="56" t="e">
        <f>#REF!/#REF!-1</f>
        <v>#REF!</v>
      </c>
      <c r="H76" s="56" t="e">
        <f>#REF!/#REF!-1</f>
        <v>#REF!</v>
      </c>
      <c r="I76" s="54" t="e">
        <f t="shared" si="36"/>
        <v>#REF!</v>
      </c>
      <c r="J76" s="14" t="e">
        <f t="shared" si="24"/>
        <v>#REF!</v>
      </c>
      <c r="K76" s="14" t="e">
        <f t="shared" si="37"/>
        <v>#REF!</v>
      </c>
      <c r="L76" s="14" t="e">
        <f t="shared" si="38"/>
        <v>#REF!</v>
      </c>
      <c r="M76" s="14" t="e">
        <f t="shared" si="39"/>
        <v>#REF!</v>
      </c>
      <c r="N76" s="14" t="e">
        <f t="shared" si="40"/>
        <v>#REF!</v>
      </c>
      <c r="O76" s="14" t="e">
        <f t="shared" si="41"/>
        <v>#REF!</v>
      </c>
      <c r="P76" s="12" t="e">
        <f t="shared" si="25"/>
        <v>#REF!</v>
      </c>
      <c r="Q76" s="12" t="e">
        <f t="shared" si="26"/>
        <v>#REF!</v>
      </c>
      <c r="R76" s="16" t="e">
        <f>'Returns by year'!$C76-'Returns by year'!$B76</f>
        <v>#REF!</v>
      </c>
      <c r="S76" s="16" t="e">
        <f t="shared" si="27"/>
        <v>#REF!</v>
      </c>
      <c r="T76" s="16" t="e">
        <f t="shared" si="28"/>
        <v>#REF!</v>
      </c>
      <c r="U76" s="26" t="e">
        <f>#REF!</f>
        <v>#REF!</v>
      </c>
      <c r="V76" s="2" t="e">
        <f t="shared" si="29"/>
        <v>#REF!</v>
      </c>
      <c r="W76" s="2" t="e">
        <f t="shared" si="30"/>
        <v>#REF!</v>
      </c>
      <c r="X76" s="2" t="e">
        <f t="shared" si="31"/>
        <v>#REF!</v>
      </c>
      <c r="Y76" s="2" t="e">
        <f t="shared" si="32"/>
        <v>#REF!</v>
      </c>
      <c r="Z76" s="2" t="e">
        <f t="shared" si="33"/>
        <v>#REF!</v>
      </c>
      <c r="AA76" s="2" t="e">
        <f t="shared" si="34"/>
        <v>#REF!</v>
      </c>
      <c r="AB76" s="2" t="e">
        <f t="shared" si="35"/>
        <v>#REF!</v>
      </c>
      <c r="AC76" s="54" t="e">
        <f t="shared" si="18"/>
        <v>#REF!</v>
      </c>
      <c r="AD76" s="57" t="e">
        <f t="shared" si="18"/>
        <v>#REF!</v>
      </c>
      <c r="AE76" s="14" t="e">
        <f t="shared" si="19"/>
        <v>#REF!</v>
      </c>
      <c r="AF76" s="14" t="e">
        <f t="shared" si="20"/>
        <v>#REF!</v>
      </c>
      <c r="AG76" s="14" t="e">
        <f t="shared" si="21"/>
        <v>#REF!</v>
      </c>
      <c r="AH76" s="14" t="e">
        <f t="shared" si="22"/>
        <v>#REF!</v>
      </c>
      <c r="AI76" s="14" t="e">
        <f t="shared" si="23"/>
        <v>#REF!</v>
      </c>
      <c r="AJ76" s="2" t="e">
        <f>'Returns by year'!$V76-'Returns by year'!$X76</f>
        <v>#REF!</v>
      </c>
      <c r="AK76" s="2" t="e">
        <f>'Returns by year'!$V76-'Returns by year'!$Y76</f>
        <v>#REF!</v>
      </c>
    </row>
    <row r="77" spans="1:37">
      <c r="A77" s="15">
        <v>1984</v>
      </c>
      <c r="B77" s="56" t="e">
        <f>(#REF!-#REF!+#REF!)/#REF!</f>
        <v>#REF!</v>
      </c>
      <c r="C77" s="56" t="e">
        <f>#REF!</f>
        <v>#REF!</v>
      </c>
      <c r="D77" s="56" t="e">
        <f>#REF!</f>
        <v>#REF!</v>
      </c>
      <c r="E77" s="56" t="e">
        <f>#REF!</f>
        <v>#REF!</v>
      </c>
      <c r="F77" s="56" t="e">
        <f>#REF!</f>
        <v>#REF!</v>
      </c>
      <c r="G77" s="56" t="e">
        <f>#REF!/#REF!-1</f>
        <v>#REF!</v>
      </c>
      <c r="H77" s="56" t="e">
        <f>#REF!/#REF!-1</f>
        <v>#REF!</v>
      </c>
      <c r="I77" s="54" t="e">
        <f t="shared" si="36"/>
        <v>#REF!</v>
      </c>
      <c r="J77" s="14" t="e">
        <f t="shared" si="24"/>
        <v>#REF!</v>
      </c>
      <c r="K77" s="14" t="e">
        <f t="shared" si="37"/>
        <v>#REF!</v>
      </c>
      <c r="L77" s="14" t="e">
        <f t="shared" si="38"/>
        <v>#REF!</v>
      </c>
      <c r="M77" s="14" t="e">
        <f t="shared" si="39"/>
        <v>#REF!</v>
      </c>
      <c r="N77" s="14" t="e">
        <f t="shared" si="40"/>
        <v>#REF!</v>
      </c>
      <c r="O77" s="14" t="e">
        <f t="shared" si="41"/>
        <v>#REF!</v>
      </c>
      <c r="P77" s="12" t="e">
        <f t="shared" si="25"/>
        <v>#REF!</v>
      </c>
      <c r="Q77" s="12" t="e">
        <f t="shared" si="26"/>
        <v>#REF!</v>
      </c>
      <c r="R77" s="16" t="e">
        <f>'Returns by year'!$C77-'Returns by year'!$B77</f>
        <v>#REF!</v>
      </c>
      <c r="S77" s="16" t="e">
        <f t="shared" si="27"/>
        <v>#REF!</v>
      </c>
      <c r="T77" s="16" t="e">
        <f t="shared" si="28"/>
        <v>#REF!</v>
      </c>
      <c r="U77" s="26" t="e">
        <f>#REF!</f>
        <v>#REF!</v>
      </c>
      <c r="V77" s="2" t="e">
        <f t="shared" si="29"/>
        <v>#REF!</v>
      </c>
      <c r="W77" s="2" t="e">
        <f t="shared" si="30"/>
        <v>#REF!</v>
      </c>
      <c r="X77" s="2" t="e">
        <f t="shared" si="31"/>
        <v>#REF!</v>
      </c>
      <c r="Y77" s="2" t="e">
        <f t="shared" si="32"/>
        <v>#REF!</v>
      </c>
      <c r="Z77" s="2" t="e">
        <f t="shared" si="33"/>
        <v>#REF!</v>
      </c>
      <c r="AA77" s="2" t="e">
        <f t="shared" si="34"/>
        <v>#REF!</v>
      </c>
      <c r="AB77" s="2" t="e">
        <f t="shared" si="35"/>
        <v>#REF!</v>
      </c>
      <c r="AC77" s="54" t="e">
        <f t="shared" si="18"/>
        <v>#REF!</v>
      </c>
      <c r="AD77" s="57" t="e">
        <f t="shared" si="18"/>
        <v>#REF!</v>
      </c>
      <c r="AE77" s="14" t="e">
        <f t="shared" si="19"/>
        <v>#REF!</v>
      </c>
      <c r="AF77" s="14" t="e">
        <f t="shared" si="20"/>
        <v>#REF!</v>
      </c>
      <c r="AG77" s="14" t="e">
        <f t="shared" si="21"/>
        <v>#REF!</v>
      </c>
      <c r="AH77" s="14" t="e">
        <f t="shared" si="22"/>
        <v>#REF!</v>
      </c>
      <c r="AI77" s="14" t="e">
        <f t="shared" si="23"/>
        <v>#REF!</v>
      </c>
      <c r="AJ77" s="2" t="e">
        <f>'Returns by year'!$V77-'Returns by year'!$X77</f>
        <v>#REF!</v>
      </c>
      <c r="AK77" s="2" t="e">
        <f>'Returns by year'!$V77-'Returns by year'!$Y77</f>
        <v>#REF!</v>
      </c>
    </row>
    <row r="78" spans="1:37">
      <c r="A78" s="15">
        <v>1985</v>
      </c>
      <c r="B78" s="56" t="e">
        <f>(#REF!-#REF!+#REF!)/#REF!</f>
        <v>#REF!</v>
      </c>
      <c r="C78" s="56" t="e">
        <f>#REF!</f>
        <v>#REF!</v>
      </c>
      <c r="D78" s="56" t="e">
        <f>#REF!</f>
        <v>#REF!</v>
      </c>
      <c r="E78" s="56" t="e">
        <f>#REF!</f>
        <v>#REF!</v>
      </c>
      <c r="F78" s="56" t="e">
        <f>#REF!</f>
        <v>#REF!</v>
      </c>
      <c r="G78" s="56" t="e">
        <f>#REF!/#REF!-1</f>
        <v>#REF!</v>
      </c>
      <c r="H78" s="56" t="e">
        <f>#REF!/#REF!-1</f>
        <v>#REF!</v>
      </c>
      <c r="I78" s="54" t="e">
        <f t="shared" si="36"/>
        <v>#REF!</v>
      </c>
      <c r="J78" s="14" t="e">
        <f t="shared" si="24"/>
        <v>#REF!</v>
      </c>
      <c r="K78" s="14" t="e">
        <f t="shared" si="37"/>
        <v>#REF!</v>
      </c>
      <c r="L78" s="14" t="e">
        <f t="shared" si="38"/>
        <v>#REF!</v>
      </c>
      <c r="M78" s="14" t="e">
        <f t="shared" si="39"/>
        <v>#REF!</v>
      </c>
      <c r="N78" s="14" t="e">
        <f t="shared" si="40"/>
        <v>#REF!</v>
      </c>
      <c r="O78" s="14" t="e">
        <f t="shared" si="41"/>
        <v>#REF!</v>
      </c>
      <c r="P78" s="12" t="e">
        <f t="shared" si="25"/>
        <v>#REF!</v>
      </c>
      <c r="Q78" s="12" t="e">
        <f t="shared" si="26"/>
        <v>#REF!</v>
      </c>
      <c r="R78" s="16" t="e">
        <f>'Returns by year'!$C78-'Returns by year'!$B78</f>
        <v>#REF!</v>
      </c>
      <c r="S78" s="16" t="e">
        <f t="shared" si="27"/>
        <v>#REF!</v>
      </c>
      <c r="T78" s="16" t="e">
        <f t="shared" si="28"/>
        <v>#REF!</v>
      </c>
      <c r="U78" s="26" t="e">
        <f>#REF!</f>
        <v>#REF!</v>
      </c>
      <c r="V78" s="2" t="e">
        <f t="shared" si="29"/>
        <v>#REF!</v>
      </c>
      <c r="W78" s="2" t="e">
        <f t="shared" si="30"/>
        <v>#REF!</v>
      </c>
      <c r="X78" s="2" t="e">
        <f t="shared" si="31"/>
        <v>#REF!</v>
      </c>
      <c r="Y78" s="2" t="e">
        <f t="shared" si="32"/>
        <v>#REF!</v>
      </c>
      <c r="Z78" s="2" t="e">
        <f t="shared" si="33"/>
        <v>#REF!</v>
      </c>
      <c r="AA78" s="2" t="e">
        <f t="shared" si="34"/>
        <v>#REF!</v>
      </c>
      <c r="AB78" s="2" t="e">
        <f t="shared" si="35"/>
        <v>#REF!</v>
      </c>
      <c r="AC78" s="54" t="e">
        <f t="shared" si="18"/>
        <v>#REF!</v>
      </c>
      <c r="AD78" s="57" t="e">
        <f t="shared" si="18"/>
        <v>#REF!</v>
      </c>
      <c r="AE78" s="14" t="e">
        <f t="shared" si="19"/>
        <v>#REF!</v>
      </c>
      <c r="AF78" s="14" t="e">
        <f t="shared" si="20"/>
        <v>#REF!</v>
      </c>
      <c r="AG78" s="14" t="e">
        <f t="shared" si="21"/>
        <v>#REF!</v>
      </c>
      <c r="AH78" s="14" t="e">
        <f t="shared" si="22"/>
        <v>#REF!</v>
      </c>
      <c r="AI78" s="14" t="e">
        <f t="shared" si="23"/>
        <v>#REF!</v>
      </c>
      <c r="AJ78" s="2" t="e">
        <f>'Returns by year'!$V78-'Returns by year'!$X78</f>
        <v>#REF!</v>
      </c>
      <c r="AK78" s="2" t="e">
        <f>'Returns by year'!$V78-'Returns by year'!$Y78</f>
        <v>#REF!</v>
      </c>
    </row>
    <row r="79" spans="1:37">
      <c r="A79" s="15">
        <v>1986</v>
      </c>
      <c r="B79" s="56" t="e">
        <f>(#REF!-#REF!+#REF!)/#REF!</f>
        <v>#REF!</v>
      </c>
      <c r="C79" s="56" t="e">
        <f>#REF!</f>
        <v>#REF!</v>
      </c>
      <c r="D79" s="56" t="e">
        <f>#REF!</f>
        <v>#REF!</v>
      </c>
      <c r="E79" s="56" t="e">
        <f>#REF!</f>
        <v>#REF!</v>
      </c>
      <c r="F79" s="56" t="e">
        <f>#REF!</f>
        <v>#REF!</v>
      </c>
      <c r="G79" s="56" t="e">
        <f>#REF!/#REF!-1</f>
        <v>#REF!</v>
      </c>
      <c r="H79" s="56" t="e">
        <f>#REF!/#REF!-1</f>
        <v>#REF!</v>
      </c>
      <c r="I79" s="54" t="e">
        <f t="shared" si="36"/>
        <v>#REF!</v>
      </c>
      <c r="J79" s="14" t="e">
        <f t="shared" si="24"/>
        <v>#REF!</v>
      </c>
      <c r="K79" s="14" t="e">
        <f t="shared" si="37"/>
        <v>#REF!</v>
      </c>
      <c r="L79" s="14" t="e">
        <f t="shared" si="38"/>
        <v>#REF!</v>
      </c>
      <c r="M79" s="14" t="e">
        <f t="shared" si="39"/>
        <v>#REF!</v>
      </c>
      <c r="N79" s="14" t="e">
        <f t="shared" si="40"/>
        <v>#REF!</v>
      </c>
      <c r="O79" s="14" t="e">
        <f t="shared" si="41"/>
        <v>#REF!</v>
      </c>
      <c r="P79" s="12" t="e">
        <f t="shared" si="25"/>
        <v>#REF!</v>
      </c>
      <c r="Q79" s="12" t="e">
        <f t="shared" si="26"/>
        <v>#REF!</v>
      </c>
      <c r="R79" s="16" t="e">
        <f>'Returns by year'!$C79-'Returns by year'!$B79</f>
        <v>#REF!</v>
      </c>
      <c r="S79" s="16" t="e">
        <f t="shared" si="27"/>
        <v>#REF!</v>
      </c>
      <c r="T79" s="16" t="e">
        <f t="shared" si="28"/>
        <v>#REF!</v>
      </c>
      <c r="U79" s="26" t="e">
        <f>#REF!</f>
        <v>#REF!</v>
      </c>
      <c r="V79" s="2" t="e">
        <f t="shared" si="29"/>
        <v>#REF!</v>
      </c>
      <c r="W79" s="2" t="e">
        <f t="shared" si="30"/>
        <v>#REF!</v>
      </c>
      <c r="X79" s="2" t="e">
        <f t="shared" si="31"/>
        <v>#REF!</v>
      </c>
      <c r="Y79" s="2" t="e">
        <f t="shared" si="32"/>
        <v>#REF!</v>
      </c>
      <c r="Z79" s="2" t="e">
        <f t="shared" si="33"/>
        <v>#REF!</v>
      </c>
      <c r="AA79" s="2" t="e">
        <f t="shared" si="34"/>
        <v>#REF!</v>
      </c>
      <c r="AB79" s="2" t="e">
        <f t="shared" si="35"/>
        <v>#REF!</v>
      </c>
      <c r="AC79" s="54" t="e">
        <f t="shared" si="18"/>
        <v>#REF!</v>
      </c>
      <c r="AD79" s="57" t="e">
        <f t="shared" si="18"/>
        <v>#REF!</v>
      </c>
      <c r="AE79" s="14" t="e">
        <f t="shared" si="19"/>
        <v>#REF!</v>
      </c>
      <c r="AF79" s="14" t="e">
        <f t="shared" si="20"/>
        <v>#REF!</v>
      </c>
      <c r="AG79" s="14" t="e">
        <f t="shared" si="21"/>
        <v>#REF!</v>
      </c>
      <c r="AH79" s="14" t="e">
        <f t="shared" si="22"/>
        <v>#REF!</v>
      </c>
      <c r="AI79" s="14" t="e">
        <f t="shared" si="23"/>
        <v>#REF!</v>
      </c>
      <c r="AJ79" s="2" t="e">
        <f>'Returns by year'!$V79-'Returns by year'!$X79</f>
        <v>#REF!</v>
      </c>
      <c r="AK79" s="2" t="e">
        <f>'Returns by year'!$V79-'Returns by year'!$Y79</f>
        <v>#REF!</v>
      </c>
    </row>
    <row r="80" spans="1:37">
      <c r="A80" s="15">
        <v>1987</v>
      </c>
      <c r="B80" s="56" t="e">
        <f>(#REF!-#REF!+#REF!)/#REF!</f>
        <v>#REF!</v>
      </c>
      <c r="C80" s="56" t="e">
        <f>#REF!</f>
        <v>#REF!</v>
      </c>
      <c r="D80" s="56" t="e">
        <f>#REF!</f>
        <v>#REF!</v>
      </c>
      <c r="E80" s="56" t="e">
        <f>#REF!</f>
        <v>#REF!</v>
      </c>
      <c r="F80" s="56" t="e">
        <f>#REF!</f>
        <v>#REF!</v>
      </c>
      <c r="G80" s="56" t="e">
        <f>#REF!/#REF!-1</f>
        <v>#REF!</v>
      </c>
      <c r="H80" s="56" t="e">
        <f>#REF!/#REF!-1</f>
        <v>#REF!</v>
      </c>
      <c r="I80" s="54" t="e">
        <f t="shared" si="36"/>
        <v>#REF!</v>
      </c>
      <c r="J80" s="14" t="e">
        <f t="shared" si="24"/>
        <v>#REF!</v>
      </c>
      <c r="K80" s="14" t="e">
        <f t="shared" si="37"/>
        <v>#REF!</v>
      </c>
      <c r="L80" s="14" t="e">
        <f t="shared" si="38"/>
        <v>#REF!</v>
      </c>
      <c r="M80" s="14" t="e">
        <f t="shared" si="39"/>
        <v>#REF!</v>
      </c>
      <c r="N80" s="14" t="e">
        <f t="shared" si="40"/>
        <v>#REF!</v>
      </c>
      <c r="O80" s="14" t="e">
        <f t="shared" si="41"/>
        <v>#REF!</v>
      </c>
      <c r="P80" s="12" t="e">
        <f t="shared" si="25"/>
        <v>#REF!</v>
      </c>
      <c r="Q80" s="12" t="e">
        <f t="shared" si="26"/>
        <v>#REF!</v>
      </c>
      <c r="R80" s="16" t="e">
        <f>'Returns by year'!$C80-'Returns by year'!$B80</f>
        <v>#REF!</v>
      </c>
      <c r="S80" s="16" t="e">
        <f t="shared" si="27"/>
        <v>#REF!</v>
      </c>
      <c r="T80" s="16" t="e">
        <f t="shared" si="28"/>
        <v>#REF!</v>
      </c>
      <c r="U80" s="26" t="e">
        <f>#REF!</f>
        <v>#REF!</v>
      </c>
      <c r="V80" s="2" t="e">
        <f t="shared" si="29"/>
        <v>#REF!</v>
      </c>
      <c r="W80" s="2" t="e">
        <f t="shared" si="30"/>
        <v>#REF!</v>
      </c>
      <c r="X80" s="2" t="e">
        <f t="shared" si="31"/>
        <v>#REF!</v>
      </c>
      <c r="Y80" s="2" t="e">
        <f t="shared" si="32"/>
        <v>#REF!</v>
      </c>
      <c r="Z80" s="2" t="e">
        <f t="shared" si="33"/>
        <v>#REF!</v>
      </c>
      <c r="AA80" s="2" t="e">
        <f t="shared" si="34"/>
        <v>#REF!</v>
      </c>
      <c r="AB80" s="2" t="e">
        <f t="shared" si="35"/>
        <v>#REF!</v>
      </c>
      <c r="AC80" s="54" t="e">
        <f t="shared" si="18"/>
        <v>#REF!</v>
      </c>
      <c r="AD80" s="57" t="e">
        <f t="shared" si="18"/>
        <v>#REF!</v>
      </c>
      <c r="AE80" s="14" t="e">
        <f t="shared" si="19"/>
        <v>#REF!</v>
      </c>
      <c r="AF80" s="14" t="e">
        <f t="shared" si="20"/>
        <v>#REF!</v>
      </c>
      <c r="AG80" s="14" t="e">
        <f t="shared" si="21"/>
        <v>#REF!</v>
      </c>
      <c r="AH80" s="14" t="e">
        <f t="shared" si="22"/>
        <v>#REF!</v>
      </c>
      <c r="AI80" s="14" t="e">
        <f t="shared" si="23"/>
        <v>#REF!</v>
      </c>
      <c r="AJ80" s="2" t="e">
        <f>'Returns by year'!$V80-'Returns by year'!$X80</f>
        <v>#REF!</v>
      </c>
      <c r="AK80" s="2" t="e">
        <f>'Returns by year'!$V80-'Returns by year'!$Y80</f>
        <v>#REF!</v>
      </c>
    </row>
    <row r="81" spans="1:37">
      <c r="A81" s="15">
        <v>1988</v>
      </c>
      <c r="B81" s="56" t="e">
        <f>(#REF!-#REF!+#REF!)/#REF!</f>
        <v>#REF!</v>
      </c>
      <c r="C81" s="56" t="e">
        <f>#REF!</f>
        <v>#REF!</v>
      </c>
      <c r="D81" s="56" t="e">
        <f>#REF!</f>
        <v>#REF!</v>
      </c>
      <c r="E81" s="56" t="e">
        <f>#REF!</f>
        <v>#REF!</v>
      </c>
      <c r="F81" s="56" t="e">
        <f>#REF!</f>
        <v>#REF!</v>
      </c>
      <c r="G81" s="56" t="e">
        <f>#REF!/#REF!-1</f>
        <v>#REF!</v>
      </c>
      <c r="H81" s="56" t="e">
        <f>#REF!/#REF!-1</f>
        <v>#REF!</v>
      </c>
      <c r="I81" s="54" t="e">
        <f t="shared" si="36"/>
        <v>#REF!</v>
      </c>
      <c r="J81" s="14" t="e">
        <f t="shared" si="24"/>
        <v>#REF!</v>
      </c>
      <c r="K81" s="14" t="e">
        <f t="shared" si="37"/>
        <v>#REF!</v>
      </c>
      <c r="L81" s="14" t="e">
        <f t="shared" si="38"/>
        <v>#REF!</v>
      </c>
      <c r="M81" s="14" t="e">
        <f t="shared" si="39"/>
        <v>#REF!</v>
      </c>
      <c r="N81" s="14" t="e">
        <f t="shared" si="40"/>
        <v>#REF!</v>
      </c>
      <c r="O81" s="14" t="e">
        <f t="shared" si="41"/>
        <v>#REF!</v>
      </c>
      <c r="P81" s="12" t="e">
        <f t="shared" si="25"/>
        <v>#REF!</v>
      </c>
      <c r="Q81" s="12" t="e">
        <f t="shared" si="26"/>
        <v>#REF!</v>
      </c>
      <c r="R81" s="16" t="e">
        <f>'Returns by year'!$C81-'Returns by year'!$B81</f>
        <v>#REF!</v>
      </c>
      <c r="S81" s="16" t="e">
        <f t="shared" si="27"/>
        <v>#REF!</v>
      </c>
      <c r="T81" s="16" t="e">
        <f t="shared" si="28"/>
        <v>#REF!</v>
      </c>
      <c r="U81" s="26" t="e">
        <f>#REF!</f>
        <v>#REF!</v>
      </c>
      <c r="V81" s="2" t="e">
        <f t="shared" si="29"/>
        <v>#REF!</v>
      </c>
      <c r="W81" s="2" t="e">
        <f t="shared" si="30"/>
        <v>#REF!</v>
      </c>
      <c r="X81" s="2" t="e">
        <f t="shared" si="31"/>
        <v>#REF!</v>
      </c>
      <c r="Y81" s="2" t="e">
        <f t="shared" si="32"/>
        <v>#REF!</v>
      </c>
      <c r="Z81" s="2" t="e">
        <f t="shared" si="33"/>
        <v>#REF!</v>
      </c>
      <c r="AA81" s="2" t="e">
        <f t="shared" si="34"/>
        <v>#REF!</v>
      </c>
      <c r="AB81" s="2" t="e">
        <f t="shared" si="35"/>
        <v>#REF!</v>
      </c>
      <c r="AC81" s="54" t="e">
        <f t="shared" si="18"/>
        <v>#REF!</v>
      </c>
      <c r="AD81" s="57" t="e">
        <f t="shared" si="18"/>
        <v>#REF!</v>
      </c>
      <c r="AE81" s="14" t="e">
        <f t="shared" si="19"/>
        <v>#REF!</v>
      </c>
      <c r="AF81" s="14" t="e">
        <f t="shared" si="20"/>
        <v>#REF!</v>
      </c>
      <c r="AG81" s="14" t="e">
        <f t="shared" si="21"/>
        <v>#REF!</v>
      </c>
      <c r="AH81" s="14" t="e">
        <f t="shared" si="22"/>
        <v>#REF!</v>
      </c>
      <c r="AI81" s="14" t="e">
        <f t="shared" si="23"/>
        <v>#REF!</v>
      </c>
      <c r="AJ81" s="2" t="e">
        <f>'Returns by year'!$V81-'Returns by year'!$X81</f>
        <v>#REF!</v>
      </c>
      <c r="AK81" s="2" t="e">
        <f>'Returns by year'!$V81-'Returns by year'!$Y81</f>
        <v>#REF!</v>
      </c>
    </row>
    <row r="82" spans="1:37">
      <c r="A82" s="15">
        <v>1989</v>
      </c>
      <c r="B82" s="56" t="e">
        <f>(#REF!-#REF!+#REF!)/#REF!</f>
        <v>#REF!</v>
      </c>
      <c r="C82" s="56" t="e">
        <f>#REF!</f>
        <v>#REF!</v>
      </c>
      <c r="D82" s="56" t="e">
        <f>#REF!</f>
        <v>#REF!</v>
      </c>
      <c r="E82" s="56" t="e">
        <f>#REF!</f>
        <v>#REF!</v>
      </c>
      <c r="F82" s="56" t="e">
        <f>#REF!</f>
        <v>#REF!</v>
      </c>
      <c r="G82" s="56" t="e">
        <f>#REF!/#REF!-1</f>
        <v>#REF!</v>
      </c>
      <c r="H82" s="56" t="e">
        <f>#REF!/#REF!-1</f>
        <v>#REF!</v>
      </c>
      <c r="I82" s="54" t="e">
        <f t="shared" si="36"/>
        <v>#REF!</v>
      </c>
      <c r="J82" s="14" t="e">
        <f t="shared" si="24"/>
        <v>#REF!</v>
      </c>
      <c r="K82" s="14" t="e">
        <f t="shared" si="37"/>
        <v>#REF!</v>
      </c>
      <c r="L82" s="14" t="e">
        <f t="shared" si="38"/>
        <v>#REF!</v>
      </c>
      <c r="M82" s="14" t="e">
        <f t="shared" si="39"/>
        <v>#REF!</v>
      </c>
      <c r="N82" s="14" t="e">
        <f t="shared" si="40"/>
        <v>#REF!</v>
      </c>
      <c r="O82" s="14" t="e">
        <f t="shared" si="41"/>
        <v>#REF!</v>
      </c>
      <c r="P82" s="12" t="e">
        <f t="shared" si="25"/>
        <v>#REF!</v>
      </c>
      <c r="Q82" s="12" t="e">
        <f t="shared" si="26"/>
        <v>#REF!</v>
      </c>
      <c r="R82" s="16" t="e">
        <f>'Returns by year'!$C82-'Returns by year'!$B82</f>
        <v>#REF!</v>
      </c>
      <c r="S82" s="16" t="e">
        <f t="shared" si="27"/>
        <v>#REF!</v>
      </c>
      <c r="T82" s="16" t="e">
        <f t="shared" si="28"/>
        <v>#REF!</v>
      </c>
      <c r="U82" s="26" t="e">
        <f>#REF!</f>
        <v>#REF!</v>
      </c>
      <c r="V82" s="2" t="e">
        <f t="shared" si="29"/>
        <v>#REF!</v>
      </c>
      <c r="W82" s="2" t="e">
        <f t="shared" si="30"/>
        <v>#REF!</v>
      </c>
      <c r="X82" s="2" t="e">
        <f t="shared" si="31"/>
        <v>#REF!</v>
      </c>
      <c r="Y82" s="2" t="e">
        <f t="shared" si="32"/>
        <v>#REF!</v>
      </c>
      <c r="Z82" s="2" t="e">
        <f t="shared" si="33"/>
        <v>#REF!</v>
      </c>
      <c r="AA82" s="2" t="e">
        <f t="shared" si="34"/>
        <v>#REF!</v>
      </c>
      <c r="AB82" s="2" t="e">
        <f t="shared" si="35"/>
        <v>#REF!</v>
      </c>
      <c r="AC82" s="54" t="e">
        <f t="shared" si="18"/>
        <v>#REF!</v>
      </c>
      <c r="AD82" s="57" t="e">
        <f t="shared" si="18"/>
        <v>#REF!</v>
      </c>
      <c r="AE82" s="14" t="e">
        <f t="shared" si="19"/>
        <v>#REF!</v>
      </c>
      <c r="AF82" s="14" t="e">
        <f t="shared" si="20"/>
        <v>#REF!</v>
      </c>
      <c r="AG82" s="14" t="e">
        <f t="shared" si="21"/>
        <v>#REF!</v>
      </c>
      <c r="AH82" s="14" t="e">
        <f t="shared" si="22"/>
        <v>#REF!</v>
      </c>
      <c r="AI82" s="14" t="e">
        <f t="shared" si="23"/>
        <v>#REF!</v>
      </c>
      <c r="AJ82" s="2" t="e">
        <f>'Returns by year'!$V82-'Returns by year'!$X82</f>
        <v>#REF!</v>
      </c>
      <c r="AK82" s="2" t="e">
        <f>'Returns by year'!$V82-'Returns by year'!$Y82</f>
        <v>#REF!</v>
      </c>
    </row>
    <row r="83" spans="1:37">
      <c r="A83" s="15">
        <v>1990</v>
      </c>
      <c r="B83" s="56" t="e">
        <f>(#REF!-#REF!+#REF!)/#REF!</f>
        <v>#REF!</v>
      </c>
      <c r="C83" s="56" t="e">
        <f>#REF!</f>
        <v>#REF!</v>
      </c>
      <c r="D83" s="56" t="e">
        <f>#REF!</f>
        <v>#REF!</v>
      </c>
      <c r="E83" s="56" t="e">
        <f>#REF!</f>
        <v>#REF!</v>
      </c>
      <c r="F83" s="56" t="e">
        <f>#REF!</f>
        <v>#REF!</v>
      </c>
      <c r="G83" s="56" t="e">
        <f>#REF!/#REF!-1</f>
        <v>#REF!</v>
      </c>
      <c r="H83" s="56" t="e">
        <f>#REF!/#REF!-1</f>
        <v>#REF!</v>
      </c>
      <c r="I83" s="54" t="e">
        <f t="shared" si="36"/>
        <v>#REF!</v>
      </c>
      <c r="J83" s="14" t="e">
        <f t="shared" si="24"/>
        <v>#REF!</v>
      </c>
      <c r="K83" s="14" t="e">
        <f t="shared" si="37"/>
        <v>#REF!</v>
      </c>
      <c r="L83" s="14" t="e">
        <f t="shared" si="38"/>
        <v>#REF!</v>
      </c>
      <c r="M83" s="14" t="e">
        <f t="shared" si="39"/>
        <v>#REF!</v>
      </c>
      <c r="N83" s="14" t="e">
        <f t="shared" si="40"/>
        <v>#REF!</v>
      </c>
      <c r="O83" s="14" t="e">
        <f t="shared" si="41"/>
        <v>#REF!</v>
      </c>
      <c r="P83" s="12" t="e">
        <f t="shared" si="25"/>
        <v>#REF!</v>
      </c>
      <c r="Q83" s="12" t="e">
        <f t="shared" si="26"/>
        <v>#REF!</v>
      </c>
      <c r="R83" s="16" t="e">
        <f>'Returns by year'!$C83-'Returns by year'!$B83</f>
        <v>#REF!</v>
      </c>
      <c r="S83" s="16" t="e">
        <f t="shared" si="27"/>
        <v>#REF!</v>
      </c>
      <c r="T83" s="16" t="e">
        <f t="shared" si="28"/>
        <v>#REF!</v>
      </c>
      <c r="U83" s="26" t="e">
        <f>#REF!</f>
        <v>#REF!</v>
      </c>
      <c r="V83" s="2" t="e">
        <f t="shared" si="29"/>
        <v>#REF!</v>
      </c>
      <c r="W83" s="2" t="e">
        <f t="shared" si="30"/>
        <v>#REF!</v>
      </c>
      <c r="X83" s="2" t="e">
        <f t="shared" si="31"/>
        <v>#REF!</v>
      </c>
      <c r="Y83" s="2" t="e">
        <f t="shared" si="32"/>
        <v>#REF!</v>
      </c>
      <c r="Z83" s="2" t="e">
        <f t="shared" si="33"/>
        <v>#REF!</v>
      </c>
      <c r="AA83" s="2" t="e">
        <f t="shared" si="34"/>
        <v>#REF!</v>
      </c>
      <c r="AB83" s="2" t="e">
        <f t="shared" si="35"/>
        <v>#REF!</v>
      </c>
      <c r="AC83" s="54" t="e">
        <f t="shared" si="18"/>
        <v>#REF!</v>
      </c>
      <c r="AD83" s="57" t="e">
        <f t="shared" si="18"/>
        <v>#REF!</v>
      </c>
      <c r="AE83" s="14" t="e">
        <f t="shared" si="19"/>
        <v>#REF!</v>
      </c>
      <c r="AF83" s="14" t="e">
        <f t="shared" si="20"/>
        <v>#REF!</v>
      </c>
      <c r="AG83" s="14" t="e">
        <f t="shared" si="21"/>
        <v>#REF!</v>
      </c>
      <c r="AH83" s="14" t="e">
        <f t="shared" si="22"/>
        <v>#REF!</v>
      </c>
      <c r="AI83" s="14" t="e">
        <f t="shared" si="23"/>
        <v>#REF!</v>
      </c>
      <c r="AJ83" s="2" t="e">
        <f>'Returns by year'!$V83-'Returns by year'!$X83</f>
        <v>#REF!</v>
      </c>
      <c r="AK83" s="2" t="e">
        <f>'Returns by year'!$V83-'Returns by year'!$Y83</f>
        <v>#REF!</v>
      </c>
    </row>
    <row r="84" spans="1:37">
      <c r="A84" s="15">
        <v>1991</v>
      </c>
      <c r="B84" s="56" t="e">
        <f>(#REF!-#REF!+#REF!)/#REF!</f>
        <v>#REF!</v>
      </c>
      <c r="C84" s="56" t="e">
        <f>#REF!</f>
        <v>#REF!</v>
      </c>
      <c r="D84" s="56" t="e">
        <f>#REF!</f>
        <v>#REF!</v>
      </c>
      <c r="E84" s="56" t="e">
        <f>#REF!</f>
        <v>#REF!</v>
      </c>
      <c r="F84" s="56" t="e">
        <f>#REF!</f>
        <v>#REF!</v>
      </c>
      <c r="G84" s="56" t="e">
        <f>#REF!/#REF!-1</f>
        <v>#REF!</v>
      </c>
      <c r="H84" s="56" t="e">
        <f>#REF!/#REF!-1</f>
        <v>#REF!</v>
      </c>
      <c r="I84" s="54" t="e">
        <f t="shared" si="36"/>
        <v>#REF!</v>
      </c>
      <c r="J84" s="14" t="e">
        <f t="shared" si="24"/>
        <v>#REF!</v>
      </c>
      <c r="K84" s="14" t="e">
        <f t="shared" si="37"/>
        <v>#REF!</v>
      </c>
      <c r="L84" s="14" t="e">
        <f t="shared" si="38"/>
        <v>#REF!</v>
      </c>
      <c r="M84" s="14" t="e">
        <f t="shared" si="39"/>
        <v>#REF!</v>
      </c>
      <c r="N84" s="14" t="e">
        <f t="shared" si="40"/>
        <v>#REF!</v>
      </c>
      <c r="O84" s="14" t="e">
        <f t="shared" si="41"/>
        <v>#REF!</v>
      </c>
      <c r="P84" s="12" t="e">
        <f t="shared" si="25"/>
        <v>#REF!</v>
      </c>
      <c r="Q84" s="12" t="e">
        <f t="shared" si="26"/>
        <v>#REF!</v>
      </c>
      <c r="R84" s="16" t="e">
        <f>'Returns by year'!$C84-'Returns by year'!$B84</f>
        <v>#REF!</v>
      </c>
      <c r="S84" s="16" t="e">
        <f t="shared" si="27"/>
        <v>#REF!</v>
      </c>
      <c r="T84" s="16" t="e">
        <f t="shared" si="28"/>
        <v>#REF!</v>
      </c>
      <c r="U84" s="26" t="e">
        <f>#REF!</f>
        <v>#REF!</v>
      </c>
      <c r="V84" s="2" t="e">
        <f t="shared" si="29"/>
        <v>#REF!</v>
      </c>
      <c r="W84" s="2" t="e">
        <f t="shared" si="30"/>
        <v>#REF!</v>
      </c>
      <c r="X84" s="2" t="e">
        <f t="shared" si="31"/>
        <v>#REF!</v>
      </c>
      <c r="Y84" s="2" t="e">
        <f t="shared" si="32"/>
        <v>#REF!</v>
      </c>
      <c r="Z84" s="2" t="e">
        <f t="shared" si="33"/>
        <v>#REF!</v>
      </c>
      <c r="AA84" s="2" t="e">
        <f t="shared" si="34"/>
        <v>#REF!</v>
      </c>
      <c r="AB84" s="2" t="e">
        <f t="shared" si="35"/>
        <v>#REF!</v>
      </c>
      <c r="AC84" s="54" t="e">
        <f t="shared" si="18"/>
        <v>#REF!</v>
      </c>
      <c r="AD84" s="57" t="e">
        <f t="shared" si="18"/>
        <v>#REF!</v>
      </c>
      <c r="AE84" s="14" t="e">
        <f t="shared" si="19"/>
        <v>#REF!</v>
      </c>
      <c r="AF84" s="14" t="e">
        <f t="shared" si="20"/>
        <v>#REF!</v>
      </c>
      <c r="AG84" s="14" t="e">
        <f t="shared" si="21"/>
        <v>#REF!</v>
      </c>
      <c r="AH84" s="14" t="e">
        <f t="shared" si="22"/>
        <v>#REF!</v>
      </c>
      <c r="AI84" s="14" t="e">
        <f t="shared" si="23"/>
        <v>#REF!</v>
      </c>
      <c r="AJ84" s="2" t="e">
        <f>'Returns by year'!$V84-'Returns by year'!$X84</f>
        <v>#REF!</v>
      </c>
      <c r="AK84" s="2" t="e">
        <f>'Returns by year'!$V84-'Returns by year'!$Y84</f>
        <v>#REF!</v>
      </c>
    </row>
    <row r="85" spans="1:37">
      <c r="A85" s="15">
        <v>1992</v>
      </c>
      <c r="B85" s="56" t="e">
        <f>(#REF!-#REF!+#REF!)/#REF!</f>
        <v>#REF!</v>
      </c>
      <c r="C85" s="56" t="e">
        <f>#REF!</f>
        <v>#REF!</v>
      </c>
      <c r="D85" s="56" t="e">
        <f>#REF!</f>
        <v>#REF!</v>
      </c>
      <c r="E85" s="56" t="e">
        <f>#REF!</f>
        <v>#REF!</v>
      </c>
      <c r="F85" s="56" t="e">
        <f>#REF!</f>
        <v>#REF!</v>
      </c>
      <c r="G85" s="56" t="e">
        <f>#REF!/#REF!-1</f>
        <v>#REF!</v>
      </c>
      <c r="H85" s="56" t="e">
        <f>#REF!/#REF!-1</f>
        <v>#REF!</v>
      </c>
      <c r="I85" s="54" t="e">
        <f t="shared" si="36"/>
        <v>#REF!</v>
      </c>
      <c r="J85" s="14" t="e">
        <f t="shared" ref="J85:J117" si="42">J84*(1+C85)</f>
        <v>#REF!</v>
      </c>
      <c r="K85" s="14" t="e">
        <f t="shared" si="37"/>
        <v>#REF!</v>
      </c>
      <c r="L85" s="14" t="e">
        <f t="shared" si="38"/>
        <v>#REF!</v>
      </c>
      <c r="M85" s="14" t="e">
        <f t="shared" si="39"/>
        <v>#REF!</v>
      </c>
      <c r="N85" s="14" t="e">
        <f t="shared" si="40"/>
        <v>#REF!</v>
      </c>
      <c r="O85" s="14" t="e">
        <f t="shared" si="41"/>
        <v>#REF!</v>
      </c>
      <c r="P85" s="12" t="e">
        <f t="shared" ref="P85:P114" si="43">B85-D85</f>
        <v>#REF!</v>
      </c>
      <c r="Q85" s="12" t="e">
        <f t="shared" ref="Q85:Q114" si="44">B85-E85</f>
        <v>#REF!</v>
      </c>
      <c r="R85" s="16" t="e">
        <f>'Returns by year'!$C85-'Returns by year'!$B85</f>
        <v>#REF!</v>
      </c>
      <c r="S85" s="16" t="e">
        <f t="shared" ref="S85:S115" si="45">B85-F85</f>
        <v>#REF!</v>
      </c>
      <c r="T85" s="16" t="e">
        <f t="shared" ref="T85:T114" si="46">((I85/100)^(1/(A85-$A$21+1)))-((L85/100)^(1/(A85-$A$21+1)))</f>
        <v>#REF!</v>
      </c>
      <c r="U85" s="26" t="e">
        <f>#REF!</f>
        <v>#REF!</v>
      </c>
      <c r="V85" s="2" t="e">
        <f t="shared" ref="V85:V115" si="47">(1+B85)/(1+$U85)-1</f>
        <v>#REF!</v>
      </c>
      <c r="W85" s="2" t="e">
        <f t="shared" ref="W85:W116" si="48">(1+C85)/(1+$U85)-1</f>
        <v>#REF!</v>
      </c>
      <c r="X85" s="2" t="e">
        <f t="shared" ref="X85:X115" si="49">(1+D85)/(1+$U85)-1</f>
        <v>#REF!</v>
      </c>
      <c r="Y85" s="2" t="e">
        <f t="shared" ref="Y85:Y115" si="50">(1+E85)/(1+$U85)-1</f>
        <v>#REF!</v>
      </c>
      <c r="Z85" s="2" t="e">
        <f t="shared" ref="Z85:Z115" si="51">(1+F85)/(1+$U85)-1</f>
        <v>#REF!</v>
      </c>
      <c r="AA85" s="2" t="e">
        <f t="shared" ref="AA85:AA113" si="52">(1+G85)/(1+$U85)-1</f>
        <v>#REF!</v>
      </c>
      <c r="AB85" s="2" t="e">
        <f t="shared" ref="AB85:AB115" si="53">(1+H85)/(1+$U85)-1</f>
        <v>#REF!</v>
      </c>
      <c r="AC85" s="54" t="e">
        <f t="shared" si="18"/>
        <v>#REF!</v>
      </c>
      <c r="AD85" s="57" t="e">
        <f t="shared" si="18"/>
        <v>#REF!</v>
      </c>
      <c r="AE85" s="14" t="e">
        <f t="shared" si="19"/>
        <v>#REF!</v>
      </c>
      <c r="AF85" s="14" t="e">
        <f t="shared" si="20"/>
        <v>#REF!</v>
      </c>
      <c r="AG85" s="14" t="e">
        <f t="shared" si="21"/>
        <v>#REF!</v>
      </c>
      <c r="AH85" s="14" t="e">
        <f t="shared" si="22"/>
        <v>#REF!</v>
      </c>
      <c r="AI85" s="14" t="e">
        <f t="shared" si="23"/>
        <v>#REF!</v>
      </c>
      <c r="AJ85" s="2" t="e">
        <f>'Returns by year'!$V85-'Returns by year'!$X85</f>
        <v>#REF!</v>
      </c>
      <c r="AK85" s="2" t="e">
        <f>'Returns by year'!$V85-'Returns by year'!$Y85</f>
        <v>#REF!</v>
      </c>
    </row>
    <row r="86" spans="1:37">
      <c r="A86" s="15">
        <v>1993</v>
      </c>
      <c r="B86" s="56" t="e">
        <f>(#REF!-#REF!+#REF!)/#REF!</f>
        <v>#REF!</v>
      </c>
      <c r="C86" s="56" t="e">
        <f>#REF!</f>
        <v>#REF!</v>
      </c>
      <c r="D86" s="56" t="e">
        <f>#REF!</f>
        <v>#REF!</v>
      </c>
      <c r="E86" s="56" t="e">
        <f>#REF!</f>
        <v>#REF!</v>
      </c>
      <c r="F86" s="56" t="e">
        <f>#REF!</f>
        <v>#REF!</v>
      </c>
      <c r="G86" s="56" t="e">
        <f>#REF!/#REF!-1</f>
        <v>#REF!</v>
      </c>
      <c r="H86" s="56" t="e">
        <f>#REF!/#REF!-1</f>
        <v>#REF!</v>
      </c>
      <c r="I86" s="54" t="e">
        <f t="shared" ref="I86:I114" si="54">I85*(1+B86)</f>
        <v>#REF!</v>
      </c>
      <c r="J86" s="14" t="e">
        <f t="shared" si="42"/>
        <v>#REF!</v>
      </c>
      <c r="K86" s="14" t="e">
        <f t="shared" ref="K86:K114" si="55">K85*(1+D86)</f>
        <v>#REF!</v>
      </c>
      <c r="L86" s="14" t="e">
        <f t="shared" ref="L86:L114" si="56">L85*(1+E86)</f>
        <v>#REF!</v>
      </c>
      <c r="M86" s="14" t="e">
        <f t="shared" ref="M86:M114" si="57">M85*(1+F86)</f>
        <v>#REF!</v>
      </c>
      <c r="N86" s="14" t="e">
        <f t="shared" ref="N86:N116" si="58">N85*(1+G86)</f>
        <v>#REF!</v>
      </c>
      <c r="O86" s="14" t="e">
        <f t="shared" ref="O86:O116" si="59">O85*(1+H86)</f>
        <v>#REF!</v>
      </c>
      <c r="P86" s="12" t="e">
        <f t="shared" si="43"/>
        <v>#REF!</v>
      </c>
      <c r="Q86" s="12" t="e">
        <f t="shared" si="44"/>
        <v>#REF!</v>
      </c>
      <c r="R86" s="16" t="e">
        <f>'Returns by year'!$C86-'Returns by year'!$B86</f>
        <v>#REF!</v>
      </c>
      <c r="S86" s="16" t="e">
        <f t="shared" si="45"/>
        <v>#REF!</v>
      </c>
      <c r="T86" s="16" t="e">
        <f t="shared" si="46"/>
        <v>#REF!</v>
      </c>
      <c r="U86" s="26" t="e">
        <f>#REF!</f>
        <v>#REF!</v>
      </c>
      <c r="V86" s="2" t="e">
        <f t="shared" si="47"/>
        <v>#REF!</v>
      </c>
      <c r="W86" s="2" t="e">
        <f t="shared" si="48"/>
        <v>#REF!</v>
      </c>
      <c r="X86" s="2" t="e">
        <f t="shared" si="49"/>
        <v>#REF!</v>
      </c>
      <c r="Y86" s="2" t="e">
        <f t="shared" si="50"/>
        <v>#REF!</v>
      </c>
      <c r="Z86" s="2" t="e">
        <f t="shared" si="51"/>
        <v>#REF!</v>
      </c>
      <c r="AA86" s="2" t="e">
        <f t="shared" si="52"/>
        <v>#REF!</v>
      </c>
      <c r="AB86" s="2" t="e">
        <f t="shared" si="53"/>
        <v>#REF!</v>
      </c>
      <c r="AC86" s="54" t="e">
        <f t="shared" ref="AC86:AD116" si="60">AC85*(1+V86)</f>
        <v>#REF!</v>
      </c>
      <c r="AD86" s="57" t="e">
        <f t="shared" si="60"/>
        <v>#REF!</v>
      </c>
      <c r="AE86" s="14" t="e">
        <f t="shared" ref="AE86:AE116" si="61">AE85*(1+X86)</f>
        <v>#REF!</v>
      </c>
      <c r="AF86" s="14" t="e">
        <f t="shared" ref="AF86:AF116" si="62">AF85*(1+Y86)</f>
        <v>#REF!</v>
      </c>
      <c r="AG86" s="14" t="e">
        <f t="shared" ref="AG86:AG116" si="63">AG85*(1+Z86)</f>
        <v>#REF!</v>
      </c>
      <c r="AH86" s="14" t="e">
        <f t="shared" ref="AH86:AH115" si="64">AH85*(1+AA86)</f>
        <v>#REF!</v>
      </c>
      <c r="AI86" s="14" t="e">
        <f t="shared" ref="AI86:AI115" si="65">AI85*(1+AB86)</f>
        <v>#REF!</v>
      </c>
      <c r="AJ86" s="2" t="e">
        <f>'Returns by year'!$V86-'Returns by year'!$X86</f>
        <v>#REF!</v>
      </c>
      <c r="AK86" s="2" t="e">
        <f>'Returns by year'!$V86-'Returns by year'!$Y86</f>
        <v>#REF!</v>
      </c>
    </row>
    <row r="87" spans="1:37">
      <c r="A87" s="15">
        <v>1994</v>
      </c>
      <c r="B87" s="56" t="e">
        <f>(#REF!-#REF!+#REF!)/#REF!</f>
        <v>#REF!</v>
      </c>
      <c r="C87" s="56" t="e">
        <f>#REF!</f>
        <v>#REF!</v>
      </c>
      <c r="D87" s="56" t="e">
        <f>#REF!</f>
        <v>#REF!</v>
      </c>
      <c r="E87" s="56" t="e">
        <f>#REF!</f>
        <v>#REF!</v>
      </c>
      <c r="F87" s="56" t="e">
        <f>#REF!</f>
        <v>#REF!</v>
      </c>
      <c r="G87" s="56" t="e">
        <f>#REF!/#REF!-1</f>
        <v>#REF!</v>
      </c>
      <c r="H87" s="56" t="e">
        <f>#REF!/#REF!-1</f>
        <v>#REF!</v>
      </c>
      <c r="I87" s="54" t="e">
        <f t="shared" si="54"/>
        <v>#REF!</v>
      </c>
      <c r="J87" s="14" t="e">
        <f t="shared" si="42"/>
        <v>#REF!</v>
      </c>
      <c r="K87" s="14" t="e">
        <f t="shared" si="55"/>
        <v>#REF!</v>
      </c>
      <c r="L87" s="14" t="e">
        <f t="shared" si="56"/>
        <v>#REF!</v>
      </c>
      <c r="M87" s="14" t="e">
        <f t="shared" si="57"/>
        <v>#REF!</v>
      </c>
      <c r="N87" s="14" t="e">
        <f t="shared" si="58"/>
        <v>#REF!</v>
      </c>
      <c r="O87" s="14" t="e">
        <f t="shared" si="59"/>
        <v>#REF!</v>
      </c>
      <c r="P87" s="12" t="e">
        <f t="shared" si="43"/>
        <v>#REF!</v>
      </c>
      <c r="Q87" s="12" t="e">
        <f t="shared" si="44"/>
        <v>#REF!</v>
      </c>
      <c r="R87" s="16" t="e">
        <f>'Returns by year'!$C87-'Returns by year'!$B87</f>
        <v>#REF!</v>
      </c>
      <c r="S87" s="16" t="e">
        <f t="shared" si="45"/>
        <v>#REF!</v>
      </c>
      <c r="T87" s="16" t="e">
        <f t="shared" si="46"/>
        <v>#REF!</v>
      </c>
      <c r="U87" s="26" t="e">
        <f>#REF!</f>
        <v>#REF!</v>
      </c>
      <c r="V87" s="2" t="e">
        <f t="shared" si="47"/>
        <v>#REF!</v>
      </c>
      <c r="W87" s="2" t="e">
        <f t="shared" si="48"/>
        <v>#REF!</v>
      </c>
      <c r="X87" s="2" t="e">
        <f t="shared" si="49"/>
        <v>#REF!</v>
      </c>
      <c r="Y87" s="2" t="e">
        <f t="shared" si="50"/>
        <v>#REF!</v>
      </c>
      <c r="Z87" s="2" t="e">
        <f t="shared" si="51"/>
        <v>#REF!</v>
      </c>
      <c r="AA87" s="2" t="e">
        <f t="shared" si="52"/>
        <v>#REF!</v>
      </c>
      <c r="AB87" s="2" t="e">
        <f t="shared" si="53"/>
        <v>#REF!</v>
      </c>
      <c r="AC87" s="54" t="e">
        <f t="shared" si="60"/>
        <v>#REF!</v>
      </c>
      <c r="AD87" s="57" t="e">
        <f t="shared" si="60"/>
        <v>#REF!</v>
      </c>
      <c r="AE87" s="14" t="e">
        <f t="shared" si="61"/>
        <v>#REF!</v>
      </c>
      <c r="AF87" s="14" t="e">
        <f t="shared" si="62"/>
        <v>#REF!</v>
      </c>
      <c r="AG87" s="14" t="e">
        <f t="shared" si="63"/>
        <v>#REF!</v>
      </c>
      <c r="AH87" s="14" t="e">
        <f t="shared" si="64"/>
        <v>#REF!</v>
      </c>
      <c r="AI87" s="14" t="e">
        <f t="shared" si="65"/>
        <v>#REF!</v>
      </c>
      <c r="AJ87" s="2" t="e">
        <f>'Returns by year'!$V87-'Returns by year'!$X87</f>
        <v>#REF!</v>
      </c>
      <c r="AK87" s="2" t="e">
        <f>'Returns by year'!$V87-'Returns by year'!$Y87</f>
        <v>#REF!</v>
      </c>
    </row>
    <row r="88" spans="1:37">
      <c r="A88" s="15">
        <v>1995</v>
      </c>
      <c r="B88" s="56" t="e">
        <f>(#REF!-#REF!+#REF!)/#REF!</f>
        <v>#REF!</v>
      </c>
      <c r="C88" s="56" t="e">
        <f>#REF!</f>
        <v>#REF!</v>
      </c>
      <c r="D88" s="56" t="e">
        <f>#REF!</f>
        <v>#REF!</v>
      </c>
      <c r="E88" s="56" t="e">
        <f>#REF!</f>
        <v>#REF!</v>
      </c>
      <c r="F88" s="56" t="e">
        <f>#REF!</f>
        <v>#REF!</v>
      </c>
      <c r="G88" s="56" t="e">
        <f>#REF!/#REF!-1</f>
        <v>#REF!</v>
      </c>
      <c r="H88" s="56" t="e">
        <f>#REF!/#REF!-1</f>
        <v>#REF!</v>
      </c>
      <c r="I88" s="54" t="e">
        <f t="shared" si="54"/>
        <v>#REF!</v>
      </c>
      <c r="J88" s="14" t="e">
        <f t="shared" si="42"/>
        <v>#REF!</v>
      </c>
      <c r="K88" s="14" t="e">
        <f t="shared" si="55"/>
        <v>#REF!</v>
      </c>
      <c r="L88" s="14" t="e">
        <f t="shared" si="56"/>
        <v>#REF!</v>
      </c>
      <c r="M88" s="14" t="e">
        <f t="shared" si="57"/>
        <v>#REF!</v>
      </c>
      <c r="N88" s="14" t="e">
        <f t="shared" si="58"/>
        <v>#REF!</v>
      </c>
      <c r="O88" s="14" t="e">
        <f t="shared" si="59"/>
        <v>#REF!</v>
      </c>
      <c r="P88" s="12" t="e">
        <f t="shared" si="43"/>
        <v>#REF!</v>
      </c>
      <c r="Q88" s="12" t="e">
        <f t="shared" si="44"/>
        <v>#REF!</v>
      </c>
      <c r="R88" s="16" t="e">
        <f>'Returns by year'!$C88-'Returns by year'!$B88</f>
        <v>#REF!</v>
      </c>
      <c r="S88" s="16" t="e">
        <f t="shared" si="45"/>
        <v>#REF!</v>
      </c>
      <c r="T88" s="16" t="e">
        <f t="shared" si="46"/>
        <v>#REF!</v>
      </c>
      <c r="U88" s="26" t="e">
        <f>#REF!</f>
        <v>#REF!</v>
      </c>
      <c r="V88" s="2" t="e">
        <f t="shared" si="47"/>
        <v>#REF!</v>
      </c>
      <c r="W88" s="2" t="e">
        <f t="shared" si="48"/>
        <v>#REF!</v>
      </c>
      <c r="X88" s="2" t="e">
        <f t="shared" si="49"/>
        <v>#REF!</v>
      </c>
      <c r="Y88" s="2" t="e">
        <f t="shared" si="50"/>
        <v>#REF!</v>
      </c>
      <c r="Z88" s="2" t="e">
        <f t="shared" si="51"/>
        <v>#REF!</v>
      </c>
      <c r="AA88" s="2" t="e">
        <f t="shared" si="52"/>
        <v>#REF!</v>
      </c>
      <c r="AB88" s="2" t="e">
        <f t="shared" si="53"/>
        <v>#REF!</v>
      </c>
      <c r="AC88" s="54" t="e">
        <f t="shared" si="60"/>
        <v>#REF!</v>
      </c>
      <c r="AD88" s="57" t="e">
        <f t="shared" si="60"/>
        <v>#REF!</v>
      </c>
      <c r="AE88" s="14" t="e">
        <f t="shared" si="61"/>
        <v>#REF!</v>
      </c>
      <c r="AF88" s="14" t="e">
        <f t="shared" si="62"/>
        <v>#REF!</v>
      </c>
      <c r="AG88" s="14" t="e">
        <f t="shared" si="63"/>
        <v>#REF!</v>
      </c>
      <c r="AH88" s="14" t="e">
        <f t="shared" si="64"/>
        <v>#REF!</v>
      </c>
      <c r="AI88" s="14" t="e">
        <f t="shared" si="65"/>
        <v>#REF!</v>
      </c>
      <c r="AJ88" s="2" t="e">
        <f>'Returns by year'!$V88-'Returns by year'!$X88</f>
        <v>#REF!</v>
      </c>
      <c r="AK88" s="2" t="e">
        <f>'Returns by year'!$V88-'Returns by year'!$Y88</f>
        <v>#REF!</v>
      </c>
    </row>
    <row r="89" spans="1:37">
      <c r="A89" s="15">
        <v>1996</v>
      </c>
      <c r="B89" s="56" t="e">
        <f>(#REF!-#REF!+#REF!)/#REF!</f>
        <v>#REF!</v>
      </c>
      <c r="C89" s="56" t="e">
        <f>#REF!</f>
        <v>#REF!</v>
      </c>
      <c r="D89" s="56" t="e">
        <f>#REF!</f>
        <v>#REF!</v>
      </c>
      <c r="E89" s="56" t="e">
        <f>#REF!</f>
        <v>#REF!</v>
      </c>
      <c r="F89" s="56" t="e">
        <f>#REF!</f>
        <v>#REF!</v>
      </c>
      <c r="G89" s="56" t="e">
        <f>#REF!/#REF!-1</f>
        <v>#REF!</v>
      </c>
      <c r="H89" s="56" t="e">
        <f>#REF!/#REF!-1</f>
        <v>#REF!</v>
      </c>
      <c r="I89" s="54" t="e">
        <f t="shared" si="54"/>
        <v>#REF!</v>
      </c>
      <c r="J89" s="14" t="e">
        <f t="shared" si="42"/>
        <v>#REF!</v>
      </c>
      <c r="K89" s="14" t="e">
        <f t="shared" si="55"/>
        <v>#REF!</v>
      </c>
      <c r="L89" s="14" t="e">
        <f t="shared" si="56"/>
        <v>#REF!</v>
      </c>
      <c r="M89" s="14" t="e">
        <f t="shared" si="57"/>
        <v>#REF!</v>
      </c>
      <c r="N89" s="14" t="e">
        <f t="shared" si="58"/>
        <v>#REF!</v>
      </c>
      <c r="O89" s="14" t="e">
        <f t="shared" si="59"/>
        <v>#REF!</v>
      </c>
      <c r="P89" s="12" t="e">
        <f t="shared" si="43"/>
        <v>#REF!</v>
      </c>
      <c r="Q89" s="12" t="e">
        <f t="shared" si="44"/>
        <v>#REF!</v>
      </c>
      <c r="R89" s="16" t="e">
        <f>'Returns by year'!$C89-'Returns by year'!$B89</f>
        <v>#REF!</v>
      </c>
      <c r="S89" s="16" t="e">
        <f t="shared" si="45"/>
        <v>#REF!</v>
      </c>
      <c r="T89" s="16" t="e">
        <f t="shared" si="46"/>
        <v>#REF!</v>
      </c>
      <c r="U89" s="26" t="e">
        <f>#REF!</f>
        <v>#REF!</v>
      </c>
      <c r="V89" s="2" t="e">
        <f t="shared" si="47"/>
        <v>#REF!</v>
      </c>
      <c r="W89" s="2" t="e">
        <f t="shared" si="48"/>
        <v>#REF!</v>
      </c>
      <c r="X89" s="2" t="e">
        <f t="shared" si="49"/>
        <v>#REF!</v>
      </c>
      <c r="Y89" s="2" t="e">
        <f t="shared" si="50"/>
        <v>#REF!</v>
      </c>
      <c r="Z89" s="2" t="e">
        <f t="shared" si="51"/>
        <v>#REF!</v>
      </c>
      <c r="AA89" s="2" t="e">
        <f t="shared" si="52"/>
        <v>#REF!</v>
      </c>
      <c r="AB89" s="2" t="e">
        <f t="shared" si="53"/>
        <v>#REF!</v>
      </c>
      <c r="AC89" s="54" t="e">
        <f t="shared" si="60"/>
        <v>#REF!</v>
      </c>
      <c r="AD89" s="57" t="e">
        <f t="shared" si="60"/>
        <v>#REF!</v>
      </c>
      <c r="AE89" s="14" t="e">
        <f t="shared" si="61"/>
        <v>#REF!</v>
      </c>
      <c r="AF89" s="14" t="e">
        <f t="shared" si="62"/>
        <v>#REF!</v>
      </c>
      <c r="AG89" s="14" t="e">
        <f t="shared" si="63"/>
        <v>#REF!</v>
      </c>
      <c r="AH89" s="14" t="e">
        <f t="shared" si="64"/>
        <v>#REF!</v>
      </c>
      <c r="AI89" s="14" t="e">
        <f t="shared" si="65"/>
        <v>#REF!</v>
      </c>
      <c r="AJ89" s="2" t="e">
        <f>'Returns by year'!$V89-'Returns by year'!$X89</f>
        <v>#REF!</v>
      </c>
      <c r="AK89" s="2" t="e">
        <f>'Returns by year'!$V89-'Returns by year'!$Y89</f>
        <v>#REF!</v>
      </c>
    </row>
    <row r="90" spans="1:37">
      <c r="A90" s="15">
        <v>1997</v>
      </c>
      <c r="B90" s="56" t="e">
        <f>(#REF!-#REF!+#REF!)/#REF!</f>
        <v>#REF!</v>
      </c>
      <c r="C90" s="56" t="e">
        <f>#REF!</f>
        <v>#REF!</v>
      </c>
      <c r="D90" s="56" t="e">
        <f>#REF!</f>
        <v>#REF!</v>
      </c>
      <c r="E90" s="56" t="e">
        <f>#REF!</f>
        <v>#REF!</v>
      </c>
      <c r="F90" s="56" t="e">
        <f>#REF!</f>
        <v>#REF!</v>
      </c>
      <c r="G90" s="56" t="e">
        <f>#REF!/#REF!-1</f>
        <v>#REF!</v>
      </c>
      <c r="H90" s="56" t="e">
        <f>#REF!/#REF!-1</f>
        <v>#REF!</v>
      </c>
      <c r="I90" s="54" t="e">
        <f t="shared" si="54"/>
        <v>#REF!</v>
      </c>
      <c r="J90" s="14" t="e">
        <f t="shared" si="42"/>
        <v>#REF!</v>
      </c>
      <c r="K90" s="14" t="e">
        <f t="shared" si="55"/>
        <v>#REF!</v>
      </c>
      <c r="L90" s="14" t="e">
        <f t="shared" si="56"/>
        <v>#REF!</v>
      </c>
      <c r="M90" s="14" t="e">
        <f t="shared" si="57"/>
        <v>#REF!</v>
      </c>
      <c r="N90" s="14" t="e">
        <f t="shared" si="58"/>
        <v>#REF!</v>
      </c>
      <c r="O90" s="14" t="e">
        <f t="shared" si="59"/>
        <v>#REF!</v>
      </c>
      <c r="P90" s="12" t="e">
        <f t="shared" si="43"/>
        <v>#REF!</v>
      </c>
      <c r="Q90" s="12" t="e">
        <f t="shared" si="44"/>
        <v>#REF!</v>
      </c>
      <c r="R90" s="16" t="e">
        <f>'Returns by year'!$C90-'Returns by year'!$B90</f>
        <v>#REF!</v>
      </c>
      <c r="S90" s="16" t="e">
        <f t="shared" si="45"/>
        <v>#REF!</v>
      </c>
      <c r="T90" s="16" t="e">
        <f t="shared" si="46"/>
        <v>#REF!</v>
      </c>
      <c r="U90" s="26" t="e">
        <f>#REF!</f>
        <v>#REF!</v>
      </c>
      <c r="V90" s="2" t="e">
        <f t="shared" si="47"/>
        <v>#REF!</v>
      </c>
      <c r="W90" s="2" t="e">
        <f t="shared" si="48"/>
        <v>#REF!</v>
      </c>
      <c r="X90" s="2" t="e">
        <f t="shared" si="49"/>
        <v>#REF!</v>
      </c>
      <c r="Y90" s="2" t="e">
        <f t="shared" si="50"/>
        <v>#REF!</v>
      </c>
      <c r="Z90" s="2" t="e">
        <f t="shared" si="51"/>
        <v>#REF!</v>
      </c>
      <c r="AA90" s="2" t="e">
        <f t="shared" si="52"/>
        <v>#REF!</v>
      </c>
      <c r="AB90" s="2" t="e">
        <f t="shared" si="53"/>
        <v>#REF!</v>
      </c>
      <c r="AC90" s="54" t="e">
        <f t="shared" si="60"/>
        <v>#REF!</v>
      </c>
      <c r="AD90" s="57" t="e">
        <f t="shared" si="60"/>
        <v>#REF!</v>
      </c>
      <c r="AE90" s="14" t="e">
        <f t="shared" si="61"/>
        <v>#REF!</v>
      </c>
      <c r="AF90" s="14" t="e">
        <f t="shared" si="62"/>
        <v>#REF!</v>
      </c>
      <c r="AG90" s="14" t="e">
        <f t="shared" si="63"/>
        <v>#REF!</v>
      </c>
      <c r="AH90" s="14" t="e">
        <f t="shared" si="64"/>
        <v>#REF!</v>
      </c>
      <c r="AI90" s="14" t="e">
        <f t="shared" si="65"/>
        <v>#REF!</v>
      </c>
      <c r="AJ90" s="2" t="e">
        <f>'Returns by year'!$V90-'Returns by year'!$X90</f>
        <v>#REF!</v>
      </c>
      <c r="AK90" s="2" t="e">
        <f>'Returns by year'!$V90-'Returns by year'!$Y90</f>
        <v>#REF!</v>
      </c>
    </row>
    <row r="91" spans="1:37">
      <c r="A91" s="15">
        <v>1998</v>
      </c>
      <c r="B91" s="56" t="e">
        <f>(#REF!-#REF!+#REF!)/#REF!</f>
        <v>#REF!</v>
      </c>
      <c r="C91" s="56" t="e">
        <f>#REF!</f>
        <v>#REF!</v>
      </c>
      <c r="D91" s="56" t="e">
        <f>#REF!</f>
        <v>#REF!</v>
      </c>
      <c r="E91" s="56" t="e">
        <f>#REF!</f>
        <v>#REF!</v>
      </c>
      <c r="F91" s="56" t="e">
        <f>#REF!</f>
        <v>#REF!</v>
      </c>
      <c r="G91" s="56" t="e">
        <f>#REF!/#REF!-1</f>
        <v>#REF!</v>
      </c>
      <c r="H91" s="56" t="e">
        <f>#REF!/#REF!-1</f>
        <v>#REF!</v>
      </c>
      <c r="I91" s="54" t="e">
        <f t="shared" si="54"/>
        <v>#REF!</v>
      </c>
      <c r="J91" s="14" t="e">
        <f t="shared" si="42"/>
        <v>#REF!</v>
      </c>
      <c r="K91" s="14" t="e">
        <f t="shared" si="55"/>
        <v>#REF!</v>
      </c>
      <c r="L91" s="14" t="e">
        <f t="shared" si="56"/>
        <v>#REF!</v>
      </c>
      <c r="M91" s="14" t="e">
        <f t="shared" si="57"/>
        <v>#REF!</v>
      </c>
      <c r="N91" s="14" t="e">
        <f t="shared" si="58"/>
        <v>#REF!</v>
      </c>
      <c r="O91" s="14" t="e">
        <f t="shared" si="59"/>
        <v>#REF!</v>
      </c>
      <c r="P91" s="12" t="e">
        <f t="shared" si="43"/>
        <v>#REF!</v>
      </c>
      <c r="Q91" s="12" t="e">
        <f t="shared" si="44"/>
        <v>#REF!</v>
      </c>
      <c r="R91" s="16" t="e">
        <f>'Returns by year'!$C91-'Returns by year'!$B91</f>
        <v>#REF!</v>
      </c>
      <c r="S91" s="16" t="e">
        <f t="shared" si="45"/>
        <v>#REF!</v>
      </c>
      <c r="T91" s="16" t="e">
        <f t="shared" si="46"/>
        <v>#REF!</v>
      </c>
      <c r="U91" s="26" t="e">
        <f>#REF!</f>
        <v>#REF!</v>
      </c>
      <c r="V91" s="2" t="e">
        <f t="shared" si="47"/>
        <v>#REF!</v>
      </c>
      <c r="W91" s="2" t="e">
        <f t="shared" si="48"/>
        <v>#REF!</v>
      </c>
      <c r="X91" s="2" t="e">
        <f t="shared" si="49"/>
        <v>#REF!</v>
      </c>
      <c r="Y91" s="2" t="e">
        <f t="shared" si="50"/>
        <v>#REF!</v>
      </c>
      <c r="Z91" s="2" t="e">
        <f t="shared" si="51"/>
        <v>#REF!</v>
      </c>
      <c r="AA91" s="2" t="e">
        <f t="shared" si="52"/>
        <v>#REF!</v>
      </c>
      <c r="AB91" s="2" t="e">
        <f t="shared" si="53"/>
        <v>#REF!</v>
      </c>
      <c r="AC91" s="54" t="e">
        <f t="shared" si="60"/>
        <v>#REF!</v>
      </c>
      <c r="AD91" s="57" t="e">
        <f t="shared" si="60"/>
        <v>#REF!</v>
      </c>
      <c r="AE91" s="14" t="e">
        <f t="shared" si="61"/>
        <v>#REF!</v>
      </c>
      <c r="AF91" s="14" t="e">
        <f t="shared" si="62"/>
        <v>#REF!</v>
      </c>
      <c r="AG91" s="14" t="e">
        <f t="shared" si="63"/>
        <v>#REF!</v>
      </c>
      <c r="AH91" s="14" t="e">
        <f t="shared" si="64"/>
        <v>#REF!</v>
      </c>
      <c r="AI91" s="14" t="e">
        <f t="shared" si="65"/>
        <v>#REF!</v>
      </c>
      <c r="AJ91" s="2" t="e">
        <f>'Returns by year'!$V91-'Returns by year'!$X91</f>
        <v>#REF!</v>
      </c>
      <c r="AK91" s="2" t="e">
        <f>'Returns by year'!$V91-'Returns by year'!$Y91</f>
        <v>#REF!</v>
      </c>
    </row>
    <row r="92" spans="1:37">
      <c r="A92" s="15">
        <v>1999</v>
      </c>
      <c r="B92" s="56" t="e">
        <f>(#REF!-#REF!+#REF!)/#REF!</f>
        <v>#REF!</v>
      </c>
      <c r="C92" s="56" t="e">
        <f>#REF!</f>
        <v>#REF!</v>
      </c>
      <c r="D92" s="56" t="e">
        <f>#REF!</f>
        <v>#REF!</v>
      </c>
      <c r="E92" s="56" t="e">
        <f>#REF!</f>
        <v>#REF!</v>
      </c>
      <c r="F92" s="56" t="e">
        <f>#REF!</f>
        <v>#REF!</v>
      </c>
      <c r="G92" s="56" t="e">
        <f>#REF!/#REF!-1</f>
        <v>#REF!</v>
      </c>
      <c r="H92" s="56" t="e">
        <f>#REF!/#REF!-1</f>
        <v>#REF!</v>
      </c>
      <c r="I92" s="54" t="e">
        <f t="shared" si="54"/>
        <v>#REF!</v>
      </c>
      <c r="J92" s="14" t="e">
        <f t="shared" si="42"/>
        <v>#REF!</v>
      </c>
      <c r="K92" s="14" t="e">
        <f t="shared" si="55"/>
        <v>#REF!</v>
      </c>
      <c r="L92" s="14" t="e">
        <f t="shared" si="56"/>
        <v>#REF!</v>
      </c>
      <c r="M92" s="14" t="e">
        <f t="shared" si="57"/>
        <v>#REF!</v>
      </c>
      <c r="N92" s="14" t="e">
        <f t="shared" si="58"/>
        <v>#REF!</v>
      </c>
      <c r="O92" s="14" t="e">
        <f t="shared" si="59"/>
        <v>#REF!</v>
      </c>
      <c r="P92" s="12" t="e">
        <f t="shared" si="43"/>
        <v>#REF!</v>
      </c>
      <c r="Q92" s="12" t="e">
        <f t="shared" si="44"/>
        <v>#REF!</v>
      </c>
      <c r="R92" s="16" t="e">
        <f>'Returns by year'!$C92-'Returns by year'!$B92</f>
        <v>#REF!</v>
      </c>
      <c r="S92" s="16" t="e">
        <f t="shared" si="45"/>
        <v>#REF!</v>
      </c>
      <c r="T92" s="16" t="e">
        <f t="shared" si="46"/>
        <v>#REF!</v>
      </c>
      <c r="U92" s="26" t="e">
        <f>#REF!</f>
        <v>#REF!</v>
      </c>
      <c r="V92" s="2" t="e">
        <f t="shared" si="47"/>
        <v>#REF!</v>
      </c>
      <c r="W92" s="2" t="e">
        <f t="shared" si="48"/>
        <v>#REF!</v>
      </c>
      <c r="X92" s="2" t="e">
        <f t="shared" si="49"/>
        <v>#REF!</v>
      </c>
      <c r="Y92" s="2" t="e">
        <f t="shared" si="50"/>
        <v>#REF!</v>
      </c>
      <c r="Z92" s="2" t="e">
        <f t="shared" si="51"/>
        <v>#REF!</v>
      </c>
      <c r="AA92" s="2" t="e">
        <f t="shared" si="52"/>
        <v>#REF!</v>
      </c>
      <c r="AB92" s="2" t="e">
        <f t="shared" si="53"/>
        <v>#REF!</v>
      </c>
      <c r="AC92" s="54" t="e">
        <f t="shared" si="60"/>
        <v>#REF!</v>
      </c>
      <c r="AD92" s="57" t="e">
        <f t="shared" si="60"/>
        <v>#REF!</v>
      </c>
      <c r="AE92" s="14" t="e">
        <f t="shared" si="61"/>
        <v>#REF!</v>
      </c>
      <c r="AF92" s="14" t="e">
        <f t="shared" si="62"/>
        <v>#REF!</v>
      </c>
      <c r="AG92" s="14" t="e">
        <f t="shared" si="63"/>
        <v>#REF!</v>
      </c>
      <c r="AH92" s="14" t="e">
        <f t="shared" si="64"/>
        <v>#REF!</v>
      </c>
      <c r="AI92" s="14" t="e">
        <f t="shared" si="65"/>
        <v>#REF!</v>
      </c>
      <c r="AJ92" s="2" t="e">
        <f>'Returns by year'!$V92-'Returns by year'!$X92</f>
        <v>#REF!</v>
      </c>
      <c r="AK92" s="2" t="e">
        <f>'Returns by year'!$V92-'Returns by year'!$Y92</f>
        <v>#REF!</v>
      </c>
    </row>
    <row r="93" spans="1:37">
      <c r="A93" s="15">
        <v>2000</v>
      </c>
      <c r="B93" s="56" t="e">
        <f>(#REF!-#REF!+#REF!)/#REF!</f>
        <v>#REF!</v>
      </c>
      <c r="C93" s="56" t="e">
        <f>#REF!</f>
        <v>#REF!</v>
      </c>
      <c r="D93" s="56" t="e">
        <f>#REF!</f>
        <v>#REF!</v>
      </c>
      <c r="E93" s="56" t="e">
        <f>#REF!</f>
        <v>#REF!</v>
      </c>
      <c r="F93" s="56" t="e">
        <f>#REF!</f>
        <v>#REF!</v>
      </c>
      <c r="G93" s="56" t="e">
        <f>#REF!/#REF!-1</f>
        <v>#REF!</v>
      </c>
      <c r="H93" s="56" t="e">
        <f>#REF!/#REF!-1</f>
        <v>#REF!</v>
      </c>
      <c r="I93" s="54" t="e">
        <f t="shared" si="54"/>
        <v>#REF!</v>
      </c>
      <c r="J93" s="14" t="e">
        <f t="shared" si="42"/>
        <v>#REF!</v>
      </c>
      <c r="K93" s="14" t="e">
        <f t="shared" si="55"/>
        <v>#REF!</v>
      </c>
      <c r="L93" s="14" t="e">
        <f t="shared" si="56"/>
        <v>#REF!</v>
      </c>
      <c r="M93" s="14" t="e">
        <f t="shared" si="57"/>
        <v>#REF!</v>
      </c>
      <c r="N93" s="14" t="e">
        <f t="shared" si="58"/>
        <v>#REF!</v>
      </c>
      <c r="O93" s="14" t="e">
        <f t="shared" si="59"/>
        <v>#REF!</v>
      </c>
      <c r="P93" s="12" t="e">
        <f t="shared" si="43"/>
        <v>#REF!</v>
      </c>
      <c r="Q93" s="12" t="e">
        <f t="shared" si="44"/>
        <v>#REF!</v>
      </c>
      <c r="R93" s="16" t="e">
        <f>'Returns by year'!$C93-'Returns by year'!$B93</f>
        <v>#REF!</v>
      </c>
      <c r="S93" s="16" t="e">
        <f t="shared" si="45"/>
        <v>#REF!</v>
      </c>
      <c r="T93" s="16" t="e">
        <f t="shared" si="46"/>
        <v>#REF!</v>
      </c>
      <c r="U93" s="26" t="e">
        <f>#REF!</f>
        <v>#REF!</v>
      </c>
      <c r="V93" s="2" t="e">
        <f t="shared" si="47"/>
        <v>#REF!</v>
      </c>
      <c r="W93" s="2" t="e">
        <f t="shared" si="48"/>
        <v>#REF!</v>
      </c>
      <c r="X93" s="2" t="e">
        <f t="shared" si="49"/>
        <v>#REF!</v>
      </c>
      <c r="Y93" s="2" t="e">
        <f t="shared" si="50"/>
        <v>#REF!</v>
      </c>
      <c r="Z93" s="2" t="e">
        <f t="shared" si="51"/>
        <v>#REF!</v>
      </c>
      <c r="AA93" s="2" t="e">
        <f t="shared" si="52"/>
        <v>#REF!</v>
      </c>
      <c r="AB93" s="2" t="e">
        <f t="shared" si="53"/>
        <v>#REF!</v>
      </c>
      <c r="AC93" s="54" t="e">
        <f t="shared" si="60"/>
        <v>#REF!</v>
      </c>
      <c r="AD93" s="57" t="e">
        <f t="shared" si="60"/>
        <v>#REF!</v>
      </c>
      <c r="AE93" s="14" t="e">
        <f t="shared" si="61"/>
        <v>#REF!</v>
      </c>
      <c r="AF93" s="14" t="e">
        <f t="shared" si="62"/>
        <v>#REF!</v>
      </c>
      <c r="AG93" s="14" t="e">
        <f t="shared" si="63"/>
        <v>#REF!</v>
      </c>
      <c r="AH93" s="14" t="e">
        <f t="shared" si="64"/>
        <v>#REF!</v>
      </c>
      <c r="AI93" s="14" t="e">
        <f t="shared" si="65"/>
        <v>#REF!</v>
      </c>
      <c r="AJ93" s="2" t="e">
        <f>'Returns by year'!$V93-'Returns by year'!$X93</f>
        <v>#REF!</v>
      </c>
      <c r="AK93" s="2" t="e">
        <f>'Returns by year'!$V93-'Returns by year'!$Y93</f>
        <v>#REF!</v>
      </c>
    </row>
    <row r="94" spans="1:37">
      <c r="A94" s="15">
        <v>2001</v>
      </c>
      <c r="B94" s="56" t="e">
        <f>(#REF!-#REF!+#REF!)/#REF!</f>
        <v>#REF!</v>
      </c>
      <c r="C94" s="56" t="e">
        <f>#REF!</f>
        <v>#REF!</v>
      </c>
      <c r="D94" s="56" t="e">
        <f>#REF!</f>
        <v>#REF!</v>
      </c>
      <c r="E94" s="56" t="e">
        <f>#REF!</f>
        <v>#REF!</v>
      </c>
      <c r="F94" s="56" t="e">
        <f>#REF!</f>
        <v>#REF!</v>
      </c>
      <c r="G94" s="56" t="e">
        <f>#REF!/#REF!-1</f>
        <v>#REF!</v>
      </c>
      <c r="H94" s="56" t="e">
        <f>#REF!/#REF!-1</f>
        <v>#REF!</v>
      </c>
      <c r="I94" s="54" t="e">
        <f t="shared" si="54"/>
        <v>#REF!</v>
      </c>
      <c r="J94" s="14" t="e">
        <f t="shared" si="42"/>
        <v>#REF!</v>
      </c>
      <c r="K94" s="14" t="e">
        <f t="shared" si="55"/>
        <v>#REF!</v>
      </c>
      <c r="L94" s="14" t="e">
        <f t="shared" si="56"/>
        <v>#REF!</v>
      </c>
      <c r="M94" s="14" t="e">
        <f t="shared" si="57"/>
        <v>#REF!</v>
      </c>
      <c r="N94" s="14" t="e">
        <f t="shared" si="58"/>
        <v>#REF!</v>
      </c>
      <c r="O94" s="14" t="e">
        <f t="shared" si="59"/>
        <v>#REF!</v>
      </c>
      <c r="P94" s="12" t="e">
        <f t="shared" si="43"/>
        <v>#REF!</v>
      </c>
      <c r="Q94" s="12" t="e">
        <f t="shared" si="44"/>
        <v>#REF!</v>
      </c>
      <c r="R94" s="16" t="e">
        <f>'Returns by year'!$C94-'Returns by year'!$B94</f>
        <v>#REF!</v>
      </c>
      <c r="S94" s="16" t="e">
        <f t="shared" si="45"/>
        <v>#REF!</v>
      </c>
      <c r="T94" s="16" t="e">
        <f t="shared" si="46"/>
        <v>#REF!</v>
      </c>
      <c r="U94" s="26" t="e">
        <f>#REF!</f>
        <v>#REF!</v>
      </c>
      <c r="V94" s="2" t="e">
        <f t="shared" si="47"/>
        <v>#REF!</v>
      </c>
      <c r="W94" s="2" t="e">
        <f t="shared" si="48"/>
        <v>#REF!</v>
      </c>
      <c r="X94" s="2" t="e">
        <f t="shared" si="49"/>
        <v>#REF!</v>
      </c>
      <c r="Y94" s="2" t="e">
        <f t="shared" si="50"/>
        <v>#REF!</v>
      </c>
      <c r="Z94" s="2" t="e">
        <f t="shared" si="51"/>
        <v>#REF!</v>
      </c>
      <c r="AA94" s="2" t="e">
        <f t="shared" si="52"/>
        <v>#REF!</v>
      </c>
      <c r="AB94" s="2" t="e">
        <f t="shared" si="53"/>
        <v>#REF!</v>
      </c>
      <c r="AC94" s="54" t="e">
        <f t="shared" si="60"/>
        <v>#REF!</v>
      </c>
      <c r="AD94" s="57" t="e">
        <f t="shared" si="60"/>
        <v>#REF!</v>
      </c>
      <c r="AE94" s="14" t="e">
        <f t="shared" si="61"/>
        <v>#REF!</v>
      </c>
      <c r="AF94" s="14" t="e">
        <f t="shared" si="62"/>
        <v>#REF!</v>
      </c>
      <c r="AG94" s="14" t="e">
        <f t="shared" si="63"/>
        <v>#REF!</v>
      </c>
      <c r="AH94" s="14" t="e">
        <f t="shared" si="64"/>
        <v>#REF!</v>
      </c>
      <c r="AI94" s="14" t="e">
        <f t="shared" si="65"/>
        <v>#REF!</v>
      </c>
      <c r="AJ94" s="2" t="e">
        <f>'Returns by year'!$V94-'Returns by year'!$X94</f>
        <v>#REF!</v>
      </c>
      <c r="AK94" s="2" t="e">
        <f>'Returns by year'!$V94-'Returns by year'!$Y94</f>
        <v>#REF!</v>
      </c>
    </row>
    <row r="95" spans="1:37">
      <c r="A95" s="15">
        <v>2002</v>
      </c>
      <c r="B95" s="56" t="e">
        <f>(#REF!-#REF!+#REF!)/#REF!</f>
        <v>#REF!</v>
      </c>
      <c r="C95" s="56" t="e">
        <f>#REF!</f>
        <v>#REF!</v>
      </c>
      <c r="D95" s="56" t="e">
        <f>#REF!</f>
        <v>#REF!</v>
      </c>
      <c r="E95" s="56" t="e">
        <f>#REF!</f>
        <v>#REF!</v>
      </c>
      <c r="F95" s="56" t="e">
        <f>#REF!</f>
        <v>#REF!</v>
      </c>
      <c r="G95" s="56" t="e">
        <f>#REF!/#REF!-1</f>
        <v>#REF!</v>
      </c>
      <c r="H95" s="56" t="e">
        <f>#REF!/#REF!-1</f>
        <v>#REF!</v>
      </c>
      <c r="I95" s="54" t="e">
        <f t="shared" si="54"/>
        <v>#REF!</v>
      </c>
      <c r="J95" s="14" t="e">
        <f t="shared" si="42"/>
        <v>#REF!</v>
      </c>
      <c r="K95" s="14" t="e">
        <f t="shared" si="55"/>
        <v>#REF!</v>
      </c>
      <c r="L95" s="14" t="e">
        <f t="shared" si="56"/>
        <v>#REF!</v>
      </c>
      <c r="M95" s="14" t="e">
        <f t="shared" si="57"/>
        <v>#REF!</v>
      </c>
      <c r="N95" s="14" t="e">
        <f t="shared" si="58"/>
        <v>#REF!</v>
      </c>
      <c r="O95" s="14" t="e">
        <f t="shared" si="59"/>
        <v>#REF!</v>
      </c>
      <c r="P95" s="12" t="e">
        <f t="shared" si="43"/>
        <v>#REF!</v>
      </c>
      <c r="Q95" s="12" t="e">
        <f t="shared" si="44"/>
        <v>#REF!</v>
      </c>
      <c r="R95" s="16" t="e">
        <f>'Returns by year'!$C95-'Returns by year'!$B95</f>
        <v>#REF!</v>
      </c>
      <c r="S95" s="16" t="e">
        <f t="shared" si="45"/>
        <v>#REF!</v>
      </c>
      <c r="T95" s="16" t="e">
        <f t="shared" si="46"/>
        <v>#REF!</v>
      </c>
      <c r="U95" s="26" t="e">
        <f>#REF!</f>
        <v>#REF!</v>
      </c>
      <c r="V95" s="2" t="e">
        <f t="shared" si="47"/>
        <v>#REF!</v>
      </c>
      <c r="W95" s="2" t="e">
        <f t="shared" si="48"/>
        <v>#REF!</v>
      </c>
      <c r="X95" s="2" t="e">
        <f t="shared" si="49"/>
        <v>#REF!</v>
      </c>
      <c r="Y95" s="2" t="e">
        <f t="shared" si="50"/>
        <v>#REF!</v>
      </c>
      <c r="Z95" s="2" t="e">
        <f t="shared" si="51"/>
        <v>#REF!</v>
      </c>
      <c r="AA95" s="2" t="e">
        <f t="shared" si="52"/>
        <v>#REF!</v>
      </c>
      <c r="AB95" s="2" t="e">
        <f t="shared" si="53"/>
        <v>#REF!</v>
      </c>
      <c r="AC95" s="54" t="e">
        <f t="shared" si="60"/>
        <v>#REF!</v>
      </c>
      <c r="AD95" s="57" t="e">
        <f t="shared" si="60"/>
        <v>#REF!</v>
      </c>
      <c r="AE95" s="14" t="e">
        <f t="shared" si="61"/>
        <v>#REF!</v>
      </c>
      <c r="AF95" s="14" t="e">
        <f t="shared" si="62"/>
        <v>#REF!</v>
      </c>
      <c r="AG95" s="14" t="e">
        <f t="shared" si="63"/>
        <v>#REF!</v>
      </c>
      <c r="AH95" s="14" t="e">
        <f t="shared" si="64"/>
        <v>#REF!</v>
      </c>
      <c r="AI95" s="14" t="e">
        <f t="shared" si="65"/>
        <v>#REF!</v>
      </c>
      <c r="AJ95" s="2" t="e">
        <f>'Returns by year'!$V95-'Returns by year'!$X95</f>
        <v>#REF!</v>
      </c>
      <c r="AK95" s="2" t="e">
        <f>'Returns by year'!$V95-'Returns by year'!$Y95</f>
        <v>#REF!</v>
      </c>
    </row>
    <row r="96" spans="1:37">
      <c r="A96" s="15">
        <v>2003</v>
      </c>
      <c r="B96" s="56" t="e">
        <f>(#REF!-#REF!+#REF!)/#REF!</f>
        <v>#REF!</v>
      </c>
      <c r="C96" s="56" t="e">
        <f>#REF!</f>
        <v>#REF!</v>
      </c>
      <c r="D96" s="56" t="e">
        <f>#REF!</f>
        <v>#REF!</v>
      </c>
      <c r="E96" s="56" t="e">
        <f>#REF!</f>
        <v>#REF!</v>
      </c>
      <c r="F96" s="56" t="e">
        <f>#REF!</f>
        <v>#REF!</v>
      </c>
      <c r="G96" s="56" t="e">
        <f>#REF!/#REF!-1</f>
        <v>#REF!</v>
      </c>
      <c r="H96" s="56" t="e">
        <f>#REF!/#REF!-1</f>
        <v>#REF!</v>
      </c>
      <c r="I96" s="54" t="e">
        <f t="shared" si="54"/>
        <v>#REF!</v>
      </c>
      <c r="J96" s="14" t="e">
        <f t="shared" si="42"/>
        <v>#REF!</v>
      </c>
      <c r="K96" s="14" t="e">
        <f t="shared" si="55"/>
        <v>#REF!</v>
      </c>
      <c r="L96" s="14" t="e">
        <f t="shared" si="56"/>
        <v>#REF!</v>
      </c>
      <c r="M96" s="14" t="e">
        <f t="shared" si="57"/>
        <v>#REF!</v>
      </c>
      <c r="N96" s="14" t="e">
        <f t="shared" si="58"/>
        <v>#REF!</v>
      </c>
      <c r="O96" s="14" t="e">
        <f t="shared" si="59"/>
        <v>#REF!</v>
      </c>
      <c r="P96" s="12" t="e">
        <f t="shared" si="43"/>
        <v>#REF!</v>
      </c>
      <c r="Q96" s="12" t="e">
        <f t="shared" si="44"/>
        <v>#REF!</v>
      </c>
      <c r="R96" s="16" t="e">
        <f>'Returns by year'!$C96-'Returns by year'!$B96</f>
        <v>#REF!</v>
      </c>
      <c r="S96" s="16" t="e">
        <f t="shared" si="45"/>
        <v>#REF!</v>
      </c>
      <c r="T96" s="16" t="e">
        <f t="shared" si="46"/>
        <v>#REF!</v>
      </c>
      <c r="U96" s="26" t="e">
        <f>#REF!</f>
        <v>#REF!</v>
      </c>
      <c r="V96" s="2" t="e">
        <f t="shared" si="47"/>
        <v>#REF!</v>
      </c>
      <c r="W96" s="2" t="e">
        <f t="shared" si="48"/>
        <v>#REF!</v>
      </c>
      <c r="X96" s="2" t="e">
        <f t="shared" si="49"/>
        <v>#REF!</v>
      </c>
      <c r="Y96" s="2" t="e">
        <f t="shared" si="50"/>
        <v>#REF!</v>
      </c>
      <c r="Z96" s="2" t="e">
        <f t="shared" si="51"/>
        <v>#REF!</v>
      </c>
      <c r="AA96" s="2" t="e">
        <f t="shared" si="52"/>
        <v>#REF!</v>
      </c>
      <c r="AB96" s="2" t="e">
        <f t="shared" si="53"/>
        <v>#REF!</v>
      </c>
      <c r="AC96" s="54" t="e">
        <f t="shared" si="60"/>
        <v>#REF!</v>
      </c>
      <c r="AD96" s="57" t="e">
        <f t="shared" si="60"/>
        <v>#REF!</v>
      </c>
      <c r="AE96" s="14" t="e">
        <f t="shared" si="61"/>
        <v>#REF!</v>
      </c>
      <c r="AF96" s="14" t="e">
        <f t="shared" si="62"/>
        <v>#REF!</v>
      </c>
      <c r="AG96" s="14" t="e">
        <f t="shared" si="63"/>
        <v>#REF!</v>
      </c>
      <c r="AH96" s="14" t="e">
        <f t="shared" si="64"/>
        <v>#REF!</v>
      </c>
      <c r="AI96" s="14" t="e">
        <f t="shared" si="65"/>
        <v>#REF!</v>
      </c>
      <c r="AJ96" s="2" t="e">
        <f>'Returns by year'!$V96-'Returns by year'!$X96</f>
        <v>#REF!</v>
      </c>
      <c r="AK96" s="2" t="e">
        <f>'Returns by year'!$V96-'Returns by year'!$Y96</f>
        <v>#REF!</v>
      </c>
    </row>
    <row r="97" spans="1:37">
      <c r="A97" s="15">
        <v>2004</v>
      </c>
      <c r="B97" s="56" t="e">
        <f>(#REF!-#REF!+#REF!)/#REF!</f>
        <v>#REF!</v>
      </c>
      <c r="C97" s="56" t="e">
        <f>#REF!</f>
        <v>#REF!</v>
      </c>
      <c r="D97" s="56" t="e">
        <f>#REF!</f>
        <v>#REF!</v>
      </c>
      <c r="E97" s="56" t="e">
        <f>#REF!</f>
        <v>#REF!</v>
      </c>
      <c r="F97" s="56" t="e">
        <f>#REF!</f>
        <v>#REF!</v>
      </c>
      <c r="G97" s="56" t="e">
        <f>#REF!/#REF!-1</f>
        <v>#REF!</v>
      </c>
      <c r="H97" s="56" t="e">
        <f>#REF!/#REF!-1</f>
        <v>#REF!</v>
      </c>
      <c r="I97" s="54" t="e">
        <f t="shared" si="54"/>
        <v>#REF!</v>
      </c>
      <c r="J97" s="14" t="e">
        <f t="shared" si="42"/>
        <v>#REF!</v>
      </c>
      <c r="K97" s="14" t="e">
        <f t="shared" si="55"/>
        <v>#REF!</v>
      </c>
      <c r="L97" s="14" t="e">
        <f t="shared" si="56"/>
        <v>#REF!</v>
      </c>
      <c r="M97" s="14" t="e">
        <f t="shared" si="57"/>
        <v>#REF!</v>
      </c>
      <c r="N97" s="14" t="e">
        <f t="shared" si="58"/>
        <v>#REF!</v>
      </c>
      <c r="O97" s="14" t="e">
        <f t="shared" si="59"/>
        <v>#REF!</v>
      </c>
      <c r="P97" s="12" t="e">
        <f t="shared" si="43"/>
        <v>#REF!</v>
      </c>
      <c r="Q97" s="12" t="e">
        <f t="shared" si="44"/>
        <v>#REF!</v>
      </c>
      <c r="R97" s="16" t="e">
        <f>'Returns by year'!$C97-'Returns by year'!$B97</f>
        <v>#REF!</v>
      </c>
      <c r="S97" s="16" t="e">
        <f t="shared" si="45"/>
        <v>#REF!</v>
      </c>
      <c r="T97" s="16" t="e">
        <f t="shared" si="46"/>
        <v>#REF!</v>
      </c>
      <c r="U97" s="26" t="e">
        <f>#REF!</f>
        <v>#REF!</v>
      </c>
      <c r="V97" s="2" t="e">
        <f t="shared" si="47"/>
        <v>#REF!</v>
      </c>
      <c r="W97" s="2" t="e">
        <f t="shared" si="48"/>
        <v>#REF!</v>
      </c>
      <c r="X97" s="2" t="e">
        <f t="shared" si="49"/>
        <v>#REF!</v>
      </c>
      <c r="Y97" s="2" t="e">
        <f t="shared" si="50"/>
        <v>#REF!</v>
      </c>
      <c r="Z97" s="2" t="e">
        <f t="shared" si="51"/>
        <v>#REF!</v>
      </c>
      <c r="AA97" s="2" t="e">
        <f t="shared" si="52"/>
        <v>#REF!</v>
      </c>
      <c r="AB97" s="2" t="e">
        <f t="shared" si="53"/>
        <v>#REF!</v>
      </c>
      <c r="AC97" s="54" t="e">
        <f t="shared" si="60"/>
        <v>#REF!</v>
      </c>
      <c r="AD97" s="57" t="e">
        <f t="shared" si="60"/>
        <v>#REF!</v>
      </c>
      <c r="AE97" s="14" t="e">
        <f t="shared" si="61"/>
        <v>#REF!</v>
      </c>
      <c r="AF97" s="14" t="e">
        <f t="shared" si="62"/>
        <v>#REF!</v>
      </c>
      <c r="AG97" s="14" t="e">
        <f t="shared" si="63"/>
        <v>#REF!</v>
      </c>
      <c r="AH97" s="14" t="e">
        <f t="shared" si="64"/>
        <v>#REF!</v>
      </c>
      <c r="AI97" s="14" t="e">
        <f t="shared" si="65"/>
        <v>#REF!</v>
      </c>
      <c r="AJ97" s="2" t="e">
        <f>'Returns by year'!$V97-'Returns by year'!$X97</f>
        <v>#REF!</v>
      </c>
      <c r="AK97" s="2" t="e">
        <f>'Returns by year'!$V97-'Returns by year'!$Y97</f>
        <v>#REF!</v>
      </c>
    </row>
    <row r="98" spans="1:37">
      <c r="A98" s="15">
        <v>2005</v>
      </c>
      <c r="B98" s="56" t="e">
        <f>(#REF!-#REF!+#REF!)/#REF!</f>
        <v>#REF!</v>
      </c>
      <c r="C98" s="56" t="e">
        <f>#REF!</f>
        <v>#REF!</v>
      </c>
      <c r="D98" s="56" t="e">
        <f>#REF!</f>
        <v>#REF!</v>
      </c>
      <c r="E98" s="56" t="e">
        <f>#REF!</f>
        <v>#REF!</v>
      </c>
      <c r="F98" s="56" t="e">
        <f>#REF!</f>
        <v>#REF!</v>
      </c>
      <c r="G98" s="56" t="e">
        <f>#REF!/#REF!-1</f>
        <v>#REF!</v>
      </c>
      <c r="H98" s="56" t="e">
        <f>#REF!/#REF!-1</f>
        <v>#REF!</v>
      </c>
      <c r="I98" s="54" t="e">
        <f t="shared" si="54"/>
        <v>#REF!</v>
      </c>
      <c r="J98" s="14" t="e">
        <f t="shared" si="42"/>
        <v>#REF!</v>
      </c>
      <c r="K98" s="14" t="e">
        <f t="shared" si="55"/>
        <v>#REF!</v>
      </c>
      <c r="L98" s="14" t="e">
        <f t="shared" si="56"/>
        <v>#REF!</v>
      </c>
      <c r="M98" s="14" t="e">
        <f t="shared" si="57"/>
        <v>#REF!</v>
      </c>
      <c r="N98" s="14" t="e">
        <f t="shared" si="58"/>
        <v>#REF!</v>
      </c>
      <c r="O98" s="14" t="e">
        <f t="shared" si="59"/>
        <v>#REF!</v>
      </c>
      <c r="P98" s="12" t="e">
        <f t="shared" si="43"/>
        <v>#REF!</v>
      </c>
      <c r="Q98" s="12" t="e">
        <f t="shared" si="44"/>
        <v>#REF!</v>
      </c>
      <c r="R98" s="16" t="e">
        <f>'Returns by year'!$C98-'Returns by year'!$B98</f>
        <v>#REF!</v>
      </c>
      <c r="S98" s="16" t="e">
        <f t="shared" si="45"/>
        <v>#REF!</v>
      </c>
      <c r="T98" s="16" t="e">
        <f t="shared" si="46"/>
        <v>#REF!</v>
      </c>
      <c r="U98" s="26" t="e">
        <f>#REF!</f>
        <v>#REF!</v>
      </c>
      <c r="V98" s="2" t="e">
        <f t="shared" si="47"/>
        <v>#REF!</v>
      </c>
      <c r="W98" s="2" t="e">
        <f t="shared" si="48"/>
        <v>#REF!</v>
      </c>
      <c r="X98" s="2" t="e">
        <f t="shared" si="49"/>
        <v>#REF!</v>
      </c>
      <c r="Y98" s="2" t="e">
        <f t="shared" si="50"/>
        <v>#REF!</v>
      </c>
      <c r="Z98" s="2" t="e">
        <f t="shared" si="51"/>
        <v>#REF!</v>
      </c>
      <c r="AA98" s="2" t="e">
        <f t="shared" si="52"/>
        <v>#REF!</v>
      </c>
      <c r="AB98" s="2" t="e">
        <f t="shared" si="53"/>
        <v>#REF!</v>
      </c>
      <c r="AC98" s="54" t="e">
        <f t="shared" si="60"/>
        <v>#REF!</v>
      </c>
      <c r="AD98" s="57" t="e">
        <f t="shared" si="60"/>
        <v>#REF!</v>
      </c>
      <c r="AE98" s="14" t="e">
        <f t="shared" si="61"/>
        <v>#REF!</v>
      </c>
      <c r="AF98" s="14" t="e">
        <f t="shared" si="62"/>
        <v>#REF!</v>
      </c>
      <c r="AG98" s="14" t="e">
        <f t="shared" si="63"/>
        <v>#REF!</v>
      </c>
      <c r="AH98" s="14" t="e">
        <f t="shared" si="64"/>
        <v>#REF!</v>
      </c>
      <c r="AI98" s="14" t="e">
        <f t="shared" si="65"/>
        <v>#REF!</v>
      </c>
      <c r="AJ98" s="2" t="e">
        <f>'Returns by year'!$V98-'Returns by year'!$X98</f>
        <v>#REF!</v>
      </c>
      <c r="AK98" s="2" t="e">
        <f>'Returns by year'!$V98-'Returns by year'!$Y98</f>
        <v>#REF!</v>
      </c>
    </row>
    <row r="99" spans="1:37">
      <c r="A99" s="15">
        <v>2006</v>
      </c>
      <c r="B99" s="56" t="e">
        <f>(#REF!-#REF!+#REF!)/#REF!</f>
        <v>#REF!</v>
      </c>
      <c r="C99" s="56" t="e">
        <f>#REF!</f>
        <v>#REF!</v>
      </c>
      <c r="D99" s="56" t="e">
        <f>#REF!</f>
        <v>#REF!</v>
      </c>
      <c r="E99" s="56" t="e">
        <f>#REF!</f>
        <v>#REF!</v>
      </c>
      <c r="F99" s="56" t="e">
        <f>#REF!</f>
        <v>#REF!</v>
      </c>
      <c r="G99" s="56" t="e">
        <f>#REF!/#REF!-1</f>
        <v>#REF!</v>
      </c>
      <c r="H99" s="56" t="e">
        <f>#REF!/#REF!-1</f>
        <v>#REF!</v>
      </c>
      <c r="I99" s="54" t="e">
        <f t="shared" si="54"/>
        <v>#REF!</v>
      </c>
      <c r="J99" s="14" t="e">
        <f t="shared" si="42"/>
        <v>#REF!</v>
      </c>
      <c r="K99" s="14" t="e">
        <f t="shared" si="55"/>
        <v>#REF!</v>
      </c>
      <c r="L99" s="14" t="e">
        <f t="shared" si="56"/>
        <v>#REF!</v>
      </c>
      <c r="M99" s="14" t="e">
        <f t="shared" si="57"/>
        <v>#REF!</v>
      </c>
      <c r="N99" s="14" t="e">
        <f t="shared" si="58"/>
        <v>#REF!</v>
      </c>
      <c r="O99" s="14" t="e">
        <f t="shared" si="59"/>
        <v>#REF!</v>
      </c>
      <c r="P99" s="12" t="e">
        <f t="shared" si="43"/>
        <v>#REF!</v>
      </c>
      <c r="Q99" s="12" t="e">
        <f t="shared" si="44"/>
        <v>#REF!</v>
      </c>
      <c r="R99" s="16" t="e">
        <f>'Returns by year'!$C99-'Returns by year'!$B99</f>
        <v>#REF!</v>
      </c>
      <c r="S99" s="16" t="e">
        <f t="shared" si="45"/>
        <v>#REF!</v>
      </c>
      <c r="T99" s="16" t="e">
        <f t="shared" si="46"/>
        <v>#REF!</v>
      </c>
      <c r="U99" s="26" t="e">
        <f>#REF!</f>
        <v>#REF!</v>
      </c>
      <c r="V99" s="2" t="e">
        <f t="shared" si="47"/>
        <v>#REF!</v>
      </c>
      <c r="W99" s="2" t="e">
        <f t="shared" si="48"/>
        <v>#REF!</v>
      </c>
      <c r="X99" s="2" t="e">
        <f t="shared" si="49"/>
        <v>#REF!</v>
      </c>
      <c r="Y99" s="2" t="e">
        <f t="shared" si="50"/>
        <v>#REF!</v>
      </c>
      <c r="Z99" s="2" t="e">
        <f t="shared" si="51"/>
        <v>#REF!</v>
      </c>
      <c r="AA99" s="2" t="e">
        <f t="shared" si="52"/>
        <v>#REF!</v>
      </c>
      <c r="AB99" s="2" t="e">
        <f t="shared" si="53"/>
        <v>#REF!</v>
      </c>
      <c r="AC99" s="54" t="e">
        <f t="shared" si="60"/>
        <v>#REF!</v>
      </c>
      <c r="AD99" s="57" t="e">
        <f t="shared" si="60"/>
        <v>#REF!</v>
      </c>
      <c r="AE99" s="14" t="e">
        <f t="shared" si="61"/>
        <v>#REF!</v>
      </c>
      <c r="AF99" s="14" t="e">
        <f t="shared" si="62"/>
        <v>#REF!</v>
      </c>
      <c r="AG99" s="14" t="e">
        <f t="shared" si="63"/>
        <v>#REF!</v>
      </c>
      <c r="AH99" s="14" t="e">
        <f t="shared" si="64"/>
        <v>#REF!</v>
      </c>
      <c r="AI99" s="14" t="e">
        <f t="shared" si="65"/>
        <v>#REF!</v>
      </c>
      <c r="AJ99" s="2" t="e">
        <f>'Returns by year'!$V99-'Returns by year'!$X99</f>
        <v>#REF!</v>
      </c>
      <c r="AK99" s="2" t="e">
        <f>'Returns by year'!$V99-'Returns by year'!$Y99</f>
        <v>#REF!</v>
      </c>
    </row>
    <row r="100" spans="1:37">
      <c r="A100" s="15">
        <v>2007</v>
      </c>
      <c r="B100" s="56" t="e">
        <f>(#REF!-#REF!+#REF!)/#REF!</f>
        <v>#REF!</v>
      </c>
      <c r="C100" s="56" t="e">
        <f>#REF!</f>
        <v>#REF!</v>
      </c>
      <c r="D100" s="56" t="e">
        <f>#REF!</f>
        <v>#REF!</v>
      </c>
      <c r="E100" s="56" t="e">
        <f>#REF!</f>
        <v>#REF!</v>
      </c>
      <c r="F100" s="56" t="e">
        <f>#REF!</f>
        <v>#REF!</v>
      </c>
      <c r="G100" s="56" t="e">
        <f>#REF!/#REF!-1</f>
        <v>#REF!</v>
      </c>
      <c r="H100" s="56" t="e">
        <f>#REF!/#REF!-1</f>
        <v>#REF!</v>
      </c>
      <c r="I100" s="54" t="e">
        <f t="shared" si="54"/>
        <v>#REF!</v>
      </c>
      <c r="J100" s="14" t="e">
        <f t="shared" si="42"/>
        <v>#REF!</v>
      </c>
      <c r="K100" s="14" t="e">
        <f t="shared" si="55"/>
        <v>#REF!</v>
      </c>
      <c r="L100" s="14" t="e">
        <f t="shared" si="56"/>
        <v>#REF!</v>
      </c>
      <c r="M100" s="14" t="e">
        <f t="shared" si="57"/>
        <v>#REF!</v>
      </c>
      <c r="N100" s="14" t="e">
        <f t="shared" si="58"/>
        <v>#REF!</v>
      </c>
      <c r="O100" s="14" t="e">
        <f t="shared" si="59"/>
        <v>#REF!</v>
      </c>
      <c r="P100" s="12" t="e">
        <f t="shared" si="43"/>
        <v>#REF!</v>
      </c>
      <c r="Q100" s="12" t="e">
        <f t="shared" si="44"/>
        <v>#REF!</v>
      </c>
      <c r="R100" s="16" t="e">
        <f>'Returns by year'!$C100-'Returns by year'!$B100</f>
        <v>#REF!</v>
      </c>
      <c r="S100" s="16" t="e">
        <f t="shared" si="45"/>
        <v>#REF!</v>
      </c>
      <c r="T100" s="16" t="e">
        <f t="shared" si="46"/>
        <v>#REF!</v>
      </c>
      <c r="U100" s="26" t="e">
        <f>#REF!</f>
        <v>#REF!</v>
      </c>
      <c r="V100" s="2" t="e">
        <f t="shared" si="47"/>
        <v>#REF!</v>
      </c>
      <c r="W100" s="2" t="e">
        <f t="shared" si="48"/>
        <v>#REF!</v>
      </c>
      <c r="X100" s="2" t="e">
        <f t="shared" si="49"/>
        <v>#REF!</v>
      </c>
      <c r="Y100" s="2" t="e">
        <f t="shared" si="50"/>
        <v>#REF!</v>
      </c>
      <c r="Z100" s="2" t="e">
        <f t="shared" si="51"/>
        <v>#REF!</v>
      </c>
      <c r="AA100" s="2" t="e">
        <f t="shared" si="52"/>
        <v>#REF!</v>
      </c>
      <c r="AB100" s="2" t="e">
        <f t="shared" si="53"/>
        <v>#REF!</v>
      </c>
      <c r="AC100" s="54" t="e">
        <f t="shared" si="60"/>
        <v>#REF!</v>
      </c>
      <c r="AD100" s="57" t="e">
        <f t="shared" si="60"/>
        <v>#REF!</v>
      </c>
      <c r="AE100" s="14" t="e">
        <f t="shared" si="61"/>
        <v>#REF!</v>
      </c>
      <c r="AF100" s="14" t="e">
        <f t="shared" si="62"/>
        <v>#REF!</v>
      </c>
      <c r="AG100" s="14" t="e">
        <f t="shared" si="63"/>
        <v>#REF!</v>
      </c>
      <c r="AH100" s="14" t="e">
        <f t="shared" si="64"/>
        <v>#REF!</v>
      </c>
      <c r="AI100" s="14" t="e">
        <f t="shared" si="65"/>
        <v>#REF!</v>
      </c>
      <c r="AJ100" s="2" t="e">
        <f>'Returns by year'!$V100-'Returns by year'!$X100</f>
        <v>#REF!</v>
      </c>
      <c r="AK100" s="2" t="e">
        <f>'Returns by year'!$V100-'Returns by year'!$Y100</f>
        <v>#REF!</v>
      </c>
    </row>
    <row r="101" spans="1:37">
      <c r="A101" s="15">
        <v>2008</v>
      </c>
      <c r="B101" s="56" t="e">
        <f>(#REF!-#REF!+#REF!)/#REF!</f>
        <v>#REF!</v>
      </c>
      <c r="C101" s="56" t="e">
        <f>#REF!</f>
        <v>#REF!</v>
      </c>
      <c r="D101" s="56" t="e">
        <f>#REF!</f>
        <v>#REF!</v>
      </c>
      <c r="E101" s="56" t="e">
        <f>#REF!</f>
        <v>#REF!</v>
      </c>
      <c r="F101" s="56" t="e">
        <f>#REF!</f>
        <v>#REF!</v>
      </c>
      <c r="G101" s="56" t="e">
        <f>#REF!/#REF!-1</f>
        <v>#REF!</v>
      </c>
      <c r="H101" s="56" t="e">
        <f>#REF!/#REF!-1</f>
        <v>#REF!</v>
      </c>
      <c r="I101" s="54" t="e">
        <f t="shared" si="54"/>
        <v>#REF!</v>
      </c>
      <c r="J101" s="14" t="e">
        <f t="shared" si="42"/>
        <v>#REF!</v>
      </c>
      <c r="K101" s="14" t="e">
        <f t="shared" si="55"/>
        <v>#REF!</v>
      </c>
      <c r="L101" s="14" t="e">
        <f t="shared" si="56"/>
        <v>#REF!</v>
      </c>
      <c r="M101" s="14" t="e">
        <f t="shared" si="57"/>
        <v>#REF!</v>
      </c>
      <c r="N101" s="14" t="e">
        <f t="shared" si="58"/>
        <v>#REF!</v>
      </c>
      <c r="O101" s="14" t="e">
        <f t="shared" si="59"/>
        <v>#REF!</v>
      </c>
      <c r="P101" s="12" t="e">
        <f t="shared" si="43"/>
        <v>#REF!</v>
      </c>
      <c r="Q101" s="12" t="e">
        <f t="shared" si="44"/>
        <v>#REF!</v>
      </c>
      <c r="R101" s="16" t="e">
        <f>'Returns by year'!$C101-'Returns by year'!$B101</f>
        <v>#REF!</v>
      </c>
      <c r="S101" s="16" t="e">
        <f t="shared" si="45"/>
        <v>#REF!</v>
      </c>
      <c r="T101" s="16" t="e">
        <f t="shared" si="46"/>
        <v>#REF!</v>
      </c>
      <c r="U101" s="26" t="e">
        <f>#REF!</f>
        <v>#REF!</v>
      </c>
      <c r="V101" s="2" t="e">
        <f t="shared" si="47"/>
        <v>#REF!</v>
      </c>
      <c r="W101" s="2" t="e">
        <f t="shared" si="48"/>
        <v>#REF!</v>
      </c>
      <c r="X101" s="2" t="e">
        <f t="shared" si="49"/>
        <v>#REF!</v>
      </c>
      <c r="Y101" s="2" t="e">
        <f t="shared" si="50"/>
        <v>#REF!</v>
      </c>
      <c r="Z101" s="2" t="e">
        <f t="shared" si="51"/>
        <v>#REF!</v>
      </c>
      <c r="AA101" s="2" t="e">
        <f t="shared" si="52"/>
        <v>#REF!</v>
      </c>
      <c r="AB101" s="2" t="e">
        <f t="shared" si="53"/>
        <v>#REF!</v>
      </c>
      <c r="AC101" s="54" t="e">
        <f t="shared" si="60"/>
        <v>#REF!</v>
      </c>
      <c r="AD101" s="57" t="e">
        <f t="shared" si="60"/>
        <v>#REF!</v>
      </c>
      <c r="AE101" s="14" t="e">
        <f t="shared" si="61"/>
        <v>#REF!</v>
      </c>
      <c r="AF101" s="14" t="e">
        <f t="shared" si="62"/>
        <v>#REF!</v>
      </c>
      <c r="AG101" s="14" t="e">
        <f t="shared" si="63"/>
        <v>#REF!</v>
      </c>
      <c r="AH101" s="14" t="e">
        <f t="shared" si="64"/>
        <v>#REF!</v>
      </c>
      <c r="AI101" s="14" t="e">
        <f t="shared" si="65"/>
        <v>#REF!</v>
      </c>
      <c r="AJ101" s="2" t="e">
        <f>'Returns by year'!$V101-'Returns by year'!$X101</f>
        <v>#REF!</v>
      </c>
      <c r="AK101" s="2" t="e">
        <f>'Returns by year'!$V101-'Returns by year'!$Y101</f>
        <v>#REF!</v>
      </c>
    </row>
    <row r="102" spans="1:37">
      <c r="A102" s="15">
        <v>2009</v>
      </c>
      <c r="B102" s="56" t="e">
        <f>(#REF!-#REF!+#REF!)/#REF!</f>
        <v>#REF!</v>
      </c>
      <c r="C102" s="56" t="e">
        <f>#REF!</f>
        <v>#REF!</v>
      </c>
      <c r="D102" s="56" t="e">
        <f>#REF!</f>
        <v>#REF!</v>
      </c>
      <c r="E102" s="56" t="e">
        <f>#REF!</f>
        <v>#REF!</v>
      </c>
      <c r="F102" s="56" t="e">
        <f>#REF!</f>
        <v>#REF!</v>
      </c>
      <c r="G102" s="56" t="e">
        <f>#REF!/#REF!-1</f>
        <v>#REF!</v>
      </c>
      <c r="H102" s="56" t="e">
        <f>#REF!/#REF!-1</f>
        <v>#REF!</v>
      </c>
      <c r="I102" s="54" t="e">
        <f t="shared" si="54"/>
        <v>#REF!</v>
      </c>
      <c r="J102" s="14" t="e">
        <f t="shared" si="42"/>
        <v>#REF!</v>
      </c>
      <c r="K102" s="14" t="e">
        <f t="shared" si="55"/>
        <v>#REF!</v>
      </c>
      <c r="L102" s="14" t="e">
        <f t="shared" si="56"/>
        <v>#REF!</v>
      </c>
      <c r="M102" s="14" t="e">
        <f t="shared" si="57"/>
        <v>#REF!</v>
      </c>
      <c r="N102" s="14" t="e">
        <f t="shared" si="58"/>
        <v>#REF!</v>
      </c>
      <c r="O102" s="14" t="e">
        <f t="shared" si="59"/>
        <v>#REF!</v>
      </c>
      <c r="P102" s="12" t="e">
        <f t="shared" si="43"/>
        <v>#REF!</v>
      </c>
      <c r="Q102" s="12" t="e">
        <f t="shared" si="44"/>
        <v>#REF!</v>
      </c>
      <c r="R102" s="16" t="e">
        <f>'Returns by year'!$C102-'Returns by year'!$B102</f>
        <v>#REF!</v>
      </c>
      <c r="S102" s="16" t="e">
        <f t="shared" si="45"/>
        <v>#REF!</v>
      </c>
      <c r="T102" s="16" t="e">
        <f t="shared" si="46"/>
        <v>#REF!</v>
      </c>
      <c r="U102" s="26" t="e">
        <f>#REF!</f>
        <v>#REF!</v>
      </c>
      <c r="V102" s="2" t="e">
        <f t="shared" si="47"/>
        <v>#REF!</v>
      </c>
      <c r="W102" s="2" t="e">
        <f t="shared" si="48"/>
        <v>#REF!</v>
      </c>
      <c r="X102" s="2" t="e">
        <f t="shared" si="49"/>
        <v>#REF!</v>
      </c>
      <c r="Y102" s="2" t="e">
        <f t="shared" si="50"/>
        <v>#REF!</v>
      </c>
      <c r="Z102" s="2" t="e">
        <f t="shared" si="51"/>
        <v>#REF!</v>
      </c>
      <c r="AA102" s="2" t="e">
        <f t="shared" si="52"/>
        <v>#REF!</v>
      </c>
      <c r="AB102" s="2" t="e">
        <f t="shared" si="53"/>
        <v>#REF!</v>
      </c>
      <c r="AC102" s="54" t="e">
        <f t="shared" si="60"/>
        <v>#REF!</v>
      </c>
      <c r="AD102" s="57" t="e">
        <f t="shared" si="60"/>
        <v>#REF!</v>
      </c>
      <c r="AE102" s="14" t="e">
        <f t="shared" si="61"/>
        <v>#REF!</v>
      </c>
      <c r="AF102" s="14" t="e">
        <f t="shared" si="62"/>
        <v>#REF!</v>
      </c>
      <c r="AG102" s="14" t="e">
        <f t="shared" si="63"/>
        <v>#REF!</v>
      </c>
      <c r="AH102" s="14" t="e">
        <f t="shared" si="64"/>
        <v>#REF!</v>
      </c>
      <c r="AI102" s="14" t="e">
        <f t="shared" si="65"/>
        <v>#REF!</v>
      </c>
      <c r="AJ102" s="2" t="e">
        <f>'Returns by year'!$V102-'Returns by year'!$X102</f>
        <v>#REF!</v>
      </c>
      <c r="AK102" s="2" t="e">
        <f>'Returns by year'!$V102-'Returns by year'!$Y102</f>
        <v>#REF!</v>
      </c>
    </row>
    <row r="103" spans="1:37">
      <c r="A103" s="15">
        <v>2010</v>
      </c>
      <c r="B103" s="56" t="e">
        <f>(#REF!-#REF!+#REF!)/#REF!</f>
        <v>#REF!</v>
      </c>
      <c r="C103" s="56" t="e">
        <f>#REF!</f>
        <v>#REF!</v>
      </c>
      <c r="D103" s="56" t="e">
        <f>#REF!</f>
        <v>#REF!</v>
      </c>
      <c r="E103" s="56" t="e">
        <f>#REF!</f>
        <v>#REF!</v>
      </c>
      <c r="F103" s="56" t="e">
        <f>#REF!</f>
        <v>#REF!</v>
      </c>
      <c r="G103" s="56" t="e">
        <f>#REF!/#REF!-1</f>
        <v>#REF!</v>
      </c>
      <c r="H103" s="56" t="e">
        <f>#REF!/#REF!-1</f>
        <v>#REF!</v>
      </c>
      <c r="I103" s="54" t="e">
        <f t="shared" si="54"/>
        <v>#REF!</v>
      </c>
      <c r="J103" s="14" t="e">
        <f t="shared" si="42"/>
        <v>#REF!</v>
      </c>
      <c r="K103" s="14" t="e">
        <f t="shared" si="55"/>
        <v>#REF!</v>
      </c>
      <c r="L103" s="14" t="e">
        <f t="shared" si="56"/>
        <v>#REF!</v>
      </c>
      <c r="M103" s="14" t="e">
        <f t="shared" si="57"/>
        <v>#REF!</v>
      </c>
      <c r="N103" s="14" t="e">
        <f t="shared" si="58"/>
        <v>#REF!</v>
      </c>
      <c r="O103" s="14" t="e">
        <f t="shared" si="59"/>
        <v>#REF!</v>
      </c>
      <c r="P103" s="12" t="e">
        <f t="shared" si="43"/>
        <v>#REF!</v>
      </c>
      <c r="Q103" s="12" t="e">
        <f t="shared" si="44"/>
        <v>#REF!</v>
      </c>
      <c r="R103" s="16" t="e">
        <f>'Returns by year'!$C103-'Returns by year'!$B103</f>
        <v>#REF!</v>
      </c>
      <c r="S103" s="16" t="e">
        <f t="shared" si="45"/>
        <v>#REF!</v>
      </c>
      <c r="T103" s="16" t="e">
        <f t="shared" si="46"/>
        <v>#REF!</v>
      </c>
      <c r="U103" s="26" t="e">
        <f>#REF!</f>
        <v>#REF!</v>
      </c>
      <c r="V103" s="2" t="e">
        <f t="shared" si="47"/>
        <v>#REF!</v>
      </c>
      <c r="W103" s="2" t="e">
        <f t="shared" si="48"/>
        <v>#REF!</v>
      </c>
      <c r="X103" s="2" t="e">
        <f t="shared" si="49"/>
        <v>#REF!</v>
      </c>
      <c r="Y103" s="2" t="e">
        <f t="shared" si="50"/>
        <v>#REF!</v>
      </c>
      <c r="Z103" s="2" t="e">
        <f t="shared" si="51"/>
        <v>#REF!</v>
      </c>
      <c r="AA103" s="2" t="e">
        <f t="shared" si="52"/>
        <v>#REF!</v>
      </c>
      <c r="AB103" s="2" t="e">
        <f t="shared" si="53"/>
        <v>#REF!</v>
      </c>
      <c r="AC103" s="54" t="e">
        <f t="shared" si="60"/>
        <v>#REF!</v>
      </c>
      <c r="AD103" s="57" t="e">
        <f t="shared" si="60"/>
        <v>#REF!</v>
      </c>
      <c r="AE103" s="14" t="e">
        <f t="shared" si="61"/>
        <v>#REF!</v>
      </c>
      <c r="AF103" s="14" t="e">
        <f t="shared" si="62"/>
        <v>#REF!</v>
      </c>
      <c r="AG103" s="14" t="e">
        <f t="shared" si="63"/>
        <v>#REF!</v>
      </c>
      <c r="AH103" s="14" t="e">
        <f t="shared" si="64"/>
        <v>#REF!</v>
      </c>
      <c r="AI103" s="14" t="e">
        <f t="shared" si="65"/>
        <v>#REF!</v>
      </c>
      <c r="AJ103" s="2" t="e">
        <f>'Returns by year'!$V103-'Returns by year'!$X103</f>
        <v>#REF!</v>
      </c>
      <c r="AK103" s="2" t="e">
        <f>'Returns by year'!$V103-'Returns by year'!$Y103</f>
        <v>#REF!</v>
      </c>
    </row>
    <row r="104" spans="1:37">
      <c r="A104" s="15">
        <v>2011</v>
      </c>
      <c r="B104" s="56" t="e">
        <f>(#REF!-#REF!+#REF!)/#REF!</f>
        <v>#REF!</v>
      </c>
      <c r="C104" s="56" t="e">
        <f>#REF!</f>
        <v>#REF!</v>
      </c>
      <c r="D104" s="56" t="e">
        <f>#REF!</f>
        <v>#REF!</v>
      </c>
      <c r="E104" s="56" t="e">
        <f>#REF!</f>
        <v>#REF!</v>
      </c>
      <c r="F104" s="56" t="e">
        <f>#REF!</f>
        <v>#REF!</v>
      </c>
      <c r="G104" s="56" t="e">
        <f>#REF!/#REF!-1</f>
        <v>#REF!</v>
      </c>
      <c r="H104" s="56" t="e">
        <f>#REF!/#REF!-1</f>
        <v>#REF!</v>
      </c>
      <c r="I104" s="54" t="e">
        <f t="shared" si="54"/>
        <v>#REF!</v>
      </c>
      <c r="J104" s="14" t="e">
        <f t="shared" si="42"/>
        <v>#REF!</v>
      </c>
      <c r="K104" s="14" t="e">
        <f t="shared" si="55"/>
        <v>#REF!</v>
      </c>
      <c r="L104" s="14" t="e">
        <f t="shared" si="56"/>
        <v>#REF!</v>
      </c>
      <c r="M104" s="14" t="e">
        <f t="shared" si="57"/>
        <v>#REF!</v>
      </c>
      <c r="N104" s="14" t="e">
        <f t="shared" si="58"/>
        <v>#REF!</v>
      </c>
      <c r="O104" s="14" t="e">
        <f t="shared" si="59"/>
        <v>#REF!</v>
      </c>
      <c r="P104" s="12" t="e">
        <f t="shared" si="43"/>
        <v>#REF!</v>
      </c>
      <c r="Q104" s="12" t="e">
        <f t="shared" si="44"/>
        <v>#REF!</v>
      </c>
      <c r="R104" s="16" t="e">
        <f>'Returns by year'!$C104-'Returns by year'!$B104</f>
        <v>#REF!</v>
      </c>
      <c r="S104" s="16" t="e">
        <f t="shared" si="45"/>
        <v>#REF!</v>
      </c>
      <c r="T104" s="16" t="e">
        <f t="shared" si="46"/>
        <v>#REF!</v>
      </c>
      <c r="U104" s="26" t="e">
        <f>#REF!</f>
        <v>#REF!</v>
      </c>
      <c r="V104" s="2" t="e">
        <f t="shared" si="47"/>
        <v>#REF!</v>
      </c>
      <c r="W104" s="2" t="e">
        <f t="shared" si="48"/>
        <v>#REF!</v>
      </c>
      <c r="X104" s="2" t="e">
        <f t="shared" si="49"/>
        <v>#REF!</v>
      </c>
      <c r="Y104" s="2" t="e">
        <f t="shared" si="50"/>
        <v>#REF!</v>
      </c>
      <c r="Z104" s="2" t="e">
        <f t="shared" si="51"/>
        <v>#REF!</v>
      </c>
      <c r="AA104" s="2" t="e">
        <f t="shared" si="52"/>
        <v>#REF!</v>
      </c>
      <c r="AB104" s="2" t="e">
        <f t="shared" si="53"/>
        <v>#REF!</v>
      </c>
      <c r="AC104" s="54" t="e">
        <f t="shared" si="60"/>
        <v>#REF!</v>
      </c>
      <c r="AD104" s="57" t="e">
        <f t="shared" si="60"/>
        <v>#REF!</v>
      </c>
      <c r="AE104" s="14" t="e">
        <f t="shared" si="61"/>
        <v>#REF!</v>
      </c>
      <c r="AF104" s="14" t="e">
        <f t="shared" si="62"/>
        <v>#REF!</v>
      </c>
      <c r="AG104" s="14" t="e">
        <f t="shared" si="63"/>
        <v>#REF!</v>
      </c>
      <c r="AH104" s="14" t="e">
        <f t="shared" si="64"/>
        <v>#REF!</v>
      </c>
      <c r="AI104" s="14" t="e">
        <f t="shared" si="65"/>
        <v>#REF!</v>
      </c>
      <c r="AJ104" s="2" t="e">
        <f>'Returns by year'!$V104-'Returns by year'!$X104</f>
        <v>#REF!</v>
      </c>
      <c r="AK104" s="2" t="e">
        <f>'Returns by year'!$V104-'Returns by year'!$Y104</f>
        <v>#REF!</v>
      </c>
    </row>
    <row r="105" spans="1:37">
      <c r="A105" s="15">
        <v>2012</v>
      </c>
      <c r="B105" s="56" t="e">
        <f>(#REF!-#REF!+#REF!)/#REF!</f>
        <v>#REF!</v>
      </c>
      <c r="C105" s="56" t="e">
        <f>#REF!</f>
        <v>#REF!</v>
      </c>
      <c r="D105" s="56" t="e">
        <f>#REF!</f>
        <v>#REF!</v>
      </c>
      <c r="E105" s="56" t="e">
        <f>#REF!</f>
        <v>#REF!</v>
      </c>
      <c r="F105" s="56" t="e">
        <f>#REF!</f>
        <v>#REF!</v>
      </c>
      <c r="G105" s="56" t="e">
        <f>#REF!/#REF!-1</f>
        <v>#REF!</v>
      </c>
      <c r="H105" s="56" t="e">
        <f>#REF!/#REF!-1</f>
        <v>#REF!</v>
      </c>
      <c r="I105" s="54" t="e">
        <f t="shared" si="54"/>
        <v>#REF!</v>
      </c>
      <c r="J105" s="14" t="e">
        <f t="shared" si="42"/>
        <v>#REF!</v>
      </c>
      <c r="K105" s="14" t="e">
        <f t="shared" si="55"/>
        <v>#REF!</v>
      </c>
      <c r="L105" s="14" t="e">
        <f t="shared" si="56"/>
        <v>#REF!</v>
      </c>
      <c r="M105" s="14" t="e">
        <f t="shared" si="57"/>
        <v>#REF!</v>
      </c>
      <c r="N105" s="14" t="e">
        <f t="shared" si="58"/>
        <v>#REF!</v>
      </c>
      <c r="O105" s="14" t="e">
        <f t="shared" si="59"/>
        <v>#REF!</v>
      </c>
      <c r="P105" s="12" t="e">
        <f t="shared" si="43"/>
        <v>#REF!</v>
      </c>
      <c r="Q105" s="12" t="e">
        <f t="shared" si="44"/>
        <v>#REF!</v>
      </c>
      <c r="R105" s="16" t="e">
        <f>'Returns by year'!$C105-'Returns by year'!$B105</f>
        <v>#REF!</v>
      </c>
      <c r="S105" s="16" t="e">
        <f t="shared" si="45"/>
        <v>#REF!</v>
      </c>
      <c r="T105" s="16" t="e">
        <f t="shared" si="46"/>
        <v>#REF!</v>
      </c>
      <c r="U105" s="26" t="e">
        <f>#REF!</f>
        <v>#REF!</v>
      </c>
      <c r="V105" s="2" t="e">
        <f t="shared" si="47"/>
        <v>#REF!</v>
      </c>
      <c r="W105" s="2" t="e">
        <f t="shared" si="48"/>
        <v>#REF!</v>
      </c>
      <c r="X105" s="2" t="e">
        <f t="shared" si="49"/>
        <v>#REF!</v>
      </c>
      <c r="Y105" s="2" t="e">
        <f t="shared" si="50"/>
        <v>#REF!</v>
      </c>
      <c r="Z105" s="2" t="e">
        <f t="shared" si="51"/>
        <v>#REF!</v>
      </c>
      <c r="AA105" s="2" t="e">
        <f t="shared" si="52"/>
        <v>#REF!</v>
      </c>
      <c r="AB105" s="2" t="e">
        <f t="shared" si="53"/>
        <v>#REF!</v>
      </c>
      <c r="AC105" s="54" t="e">
        <f t="shared" si="60"/>
        <v>#REF!</v>
      </c>
      <c r="AD105" s="57" t="e">
        <f t="shared" si="60"/>
        <v>#REF!</v>
      </c>
      <c r="AE105" s="14" t="e">
        <f t="shared" si="61"/>
        <v>#REF!</v>
      </c>
      <c r="AF105" s="14" t="e">
        <f t="shared" si="62"/>
        <v>#REF!</v>
      </c>
      <c r="AG105" s="14" t="e">
        <f t="shared" si="63"/>
        <v>#REF!</v>
      </c>
      <c r="AH105" s="14" t="e">
        <f t="shared" si="64"/>
        <v>#REF!</v>
      </c>
      <c r="AI105" s="14" t="e">
        <f t="shared" si="65"/>
        <v>#REF!</v>
      </c>
      <c r="AJ105" s="2" t="e">
        <f>'Returns by year'!$V105-'Returns by year'!$X105</f>
        <v>#REF!</v>
      </c>
      <c r="AK105" s="2" t="e">
        <f>'Returns by year'!$V105-'Returns by year'!$Y105</f>
        <v>#REF!</v>
      </c>
    </row>
    <row r="106" spans="1:37">
      <c r="A106" s="15">
        <v>2013</v>
      </c>
      <c r="B106" s="56" t="e">
        <f>(#REF!-#REF!+#REF!)/#REF!</f>
        <v>#REF!</v>
      </c>
      <c r="C106" s="56" t="e">
        <f>#REF!</f>
        <v>#REF!</v>
      </c>
      <c r="D106" s="56" t="e">
        <f>#REF!</f>
        <v>#REF!</v>
      </c>
      <c r="E106" s="56" t="e">
        <f>#REF!</f>
        <v>#REF!</v>
      </c>
      <c r="F106" s="56" t="e">
        <f>#REF!</f>
        <v>#REF!</v>
      </c>
      <c r="G106" s="56" t="e">
        <f>#REF!/#REF!-1</f>
        <v>#REF!</v>
      </c>
      <c r="H106" s="56" t="e">
        <f>#REF!/#REF!-1</f>
        <v>#REF!</v>
      </c>
      <c r="I106" s="54" t="e">
        <f t="shared" si="54"/>
        <v>#REF!</v>
      </c>
      <c r="J106" s="14" t="e">
        <f t="shared" si="42"/>
        <v>#REF!</v>
      </c>
      <c r="K106" s="14" t="e">
        <f t="shared" si="55"/>
        <v>#REF!</v>
      </c>
      <c r="L106" s="14" t="e">
        <f t="shared" si="56"/>
        <v>#REF!</v>
      </c>
      <c r="M106" s="14" t="e">
        <f t="shared" si="57"/>
        <v>#REF!</v>
      </c>
      <c r="N106" s="14" t="e">
        <f t="shared" si="58"/>
        <v>#REF!</v>
      </c>
      <c r="O106" s="14" t="e">
        <f t="shared" si="59"/>
        <v>#REF!</v>
      </c>
      <c r="P106" s="12" t="e">
        <f t="shared" si="43"/>
        <v>#REF!</v>
      </c>
      <c r="Q106" s="12" t="e">
        <f t="shared" si="44"/>
        <v>#REF!</v>
      </c>
      <c r="R106" s="16" t="e">
        <f>'Returns by year'!$C106-'Returns by year'!$B106</f>
        <v>#REF!</v>
      </c>
      <c r="S106" s="16" t="e">
        <f t="shared" si="45"/>
        <v>#REF!</v>
      </c>
      <c r="T106" s="16" t="e">
        <f t="shared" si="46"/>
        <v>#REF!</v>
      </c>
      <c r="U106" s="26" t="e">
        <f>#REF!</f>
        <v>#REF!</v>
      </c>
      <c r="V106" s="2" t="e">
        <f t="shared" si="47"/>
        <v>#REF!</v>
      </c>
      <c r="W106" s="2" t="e">
        <f t="shared" si="48"/>
        <v>#REF!</v>
      </c>
      <c r="X106" s="2" t="e">
        <f t="shared" si="49"/>
        <v>#REF!</v>
      </c>
      <c r="Y106" s="2" t="e">
        <f t="shared" si="50"/>
        <v>#REF!</v>
      </c>
      <c r="Z106" s="2" t="e">
        <f t="shared" si="51"/>
        <v>#REF!</v>
      </c>
      <c r="AA106" s="2" t="e">
        <f t="shared" si="52"/>
        <v>#REF!</v>
      </c>
      <c r="AB106" s="2" t="e">
        <f t="shared" si="53"/>
        <v>#REF!</v>
      </c>
      <c r="AC106" s="54" t="e">
        <f t="shared" si="60"/>
        <v>#REF!</v>
      </c>
      <c r="AD106" s="57" t="e">
        <f t="shared" si="60"/>
        <v>#REF!</v>
      </c>
      <c r="AE106" s="14" t="e">
        <f t="shared" si="61"/>
        <v>#REF!</v>
      </c>
      <c r="AF106" s="14" t="e">
        <f t="shared" si="62"/>
        <v>#REF!</v>
      </c>
      <c r="AG106" s="14" t="e">
        <f t="shared" si="63"/>
        <v>#REF!</v>
      </c>
      <c r="AH106" s="14" t="e">
        <f t="shared" si="64"/>
        <v>#REF!</v>
      </c>
      <c r="AI106" s="14" t="e">
        <f t="shared" si="65"/>
        <v>#REF!</v>
      </c>
      <c r="AJ106" s="2" t="e">
        <f>'Returns by year'!$V106-'Returns by year'!$X106</f>
        <v>#REF!</v>
      </c>
      <c r="AK106" s="2" t="e">
        <f>'Returns by year'!$V106-'Returns by year'!$Y106</f>
        <v>#REF!</v>
      </c>
    </row>
    <row r="107" spans="1:37">
      <c r="A107" s="15">
        <v>2014</v>
      </c>
      <c r="B107" s="56" t="e">
        <f>(#REF!-#REF!+#REF!)/#REF!</f>
        <v>#REF!</v>
      </c>
      <c r="C107" s="56" t="e">
        <f>#REF!</f>
        <v>#REF!</v>
      </c>
      <c r="D107" s="56" t="e">
        <f>#REF!</f>
        <v>#REF!</v>
      </c>
      <c r="E107" s="56" t="e">
        <f>#REF!</f>
        <v>#REF!</v>
      </c>
      <c r="F107" s="56" t="e">
        <f>#REF!</f>
        <v>#REF!</v>
      </c>
      <c r="G107" s="56" t="e">
        <f>#REF!/#REF!-1</f>
        <v>#REF!</v>
      </c>
      <c r="H107" s="56" t="e">
        <f>#REF!/#REF!-1</f>
        <v>#REF!</v>
      </c>
      <c r="I107" s="54" t="e">
        <f t="shared" si="54"/>
        <v>#REF!</v>
      </c>
      <c r="J107" s="14" t="e">
        <f t="shared" si="42"/>
        <v>#REF!</v>
      </c>
      <c r="K107" s="14" t="e">
        <f t="shared" si="55"/>
        <v>#REF!</v>
      </c>
      <c r="L107" s="14" t="e">
        <f t="shared" si="56"/>
        <v>#REF!</v>
      </c>
      <c r="M107" s="14" t="e">
        <f t="shared" si="57"/>
        <v>#REF!</v>
      </c>
      <c r="N107" s="14" t="e">
        <f t="shared" si="58"/>
        <v>#REF!</v>
      </c>
      <c r="O107" s="14" t="e">
        <f t="shared" si="59"/>
        <v>#REF!</v>
      </c>
      <c r="P107" s="12" t="e">
        <f t="shared" si="43"/>
        <v>#REF!</v>
      </c>
      <c r="Q107" s="12" t="e">
        <f t="shared" si="44"/>
        <v>#REF!</v>
      </c>
      <c r="R107" s="16" t="e">
        <f>'Returns by year'!$C107-'Returns by year'!$B107</f>
        <v>#REF!</v>
      </c>
      <c r="S107" s="16" t="e">
        <f t="shared" si="45"/>
        <v>#REF!</v>
      </c>
      <c r="T107" s="16" t="e">
        <f t="shared" si="46"/>
        <v>#REF!</v>
      </c>
      <c r="U107" s="26" t="e">
        <f>#REF!</f>
        <v>#REF!</v>
      </c>
      <c r="V107" s="2" t="e">
        <f t="shared" si="47"/>
        <v>#REF!</v>
      </c>
      <c r="W107" s="2" t="e">
        <f t="shared" si="48"/>
        <v>#REF!</v>
      </c>
      <c r="X107" s="2" t="e">
        <f t="shared" si="49"/>
        <v>#REF!</v>
      </c>
      <c r="Y107" s="2" t="e">
        <f t="shared" si="50"/>
        <v>#REF!</v>
      </c>
      <c r="Z107" s="2" t="e">
        <f t="shared" si="51"/>
        <v>#REF!</v>
      </c>
      <c r="AA107" s="2" t="e">
        <f t="shared" si="52"/>
        <v>#REF!</v>
      </c>
      <c r="AB107" s="2" t="e">
        <f t="shared" si="53"/>
        <v>#REF!</v>
      </c>
      <c r="AC107" s="54" t="e">
        <f t="shared" si="60"/>
        <v>#REF!</v>
      </c>
      <c r="AD107" s="57" t="e">
        <f t="shared" si="60"/>
        <v>#REF!</v>
      </c>
      <c r="AE107" s="14" t="e">
        <f t="shared" si="61"/>
        <v>#REF!</v>
      </c>
      <c r="AF107" s="14" t="e">
        <f t="shared" si="62"/>
        <v>#REF!</v>
      </c>
      <c r="AG107" s="14" t="e">
        <f t="shared" si="63"/>
        <v>#REF!</v>
      </c>
      <c r="AH107" s="14" t="e">
        <f t="shared" si="64"/>
        <v>#REF!</v>
      </c>
      <c r="AI107" s="14" t="e">
        <f t="shared" si="65"/>
        <v>#REF!</v>
      </c>
      <c r="AJ107" s="2" t="e">
        <f>'Returns by year'!$V107-'Returns by year'!$X107</f>
        <v>#REF!</v>
      </c>
      <c r="AK107" s="2" t="e">
        <f>'Returns by year'!$V107-'Returns by year'!$Y107</f>
        <v>#REF!</v>
      </c>
    </row>
    <row r="108" spans="1:37">
      <c r="A108" s="13">
        <v>2015</v>
      </c>
      <c r="B108" s="56" t="e">
        <f>(#REF!-#REF!+#REF!)/#REF!</f>
        <v>#REF!</v>
      </c>
      <c r="C108" s="56" t="e">
        <f>#REF!</f>
        <v>#REF!</v>
      </c>
      <c r="D108" s="56" t="e">
        <f>#REF!</f>
        <v>#REF!</v>
      </c>
      <c r="E108" s="56" t="e">
        <f>#REF!</f>
        <v>#REF!</v>
      </c>
      <c r="F108" s="56" t="e">
        <f>#REF!</f>
        <v>#REF!</v>
      </c>
      <c r="G108" s="56" t="e">
        <f>#REF!/#REF!-1</f>
        <v>#REF!</v>
      </c>
      <c r="H108" s="56" t="e">
        <f>#REF!/#REF!-1</f>
        <v>#REF!</v>
      </c>
      <c r="I108" s="54" t="e">
        <f t="shared" si="54"/>
        <v>#REF!</v>
      </c>
      <c r="J108" s="14" t="e">
        <f t="shared" si="42"/>
        <v>#REF!</v>
      </c>
      <c r="K108" s="14" t="e">
        <f t="shared" si="55"/>
        <v>#REF!</v>
      </c>
      <c r="L108" s="14" t="e">
        <f t="shared" si="56"/>
        <v>#REF!</v>
      </c>
      <c r="M108" s="14" t="e">
        <f t="shared" si="57"/>
        <v>#REF!</v>
      </c>
      <c r="N108" s="14" t="e">
        <f t="shared" si="58"/>
        <v>#REF!</v>
      </c>
      <c r="O108" s="14" t="e">
        <f t="shared" si="59"/>
        <v>#REF!</v>
      </c>
      <c r="P108" s="12" t="e">
        <f t="shared" si="43"/>
        <v>#REF!</v>
      </c>
      <c r="Q108" s="12" t="e">
        <f t="shared" si="44"/>
        <v>#REF!</v>
      </c>
      <c r="R108" s="16" t="e">
        <f>'Returns by year'!$C108-'Returns by year'!$B108</f>
        <v>#REF!</v>
      </c>
      <c r="S108" s="16" t="e">
        <f t="shared" si="45"/>
        <v>#REF!</v>
      </c>
      <c r="T108" s="16" t="e">
        <f t="shared" si="46"/>
        <v>#REF!</v>
      </c>
      <c r="U108" s="26" t="e">
        <f>#REF!</f>
        <v>#REF!</v>
      </c>
      <c r="V108" s="2" t="e">
        <f t="shared" si="47"/>
        <v>#REF!</v>
      </c>
      <c r="W108" s="2" t="e">
        <f t="shared" si="48"/>
        <v>#REF!</v>
      </c>
      <c r="X108" s="2" t="e">
        <f t="shared" si="49"/>
        <v>#REF!</v>
      </c>
      <c r="Y108" s="2" t="e">
        <f t="shared" si="50"/>
        <v>#REF!</v>
      </c>
      <c r="Z108" s="2" t="e">
        <f t="shared" si="51"/>
        <v>#REF!</v>
      </c>
      <c r="AA108" s="2" t="e">
        <f t="shared" si="52"/>
        <v>#REF!</v>
      </c>
      <c r="AB108" s="2" t="e">
        <f t="shared" si="53"/>
        <v>#REF!</v>
      </c>
      <c r="AC108" s="54" t="e">
        <f t="shared" si="60"/>
        <v>#REF!</v>
      </c>
      <c r="AD108" s="57" t="e">
        <f t="shared" si="60"/>
        <v>#REF!</v>
      </c>
      <c r="AE108" s="14" t="e">
        <f t="shared" si="61"/>
        <v>#REF!</v>
      </c>
      <c r="AF108" s="14" t="e">
        <f t="shared" si="62"/>
        <v>#REF!</v>
      </c>
      <c r="AG108" s="14" t="e">
        <f t="shared" si="63"/>
        <v>#REF!</v>
      </c>
      <c r="AH108" s="14" t="e">
        <f t="shared" si="64"/>
        <v>#REF!</v>
      </c>
      <c r="AI108" s="14" t="e">
        <f t="shared" si="65"/>
        <v>#REF!</v>
      </c>
      <c r="AJ108" s="2" t="e">
        <f>'Returns by year'!$V108-'Returns by year'!$X108</f>
        <v>#REF!</v>
      </c>
      <c r="AK108" s="2" t="e">
        <f>'Returns by year'!$V108-'Returns by year'!$Y108</f>
        <v>#REF!</v>
      </c>
    </row>
    <row r="109" spans="1:37">
      <c r="A109" s="53">
        <v>2016</v>
      </c>
      <c r="B109" s="56" t="e">
        <f>(#REF!-#REF!+#REF!)/#REF!</f>
        <v>#REF!</v>
      </c>
      <c r="C109" s="56" t="e">
        <f>#REF!</f>
        <v>#REF!</v>
      </c>
      <c r="D109" s="56" t="e">
        <f>#REF!</f>
        <v>#REF!</v>
      </c>
      <c r="E109" s="56" t="e">
        <f>#REF!</f>
        <v>#REF!</v>
      </c>
      <c r="F109" s="56" t="e">
        <f>#REF!</f>
        <v>#REF!</v>
      </c>
      <c r="G109" s="56" t="e">
        <f>#REF!/#REF!-1</f>
        <v>#REF!</v>
      </c>
      <c r="H109" s="56" t="e">
        <f>#REF!/#REF!-1</f>
        <v>#REF!</v>
      </c>
      <c r="I109" s="54" t="e">
        <f t="shared" si="54"/>
        <v>#REF!</v>
      </c>
      <c r="J109" s="14" t="e">
        <f t="shared" si="42"/>
        <v>#REF!</v>
      </c>
      <c r="K109" s="14" t="e">
        <f t="shared" si="55"/>
        <v>#REF!</v>
      </c>
      <c r="L109" s="14" t="e">
        <f t="shared" si="56"/>
        <v>#REF!</v>
      </c>
      <c r="M109" s="14" t="e">
        <f t="shared" si="57"/>
        <v>#REF!</v>
      </c>
      <c r="N109" s="14" t="e">
        <f t="shared" si="58"/>
        <v>#REF!</v>
      </c>
      <c r="O109" s="14" t="e">
        <f t="shared" si="59"/>
        <v>#REF!</v>
      </c>
      <c r="P109" s="12" t="e">
        <f t="shared" si="43"/>
        <v>#REF!</v>
      </c>
      <c r="Q109" s="12" t="e">
        <f t="shared" si="44"/>
        <v>#REF!</v>
      </c>
      <c r="R109" s="16" t="e">
        <f>'Returns by year'!$C109-'Returns by year'!$B109</f>
        <v>#REF!</v>
      </c>
      <c r="S109" s="16" t="e">
        <f t="shared" si="45"/>
        <v>#REF!</v>
      </c>
      <c r="T109" s="16" t="e">
        <f t="shared" si="46"/>
        <v>#REF!</v>
      </c>
      <c r="U109" s="26" t="e">
        <f>#REF!</f>
        <v>#REF!</v>
      </c>
      <c r="V109" s="2" t="e">
        <f t="shared" si="47"/>
        <v>#REF!</v>
      </c>
      <c r="W109" s="2" t="e">
        <f t="shared" si="48"/>
        <v>#REF!</v>
      </c>
      <c r="X109" s="2" t="e">
        <f t="shared" si="49"/>
        <v>#REF!</v>
      </c>
      <c r="Y109" s="2" t="e">
        <f t="shared" si="50"/>
        <v>#REF!</v>
      </c>
      <c r="Z109" s="2" t="e">
        <f t="shared" si="51"/>
        <v>#REF!</v>
      </c>
      <c r="AA109" s="2" t="e">
        <f t="shared" si="52"/>
        <v>#REF!</v>
      </c>
      <c r="AB109" s="2" t="e">
        <f t="shared" si="53"/>
        <v>#REF!</v>
      </c>
      <c r="AC109" s="54" t="e">
        <f t="shared" si="60"/>
        <v>#REF!</v>
      </c>
      <c r="AD109" s="57" t="e">
        <f t="shared" si="60"/>
        <v>#REF!</v>
      </c>
      <c r="AE109" s="14" t="e">
        <f t="shared" si="61"/>
        <v>#REF!</v>
      </c>
      <c r="AF109" s="14" t="e">
        <f t="shared" si="62"/>
        <v>#REF!</v>
      </c>
      <c r="AG109" s="14" t="e">
        <f t="shared" si="63"/>
        <v>#REF!</v>
      </c>
      <c r="AH109" s="14" t="e">
        <f t="shared" si="64"/>
        <v>#REF!</v>
      </c>
      <c r="AI109" s="14" t="e">
        <f t="shared" si="65"/>
        <v>#REF!</v>
      </c>
      <c r="AJ109" s="2" t="e">
        <f>'Returns by year'!$V109-'Returns by year'!$X109</f>
        <v>#REF!</v>
      </c>
      <c r="AK109" s="2" t="e">
        <f>'Returns by year'!$V109-'Returns by year'!$Y109</f>
        <v>#REF!</v>
      </c>
    </row>
    <row r="110" spans="1:37">
      <c r="A110" s="53">
        <v>2017</v>
      </c>
      <c r="B110" s="56" t="e">
        <f>(#REF!-#REF!+#REF!)/#REF!</f>
        <v>#REF!</v>
      </c>
      <c r="C110" s="56" t="e">
        <f>#REF!</f>
        <v>#REF!</v>
      </c>
      <c r="D110" s="56" t="e">
        <f>#REF!</f>
        <v>#REF!</v>
      </c>
      <c r="E110" s="56" t="e">
        <f>#REF!</f>
        <v>#REF!</v>
      </c>
      <c r="F110" s="56" t="e">
        <f>#REF!</f>
        <v>#REF!</v>
      </c>
      <c r="G110" s="56" t="e">
        <f>#REF!/#REF!-1</f>
        <v>#REF!</v>
      </c>
      <c r="H110" s="56" t="e">
        <f>#REF!/#REF!-1</f>
        <v>#REF!</v>
      </c>
      <c r="I110" s="54" t="e">
        <f t="shared" si="54"/>
        <v>#REF!</v>
      </c>
      <c r="J110" s="14" t="e">
        <f t="shared" si="42"/>
        <v>#REF!</v>
      </c>
      <c r="K110" s="14" t="e">
        <f t="shared" si="55"/>
        <v>#REF!</v>
      </c>
      <c r="L110" s="14" t="e">
        <f t="shared" si="56"/>
        <v>#REF!</v>
      </c>
      <c r="M110" s="14" t="e">
        <f t="shared" si="57"/>
        <v>#REF!</v>
      </c>
      <c r="N110" s="14" t="e">
        <f t="shared" si="58"/>
        <v>#REF!</v>
      </c>
      <c r="O110" s="14" t="e">
        <f t="shared" si="59"/>
        <v>#REF!</v>
      </c>
      <c r="P110" s="12" t="e">
        <f t="shared" si="43"/>
        <v>#REF!</v>
      </c>
      <c r="Q110" s="12" t="e">
        <f t="shared" si="44"/>
        <v>#REF!</v>
      </c>
      <c r="R110" s="16" t="e">
        <f>'Returns by year'!$C110-'Returns by year'!$B110</f>
        <v>#REF!</v>
      </c>
      <c r="S110" s="16" t="e">
        <f t="shared" si="45"/>
        <v>#REF!</v>
      </c>
      <c r="T110" s="16" t="e">
        <f t="shared" si="46"/>
        <v>#REF!</v>
      </c>
      <c r="U110" s="26" t="e">
        <f>#REF!</f>
        <v>#REF!</v>
      </c>
      <c r="V110" s="2" t="e">
        <f t="shared" si="47"/>
        <v>#REF!</v>
      </c>
      <c r="W110" s="2" t="e">
        <f t="shared" si="48"/>
        <v>#REF!</v>
      </c>
      <c r="X110" s="2" t="e">
        <f t="shared" si="49"/>
        <v>#REF!</v>
      </c>
      <c r="Y110" s="2" t="e">
        <f t="shared" si="50"/>
        <v>#REF!</v>
      </c>
      <c r="Z110" s="2" t="e">
        <f t="shared" si="51"/>
        <v>#REF!</v>
      </c>
      <c r="AA110" s="2" t="e">
        <f t="shared" si="52"/>
        <v>#REF!</v>
      </c>
      <c r="AB110" s="2" t="e">
        <f t="shared" si="53"/>
        <v>#REF!</v>
      </c>
      <c r="AC110" s="54" t="e">
        <f t="shared" si="60"/>
        <v>#REF!</v>
      </c>
      <c r="AD110" s="57" t="e">
        <f t="shared" si="60"/>
        <v>#REF!</v>
      </c>
      <c r="AE110" s="14" t="e">
        <f t="shared" si="61"/>
        <v>#REF!</v>
      </c>
      <c r="AF110" s="14" t="e">
        <f t="shared" si="62"/>
        <v>#REF!</v>
      </c>
      <c r="AG110" s="14" t="e">
        <f t="shared" si="63"/>
        <v>#REF!</v>
      </c>
      <c r="AH110" s="14" t="e">
        <f t="shared" si="64"/>
        <v>#REF!</v>
      </c>
      <c r="AI110" s="14" t="e">
        <f t="shared" si="65"/>
        <v>#REF!</v>
      </c>
      <c r="AJ110" s="2" t="e">
        <f>'Returns by year'!$V110-'Returns by year'!$X110</f>
        <v>#REF!</v>
      </c>
      <c r="AK110" s="2" t="e">
        <f>'Returns by year'!$V110-'Returns by year'!$Y110</f>
        <v>#REF!</v>
      </c>
    </row>
    <row r="111" spans="1:37">
      <c r="A111" s="53">
        <v>2018</v>
      </c>
      <c r="B111" s="56" t="e">
        <f>(#REF!-#REF!+#REF!)/#REF!</f>
        <v>#REF!</v>
      </c>
      <c r="C111" s="56" t="e">
        <f>#REF!</f>
        <v>#REF!</v>
      </c>
      <c r="D111" s="56" t="e">
        <f>#REF!</f>
        <v>#REF!</v>
      </c>
      <c r="E111" s="56" t="e">
        <f>#REF!</f>
        <v>#REF!</v>
      </c>
      <c r="F111" s="56" t="e">
        <f>#REF!</f>
        <v>#REF!</v>
      </c>
      <c r="G111" s="56" t="e">
        <f>#REF!/#REF!-1</f>
        <v>#REF!</v>
      </c>
      <c r="H111" s="56" t="e">
        <f>#REF!/#REF!-1</f>
        <v>#REF!</v>
      </c>
      <c r="I111" s="54" t="e">
        <f t="shared" si="54"/>
        <v>#REF!</v>
      </c>
      <c r="J111" s="14" t="e">
        <f t="shared" si="42"/>
        <v>#REF!</v>
      </c>
      <c r="K111" s="14" t="e">
        <f t="shared" si="55"/>
        <v>#REF!</v>
      </c>
      <c r="L111" s="14" t="e">
        <f t="shared" si="56"/>
        <v>#REF!</v>
      </c>
      <c r="M111" s="14" t="e">
        <f t="shared" si="57"/>
        <v>#REF!</v>
      </c>
      <c r="N111" s="14" t="e">
        <f t="shared" si="58"/>
        <v>#REF!</v>
      </c>
      <c r="O111" s="14" t="e">
        <f t="shared" si="59"/>
        <v>#REF!</v>
      </c>
      <c r="P111" s="12" t="e">
        <f t="shared" si="43"/>
        <v>#REF!</v>
      </c>
      <c r="Q111" s="12" t="e">
        <f t="shared" si="44"/>
        <v>#REF!</v>
      </c>
      <c r="R111" s="16" t="e">
        <f>'Returns by year'!$C111-'Returns by year'!$B111</f>
        <v>#REF!</v>
      </c>
      <c r="S111" s="16" t="e">
        <f t="shared" si="45"/>
        <v>#REF!</v>
      </c>
      <c r="T111" s="16" t="e">
        <f t="shared" si="46"/>
        <v>#REF!</v>
      </c>
      <c r="U111" s="26" t="e">
        <f>#REF!</f>
        <v>#REF!</v>
      </c>
      <c r="V111" s="2" t="e">
        <f t="shared" si="47"/>
        <v>#REF!</v>
      </c>
      <c r="W111" s="2" t="e">
        <f t="shared" si="48"/>
        <v>#REF!</v>
      </c>
      <c r="X111" s="2" t="e">
        <f t="shared" si="49"/>
        <v>#REF!</v>
      </c>
      <c r="Y111" s="2" t="e">
        <f t="shared" si="50"/>
        <v>#REF!</v>
      </c>
      <c r="Z111" s="2" t="e">
        <f t="shared" si="51"/>
        <v>#REF!</v>
      </c>
      <c r="AA111" s="2" t="e">
        <f t="shared" si="52"/>
        <v>#REF!</v>
      </c>
      <c r="AB111" s="2" t="e">
        <f t="shared" si="53"/>
        <v>#REF!</v>
      </c>
      <c r="AC111" s="54" t="e">
        <f t="shared" si="60"/>
        <v>#REF!</v>
      </c>
      <c r="AD111" s="57" t="e">
        <f t="shared" si="60"/>
        <v>#REF!</v>
      </c>
      <c r="AE111" s="14" t="e">
        <f t="shared" si="61"/>
        <v>#REF!</v>
      </c>
      <c r="AF111" s="14" t="e">
        <f t="shared" si="62"/>
        <v>#REF!</v>
      </c>
      <c r="AG111" s="14" t="e">
        <f t="shared" si="63"/>
        <v>#REF!</v>
      </c>
      <c r="AH111" s="14" t="e">
        <f t="shared" si="64"/>
        <v>#REF!</v>
      </c>
      <c r="AI111" s="14" t="e">
        <f t="shared" si="65"/>
        <v>#REF!</v>
      </c>
      <c r="AJ111" s="2" t="e">
        <f>'Returns by year'!$V111-'Returns by year'!$X111</f>
        <v>#REF!</v>
      </c>
      <c r="AK111" s="2" t="e">
        <f>'Returns by year'!$V111-'Returns by year'!$Y111</f>
        <v>#REF!</v>
      </c>
    </row>
    <row r="112" spans="1:37">
      <c r="A112" s="15">
        <v>2019</v>
      </c>
      <c r="B112" s="56" t="e">
        <f>(#REF!-#REF!+#REF!)/#REF!</f>
        <v>#REF!</v>
      </c>
      <c r="C112" s="56" t="e">
        <f>#REF!</f>
        <v>#REF!</v>
      </c>
      <c r="D112" s="56" t="e">
        <f>#REF!</f>
        <v>#REF!</v>
      </c>
      <c r="E112" s="56" t="e">
        <f>#REF!</f>
        <v>#REF!</v>
      </c>
      <c r="F112" s="56" t="e">
        <f>#REF!</f>
        <v>#REF!</v>
      </c>
      <c r="G112" s="56" t="e">
        <f>#REF!/#REF!-1</f>
        <v>#REF!</v>
      </c>
      <c r="H112" s="56" t="e">
        <f>#REF!/#REF!-1</f>
        <v>#REF!</v>
      </c>
      <c r="I112" s="54" t="e">
        <f t="shared" si="54"/>
        <v>#REF!</v>
      </c>
      <c r="J112" s="14" t="e">
        <f t="shared" si="42"/>
        <v>#REF!</v>
      </c>
      <c r="K112" s="14" t="e">
        <f t="shared" si="55"/>
        <v>#REF!</v>
      </c>
      <c r="L112" s="14" t="e">
        <f t="shared" si="56"/>
        <v>#REF!</v>
      </c>
      <c r="M112" s="14" t="e">
        <f t="shared" si="57"/>
        <v>#REF!</v>
      </c>
      <c r="N112" s="14" t="e">
        <f t="shared" si="58"/>
        <v>#REF!</v>
      </c>
      <c r="O112" s="14" t="e">
        <f t="shared" si="59"/>
        <v>#REF!</v>
      </c>
      <c r="P112" s="12" t="e">
        <f t="shared" si="43"/>
        <v>#REF!</v>
      </c>
      <c r="Q112" s="12" t="e">
        <f t="shared" si="44"/>
        <v>#REF!</v>
      </c>
      <c r="R112" s="16" t="e">
        <f>'Returns by year'!$C112-'Returns by year'!$B112</f>
        <v>#REF!</v>
      </c>
      <c r="S112" s="16" t="e">
        <f t="shared" si="45"/>
        <v>#REF!</v>
      </c>
      <c r="T112" s="16" t="e">
        <f t="shared" si="46"/>
        <v>#REF!</v>
      </c>
      <c r="U112" s="26" t="e">
        <f>#REF!</f>
        <v>#REF!</v>
      </c>
      <c r="V112" s="2" t="e">
        <f t="shared" si="47"/>
        <v>#REF!</v>
      </c>
      <c r="W112" s="2" t="e">
        <f t="shared" si="48"/>
        <v>#REF!</v>
      </c>
      <c r="X112" s="2" t="e">
        <f t="shared" si="49"/>
        <v>#REF!</v>
      </c>
      <c r="Y112" s="2" t="e">
        <f t="shared" si="50"/>
        <v>#REF!</v>
      </c>
      <c r="Z112" s="2" t="e">
        <f t="shared" si="51"/>
        <v>#REF!</v>
      </c>
      <c r="AA112" s="2" t="e">
        <f t="shared" si="52"/>
        <v>#REF!</v>
      </c>
      <c r="AB112" s="2" t="e">
        <f t="shared" si="53"/>
        <v>#REF!</v>
      </c>
      <c r="AC112" s="54" t="e">
        <f t="shared" si="60"/>
        <v>#REF!</v>
      </c>
      <c r="AD112" s="57" t="e">
        <f t="shared" si="60"/>
        <v>#REF!</v>
      </c>
      <c r="AE112" s="14" t="e">
        <f t="shared" si="61"/>
        <v>#REF!</v>
      </c>
      <c r="AF112" s="14" t="e">
        <f t="shared" si="62"/>
        <v>#REF!</v>
      </c>
      <c r="AG112" s="14" t="e">
        <f t="shared" si="63"/>
        <v>#REF!</v>
      </c>
      <c r="AH112" s="14" t="e">
        <f t="shared" si="64"/>
        <v>#REF!</v>
      </c>
      <c r="AI112" s="14" t="e">
        <f t="shared" si="65"/>
        <v>#REF!</v>
      </c>
      <c r="AJ112" s="2" t="e">
        <f>'Returns by year'!$V112-'Returns by year'!$X112</f>
        <v>#REF!</v>
      </c>
      <c r="AK112" s="2" t="e">
        <f>'Returns by year'!$V112-'Returns by year'!$Y112</f>
        <v>#REF!</v>
      </c>
    </row>
    <row r="113" spans="1:37">
      <c r="A113" s="53">
        <v>2020</v>
      </c>
      <c r="B113" s="56" t="e">
        <f>(#REF!-#REF!+#REF!)/#REF!</f>
        <v>#REF!</v>
      </c>
      <c r="C113" s="56" t="e">
        <f>#REF!</f>
        <v>#REF!</v>
      </c>
      <c r="D113" s="56" t="e">
        <f>#REF!</f>
        <v>#REF!</v>
      </c>
      <c r="E113" s="56" t="e">
        <f>#REF!</f>
        <v>#REF!</v>
      </c>
      <c r="F113" s="56" t="e">
        <f>#REF!</f>
        <v>#REF!</v>
      </c>
      <c r="G113" s="56" t="e">
        <f>#REF!/#REF!-1</f>
        <v>#REF!</v>
      </c>
      <c r="H113" s="56" t="e">
        <f>#REF!/#REF!-1</f>
        <v>#REF!</v>
      </c>
      <c r="I113" s="54" t="e">
        <f t="shared" si="54"/>
        <v>#REF!</v>
      </c>
      <c r="J113" s="14" t="e">
        <f t="shared" si="42"/>
        <v>#REF!</v>
      </c>
      <c r="K113" s="14" t="e">
        <f t="shared" si="55"/>
        <v>#REF!</v>
      </c>
      <c r="L113" s="14" t="e">
        <f t="shared" si="56"/>
        <v>#REF!</v>
      </c>
      <c r="M113" s="14" t="e">
        <f t="shared" si="57"/>
        <v>#REF!</v>
      </c>
      <c r="N113" s="14" t="e">
        <f t="shared" si="58"/>
        <v>#REF!</v>
      </c>
      <c r="O113" s="14" t="e">
        <f t="shared" si="59"/>
        <v>#REF!</v>
      </c>
      <c r="P113" s="12" t="e">
        <f t="shared" si="43"/>
        <v>#REF!</v>
      </c>
      <c r="Q113" s="12" t="e">
        <f t="shared" si="44"/>
        <v>#REF!</v>
      </c>
      <c r="R113" s="41" t="e">
        <f>'Returns by year'!$C113-'Returns by year'!$B113</f>
        <v>#REF!</v>
      </c>
      <c r="S113" s="41" t="e">
        <f t="shared" si="45"/>
        <v>#REF!</v>
      </c>
      <c r="T113" s="16" t="e">
        <f t="shared" si="46"/>
        <v>#REF!</v>
      </c>
      <c r="U113" s="26" t="e">
        <f>#REF!</f>
        <v>#REF!</v>
      </c>
      <c r="V113" s="69" t="e">
        <f t="shared" si="47"/>
        <v>#REF!</v>
      </c>
      <c r="W113" s="69" t="e">
        <f t="shared" si="48"/>
        <v>#REF!</v>
      </c>
      <c r="X113" s="69" t="e">
        <f t="shared" si="49"/>
        <v>#REF!</v>
      </c>
      <c r="Y113" s="69" t="e">
        <f t="shared" si="50"/>
        <v>#REF!</v>
      </c>
      <c r="Z113" s="69" t="e">
        <f t="shared" si="51"/>
        <v>#REF!</v>
      </c>
      <c r="AA113" s="69" t="e">
        <f t="shared" si="52"/>
        <v>#REF!</v>
      </c>
      <c r="AB113" s="2" t="e">
        <f t="shared" si="53"/>
        <v>#REF!</v>
      </c>
      <c r="AC113" s="54" t="e">
        <f t="shared" si="60"/>
        <v>#REF!</v>
      </c>
      <c r="AD113" s="57" t="e">
        <f t="shared" si="60"/>
        <v>#REF!</v>
      </c>
      <c r="AE113" s="14" t="e">
        <f t="shared" si="61"/>
        <v>#REF!</v>
      </c>
      <c r="AF113" s="14" t="e">
        <f t="shared" si="62"/>
        <v>#REF!</v>
      </c>
      <c r="AG113" s="14" t="e">
        <f t="shared" si="63"/>
        <v>#REF!</v>
      </c>
      <c r="AH113" s="14" t="e">
        <f t="shared" si="64"/>
        <v>#REF!</v>
      </c>
      <c r="AI113" s="14" t="e">
        <f t="shared" si="65"/>
        <v>#REF!</v>
      </c>
      <c r="AJ113" s="2" t="e">
        <f>'Returns by year'!$V113-'Returns by year'!$X113</f>
        <v>#REF!</v>
      </c>
      <c r="AK113" s="2" t="e">
        <f>'Returns by year'!$V113-'Returns by year'!$Y113</f>
        <v>#REF!</v>
      </c>
    </row>
    <row r="114" spans="1:37">
      <c r="A114" s="53">
        <v>2021</v>
      </c>
      <c r="B114" s="56" t="e">
        <f>(#REF!-#REF!+#REF!)/#REF!</f>
        <v>#REF!</v>
      </c>
      <c r="C114" s="56" t="e">
        <f>#REF!</f>
        <v>#REF!</v>
      </c>
      <c r="D114" s="56" t="e">
        <f>#REF!</f>
        <v>#REF!</v>
      </c>
      <c r="E114" s="56" t="e">
        <f>#REF!</f>
        <v>#REF!</v>
      </c>
      <c r="F114" s="56" t="e">
        <f>#REF!</f>
        <v>#REF!</v>
      </c>
      <c r="G114" s="56" t="e">
        <f>#REF!/#REF!-1</f>
        <v>#REF!</v>
      </c>
      <c r="H114" s="56" t="e">
        <f>#REF!/#REF!-1</f>
        <v>#REF!</v>
      </c>
      <c r="I114" s="54" t="e">
        <f t="shared" si="54"/>
        <v>#REF!</v>
      </c>
      <c r="J114" s="14" t="e">
        <f t="shared" si="42"/>
        <v>#REF!</v>
      </c>
      <c r="K114" s="14" t="e">
        <f t="shared" si="55"/>
        <v>#REF!</v>
      </c>
      <c r="L114" s="14" t="e">
        <f t="shared" si="56"/>
        <v>#REF!</v>
      </c>
      <c r="M114" s="14" t="e">
        <f t="shared" si="57"/>
        <v>#REF!</v>
      </c>
      <c r="N114" s="14" t="e">
        <f t="shared" si="58"/>
        <v>#REF!</v>
      </c>
      <c r="O114" s="14" t="e">
        <f t="shared" si="59"/>
        <v>#REF!</v>
      </c>
      <c r="P114" s="12" t="e">
        <f t="shared" si="43"/>
        <v>#REF!</v>
      </c>
      <c r="Q114" s="12" t="e">
        <f t="shared" si="44"/>
        <v>#REF!</v>
      </c>
      <c r="R114" s="41" t="e">
        <f>'Returns by year'!$C114-'Returns by year'!$B114</f>
        <v>#REF!</v>
      </c>
      <c r="S114" s="41" t="e">
        <f t="shared" si="45"/>
        <v>#REF!</v>
      </c>
      <c r="T114" s="16" t="e">
        <f t="shared" si="46"/>
        <v>#REF!</v>
      </c>
      <c r="U114" s="26" t="e">
        <f>#REF!</f>
        <v>#REF!</v>
      </c>
      <c r="V114" s="69" t="e">
        <f t="shared" si="47"/>
        <v>#REF!</v>
      </c>
      <c r="W114" s="69" t="e">
        <f t="shared" si="48"/>
        <v>#REF!</v>
      </c>
      <c r="X114" s="69" t="e">
        <f t="shared" si="49"/>
        <v>#REF!</v>
      </c>
      <c r="Y114" s="69" t="e">
        <f t="shared" si="50"/>
        <v>#REF!</v>
      </c>
      <c r="Z114" s="69" t="e">
        <f t="shared" si="51"/>
        <v>#REF!</v>
      </c>
      <c r="AA114" s="69" t="e">
        <f>(1+G114)/(1+$U114)-1</f>
        <v>#REF!</v>
      </c>
      <c r="AB114" s="2" t="e">
        <f t="shared" si="53"/>
        <v>#REF!</v>
      </c>
      <c r="AC114" s="54" t="e">
        <f t="shared" si="60"/>
        <v>#REF!</v>
      </c>
      <c r="AD114" s="57" t="e">
        <f t="shared" si="60"/>
        <v>#REF!</v>
      </c>
      <c r="AE114" s="14" t="e">
        <f t="shared" si="61"/>
        <v>#REF!</v>
      </c>
      <c r="AF114" s="14" t="e">
        <f t="shared" si="62"/>
        <v>#REF!</v>
      </c>
      <c r="AG114" s="14" t="e">
        <f t="shared" si="63"/>
        <v>#REF!</v>
      </c>
      <c r="AH114" s="14" t="e">
        <f t="shared" si="64"/>
        <v>#REF!</v>
      </c>
      <c r="AI114" s="14" t="e">
        <f t="shared" si="65"/>
        <v>#REF!</v>
      </c>
      <c r="AJ114" s="2" t="e">
        <f>'Returns by year'!$V114-'Returns by year'!$X114</f>
        <v>#REF!</v>
      </c>
      <c r="AK114" s="2" t="e">
        <f>'Returns by year'!$V114-'Returns by year'!$Y114</f>
        <v>#REF!</v>
      </c>
    </row>
    <row r="115" spans="1:37">
      <c r="A115" s="53">
        <v>2022</v>
      </c>
      <c r="B115" s="56" t="e">
        <f>(#REF!-#REF!+#REF!)/#REF!</f>
        <v>#REF!</v>
      </c>
      <c r="C115" s="56" t="e">
        <f>#REF!</f>
        <v>#REF!</v>
      </c>
      <c r="D115" s="56" t="e">
        <f>#REF!</f>
        <v>#REF!</v>
      </c>
      <c r="E115" s="56" t="e">
        <f>#REF!</f>
        <v>#REF!</v>
      </c>
      <c r="F115" s="56" t="e">
        <f>#REF!</f>
        <v>#REF!</v>
      </c>
      <c r="G115" s="56" t="e">
        <f>#REF!/#REF!-1</f>
        <v>#REF!</v>
      </c>
      <c r="H115" s="56" t="e">
        <f>#REF!/#REF!-1</f>
        <v>#REF!</v>
      </c>
      <c r="I115" s="54" t="e">
        <f>I114*(1+B115)</f>
        <v>#REF!</v>
      </c>
      <c r="J115" s="14" t="e">
        <f t="shared" si="42"/>
        <v>#REF!</v>
      </c>
      <c r="K115" s="14" t="e">
        <f t="shared" ref="K115:M116" si="66">K114*(1+D115)</f>
        <v>#REF!</v>
      </c>
      <c r="L115" s="14" t="e">
        <f t="shared" si="66"/>
        <v>#REF!</v>
      </c>
      <c r="M115" s="14" t="e">
        <f t="shared" si="66"/>
        <v>#REF!</v>
      </c>
      <c r="N115" s="44" t="e">
        <f t="shared" si="58"/>
        <v>#REF!</v>
      </c>
      <c r="O115" s="14" t="e">
        <f t="shared" si="59"/>
        <v>#REF!</v>
      </c>
      <c r="P115" s="12" t="e">
        <f>B115-D115</f>
        <v>#REF!</v>
      </c>
      <c r="Q115" s="12" t="e">
        <f>B115-E115</f>
        <v>#REF!</v>
      </c>
      <c r="R115" s="41" t="e">
        <f>'Returns by year'!$C115-'Returns by year'!$B115</f>
        <v>#REF!</v>
      </c>
      <c r="S115" s="41" t="e">
        <f t="shared" si="45"/>
        <v>#REF!</v>
      </c>
      <c r="T115" s="16" t="e">
        <f>((I115/100)^(1/(A115-$A$21+1)))-((L115/100)^(1/(A115-$A$21+1)))</f>
        <v>#REF!</v>
      </c>
      <c r="U115" s="26" t="e">
        <f>#REF!</f>
        <v>#REF!</v>
      </c>
      <c r="V115" s="69" t="e">
        <f t="shared" si="47"/>
        <v>#REF!</v>
      </c>
      <c r="W115" s="69" t="e">
        <f t="shared" si="48"/>
        <v>#REF!</v>
      </c>
      <c r="X115" s="69" t="e">
        <f t="shared" si="49"/>
        <v>#REF!</v>
      </c>
      <c r="Y115" s="69" t="e">
        <f t="shared" si="50"/>
        <v>#REF!</v>
      </c>
      <c r="Z115" s="69" t="e">
        <f t="shared" si="51"/>
        <v>#REF!</v>
      </c>
      <c r="AA115" s="69" t="e">
        <f>(1+G115)/(1+$U115)-1</f>
        <v>#REF!</v>
      </c>
      <c r="AB115" s="69" t="e">
        <f t="shared" si="53"/>
        <v>#REF!</v>
      </c>
      <c r="AC115" s="54" t="e">
        <f t="shared" si="60"/>
        <v>#REF!</v>
      </c>
      <c r="AD115" s="57" t="e">
        <f t="shared" si="60"/>
        <v>#REF!</v>
      </c>
      <c r="AE115" s="14" t="e">
        <f t="shared" si="61"/>
        <v>#REF!</v>
      </c>
      <c r="AF115" s="14" t="e">
        <f t="shared" si="62"/>
        <v>#REF!</v>
      </c>
      <c r="AG115" s="14" t="e">
        <f t="shared" si="63"/>
        <v>#REF!</v>
      </c>
      <c r="AH115" s="44" t="e">
        <f t="shared" si="64"/>
        <v>#REF!</v>
      </c>
      <c r="AI115" s="14" t="e">
        <f t="shared" si="65"/>
        <v>#REF!</v>
      </c>
      <c r="AJ115" s="2" t="e">
        <f>'Returns by year'!$V115-'Returns by year'!$X115</f>
        <v>#REF!</v>
      </c>
      <c r="AK115" s="2" t="e">
        <f>'Returns by year'!$V115-'Returns by year'!$Y115</f>
        <v>#REF!</v>
      </c>
    </row>
    <row r="116" spans="1:37">
      <c r="A116" s="53">
        <v>2023</v>
      </c>
      <c r="B116" s="56" t="e">
        <f>(#REF!-#REF!+#REF!)/#REF!</f>
        <v>#REF!</v>
      </c>
      <c r="C116" s="56" t="e">
        <f>#REF!</f>
        <v>#REF!</v>
      </c>
      <c r="D116" s="56" t="e">
        <f>#REF!</f>
        <v>#REF!</v>
      </c>
      <c r="E116" s="56" t="e">
        <f>#REF!</f>
        <v>#REF!</v>
      </c>
      <c r="F116" s="56" t="e">
        <f>#REF!</f>
        <v>#REF!</v>
      </c>
      <c r="G116" s="56" t="e">
        <f>#REF!/#REF!-1</f>
        <v>#REF!</v>
      </c>
      <c r="H116" s="56" t="e">
        <f>#REF!/#REF!-1</f>
        <v>#REF!</v>
      </c>
      <c r="I116" s="54" t="e">
        <f>I115*(1+B116)</f>
        <v>#REF!</v>
      </c>
      <c r="J116" s="14" t="e">
        <f t="shared" si="42"/>
        <v>#REF!</v>
      </c>
      <c r="K116" s="14" t="e">
        <f t="shared" si="66"/>
        <v>#REF!</v>
      </c>
      <c r="L116" s="14" t="e">
        <f t="shared" si="66"/>
        <v>#REF!</v>
      </c>
      <c r="M116" s="14" t="e">
        <f t="shared" si="66"/>
        <v>#REF!</v>
      </c>
      <c r="N116" s="44" t="e">
        <f t="shared" si="58"/>
        <v>#REF!</v>
      </c>
      <c r="O116" s="44" t="e">
        <f t="shared" si="59"/>
        <v>#REF!</v>
      </c>
      <c r="P116" s="12" t="e">
        <f>B116-D116</f>
        <v>#REF!</v>
      </c>
      <c r="Q116" s="12" t="e">
        <f>B116-E116</f>
        <v>#REF!</v>
      </c>
      <c r="R116" s="41" t="e">
        <f>'Returns by year'!$C116-'Returns by year'!$B116</f>
        <v>#REF!</v>
      </c>
      <c r="S116" s="41" t="e">
        <f>B116-F116</f>
        <v>#REF!</v>
      </c>
      <c r="T116" s="16" t="e">
        <f>((I116/100)^(1/(A116-$A$21+1)))-((L116/100)^(1/(A116-$A$21+1)))</f>
        <v>#REF!</v>
      </c>
      <c r="U116" s="26" t="e">
        <f>#REF!</f>
        <v>#REF!</v>
      </c>
      <c r="V116" s="69" t="e">
        <f>(1+B116)/(1+$U116)-1</f>
        <v>#REF!</v>
      </c>
      <c r="W116" s="69" t="e">
        <f t="shared" si="48"/>
        <v>#REF!</v>
      </c>
      <c r="X116" s="69" t="e">
        <f t="shared" ref="X116:Z117" si="67">(1+D116)/(1+$U116)-1</f>
        <v>#REF!</v>
      </c>
      <c r="Y116" s="69" t="e">
        <f t="shared" si="67"/>
        <v>#REF!</v>
      </c>
      <c r="Z116" s="69" t="e">
        <f t="shared" si="67"/>
        <v>#REF!</v>
      </c>
      <c r="AA116" s="69" t="e">
        <f>(1+G116)/(1+$U116)-1</f>
        <v>#REF!</v>
      </c>
      <c r="AB116" s="69" t="e">
        <f>(1+H116)/(1+$U116)-1</f>
        <v>#REF!</v>
      </c>
      <c r="AC116" s="54" t="e">
        <f t="shared" si="60"/>
        <v>#REF!</v>
      </c>
      <c r="AD116" s="57" t="e">
        <f t="shared" si="60"/>
        <v>#REF!</v>
      </c>
      <c r="AE116" s="14" t="e">
        <f t="shared" si="61"/>
        <v>#REF!</v>
      </c>
      <c r="AF116" s="14" t="e">
        <f t="shared" si="62"/>
        <v>#REF!</v>
      </c>
      <c r="AG116" s="14" t="e">
        <f t="shared" si="63"/>
        <v>#REF!</v>
      </c>
      <c r="AH116" s="44" t="e">
        <f>AH115*(1+AA116)</f>
        <v>#REF!</v>
      </c>
      <c r="AI116" s="44" t="e">
        <f>AI115*(1+AB116)</f>
        <v>#REF!</v>
      </c>
      <c r="AJ116" s="2" t="e">
        <f>'Returns by year'!$V116-'Returns by year'!$X116</f>
        <v>#REF!</v>
      </c>
      <c r="AK116" s="2" t="e">
        <f>'Returns by year'!$V116-'Returns by year'!$Y116</f>
        <v>#REF!</v>
      </c>
    </row>
    <row r="117" spans="1:37">
      <c r="A117" s="71">
        <v>2024</v>
      </c>
      <c r="B117" s="56" t="e">
        <f>(#REF!-#REF!+#REF!)/#REF!</f>
        <v>#REF!</v>
      </c>
      <c r="C117" s="72" t="e">
        <f>#REF!</f>
        <v>#REF!</v>
      </c>
      <c r="D117" s="56" t="e">
        <f>#REF!</f>
        <v>#REF!</v>
      </c>
      <c r="E117" s="56" t="e">
        <f>#REF!</f>
        <v>#REF!</v>
      </c>
      <c r="F117" s="72" t="e">
        <f>#REF!</f>
        <v>#REF!</v>
      </c>
      <c r="G117" s="72" t="e">
        <f>#REF!/#REF!-1</f>
        <v>#REF!</v>
      </c>
      <c r="H117" s="56" t="e">
        <f>#REF!/#REF!-1</f>
        <v>#REF!</v>
      </c>
      <c r="I117" s="54" t="e">
        <f>I116*(1+B117)</f>
        <v>#REF!</v>
      </c>
      <c r="J117" s="14" t="e">
        <f t="shared" si="42"/>
        <v>#REF!</v>
      </c>
      <c r="K117" s="14" t="e">
        <f>K116*(1+D117)</f>
        <v>#REF!</v>
      </c>
      <c r="L117" s="14" t="e">
        <f>L116*(1+E117)</f>
        <v>#REF!</v>
      </c>
      <c r="M117" s="14" t="e">
        <f>M116*(1+F117)</f>
        <v>#REF!</v>
      </c>
      <c r="N117" s="44" t="e">
        <f>N116*(1+G117)</f>
        <v>#REF!</v>
      </c>
      <c r="O117" s="44" t="e">
        <f>O116*(1+H117)</f>
        <v>#REF!</v>
      </c>
      <c r="P117" s="12" t="e">
        <f>B117-D117</f>
        <v>#REF!</v>
      </c>
      <c r="Q117" s="12" t="e">
        <f>B117-E117</f>
        <v>#REF!</v>
      </c>
      <c r="R117" s="41" t="e">
        <f>'Returns by year'!$C117-'Returns by year'!$B117</f>
        <v>#REF!</v>
      </c>
      <c r="S117" s="41" t="e">
        <f>B117-F117</f>
        <v>#REF!</v>
      </c>
      <c r="T117" s="16" t="e">
        <f>((I117/100)^(1/(A117-$A$21+1)))-((L117/100)^(1/(A117-$A$21+1)))</f>
        <v>#REF!</v>
      </c>
      <c r="U117" s="26" t="e">
        <f>#REF!</f>
        <v>#REF!</v>
      </c>
      <c r="V117" s="69" t="e">
        <f>(1+B117)/(1+$U117)-1</f>
        <v>#REF!</v>
      </c>
      <c r="W117" s="69" t="e">
        <f>(1+C117)/(1+$U117)-1</f>
        <v>#REF!</v>
      </c>
      <c r="X117" s="69" t="e">
        <f t="shared" si="67"/>
        <v>#REF!</v>
      </c>
      <c r="Y117" s="69" t="e">
        <f t="shared" si="67"/>
        <v>#REF!</v>
      </c>
      <c r="Z117" s="69" t="e">
        <f t="shared" si="67"/>
        <v>#REF!</v>
      </c>
      <c r="AA117" s="69" t="e">
        <f>(1+G117)/(1+$U117)-1</f>
        <v>#REF!</v>
      </c>
      <c r="AB117" s="69" t="e">
        <f>(1+H117)/(1+$U117)-1</f>
        <v>#REF!</v>
      </c>
      <c r="AC117" s="54" t="e">
        <f>AC116*(1+V117)</f>
        <v>#REF!</v>
      </c>
      <c r="AD117" s="57" t="e">
        <f>AD116*(1+W117)</f>
        <v>#REF!</v>
      </c>
      <c r="AE117" s="14" t="e">
        <f>AE116*(1+X117)</f>
        <v>#REF!</v>
      </c>
      <c r="AF117" s="14" t="e">
        <f>AF116*(1+Y117)</f>
        <v>#REF!</v>
      </c>
      <c r="AG117" s="14" t="e">
        <f>AG116*(1+Z117)</f>
        <v>#REF!</v>
      </c>
      <c r="AH117" s="44" t="e">
        <f>AH116*(1+AA117)</f>
        <v>#REF!</v>
      </c>
      <c r="AI117" s="44" t="e">
        <f>AI116*(1+AB117)</f>
        <v>#REF!</v>
      </c>
      <c r="AJ117" s="2" t="e">
        <f>'Returns by year'!$V117-'Returns by year'!$X117</f>
        <v>#REF!</v>
      </c>
      <c r="AK117" s="2" t="e">
        <f>'Returns by year'!$V117-'Returns by year'!$Y117</f>
        <v>#REF!</v>
      </c>
    </row>
    <row r="118" spans="1:37" ht="17" thickBot="1">
      <c r="L118" s="48"/>
      <c r="M118" s="49"/>
      <c r="N118" s="49"/>
      <c r="O118" s="50"/>
    </row>
    <row r="119" spans="1:37" ht="17" thickBot="1">
      <c r="A119" s="183" t="s">
        <v>33</v>
      </c>
      <c r="B119" s="184"/>
      <c r="C119" s="184"/>
      <c r="D119" s="184"/>
      <c r="E119" s="184"/>
      <c r="F119" s="184"/>
      <c r="G119" s="184"/>
      <c r="H119" s="185"/>
      <c r="I119" s="28"/>
      <c r="J119" s="28"/>
      <c r="K119" s="28"/>
      <c r="L119" s="200" t="s">
        <v>106</v>
      </c>
      <c r="M119" s="201"/>
      <c r="N119" s="178" t="s">
        <v>12</v>
      </c>
      <c r="O119" s="179"/>
      <c r="Q119" s="198" t="s">
        <v>107</v>
      </c>
      <c r="R119" s="199"/>
      <c r="S119"/>
      <c r="U119" s="183" t="s">
        <v>37</v>
      </c>
      <c r="V119" s="184"/>
      <c r="W119" s="184"/>
      <c r="X119" s="184"/>
      <c r="Y119" s="184"/>
      <c r="Z119" s="184"/>
      <c r="AA119" s="184"/>
      <c r="AB119" s="185"/>
    </row>
    <row r="120" spans="1:37" ht="52" thickBot="1">
      <c r="A120" s="45" t="s">
        <v>101</v>
      </c>
      <c r="B120" s="46" t="e">
        <f t="shared" ref="B120:H120" si="68">AVERAGE(B21:B117)</f>
        <v>#REF!</v>
      </c>
      <c r="C120" s="46" t="e">
        <f t="shared" si="68"/>
        <v>#REF!</v>
      </c>
      <c r="D120" s="46" t="e">
        <f t="shared" si="68"/>
        <v>#REF!</v>
      </c>
      <c r="E120" s="46" t="e">
        <f t="shared" si="68"/>
        <v>#REF!</v>
      </c>
      <c r="F120" s="46" t="e">
        <f t="shared" si="68"/>
        <v>#REF!</v>
      </c>
      <c r="G120" s="46" t="e">
        <f t="shared" si="68"/>
        <v>#REF!</v>
      </c>
      <c r="H120" s="46" t="e">
        <f t="shared" si="68"/>
        <v>#REF!</v>
      </c>
      <c r="I120" s="10"/>
      <c r="J120" s="10"/>
      <c r="K120" s="10"/>
      <c r="L120" s="45" t="s">
        <v>3</v>
      </c>
      <c r="M120" s="45" t="s">
        <v>4</v>
      </c>
      <c r="N120" s="45" t="s">
        <v>3</v>
      </c>
      <c r="O120" s="45" t="s">
        <v>4</v>
      </c>
      <c r="Q120" s="73" t="s">
        <v>104</v>
      </c>
      <c r="R120" s="73" t="s">
        <v>87</v>
      </c>
      <c r="S120"/>
      <c r="U120" s="47"/>
      <c r="V120" s="51" t="s">
        <v>28</v>
      </c>
      <c r="W120" s="51" t="str">
        <f>'Returns by year'!$W$20</f>
        <v>US Small cap (bottom decile)22</v>
      </c>
      <c r="X120" s="51" t="s">
        <v>29</v>
      </c>
      <c r="Y120" s="51" t="s">
        <v>30</v>
      </c>
      <c r="Z120" s="51" t="s">
        <v>32</v>
      </c>
      <c r="AA120" s="51" t="s">
        <v>69</v>
      </c>
      <c r="AB120" s="51" t="s">
        <v>72</v>
      </c>
      <c r="AH120" s="178" t="s">
        <v>12</v>
      </c>
      <c r="AI120" s="179"/>
    </row>
    <row r="121" spans="1:37">
      <c r="A121" s="1" t="s">
        <v>102</v>
      </c>
      <c r="B121" s="2" t="e">
        <f>AVERAGE(B68:B117)</f>
        <v>#REF!</v>
      </c>
      <c r="C121" s="2" t="e">
        <f t="shared" ref="C121:H121" si="69">AVERAGE(C68:C117)</f>
        <v>#REF!</v>
      </c>
      <c r="D121" s="2" t="e">
        <f t="shared" si="69"/>
        <v>#REF!</v>
      </c>
      <c r="E121" s="2" t="e">
        <f t="shared" si="69"/>
        <v>#REF!</v>
      </c>
      <c r="F121" s="2" t="e">
        <f t="shared" si="69"/>
        <v>#REF!</v>
      </c>
      <c r="G121" s="2" t="e">
        <f t="shared" si="69"/>
        <v>#REF!</v>
      </c>
      <c r="H121" s="2" t="e">
        <f t="shared" si="69"/>
        <v>#REF!</v>
      </c>
      <c r="I121" s="25"/>
      <c r="J121" s="25"/>
      <c r="K121" s="25"/>
      <c r="L121" s="2" t="e">
        <f>B120-D120</f>
        <v>#REF!</v>
      </c>
      <c r="M121" s="2" t="e">
        <f>B120-E120</f>
        <v>#REF!</v>
      </c>
      <c r="N121" s="11" t="e">
        <f>STDEV(P21:P117)/(($A$117-$A$21+1)^0.5)</f>
        <v>#REF!</v>
      </c>
      <c r="O121" s="11" t="e">
        <f>STDEV(Q21:Q117)/(($A$117-$A$21+1)^0.5)</f>
        <v>#REF!</v>
      </c>
      <c r="Q121" s="74" t="e">
        <f>C120-B120</f>
        <v>#REF!</v>
      </c>
      <c r="R121" s="74" t="e">
        <f>STDEV(R21:R117)/(($A$117-$A$21+1)^0.5)</f>
        <v>#REF!</v>
      </c>
      <c r="S121"/>
      <c r="U121" s="45" t="s">
        <v>101</v>
      </c>
      <c r="V121" s="11" t="e">
        <f>AVERAGE(V21:V117)</f>
        <v>#REF!</v>
      </c>
      <c r="W121" s="11" t="e">
        <f t="shared" ref="W121:AB121" si="70">AVERAGE(W21:W117)</f>
        <v>#REF!</v>
      </c>
      <c r="X121" s="11" t="e">
        <f t="shared" si="70"/>
        <v>#REF!</v>
      </c>
      <c r="Y121" s="11" t="e">
        <f t="shared" si="70"/>
        <v>#REF!</v>
      </c>
      <c r="Z121" s="11" t="e">
        <f t="shared" si="70"/>
        <v>#REF!</v>
      </c>
      <c r="AA121" s="11" t="e">
        <f t="shared" si="70"/>
        <v>#REF!</v>
      </c>
      <c r="AB121" s="11" t="e">
        <f t="shared" si="70"/>
        <v>#REF!</v>
      </c>
      <c r="AH121" s="45" t="s">
        <v>3</v>
      </c>
      <c r="AI121" s="45" t="s">
        <v>4</v>
      </c>
    </row>
    <row r="122" spans="1:37">
      <c r="A122" s="1" t="s">
        <v>103</v>
      </c>
      <c r="B122" s="2" t="e">
        <f>AVERAGE(B108:B117)</f>
        <v>#REF!</v>
      </c>
      <c r="C122" s="2" t="e">
        <f t="shared" ref="C122:H122" si="71">AVERAGE(C108:C117)</f>
        <v>#REF!</v>
      </c>
      <c r="D122" s="2" t="e">
        <f t="shared" si="71"/>
        <v>#REF!</v>
      </c>
      <c r="E122" s="2" t="e">
        <f t="shared" si="71"/>
        <v>#REF!</v>
      </c>
      <c r="F122" s="2" t="e">
        <f t="shared" si="71"/>
        <v>#REF!</v>
      </c>
      <c r="G122" s="2" t="e">
        <f t="shared" si="71"/>
        <v>#REF!</v>
      </c>
      <c r="H122" s="2" t="e">
        <f t="shared" si="71"/>
        <v>#REF!</v>
      </c>
      <c r="I122" s="25"/>
      <c r="J122" s="25"/>
      <c r="K122" s="25"/>
      <c r="L122" s="2" t="e">
        <f>B121-D121</f>
        <v>#REF!</v>
      </c>
      <c r="M122" s="2" t="e">
        <f>B121-E121</f>
        <v>#REF!</v>
      </c>
      <c r="N122" s="2" t="e">
        <f>STDEV(P68:P117)/(($A$117-$A$68+1)^0.5)</f>
        <v>#REF!</v>
      </c>
      <c r="O122" s="2" t="e">
        <f>STDEV(Q68:Q117)/(($A$117-$A$68+1)^0.5)</f>
        <v>#REF!</v>
      </c>
      <c r="Q122" s="74" t="e">
        <f>C121-B121</f>
        <v>#REF!</v>
      </c>
      <c r="R122" s="74" t="e">
        <f>STDEV(R68:R117)/(($A$117-$A$68+1)^0.5)</f>
        <v>#REF!</v>
      </c>
      <c r="S122"/>
      <c r="U122" s="1" t="s">
        <v>102</v>
      </c>
      <c r="V122" s="2" t="e">
        <f>AVERAGE(V68:V117)</f>
        <v>#REF!</v>
      </c>
      <c r="W122" s="2" t="e">
        <f t="shared" ref="W122:AB122" si="72">AVERAGE(W68:W117)</f>
        <v>#REF!</v>
      </c>
      <c r="X122" s="2" t="e">
        <f t="shared" si="72"/>
        <v>#REF!</v>
      </c>
      <c r="Y122" s="2" t="e">
        <f t="shared" si="72"/>
        <v>#REF!</v>
      </c>
      <c r="Z122" s="2" t="e">
        <f t="shared" si="72"/>
        <v>#REF!</v>
      </c>
      <c r="AA122" s="2" t="e">
        <f t="shared" si="72"/>
        <v>#REF!</v>
      </c>
      <c r="AB122" s="2" t="e">
        <f t="shared" si="72"/>
        <v>#REF!</v>
      </c>
      <c r="AH122" s="11" t="e">
        <f>STDEV(AJ22:AJ118)/(($A$116-$A$21+1)^0.5)</f>
        <v>#REF!</v>
      </c>
      <c r="AI122" s="11" t="e">
        <f>STDEV(AK22:AK118)/(($A$116-$A$21+1)^0.5)</f>
        <v>#REF!</v>
      </c>
    </row>
    <row r="123" spans="1:37" ht="17" thickBot="1">
      <c r="L123" s="69" t="e">
        <f>B122-D122</f>
        <v>#REF!</v>
      </c>
      <c r="M123" s="69" t="e">
        <f>B122-E122</f>
        <v>#REF!</v>
      </c>
      <c r="N123" s="2" t="e">
        <f>STDEV(P108:P117)/(($A$117-$A$108+1)^0.5)</f>
        <v>#REF!</v>
      </c>
      <c r="O123" s="2" t="e">
        <f>STDEV(Q108:Q117)/(($A$117-$A$108+1)^0.5)</f>
        <v>#REF!</v>
      </c>
      <c r="Q123" s="74" t="e">
        <f>C122-B122</f>
        <v>#REF!</v>
      </c>
      <c r="R123" s="74" t="e">
        <f>STDEV(R108:R117)/(($A$117-$A$108+1)^0.5)</f>
        <v>#REF!</v>
      </c>
      <c r="S123"/>
      <c r="U123" s="1" t="s">
        <v>103</v>
      </c>
      <c r="V123" s="2" t="e">
        <f>AVERAGE(V108:V117)</f>
        <v>#REF!</v>
      </c>
      <c r="W123" s="2" t="e">
        <f t="shared" ref="W123:AB123" si="73">AVERAGE(W108:W117)</f>
        <v>#REF!</v>
      </c>
      <c r="X123" s="2" t="e">
        <f t="shared" si="73"/>
        <v>#REF!</v>
      </c>
      <c r="Y123" s="2" t="e">
        <f t="shared" si="73"/>
        <v>#REF!</v>
      </c>
      <c r="Z123" s="2" t="e">
        <f t="shared" si="73"/>
        <v>#REF!</v>
      </c>
      <c r="AA123" s="2" t="e">
        <f t="shared" si="73"/>
        <v>#REF!</v>
      </c>
      <c r="AB123" s="2" t="e">
        <f t="shared" si="73"/>
        <v>#REF!</v>
      </c>
      <c r="AH123" s="2" t="e">
        <f>STDEV(AJ68:AJ118)/(($A$116-$A$67+1)^0.5)</f>
        <v>#REF!</v>
      </c>
      <c r="AI123" s="2" t="e">
        <f>STDEV(AK68:AK118)/(($A$116-$A$67+1)^0.5)</f>
        <v>#REF!</v>
      </c>
    </row>
    <row r="124" spans="1:37" ht="17" thickBot="1">
      <c r="A124" s="183" t="s">
        <v>34</v>
      </c>
      <c r="B124" s="184"/>
      <c r="C124" s="184"/>
      <c r="D124" s="184"/>
      <c r="E124" s="184"/>
      <c r="F124" s="184"/>
      <c r="G124" s="184"/>
      <c r="H124" s="185"/>
      <c r="I124" s="28"/>
      <c r="J124" s="28"/>
      <c r="K124" s="28"/>
      <c r="L124" s="203" t="s">
        <v>105</v>
      </c>
      <c r="M124" s="203"/>
      <c r="N124" s="70"/>
      <c r="O124" s="70"/>
      <c r="Q124" s="198" t="s">
        <v>108</v>
      </c>
      <c r="R124" s="199"/>
      <c r="S124"/>
      <c r="U124" s="183" t="s">
        <v>34</v>
      </c>
      <c r="V124" s="184"/>
      <c r="W124" s="184"/>
      <c r="X124" s="184"/>
      <c r="Y124" s="184"/>
      <c r="Z124" s="184"/>
      <c r="AA124" s="184"/>
      <c r="AB124" s="185"/>
      <c r="AC124" s="6"/>
      <c r="AD124" s="6"/>
      <c r="AH124" s="2" t="e">
        <f>STDEV(AJ108:AJ118)/(($A$116-$A$107+1)^0.5)</f>
        <v>#REF!</v>
      </c>
      <c r="AI124" s="2" t="e">
        <f>STDEV(AK108:AK118)/(($A$116-$A$107+1)^0.5)</f>
        <v>#REF!</v>
      </c>
    </row>
    <row r="125" spans="1:37" ht="34">
      <c r="A125" s="45" t="s">
        <v>101</v>
      </c>
      <c r="B125" s="27" t="e">
        <f t="shared" ref="B125:H125" si="74">(I117/100)^(1/($A$117-$A$21+1))-1</f>
        <v>#REF!</v>
      </c>
      <c r="C125" s="46" t="e">
        <f t="shared" si="74"/>
        <v>#REF!</v>
      </c>
      <c r="D125" s="27" t="e">
        <f t="shared" si="74"/>
        <v>#REF!</v>
      </c>
      <c r="E125" s="27" t="e">
        <f t="shared" si="74"/>
        <v>#REF!</v>
      </c>
      <c r="F125" s="27" t="e">
        <f t="shared" si="74"/>
        <v>#REF!</v>
      </c>
      <c r="G125" s="27" t="e">
        <f t="shared" si="74"/>
        <v>#REF!</v>
      </c>
      <c r="H125" s="27" t="e">
        <f t="shared" si="74"/>
        <v>#REF!</v>
      </c>
      <c r="I125" s="24"/>
      <c r="J125" s="24"/>
      <c r="K125" s="24"/>
      <c r="L125" s="45" t="s">
        <v>3</v>
      </c>
      <c r="M125" s="45" t="s">
        <v>4</v>
      </c>
      <c r="Q125" s="73" t="s">
        <v>104</v>
      </c>
      <c r="R125" s="79"/>
      <c r="U125" s="45" t="s">
        <v>101</v>
      </c>
      <c r="V125" s="27" t="e">
        <f>(AC117/100)^(1/($A$117-$A$21+1))-1</f>
        <v>#REF!</v>
      </c>
      <c r="W125" s="27" t="e">
        <f t="shared" ref="W125:AB125" si="75">(AD117/100)^(1/($A$117-$A$21+1))-1</f>
        <v>#REF!</v>
      </c>
      <c r="X125" s="27" t="e">
        <f t="shared" si="75"/>
        <v>#REF!</v>
      </c>
      <c r="Y125" s="27" t="e">
        <f t="shared" si="75"/>
        <v>#REF!</v>
      </c>
      <c r="Z125" s="27" t="e">
        <f t="shared" si="75"/>
        <v>#REF!</v>
      </c>
      <c r="AA125" s="27" t="e">
        <f t="shared" si="75"/>
        <v>#REF!</v>
      </c>
      <c r="AB125" s="27" t="e">
        <f t="shared" si="75"/>
        <v>#REF!</v>
      </c>
      <c r="AC125" s="6"/>
      <c r="AD125" s="6"/>
    </row>
    <row r="126" spans="1:37">
      <c r="A126" s="1" t="s">
        <v>102</v>
      </c>
      <c r="B126" s="5" t="e">
        <f t="shared" ref="B126:H126" si="76">(I117/I67)^(1/($A$117-$A$67))-1</f>
        <v>#REF!</v>
      </c>
      <c r="C126" s="2" t="e">
        <f t="shared" si="76"/>
        <v>#REF!</v>
      </c>
      <c r="D126" s="5" t="e">
        <f t="shared" si="76"/>
        <v>#REF!</v>
      </c>
      <c r="E126" s="5" t="e">
        <f t="shared" si="76"/>
        <v>#REF!</v>
      </c>
      <c r="F126" s="5" t="e">
        <f t="shared" si="76"/>
        <v>#REF!</v>
      </c>
      <c r="G126" s="5" t="e">
        <f t="shared" si="76"/>
        <v>#REF!</v>
      </c>
      <c r="H126" s="5" t="e">
        <f t="shared" si="76"/>
        <v>#REF!</v>
      </c>
      <c r="I126" s="24"/>
      <c r="J126" s="24"/>
      <c r="K126" s="24"/>
      <c r="L126" s="2" t="e">
        <f>B125-D125</f>
        <v>#REF!</v>
      </c>
      <c r="M126" s="69" t="e">
        <f>B125-E125</f>
        <v>#REF!</v>
      </c>
      <c r="N126" s="25"/>
      <c r="O126" s="25"/>
      <c r="Q126" s="74" t="e">
        <f>C125-B125</f>
        <v>#REF!</v>
      </c>
      <c r="R126" s="25"/>
      <c r="U126" s="1" t="s">
        <v>102</v>
      </c>
      <c r="V126" s="5" t="e">
        <f>(AC117/AC67)^(1/($A$116-$A$66))-1</f>
        <v>#REF!</v>
      </c>
      <c r="W126" s="5" t="e">
        <f t="shared" ref="W126:AB126" si="77">(AD117/AD67)^(1/($A$116-$A$66))-1</f>
        <v>#REF!</v>
      </c>
      <c r="X126" s="5" t="e">
        <f t="shared" si="77"/>
        <v>#REF!</v>
      </c>
      <c r="Y126" s="5" t="e">
        <f t="shared" si="77"/>
        <v>#REF!</v>
      </c>
      <c r="Z126" s="5" t="e">
        <f t="shared" si="77"/>
        <v>#REF!</v>
      </c>
      <c r="AA126" s="5" t="e">
        <f t="shared" si="77"/>
        <v>#REF!</v>
      </c>
      <c r="AB126" s="5" t="e">
        <f t="shared" si="77"/>
        <v>#REF!</v>
      </c>
      <c r="AC126" s="6"/>
      <c r="AD126" s="6"/>
    </row>
    <row r="127" spans="1:37">
      <c r="A127" s="1" t="s">
        <v>103</v>
      </c>
      <c r="B127" s="5" t="e">
        <f t="shared" ref="B127:H127" si="78">(I117/I107)^(1/($A$117-$A$107))-1</f>
        <v>#REF!</v>
      </c>
      <c r="C127" s="2" t="e">
        <f t="shared" si="78"/>
        <v>#REF!</v>
      </c>
      <c r="D127" s="5" t="e">
        <f t="shared" si="78"/>
        <v>#REF!</v>
      </c>
      <c r="E127" s="5" t="e">
        <f t="shared" si="78"/>
        <v>#REF!</v>
      </c>
      <c r="F127" s="5" t="e">
        <f t="shared" si="78"/>
        <v>#REF!</v>
      </c>
      <c r="G127" s="5" t="e">
        <f t="shared" si="78"/>
        <v>#REF!</v>
      </c>
      <c r="H127" s="5" t="e">
        <f t="shared" si="78"/>
        <v>#REF!</v>
      </c>
      <c r="I127" s="24"/>
      <c r="J127" s="24"/>
      <c r="K127" s="24"/>
      <c r="L127" s="78" t="e">
        <f>B126-D126</f>
        <v>#REF!</v>
      </c>
      <c r="M127" s="75" t="e">
        <f>B126-E126</f>
        <v>#REF!</v>
      </c>
      <c r="N127" s="25"/>
      <c r="O127" s="25"/>
      <c r="P127" s="76"/>
      <c r="Q127" s="74" t="e">
        <f>C126-B126</f>
        <v>#REF!</v>
      </c>
      <c r="R127" s="25"/>
      <c r="U127" s="1" t="s">
        <v>103</v>
      </c>
      <c r="V127" s="5" t="e">
        <f>(AC117/AC107)^(1/($A$116-$A$106))-1</f>
        <v>#REF!</v>
      </c>
      <c r="W127" s="5" t="e">
        <f t="shared" ref="W127:AB127" si="79">(AD117/AD107)^(1/($A$116-$A$106))-1</f>
        <v>#REF!</v>
      </c>
      <c r="X127" s="5" t="e">
        <f t="shared" si="79"/>
        <v>#REF!</v>
      </c>
      <c r="Y127" s="5" t="e">
        <f t="shared" si="79"/>
        <v>#REF!</v>
      </c>
      <c r="Z127" s="5" t="e">
        <f t="shared" si="79"/>
        <v>#REF!</v>
      </c>
      <c r="AA127" s="5" t="e">
        <f t="shared" si="79"/>
        <v>#REF!</v>
      </c>
      <c r="AB127" s="5" t="e">
        <f t="shared" si="79"/>
        <v>#REF!</v>
      </c>
      <c r="AC127" s="6"/>
      <c r="AD127" s="6"/>
    </row>
    <row r="128" spans="1:37">
      <c r="L128" s="77" t="e">
        <f>B127-D127</f>
        <v>#REF!</v>
      </c>
      <c r="M128" s="2" t="e">
        <f>B127-E127</f>
        <v>#REF!</v>
      </c>
      <c r="N128" s="25"/>
      <c r="O128" s="25"/>
      <c r="Q128" s="74" t="e">
        <f>C127-B127</f>
        <v>#REF!</v>
      </c>
      <c r="R128" s="25"/>
    </row>
    <row r="129" spans="1:1">
      <c r="A129" s="4" t="s">
        <v>76</v>
      </c>
    </row>
    <row r="130" spans="1:1">
      <c r="A130" s="4" t="s">
        <v>78</v>
      </c>
    </row>
  </sheetData>
  <mergeCells count="25">
    <mergeCell ref="U124:AB124"/>
    <mergeCell ref="P19:T19"/>
    <mergeCell ref="A124:H124"/>
    <mergeCell ref="A119:H119"/>
    <mergeCell ref="I19:O19"/>
    <mergeCell ref="Q119:R119"/>
    <mergeCell ref="Q124:R124"/>
    <mergeCell ref="L119:M119"/>
    <mergeCell ref="B19:H19"/>
    <mergeCell ref="L124:M124"/>
    <mergeCell ref="AJ19:AK19"/>
    <mergeCell ref="AH120:AI120"/>
    <mergeCell ref="B7:K7"/>
    <mergeCell ref="U119:AB119"/>
    <mergeCell ref="N119:O119"/>
    <mergeCell ref="U19:AB19"/>
    <mergeCell ref="G9:K10"/>
    <mergeCell ref="AC19:AI19"/>
    <mergeCell ref="B1:K1"/>
    <mergeCell ref="B2:K2"/>
    <mergeCell ref="B4:K4"/>
    <mergeCell ref="B5:K5"/>
    <mergeCell ref="B6:K6"/>
    <mergeCell ref="B3:F3"/>
    <mergeCell ref="I3:K3"/>
  </mergeCells>
  <phoneticPr fontId="11" type="noConversion"/>
  <hyperlinks>
    <hyperlink ref="B2" r:id="rId1" xr:uid="{6F32198D-279D-4843-855F-2BE95F6810B1}"/>
    <hyperlink ref="B4" r:id="rId2" xr:uid="{CFCCC35F-F6BF-B64C-8C15-90AF3E49A5DA}"/>
    <hyperlink ref="B5" r:id="rId3" display="http://www.stern.nyu.edu/~adamodar/New_Home_Page/data.html" xr:uid="{523C00A5-6A1C-744C-A3F1-E20C1EB8E17F}"/>
    <hyperlink ref="B6" r:id="rId4" display="http://www.stern.nyu.edu/~adamodar/pc/datasets/indname.xls" xr:uid="{9CA9167A-0BE7-0148-A468-A5C7FDD54C95}"/>
    <hyperlink ref="B7" r:id="rId5" display="http://www.stern.nyu.edu/~adamodar/New_Home_Page/datafile/variable.htm" xr:uid="{3B361FD4-AF7A-B74D-93B0-D7D7E1476A69}"/>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legacyDrawing r:id="rId6"/>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FB514-500E-854A-BF86-D1605AD094FA}">
  <sheetPr codeName="Sheet4"/>
  <dimension ref="A3:O78"/>
  <sheetViews>
    <sheetView showGridLines="0" tabSelected="1" zoomScale="200" workbookViewId="0">
      <selection activeCell="Q13" sqref="Q13"/>
    </sheetView>
  </sheetViews>
  <sheetFormatPr baseColWidth="10" defaultRowHeight="14"/>
  <cols>
    <col min="1" max="1" width="15.28515625" customWidth="1"/>
    <col min="2" max="2" width="13.42578125" bestFit="1" customWidth="1"/>
    <col min="3" max="3" width="14.5703125" bestFit="1" customWidth="1"/>
    <col min="4" max="4" width="14.42578125" bestFit="1" customWidth="1"/>
  </cols>
  <sheetData>
    <row r="3" spans="1:15">
      <c r="A3" s="204" t="s">
        <v>126</v>
      </c>
      <c r="B3" s="204"/>
      <c r="C3" s="111">
        <v>51</v>
      </c>
    </row>
    <row r="5" spans="1:15">
      <c r="A5" s="204" t="s">
        <v>127</v>
      </c>
      <c r="B5" s="204"/>
      <c r="C5" s="113">
        <v>870000</v>
      </c>
      <c r="F5" t="s">
        <v>447</v>
      </c>
      <c r="G5" t="s">
        <v>448</v>
      </c>
      <c r="O5" s="101"/>
    </row>
    <row r="6" spans="1:15">
      <c r="A6" s="204" t="s">
        <v>128</v>
      </c>
      <c r="B6" s="204"/>
      <c r="O6" s="101"/>
    </row>
    <row r="7" spans="1:15">
      <c r="B7" t="s">
        <v>129</v>
      </c>
      <c r="C7" s="110">
        <v>0.75</v>
      </c>
      <c r="F7" t="s">
        <v>449</v>
      </c>
      <c r="G7" t="s">
        <v>450</v>
      </c>
      <c r="O7" s="101"/>
    </row>
    <row r="8" spans="1:15">
      <c r="B8" t="s">
        <v>130</v>
      </c>
      <c r="C8" s="110">
        <v>0.25</v>
      </c>
    </row>
    <row r="9" spans="1:15">
      <c r="F9" t="s">
        <v>451</v>
      </c>
    </row>
    <row r="10" spans="1:15">
      <c r="A10" t="s">
        <v>437</v>
      </c>
      <c r="C10" s="113">
        <v>68000</v>
      </c>
    </row>
    <row r="11" spans="1:15">
      <c r="A11" t="s">
        <v>131</v>
      </c>
      <c r="C11" s="108">
        <f>C10-C14-C15*C13</f>
        <v>16500</v>
      </c>
      <c r="M11" s="101"/>
    </row>
    <row r="12" spans="1:15">
      <c r="A12" t="s">
        <v>132</v>
      </c>
      <c r="C12" s="101">
        <v>0.03</v>
      </c>
      <c r="M12" s="101"/>
    </row>
    <row r="13" spans="1:15">
      <c r="A13" t="s">
        <v>444</v>
      </c>
      <c r="C13" s="101">
        <v>0.03</v>
      </c>
      <c r="M13" s="101"/>
    </row>
    <row r="14" spans="1:15">
      <c r="A14" t="s">
        <v>438</v>
      </c>
      <c r="C14" s="109">
        <v>50000</v>
      </c>
    </row>
    <row r="15" spans="1:15">
      <c r="A15" t="s">
        <v>443</v>
      </c>
      <c r="C15" s="109">
        <v>50000</v>
      </c>
    </row>
    <row r="17" spans="1:4">
      <c r="A17" t="s">
        <v>133</v>
      </c>
      <c r="C17" s="110">
        <v>0.2</v>
      </c>
    </row>
    <row r="20" spans="1:4">
      <c r="A20" t="s">
        <v>436</v>
      </c>
      <c r="C20" s="101">
        <f ca="1">'Portfolio Returns and Values'!GX53</f>
        <v>0.95</v>
      </c>
    </row>
    <row r="21" spans="1:4">
      <c r="A21" t="s">
        <v>441</v>
      </c>
    </row>
    <row r="22" spans="1:4">
      <c r="A22" t="s">
        <v>452</v>
      </c>
      <c r="C22" s="101">
        <f ca="1">'Portfolio Returns Stress Test'!GX53</f>
        <v>0.83</v>
      </c>
    </row>
    <row r="23" spans="1:4">
      <c r="A23" t="s">
        <v>453</v>
      </c>
    </row>
    <row r="26" spans="1:4">
      <c r="A26" t="s">
        <v>440</v>
      </c>
    </row>
    <row r="27" spans="1:4" ht="15" thickBot="1"/>
    <row r="28" spans="1:4" ht="15" thickBot="1">
      <c r="A28" s="135" t="str" cm="1">
        <f t="array" aca="1" ref="A28:D78" ca="1">'Portfolio Returns and Values'!HC1:INDEX('Portfolio Returns and Values'!HC1:HF51,102-Dashboard!C3,4)</f>
        <v>Age</v>
      </c>
      <c r="B28" s="135">
        <f ca="1"/>
        <v>0.25</v>
      </c>
      <c r="C28" s="135">
        <f ca="1"/>
        <v>0.5</v>
      </c>
      <c r="D28" s="135">
        <f ca="1"/>
        <v>0.75</v>
      </c>
    </row>
    <row r="29" spans="1:4">
      <c r="A29">
        <f ca="1"/>
        <v>51</v>
      </c>
      <c r="B29" s="155">
        <f ca="1"/>
        <v>818811.17884096038</v>
      </c>
      <c r="C29" s="155">
        <f ca="1"/>
        <v>905663.50768923073</v>
      </c>
      <c r="D29" s="155">
        <f ca="1"/>
        <v>993762.18627624796</v>
      </c>
    </row>
    <row r="30" spans="1:4">
      <c r="A30">
        <f ca="1"/>
        <v>52</v>
      </c>
      <c r="B30" s="155">
        <f ca="1"/>
        <v>829631.06616832223</v>
      </c>
      <c r="C30" s="155">
        <f ca="1"/>
        <v>954414.89259613375</v>
      </c>
      <c r="D30" s="155">
        <f ca="1"/>
        <v>1088275.7190032816</v>
      </c>
    </row>
    <row r="31" spans="1:4">
      <c r="A31">
        <f ca="1"/>
        <v>53</v>
      </c>
      <c r="B31" s="155">
        <f ca="1"/>
        <v>858551.86590339523</v>
      </c>
      <c r="C31" s="155">
        <f ca="1"/>
        <v>1011288.113150944</v>
      </c>
      <c r="D31" s="155">
        <f ca="1"/>
        <v>1181309.9903051094</v>
      </c>
    </row>
    <row r="32" spans="1:4">
      <c r="A32">
        <f ca="1"/>
        <v>54</v>
      </c>
      <c r="B32" s="155">
        <f ca="1"/>
        <v>951708.41202620266</v>
      </c>
      <c r="C32" s="155">
        <f ca="1"/>
        <v>1108122.0806855625</v>
      </c>
      <c r="D32" s="155">
        <f ca="1"/>
        <v>1286778.4095683354</v>
      </c>
    </row>
    <row r="33" spans="1:4">
      <c r="A33">
        <f ca="1"/>
        <v>55</v>
      </c>
      <c r="B33" s="155">
        <f ca="1"/>
        <v>977732.10977366543</v>
      </c>
      <c r="C33" s="155">
        <f ca="1"/>
        <v>1131950.0410944496</v>
      </c>
      <c r="D33" s="155">
        <f ca="1"/>
        <v>1348025.3525657619</v>
      </c>
    </row>
    <row r="34" spans="1:4">
      <c r="A34">
        <f ca="1"/>
        <v>56</v>
      </c>
      <c r="B34" s="155">
        <f ca="1"/>
        <v>1000232.0690074388</v>
      </c>
      <c r="C34" s="155">
        <f ca="1"/>
        <v>1183753.7636766937</v>
      </c>
      <c r="D34" s="155">
        <f ca="1"/>
        <v>1525008.4919293588</v>
      </c>
    </row>
    <row r="35" spans="1:4">
      <c r="A35">
        <f ca="1"/>
        <v>57</v>
      </c>
      <c r="B35" s="155">
        <f ca="1"/>
        <v>957977.82531512191</v>
      </c>
      <c r="C35" s="155">
        <f ca="1"/>
        <v>1220374.3414177247</v>
      </c>
      <c r="D35" s="155">
        <f ca="1"/>
        <v>1624969.4239087962</v>
      </c>
    </row>
    <row r="36" spans="1:4">
      <c r="A36">
        <f ca="1"/>
        <v>58</v>
      </c>
      <c r="B36" s="155">
        <f ca="1"/>
        <v>993883.03306089505</v>
      </c>
      <c r="C36" s="155">
        <f ca="1"/>
        <v>1403464.1940125541</v>
      </c>
      <c r="D36" s="155">
        <f ca="1"/>
        <v>1809955.0431105401</v>
      </c>
    </row>
    <row r="37" spans="1:4">
      <c r="A37">
        <f ca="1"/>
        <v>59</v>
      </c>
      <c r="B37" s="155">
        <f ca="1"/>
        <v>1018280.0564602743</v>
      </c>
      <c r="C37" s="155">
        <f ca="1"/>
        <v>1411064.7132974202</v>
      </c>
      <c r="D37" s="155">
        <f ca="1"/>
        <v>1919646.5617329003</v>
      </c>
    </row>
    <row r="38" spans="1:4">
      <c r="A38">
        <f ca="1"/>
        <v>60</v>
      </c>
      <c r="B38" s="155">
        <f ca="1"/>
        <v>1077783.7549754472</v>
      </c>
      <c r="C38" s="155">
        <f ca="1"/>
        <v>1493251.5633571534</v>
      </c>
      <c r="D38" s="155">
        <f ca="1"/>
        <v>1990715.1396226247</v>
      </c>
    </row>
    <row r="39" spans="1:4">
      <c r="A39">
        <f ca="1"/>
        <v>61</v>
      </c>
      <c r="B39" s="155">
        <f ca="1"/>
        <v>1049576.0906872633</v>
      </c>
      <c r="C39" s="155">
        <f ca="1"/>
        <v>1673862.162794153</v>
      </c>
      <c r="D39" s="155">
        <f ca="1"/>
        <v>2101294.0759900818</v>
      </c>
    </row>
    <row r="40" spans="1:4">
      <c r="A40">
        <f ca="1"/>
        <v>62</v>
      </c>
      <c r="B40" s="155">
        <f ca="1"/>
        <v>1142143.6790268789</v>
      </c>
      <c r="C40" s="155">
        <f ca="1"/>
        <v>1732656.1469498342</v>
      </c>
      <c r="D40" s="155">
        <f ca="1"/>
        <v>2225973.8749382272</v>
      </c>
    </row>
    <row r="41" spans="1:4">
      <c r="A41">
        <f ca="1"/>
        <v>63</v>
      </c>
      <c r="B41" s="155">
        <f ca="1"/>
        <v>1186777.1374508943</v>
      </c>
      <c r="C41" s="155">
        <f ca="1"/>
        <v>1822864.6656679022</v>
      </c>
      <c r="D41" s="155">
        <f ca="1"/>
        <v>2414949.7106394405</v>
      </c>
    </row>
    <row r="42" spans="1:4">
      <c r="A42">
        <f ca="1"/>
        <v>64</v>
      </c>
      <c r="B42" s="155">
        <f ca="1"/>
        <v>1323285.099521345</v>
      </c>
      <c r="C42" s="155">
        <f ca="1"/>
        <v>1937388.8984143375</v>
      </c>
      <c r="D42" s="155">
        <f ca="1"/>
        <v>2661695.6901943218</v>
      </c>
    </row>
    <row r="43" spans="1:4">
      <c r="A43">
        <f ca="1"/>
        <v>65</v>
      </c>
      <c r="B43" s="155">
        <f ca="1"/>
        <v>1382298.6390966</v>
      </c>
      <c r="C43" s="155">
        <f ca="1"/>
        <v>1990902.5536410846</v>
      </c>
      <c r="D43" s="155">
        <f ca="1"/>
        <v>2973446.7288564108</v>
      </c>
    </row>
    <row r="44" spans="1:4">
      <c r="A44">
        <f ca="1"/>
        <v>66</v>
      </c>
      <c r="B44" s="155">
        <f ca="1"/>
        <v>1419595.0220520264</v>
      </c>
      <c r="C44" s="155">
        <f ca="1"/>
        <v>2197409.8900264082</v>
      </c>
      <c r="D44" s="155">
        <f ca="1"/>
        <v>3463791.8786133095</v>
      </c>
    </row>
    <row r="45" spans="1:4">
      <c r="A45">
        <f ca="1"/>
        <v>67</v>
      </c>
      <c r="B45" s="155">
        <f ca="1"/>
        <v>1480407.0053029968</v>
      </c>
      <c r="C45" s="155">
        <f ca="1"/>
        <v>2249147.5322251227</v>
      </c>
      <c r="D45" s="155">
        <f ca="1"/>
        <v>3765913.5714452453</v>
      </c>
    </row>
    <row r="46" spans="1:4">
      <c r="A46">
        <f ca="1"/>
        <v>68</v>
      </c>
      <c r="B46" s="155">
        <f ca="1"/>
        <v>1389873.800111156</v>
      </c>
      <c r="C46" s="155">
        <f ca="1"/>
        <v>2288022.4775104155</v>
      </c>
      <c r="D46" s="155">
        <f ca="1"/>
        <v>4051169.7063248404</v>
      </c>
    </row>
    <row r="47" spans="1:4">
      <c r="A47">
        <f ca="1"/>
        <v>69</v>
      </c>
      <c r="B47" s="155">
        <f ca="1"/>
        <v>1416854.2076108393</v>
      </c>
      <c r="C47" s="155">
        <f ca="1"/>
        <v>2501887.1678076359</v>
      </c>
      <c r="D47" s="155">
        <f ca="1"/>
        <v>4281180.0901372954</v>
      </c>
    </row>
    <row r="48" spans="1:4">
      <c r="A48">
        <f ca="1"/>
        <v>70</v>
      </c>
      <c r="B48" s="155">
        <f ca="1"/>
        <v>1517081.1908921101</v>
      </c>
      <c r="C48" s="155">
        <f ca="1"/>
        <v>2705126.3570178254</v>
      </c>
      <c r="D48" s="155">
        <f ca="1"/>
        <v>4586966.4985005511</v>
      </c>
    </row>
    <row r="49" spans="1:4">
      <c r="A49">
        <f ca="1"/>
        <v>71</v>
      </c>
      <c r="B49" s="155">
        <f ca="1"/>
        <v>1467349.3694221054</v>
      </c>
      <c r="C49" s="155">
        <f ca="1"/>
        <v>2765023.6619258095</v>
      </c>
      <c r="D49" s="155">
        <f ca="1"/>
        <v>4972256.5833504628</v>
      </c>
    </row>
    <row r="50" spans="1:4">
      <c r="A50">
        <f ca="1"/>
        <v>72</v>
      </c>
      <c r="B50" s="155">
        <f ca="1"/>
        <v>1761289.5488811522</v>
      </c>
      <c r="C50" s="155">
        <f ca="1"/>
        <v>3019985.1719299005</v>
      </c>
      <c r="D50" s="155">
        <f ca="1"/>
        <v>5147570.756735865</v>
      </c>
    </row>
    <row r="51" spans="1:4">
      <c r="A51">
        <f ca="1"/>
        <v>73</v>
      </c>
      <c r="B51" s="155">
        <f ca="1"/>
        <v>1737061.3626317042</v>
      </c>
      <c r="C51" s="155">
        <f ca="1"/>
        <v>3054668.425009409</v>
      </c>
      <c r="D51" s="155">
        <f ca="1"/>
        <v>5534905.9999799263</v>
      </c>
    </row>
    <row r="52" spans="1:4">
      <c r="A52">
        <f ca="1"/>
        <v>74</v>
      </c>
      <c r="B52" s="155">
        <f ca="1"/>
        <v>1930952.6446006175</v>
      </c>
      <c r="C52" s="155">
        <f ca="1"/>
        <v>3132268.7175966846</v>
      </c>
      <c r="D52" s="155">
        <f ca="1"/>
        <v>5835787.4880467094</v>
      </c>
    </row>
    <row r="53" spans="1:4">
      <c r="A53">
        <f ca="1"/>
        <v>75</v>
      </c>
      <c r="B53" s="155">
        <f ca="1"/>
        <v>1986306.792864521</v>
      </c>
      <c r="C53" s="155">
        <f ca="1"/>
        <v>3708053.3615213679</v>
      </c>
      <c r="D53" s="155">
        <f ca="1"/>
        <v>6424233.4426749367</v>
      </c>
    </row>
    <row r="54" spans="1:4">
      <c r="A54">
        <f ca="1"/>
        <v>76</v>
      </c>
      <c r="B54" s="155">
        <f ca="1"/>
        <v>2094668.4560864561</v>
      </c>
      <c r="C54" s="155">
        <f ca="1"/>
        <v>3659193.4174436452</v>
      </c>
      <c r="D54" s="155">
        <f ca="1"/>
        <v>6798281.8759968048</v>
      </c>
    </row>
    <row r="55" spans="1:4">
      <c r="A55">
        <f ca="1"/>
        <v>77</v>
      </c>
      <c r="B55" s="155">
        <f ca="1"/>
        <v>2359221.1321750255</v>
      </c>
      <c r="C55" s="155">
        <f ca="1"/>
        <v>4284352.3560194988</v>
      </c>
      <c r="D55" s="155">
        <f ca="1"/>
        <v>7448988.2458926775</v>
      </c>
    </row>
    <row r="56" spans="1:4">
      <c r="A56">
        <f ca="1"/>
        <v>78</v>
      </c>
      <c r="B56" s="155">
        <f ca="1"/>
        <v>2536673.5309243426</v>
      </c>
      <c r="C56" s="155">
        <f ca="1"/>
        <v>4702319.7824811973</v>
      </c>
      <c r="D56" s="155">
        <f ca="1"/>
        <v>8161002.5599168688</v>
      </c>
    </row>
    <row r="57" spans="1:4">
      <c r="A57">
        <f ca="1"/>
        <v>79</v>
      </c>
      <c r="B57" s="155">
        <f ca="1"/>
        <v>2742547.1687757159</v>
      </c>
      <c r="C57" s="155">
        <f ca="1"/>
        <v>5184786.3174842605</v>
      </c>
      <c r="D57" s="155">
        <f ca="1"/>
        <v>8892551.5821154676</v>
      </c>
    </row>
    <row r="58" spans="1:4">
      <c r="A58">
        <f ca="1"/>
        <v>80</v>
      </c>
      <c r="B58" s="155">
        <f ca="1"/>
        <v>2759304.5534803276</v>
      </c>
      <c r="C58" s="155">
        <f ca="1"/>
        <v>5200758.2284276895</v>
      </c>
      <c r="D58" s="155">
        <f ca="1"/>
        <v>8718425.9845259693</v>
      </c>
    </row>
    <row r="59" spans="1:4">
      <c r="A59">
        <f ca="1"/>
        <v>81</v>
      </c>
      <c r="B59" s="155">
        <f ca="1"/>
        <v>2905996.8082474745</v>
      </c>
      <c r="C59" s="155">
        <f ca="1"/>
        <v>5500150.1834001495</v>
      </c>
      <c r="D59" s="155">
        <f ca="1"/>
        <v>8861444.6030054856</v>
      </c>
    </row>
    <row r="60" spans="1:4">
      <c r="A60">
        <f ca="1"/>
        <v>82</v>
      </c>
      <c r="B60" s="155">
        <f ca="1"/>
        <v>2803064.7737225811</v>
      </c>
      <c r="C60" s="155">
        <f ca="1"/>
        <v>5601569.6703714114</v>
      </c>
      <c r="D60" s="155">
        <f ca="1"/>
        <v>9781815.5338398777</v>
      </c>
    </row>
    <row r="61" spans="1:4">
      <c r="A61">
        <f ca="1"/>
        <v>83</v>
      </c>
      <c r="B61" s="155">
        <f ca="1"/>
        <v>2652135.7800578922</v>
      </c>
      <c r="C61" s="155">
        <f ca="1"/>
        <v>6230906.337247964</v>
      </c>
      <c r="D61" s="155">
        <f ca="1"/>
        <v>10961789.463035533</v>
      </c>
    </row>
    <row r="62" spans="1:4">
      <c r="A62">
        <f ca="1"/>
        <v>84</v>
      </c>
      <c r="B62" s="155">
        <f ca="1"/>
        <v>2612411.1320042461</v>
      </c>
      <c r="C62" s="155">
        <f ca="1"/>
        <v>6585624.5751969442</v>
      </c>
      <c r="D62" s="155">
        <f ca="1"/>
        <v>11797817.834165385</v>
      </c>
    </row>
    <row r="63" spans="1:4">
      <c r="A63">
        <f ca="1"/>
        <v>85</v>
      </c>
      <c r="B63" s="155">
        <f ca="1"/>
        <v>2872750.2103598816</v>
      </c>
      <c r="C63" s="155">
        <f ca="1"/>
        <v>7096841.4122462524</v>
      </c>
      <c r="D63" s="155">
        <f ca="1"/>
        <v>13128731.698509984</v>
      </c>
    </row>
    <row r="64" spans="1:4">
      <c r="A64">
        <f ca="1"/>
        <v>86</v>
      </c>
      <c r="B64" s="155">
        <f ca="1"/>
        <v>2992338.7814240917</v>
      </c>
      <c r="C64" s="155">
        <f ca="1"/>
        <v>7341428.0243710633</v>
      </c>
      <c r="D64" s="155">
        <f ca="1"/>
        <v>15515612.95765138</v>
      </c>
    </row>
    <row r="65" spans="1:4">
      <c r="A65">
        <f ca="1"/>
        <v>87</v>
      </c>
      <c r="B65" s="155">
        <f ca="1"/>
        <v>3198773.9343222128</v>
      </c>
      <c r="C65" s="155">
        <f ca="1"/>
        <v>7516721.7751651388</v>
      </c>
      <c r="D65" s="155">
        <f ca="1"/>
        <v>14643584.682892239</v>
      </c>
    </row>
    <row r="66" spans="1:4">
      <c r="A66">
        <f ca="1"/>
        <v>88</v>
      </c>
      <c r="B66" s="155">
        <f ca="1"/>
        <v>3207393.9616037495</v>
      </c>
      <c r="C66" s="155">
        <f ca="1"/>
        <v>7249726.2631458957</v>
      </c>
      <c r="D66" s="155">
        <f ca="1"/>
        <v>17265306.627725404</v>
      </c>
    </row>
    <row r="67" spans="1:4">
      <c r="A67">
        <f ca="1"/>
        <v>89</v>
      </c>
      <c r="B67" s="155">
        <f ca="1"/>
        <v>3325601.4247342004</v>
      </c>
      <c r="C67" s="155">
        <f ca="1"/>
        <v>7675513.5361197013</v>
      </c>
      <c r="D67" s="155">
        <f ca="1"/>
        <v>19057770.357262865</v>
      </c>
    </row>
    <row r="68" spans="1:4">
      <c r="A68">
        <f ca="1"/>
        <v>90</v>
      </c>
      <c r="B68" s="155">
        <f ca="1"/>
        <v>3489829.8705152618</v>
      </c>
      <c r="C68" s="155">
        <f ca="1"/>
        <v>8386976.0014420617</v>
      </c>
      <c r="D68" s="155">
        <f ca="1"/>
        <v>20474786.944846664</v>
      </c>
    </row>
    <row r="69" spans="1:4">
      <c r="A69">
        <f ca="1"/>
        <v>91</v>
      </c>
      <c r="B69" s="155">
        <f ca="1"/>
        <v>3721805.6950078574</v>
      </c>
      <c r="C69" s="155">
        <f ca="1"/>
        <v>9094607.5547737367</v>
      </c>
      <c r="D69" s="155">
        <f ca="1"/>
        <v>22146193.304491062</v>
      </c>
    </row>
    <row r="70" spans="1:4">
      <c r="A70">
        <f ca="1"/>
        <v>92</v>
      </c>
      <c r="B70" s="155">
        <f ca="1"/>
        <v>4152009.3785901708</v>
      </c>
      <c r="C70" s="155">
        <f ca="1"/>
        <v>9521503.8416793868</v>
      </c>
      <c r="D70" s="155">
        <f ca="1"/>
        <v>23874896.653820507</v>
      </c>
    </row>
    <row r="71" spans="1:4">
      <c r="A71">
        <f ca="1"/>
        <v>93</v>
      </c>
      <c r="B71" s="155">
        <f ca="1"/>
        <v>4181831.6416499596</v>
      </c>
      <c r="C71" s="155">
        <f ca="1"/>
        <v>9062069.1797157638</v>
      </c>
      <c r="D71" s="155">
        <f ca="1"/>
        <v>22778876.425002206</v>
      </c>
    </row>
    <row r="72" spans="1:4">
      <c r="A72">
        <f ca="1"/>
        <v>94</v>
      </c>
      <c r="B72" s="155">
        <f ca="1"/>
        <v>4893605.6585593633</v>
      </c>
      <c r="C72" s="155">
        <f ca="1"/>
        <v>9651108.587836206</v>
      </c>
      <c r="D72" s="155">
        <f ca="1"/>
        <v>25766165.331714727</v>
      </c>
    </row>
    <row r="73" spans="1:4">
      <c r="A73">
        <f ca="1"/>
        <v>95</v>
      </c>
      <c r="B73" s="155">
        <f ca="1"/>
        <v>5135767.0357892793</v>
      </c>
      <c r="C73" s="155">
        <f ca="1"/>
        <v>10263743.693582803</v>
      </c>
      <c r="D73" s="155">
        <f ca="1"/>
        <v>28028160.843258619</v>
      </c>
    </row>
    <row r="74" spans="1:4">
      <c r="A74">
        <f ca="1"/>
        <v>96</v>
      </c>
      <c r="B74" s="155">
        <f ca="1"/>
        <v>5398277.6769938488</v>
      </c>
      <c r="C74" s="155">
        <f ca="1"/>
        <v>11067801.0068982</v>
      </c>
      <c r="D74" s="155">
        <f ca="1"/>
        <v>31125723.396547444</v>
      </c>
    </row>
    <row r="75" spans="1:4">
      <c r="A75">
        <f ca="1"/>
        <v>97</v>
      </c>
      <c r="B75" s="155">
        <f ca="1"/>
        <v>5572938.9060805971</v>
      </c>
      <c r="C75" s="155">
        <f ca="1"/>
        <v>11878374.335980769</v>
      </c>
      <c r="D75" s="155">
        <f ca="1"/>
        <v>31546931.062025141</v>
      </c>
    </row>
    <row r="76" spans="1:4">
      <c r="A76">
        <f ca="1"/>
        <v>98</v>
      </c>
      <c r="B76" s="155">
        <f ca="1"/>
        <v>5767212.3396298289</v>
      </c>
      <c r="C76" s="155">
        <f ca="1"/>
        <v>13546912.653639596</v>
      </c>
      <c r="D76" s="155">
        <f ca="1"/>
        <v>38178972.559186563</v>
      </c>
    </row>
    <row r="77" spans="1:4">
      <c r="A77">
        <f ca="1"/>
        <v>99</v>
      </c>
      <c r="B77" s="155">
        <f ca="1"/>
        <v>6246899.1040069852</v>
      </c>
      <c r="C77" s="155">
        <f ca="1"/>
        <v>14362288.557602517</v>
      </c>
      <c r="D77" s="155">
        <f ca="1"/>
        <v>45908888.093695477</v>
      </c>
    </row>
    <row r="78" spans="1:4">
      <c r="A78">
        <f ca="1"/>
        <v>100</v>
      </c>
      <c r="B78" s="155">
        <f ca="1"/>
        <v>6516316.4562597489</v>
      </c>
      <c r="C78" s="155">
        <f ca="1"/>
        <v>15089199.680240888</v>
      </c>
      <c r="D78" s="155">
        <f ca="1"/>
        <v>48374374.98335629</v>
      </c>
    </row>
  </sheetData>
  <mergeCells count="3">
    <mergeCell ref="A6:B6"/>
    <mergeCell ref="A5:B5"/>
    <mergeCell ref="A3:B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FFEB-EAD9-D846-B83E-C9F5F0F1EF42}">
  <sheetPr codeName="Sheet22"/>
  <dimension ref="A1:LE117"/>
  <sheetViews>
    <sheetView showGridLines="0" zoomScale="106" zoomScaleNormal="162" workbookViewId="0">
      <pane xSplit="1" ySplit="1" topLeftCell="HP2" activePane="bottomRight" state="frozen"/>
      <selection pane="topRight" activeCell="B1" sqref="B1"/>
      <selection pane="bottomLeft" activeCell="A2" sqref="A2"/>
      <selection pane="bottomRight" activeCell="H125" sqref="H125"/>
    </sheetView>
  </sheetViews>
  <sheetFormatPr baseColWidth="10" defaultColWidth="11.42578125" defaultRowHeight="16"/>
  <cols>
    <col min="1" max="1" width="14.28515625" style="92" bestFit="1" customWidth="1"/>
    <col min="2" max="2" width="8.85546875" style="92" bestFit="1" customWidth="1"/>
    <col min="3" max="3" width="10.5703125" style="92" bestFit="1" customWidth="1"/>
    <col min="4" max="4" width="7.28515625" style="92" bestFit="1" customWidth="1"/>
    <col min="5" max="5" width="11.42578125" style="92"/>
    <col min="6" max="6" width="16.140625" style="92" bestFit="1" customWidth="1"/>
    <col min="7" max="7" width="11.140625" style="92" bestFit="1" customWidth="1"/>
    <col min="8" max="8" width="11.85546875" style="92" bestFit="1" customWidth="1"/>
    <col min="9" max="9" width="11.5703125" style="92" bestFit="1" customWidth="1"/>
    <col min="10" max="10" width="7" style="92" bestFit="1" customWidth="1"/>
    <col min="11" max="11" width="10.140625" style="92" bestFit="1" customWidth="1"/>
    <col min="12" max="12" width="6.5703125" style="92" bestFit="1" customWidth="1"/>
    <col min="13" max="13" width="6" style="92" customWidth="1"/>
    <col min="14" max="113" width="11.85546875" style="92" customWidth="1"/>
    <col min="114" max="114" width="11.42578125" style="92"/>
    <col min="115" max="115" width="5.7109375" style="92" customWidth="1"/>
    <col min="116" max="124" width="13.28515625" style="92" bestFit="1" customWidth="1"/>
    <col min="125" max="209" width="14.140625" style="92" bestFit="1" customWidth="1"/>
    <col min="210" max="210" width="14.140625" style="92" customWidth="1"/>
    <col min="211" max="214" width="14.140625" style="92" bestFit="1" customWidth="1"/>
    <col min="215" max="215" width="15" style="92" bestFit="1" customWidth="1"/>
    <col min="216" max="16384" width="11.42578125" style="92"/>
  </cols>
  <sheetData>
    <row r="1" spans="1:317" ht="52" thickBot="1">
      <c r="A1" s="80" t="s">
        <v>1</v>
      </c>
      <c r="B1" s="80" t="s">
        <v>26</v>
      </c>
      <c r="C1" s="81" t="s">
        <v>93</v>
      </c>
      <c r="D1" s="81" t="s">
        <v>112</v>
      </c>
      <c r="E1" s="81"/>
      <c r="F1" s="81"/>
      <c r="G1" s="81" t="s">
        <v>14</v>
      </c>
      <c r="H1" s="81" t="s">
        <v>85</v>
      </c>
      <c r="I1" s="81" t="s">
        <v>39</v>
      </c>
      <c r="J1" s="81" t="s">
        <v>75</v>
      </c>
      <c r="L1"/>
      <c r="M1" s="116" t="s">
        <v>125</v>
      </c>
      <c r="N1" s="114" t="s">
        <v>134</v>
      </c>
      <c r="O1" s="114" t="s">
        <v>135</v>
      </c>
      <c r="P1" s="114" t="s">
        <v>136</v>
      </c>
      <c r="Q1" s="114" t="s">
        <v>137</v>
      </c>
      <c r="R1" s="114" t="s">
        <v>138</v>
      </c>
      <c r="S1" s="114" t="s">
        <v>139</v>
      </c>
      <c r="T1" s="114" t="s">
        <v>140</v>
      </c>
      <c r="U1" s="114" t="s">
        <v>141</v>
      </c>
      <c r="V1" s="114" t="s">
        <v>142</v>
      </c>
      <c r="W1" s="114" t="s">
        <v>143</v>
      </c>
      <c r="X1" s="114" t="s">
        <v>144</v>
      </c>
      <c r="Y1" s="114" t="s">
        <v>145</v>
      </c>
      <c r="Z1" s="114" t="s">
        <v>146</v>
      </c>
      <c r="AA1" s="114" t="s">
        <v>147</v>
      </c>
      <c r="AB1" s="114" t="s">
        <v>148</v>
      </c>
      <c r="AC1" s="114" t="s">
        <v>149</v>
      </c>
      <c r="AD1" s="114" t="s">
        <v>150</v>
      </c>
      <c r="AE1" s="114" t="s">
        <v>151</v>
      </c>
      <c r="AF1" s="114" t="s">
        <v>152</v>
      </c>
      <c r="AG1" s="114" t="s">
        <v>153</v>
      </c>
      <c r="AH1" s="114" t="s">
        <v>154</v>
      </c>
      <c r="AI1" s="114" t="s">
        <v>155</v>
      </c>
      <c r="AJ1" s="114" t="s">
        <v>156</v>
      </c>
      <c r="AK1" s="114" t="s">
        <v>157</v>
      </c>
      <c r="AL1" s="114" t="s">
        <v>158</v>
      </c>
      <c r="AM1" s="114" t="s">
        <v>159</v>
      </c>
      <c r="AN1" s="114" t="s">
        <v>160</v>
      </c>
      <c r="AO1" s="114" t="s">
        <v>161</v>
      </c>
      <c r="AP1" s="114" t="s">
        <v>162</v>
      </c>
      <c r="AQ1" s="114" t="s">
        <v>163</v>
      </c>
      <c r="AR1" s="114" t="s">
        <v>164</v>
      </c>
      <c r="AS1" s="114" t="s">
        <v>165</v>
      </c>
      <c r="AT1" s="114" t="s">
        <v>166</v>
      </c>
      <c r="AU1" s="114" t="s">
        <v>167</v>
      </c>
      <c r="AV1" s="114" t="s">
        <v>168</v>
      </c>
      <c r="AW1" s="114" t="s">
        <v>169</v>
      </c>
      <c r="AX1" s="114" t="s">
        <v>170</v>
      </c>
      <c r="AY1" s="114" t="s">
        <v>171</v>
      </c>
      <c r="AZ1" s="114" t="s">
        <v>172</v>
      </c>
      <c r="BA1" s="114" t="s">
        <v>173</v>
      </c>
      <c r="BB1" s="114" t="s">
        <v>174</v>
      </c>
      <c r="BC1" s="114" t="s">
        <v>175</v>
      </c>
      <c r="BD1" s="114" t="s">
        <v>176</v>
      </c>
      <c r="BE1" s="114" t="s">
        <v>177</v>
      </c>
      <c r="BF1" s="114" t="s">
        <v>178</v>
      </c>
      <c r="BG1" s="114" t="s">
        <v>179</v>
      </c>
      <c r="BH1" s="114" t="s">
        <v>180</v>
      </c>
      <c r="BI1" s="114" t="s">
        <v>181</v>
      </c>
      <c r="BJ1" s="114" t="s">
        <v>182</v>
      </c>
      <c r="BK1" s="114" t="s">
        <v>183</v>
      </c>
      <c r="BL1" s="114" t="s">
        <v>184</v>
      </c>
      <c r="BM1" s="114" t="s">
        <v>185</v>
      </c>
      <c r="BN1" s="114" t="s">
        <v>186</v>
      </c>
      <c r="BO1" s="114" t="s">
        <v>187</v>
      </c>
      <c r="BP1" s="114" t="s">
        <v>188</v>
      </c>
      <c r="BQ1" s="114" t="s">
        <v>189</v>
      </c>
      <c r="BR1" s="114" t="s">
        <v>190</v>
      </c>
      <c r="BS1" s="114" t="s">
        <v>191</v>
      </c>
      <c r="BT1" s="114" t="s">
        <v>192</v>
      </c>
      <c r="BU1" s="114" t="s">
        <v>193</v>
      </c>
      <c r="BV1" s="114" t="s">
        <v>194</v>
      </c>
      <c r="BW1" s="114" t="s">
        <v>195</v>
      </c>
      <c r="BX1" s="114" t="s">
        <v>196</v>
      </c>
      <c r="BY1" s="114" t="s">
        <v>197</v>
      </c>
      <c r="BZ1" s="114" t="s">
        <v>198</v>
      </c>
      <c r="CA1" s="114" t="s">
        <v>199</v>
      </c>
      <c r="CB1" s="114" t="s">
        <v>200</v>
      </c>
      <c r="CC1" s="114" t="s">
        <v>201</v>
      </c>
      <c r="CD1" s="114" t="s">
        <v>202</v>
      </c>
      <c r="CE1" s="114" t="s">
        <v>203</v>
      </c>
      <c r="CF1" s="114" t="s">
        <v>204</v>
      </c>
      <c r="CG1" s="114" t="s">
        <v>205</v>
      </c>
      <c r="CH1" s="114" t="s">
        <v>206</v>
      </c>
      <c r="CI1" s="114" t="s">
        <v>207</v>
      </c>
      <c r="CJ1" s="114" t="s">
        <v>208</v>
      </c>
      <c r="CK1" s="114" t="s">
        <v>209</v>
      </c>
      <c r="CL1" s="114" t="s">
        <v>210</v>
      </c>
      <c r="CM1" s="114" t="s">
        <v>211</v>
      </c>
      <c r="CN1" s="114" t="s">
        <v>212</v>
      </c>
      <c r="CO1" s="114" t="s">
        <v>213</v>
      </c>
      <c r="CP1" s="114" t="s">
        <v>214</v>
      </c>
      <c r="CQ1" s="114" t="s">
        <v>215</v>
      </c>
      <c r="CR1" s="114" t="s">
        <v>216</v>
      </c>
      <c r="CS1" s="114" t="s">
        <v>217</v>
      </c>
      <c r="CT1" s="114" t="s">
        <v>218</v>
      </c>
      <c r="CU1" s="114" t="s">
        <v>219</v>
      </c>
      <c r="CV1" s="114" t="s">
        <v>220</v>
      </c>
      <c r="CW1" s="114" t="s">
        <v>221</v>
      </c>
      <c r="CX1" s="114" t="s">
        <v>222</v>
      </c>
      <c r="CY1" s="114" t="s">
        <v>223</v>
      </c>
      <c r="CZ1" s="114" t="s">
        <v>224</v>
      </c>
      <c r="DA1" s="114" t="s">
        <v>225</v>
      </c>
      <c r="DB1" s="114" t="s">
        <v>226</v>
      </c>
      <c r="DC1" s="114" t="s">
        <v>227</v>
      </c>
      <c r="DD1" s="114" t="s">
        <v>228</v>
      </c>
      <c r="DE1" s="114" t="s">
        <v>229</v>
      </c>
      <c r="DF1" s="114" t="s">
        <v>230</v>
      </c>
      <c r="DG1" s="114" t="s">
        <v>231</v>
      </c>
      <c r="DH1" s="114" t="s">
        <v>232</v>
      </c>
      <c r="DI1" s="114" t="s">
        <v>233</v>
      </c>
      <c r="DK1" s="116" t="s">
        <v>125</v>
      </c>
      <c r="DL1" s="114" t="s">
        <v>235</v>
      </c>
      <c r="DM1" s="114" t="s">
        <v>236</v>
      </c>
      <c r="DN1" s="114" t="s">
        <v>237</v>
      </c>
      <c r="DO1" s="114" t="s">
        <v>238</v>
      </c>
      <c r="DP1" s="114" t="s">
        <v>239</v>
      </c>
      <c r="DQ1" s="114" t="s">
        <v>240</v>
      </c>
      <c r="DR1" s="114" t="s">
        <v>241</v>
      </c>
      <c r="DS1" s="114" t="s">
        <v>242</v>
      </c>
      <c r="DT1" s="114" t="s">
        <v>243</v>
      </c>
      <c r="DU1" s="114" t="s">
        <v>244</v>
      </c>
      <c r="DV1" s="114" t="s">
        <v>245</v>
      </c>
      <c r="DW1" s="114" t="s">
        <v>246</v>
      </c>
      <c r="DX1" s="114" t="s">
        <v>247</v>
      </c>
      <c r="DY1" s="114" t="s">
        <v>248</v>
      </c>
      <c r="DZ1" s="114" t="s">
        <v>249</v>
      </c>
      <c r="EA1" s="114" t="s">
        <v>250</v>
      </c>
      <c r="EB1" s="114" t="s">
        <v>251</v>
      </c>
      <c r="EC1" s="114" t="s">
        <v>252</v>
      </c>
      <c r="ED1" s="114" t="s">
        <v>253</v>
      </c>
      <c r="EE1" s="114" t="s">
        <v>254</v>
      </c>
      <c r="EF1" s="114" t="s">
        <v>255</v>
      </c>
      <c r="EG1" s="114" t="s">
        <v>256</v>
      </c>
      <c r="EH1" s="114" t="s">
        <v>257</v>
      </c>
      <c r="EI1" s="114" t="s">
        <v>258</v>
      </c>
      <c r="EJ1" s="114" t="s">
        <v>259</v>
      </c>
      <c r="EK1" s="114" t="s">
        <v>260</v>
      </c>
      <c r="EL1" s="114" t="s">
        <v>261</v>
      </c>
      <c r="EM1" s="114" t="s">
        <v>262</v>
      </c>
      <c r="EN1" s="114" t="s">
        <v>263</v>
      </c>
      <c r="EO1" s="114" t="s">
        <v>264</v>
      </c>
      <c r="EP1" s="114" t="s">
        <v>265</v>
      </c>
      <c r="EQ1" s="114" t="s">
        <v>266</v>
      </c>
      <c r="ER1" s="114" t="s">
        <v>267</v>
      </c>
      <c r="ES1" s="114" t="s">
        <v>268</v>
      </c>
      <c r="ET1" s="114" t="s">
        <v>269</v>
      </c>
      <c r="EU1" s="114" t="s">
        <v>270</v>
      </c>
      <c r="EV1" s="114" t="s">
        <v>271</v>
      </c>
      <c r="EW1" s="114" t="s">
        <v>272</v>
      </c>
      <c r="EX1" s="114" t="s">
        <v>273</v>
      </c>
      <c r="EY1" s="114" t="s">
        <v>274</v>
      </c>
      <c r="EZ1" s="114" t="s">
        <v>275</v>
      </c>
      <c r="FA1" s="114" t="s">
        <v>276</v>
      </c>
      <c r="FB1" s="114" t="s">
        <v>277</v>
      </c>
      <c r="FC1" s="114" t="s">
        <v>278</v>
      </c>
      <c r="FD1" s="114" t="s">
        <v>279</v>
      </c>
      <c r="FE1" s="114" t="s">
        <v>280</v>
      </c>
      <c r="FF1" s="114" t="s">
        <v>281</v>
      </c>
      <c r="FG1" s="114" t="s">
        <v>282</v>
      </c>
      <c r="FH1" s="114" t="s">
        <v>283</v>
      </c>
      <c r="FI1" s="114" t="s">
        <v>284</v>
      </c>
      <c r="FJ1" s="114" t="s">
        <v>285</v>
      </c>
      <c r="FK1" s="114" t="s">
        <v>286</v>
      </c>
      <c r="FL1" s="114" t="s">
        <v>287</v>
      </c>
      <c r="FM1" s="114" t="s">
        <v>288</v>
      </c>
      <c r="FN1" s="114" t="s">
        <v>289</v>
      </c>
      <c r="FO1" s="114" t="s">
        <v>290</v>
      </c>
      <c r="FP1" s="114" t="s">
        <v>291</v>
      </c>
      <c r="FQ1" s="114" t="s">
        <v>292</v>
      </c>
      <c r="FR1" s="114" t="s">
        <v>293</v>
      </c>
      <c r="FS1" s="114" t="s">
        <v>294</v>
      </c>
      <c r="FT1" s="114" t="s">
        <v>295</v>
      </c>
      <c r="FU1" s="114" t="s">
        <v>296</v>
      </c>
      <c r="FV1" s="114" t="s">
        <v>297</v>
      </c>
      <c r="FW1" s="114" t="s">
        <v>298</v>
      </c>
      <c r="FX1" s="114" t="s">
        <v>299</v>
      </c>
      <c r="FY1" s="114" t="s">
        <v>300</v>
      </c>
      <c r="FZ1" s="114" t="s">
        <v>301</v>
      </c>
      <c r="GA1" s="114" t="s">
        <v>302</v>
      </c>
      <c r="GB1" s="114" t="s">
        <v>303</v>
      </c>
      <c r="GC1" s="114" t="s">
        <v>304</v>
      </c>
      <c r="GD1" s="114" t="s">
        <v>305</v>
      </c>
      <c r="GE1" s="114" t="s">
        <v>306</v>
      </c>
      <c r="GF1" s="114" t="s">
        <v>307</v>
      </c>
      <c r="GG1" s="114" t="s">
        <v>308</v>
      </c>
      <c r="GH1" s="114" t="s">
        <v>309</v>
      </c>
      <c r="GI1" s="114" t="s">
        <v>310</v>
      </c>
      <c r="GJ1" s="114" t="s">
        <v>311</v>
      </c>
      <c r="GK1" s="114" t="s">
        <v>312</v>
      </c>
      <c r="GL1" s="114" t="s">
        <v>313</v>
      </c>
      <c r="GM1" s="114" t="s">
        <v>314</v>
      </c>
      <c r="GN1" s="114" t="s">
        <v>315</v>
      </c>
      <c r="GO1" s="114" t="s">
        <v>316</v>
      </c>
      <c r="GP1" s="114" t="s">
        <v>317</v>
      </c>
      <c r="GQ1" s="114" t="s">
        <v>318</v>
      </c>
      <c r="GR1" s="114" t="s">
        <v>319</v>
      </c>
      <c r="GS1" s="114" t="s">
        <v>320</v>
      </c>
      <c r="GT1" s="114" t="s">
        <v>321</v>
      </c>
      <c r="GU1" s="114" t="s">
        <v>322</v>
      </c>
      <c r="GV1" s="114" t="s">
        <v>323</v>
      </c>
      <c r="GW1" s="114" t="s">
        <v>324</v>
      </c>
      <c r="GX1" s="114" t="s">
        <v>325</v>
      </c>
      <c r="GY1" s="114" t="s">
        <v>326</v>
      </c>
      <c r="GZ1" s="114" t="s">
        <v>327</v>
      </c>
      <c r="HA1" s="114" t="s">
        <v>328</v>
      </c>
      <c r="HB1" s="114" t="s">
        <v>329</v>
      </c>
      <c r="HC1" s="114" t="s">
        <v>330</v>
      </c>
      <c r="HD1" s="114" t="s">
        <v>331</v>
      </c>
      <c r="HE1" s="114" t="s">
        <v>332</v>
      </c>
      <c r="HF1" s="114" t="s">
        <v>333</v>
      </c>
      <c r="HG1" s="114" t="s">
        <v>334</v>
      </c>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row>
    <row r="2" spans="1:317">
      <c r="A2" s="90">
        <v>1928</v>
      </c>
      <c r="B2" s="82">
        <v>0.43811155152887893</v>
      </c>
      <c r="C2" s="83">
        <v>0.59909999999999997</v>
      </c>
      <c r="D2" s="83">
        <f>(B2*$B$103)+(C2*$C$103)</f>
        <v>0.47030924122310314</v>
      </c>
      <c r="E2" s="83"/>
      <c r="F2" s="83"/>
      <c r="G2" s="83">
        <v>3.0800000000000001E-2</v>
      </c>
      <c r="H2" s="83">
        <v>8.354708589799302E-3</v>
      </c>
      <c r="I2" s="83">
        <v>3.2195514702324381E-2</v>
      </c>
      <c r="J2" s="83">
        <v>9.6899224806201723E-4</v>
      </c>
      <c r="L2" s="102"/>
      <c r="M2" s="115">
        <f>Dashboard!C3</f>
        <v>51</v>
      </c>
      <c r="N2" s="142">
        <f ca="1">_xlfn.NORM.INV(RAND(),$B$112,$B$113)</f>
        <v>-1.3641304150728825E-2</v>
      </c>
      <c r="O2" s="142">
        <f t="shared" ref="O2:BZ5" ca="1" si="0">_xlfn.NORM.INV(RAND(),$B$112,$B$113)</f>
        <v>-2.0569858668756436E-2</v>
      </c>
      <c r="P2" s="142">
        <f t="shared" ca="1" si="0"/>
        <v>0.2427394333730932</v>
      </c>
      <c r="Q2" s="142">
        <f t="shared" ca="1" si="0"/>
        <v>2.1954887277980104E-2</v>
      </c>
      <c r="R2" s="142">
        <f t="shared" ca="1" si="0"/>
        <v>-7.8027707182205419E-2</v>
      </c>
      <c r="S2" s="142">
        <f t="shared" ca="1" si="0"/>
        <v>0.21897415283098434</v>
      </c>
      <c r="T2" s="142">
        <f t="shared" ca="1" si="0"/>
        <v>9.1353114457897622E-2</v>
      </c>
      <c r="U2" s="142">
        <f t="shared" ca="1" si="0"/>
        <v>-0.30313400136859725</v>
      </c>
      <c r="V2" s="142">
        <f t="shared" ca="1" si="0"/>
        <v>1.4928363967190134E-2</v>
      </c>
      <c r="W2" s="142">
        <f t="shared" ca="1" si="0"/>
        <v>0.18541814684808042</v>
      </c>
      <c r="X2" s="142">
        <f t="shared" ca="1" si="0"/>
        <v>0.53403476495327673</v>
      </c>
      <c r="Y2" s="142">
        <f t="shared" ca="1" si="0"/>
        <v>-0.41571785887415647</v>
      </c>
      <c r="Z2" s="142">
        <f t="shared" ca="1" si="0"/>
        <v>-2.7773382795593687E-2</v>
      </c>
      <c r="AA2" s="142">
        <f t="shared" ca="1" si="0"/>
        <v>-0.45194727567504633</v>
      </c>
      <c r="AB2" s="142">
        <f t="shared" ca="1" si="0"/>
        <v>-5.630204183625398E-2</v>
      </c>
      <c r="AC2" s="142">
        <f t="shared" ca="1" si="0"/>
        <v>0.46122476761579967</v>
      </c>
      <c r="AD2" s="142">
        <f t="shared" ca="1" si="0"/>
        <v>0.31079251328744956</v>
      </c>
      <c r="AE2" s="142">
        <f t="shared" ca="1" si="0"/>
        <v>0.21538933883258377</v>
      </c>
      <c r="AF2" s="142">
        <f t="shared" ca="1" si="0"/>
        <v>-8.9949098072828193E-3</v>
      </c>
      <c r="AG2" s="142">
        <f t="shared" ca="1" si="0"/>
        <v>0.17519156157002397</v>
      </c>
      <c r="AH2" s="142">
        <f t="shared" ca="1" si="0"/>
        <v>0.20960347828153619</v>
      </c>
      <c r="AI2" s="142">
        <f t="shared" ca="1" si="0"/>
        <v>-3.8678705539247293E-2</v>
      </c>
      <c r="AJ2" s="142">
        <f t="shared" ca="1" si="0"/>
        <v>-8.1718039222391847E-2</v>
      </c>
      <c r="AK2" s="142">
        <f t="shared" ca="1" si="0"/>
        <v>0.15910802047104233</v>
      </c>
      <c r="AL2" s="142">
        <f t="shared" ca="1" si="0"/>
        <v>7.5924478427057018E-2</v>
      </c>
      <c r="AM2" s="142">
        <f t="shared" ca="1" si="0"/>
        <v>-0.27275266529041287</v>
      </c>
      <c r="AN2" s="142">
        <f t="shared" ca="1" si="0"/>
        <v>0.16716900705674229</v>
      </c>
      <c r="AO2" s="142">
        <f t="shared" ca="1" si="0"/>
        <v>0.15828545171033176</v>
      </c>
      <c r="AP2" s="142">
        <f t="shared" ca="1" si="0"/>
        <v>0.19763608915363601</v>
      </c>
      <c r="AQ2" s="142">
        <f t="shared" ca="1" si="0"/>
        <v>0.21605671343667104</v>
      </c>
      <c r="AR2" s="142">
        <f t="shared" ca="1" si="0"/>
        <v>-3.9430236941138536E-2</v>
      </c>
      <c r="AS2" s="142">
        <f t="shared" ca="1" si="0"/>
        <v>0.12050311334005961</v>
      </c>
      <c r="AT2" s="142">
        <f t="shared" ca="1" si="0"/>
        <v>-3.8606650404587939E-2</v>
      </c>
      <c r="AU2" s="142">
        <f t="shared" ca="1" si="0"/>
        <v>0.28189376728340892</v>
      </c>
      <c r="AV2" s="142">
        <f t="shared" ca="1" si="0"/>
        <v>-3.9601263075108445E-3</v>
      </c>
      <c r="AW2" s="142">
        <f t="shared" ca="1" si="0"/>
        <v>0.11313061566379101</v>
      </c>
      <c r="AX2" s="142">
        <f t="shared" ca="1" si="0"/>
        <v>-0.10130176964192888</v>
      </c>
      <c r="AY2" s="142">
        <f t="shared" ca="1" si="0"/>
        <v>6.3753296643961399E-2</v>
      </c>
      <c r="AZ2" s="142">
        <f t="shared" ca="1" si="0"/>
        <v>-6.2678794953304195E-2</v>
      </c>
      <c r="BA2" s="142">
        <f t="shared" ca="1" si="0"/>
        <v>-0.23757247790769728</v>
      </c>
      <c r="BB2" s="142">
        <f t="shared" ca="1" si="0"/>
        <v>-3.5546735640380911E-2</v>
      </c>
      <c r="BC2" s="142">
        <f t="shared" ca="1" si="0"/>
        <v>-3.651968714728146E-2</v>
      </c>
      <c r="BD2" s="142">
        <f t="shared" ca="1" si="0"/>
        <v>4.7616503745882083E-2</v>
      </c>
      <c r="BE2" s="142">
        <f t="shared" ca="1" si="0"/>
        <v>0.38591098622728903</v>
      </c>
      <c r="BF2" s="142">
        <f t="shared" ca="1" si="0"/>
        <v>-0.17780415598493363</v>
      </c>
      <c r="BG2" s="142">
        <f t="shared" ca="1" si="0"/>
        <v>-0.14713035313149075</v>
      </c>
      <c r="BH2" s="142">
        <f t="shared" ca="1" si="0"/>
        <v>-2.4499361259852526E-2</v>
      </c>
      <c r="BI2" s="142">
        <f t="shared" ca="1" si="0"/>
        <v>-0.16654730443458668</v>
      </c>
      <c r="BJ2" s="142">
        <f t="shared" ca="1" si="0"/>
        <v>-0.13623243391208245</v>
      </c>
      <c r="BK2" s="142">
        <f t="shared" ca="1" si="0"/>
        <v>0.17195838194480062</v>
      </c>
      <c r="BL2" s="142">
        <f t="shared" ca="1" si="0"/>
        <v>-0.13651523965532819</v>
      </c>
      <c r="BM2" s="142">
        <f t="shared" ca="1" si="0"/>
        <v>0.13195127696478165</v>
      </c>
      <c r="BN2" s="142">
        <f t="shared" ca="1" si="0"/>
        <v>0.10470044713209271</v>
      </c>
      <c r="BO2" s="142">
        <f t="shared" ca="1" si="0"/>
        <v>-0.17301980739211362</v>
      </c>
      <c r="BP2" s="142">
        <f t="shared" ca="1" si="0"/>
        <v>6.8872043564389987E-2</v>
      </c>
      <c r="BQ2" s="142">
        <f t="shared" ca="1" si="0"/>
        <v>0.1544718870251027</v>
      </c>
      <c r="BR2" s="142">
        <f t="shared" ca="1" si="0"/>
        <v>0.4758900931564759</v>
      </c>
      <c r="BS2" s="142">
        <f t="shared" ca="1" si="0"/>
        <v>0.51983981107260646</v>
      </c>
      <c r="BT2" s="142">
        <f t="shared" ca="1" si="0"/>
        <v>0.39779075830172217</v>
      </c>
      <c r="BU2" s="142">
        <f t="shared" ca="1" si="0"/>
        <v>-0.22216950897481616</v>
      </c>
      <c r="BV2" s="142">
        <f t="shared" ca="1" si="0"/>
        <v>0.17574988023545346</v>
      </c>
      <c r="BW2" s="142">
        <f t="shared" ca="1" si="0"/>
        <v>-0.13591441424300768</v>
      </c>
      <c r="BX2" s="142">
        <f t="shared" ca="1" si="0"/>
        <v>0.10042774718283973</v>
      </c>
      <c r="BY2" s="142">
        <f t="shared" ca="1" si="0"/>
        <v>0.20964807939857164</v>
      </c>
      <c r="BZ2" s="142">
        <f t="shared" ca="1" si="0"/>
        <v>0.10974491735876728</v>
      </c>
      <c r="CA2" s="142">
        <f t="shared" ref="CA2:DI4" ca="1" si="1">_xlfn.NORM.INV(RAND(),$B$112,$B$113)</f>
        <v>0.19508124189675374</v>
      </c>
      <c r="CB2" s="142">
        <f t="shared" ca="1" si="1"/>
        <v>0.34708537944147544</v>
      </c>
      <c r="CC2" s="142">
        <f t="shared" ca="1" si="1"/>
        <v>0.26731747165163278</v>
      </c>
      <c r="CD2" s="142">
        <f t="shared" ca="1" si="1"/>
        <v>0.22718250377591753</v>
      </c>
      <c r="CE2" s="142">
        <f t="shared" ca="1" si="1"/>
        <v>7.1165573610226351E-2</v>
      </c>
      <c r="CF2" s="142">
        <f t="shared" ca="1" si="1"/>
        <v>0.20902360061085534</v>
      </c>
      <c r="CG2" s="142">
        <f t="shared" ca="1" si="1"/>
        <v>-1.6397194869610138E-2</v>
      </c>
      <c r="CH2" s="142">
        <f t="shared" ca="1" si="1"/>
        <v>-7.7504745823534227E-2</v>
      </c>
      <c r="CI2" s="142">
        <f t="shared" ca="1" si="1"/>
        <v>-9.6526452884892783E-2</v>
      </c>
      <c r="CJ2" s="142">
        <f t="shared" ca="1" si="1"/>
        <v>6.5729087992564522E-2</v>
      </c>
      <c r="CK2" s="142">
        <f t="shared" ca="1" si="1"/>
        <v>0.23053296476529742</v>
      </c>
      <c r="CL2" s="142">
        <f t="shared" ca="1" si="1"/>
        <v>0.34833185561489588</v>
      </c>
      <c r="CM2" s="142">
        <f t="shared" ca="1" si="1"/>
        <v>-5.6895050483353693E-2</v>
      </c>
      <c r="CN2" s="142">
        <f t="shared" ca="1" si="1"/>
        <v>0.33895999287224321</v>
      </c>
      <c r="CO2" s="142">
        <f t="shared" ca="1" si="1"/>
        <v>-0.18115400670846096</v>
      </c>
      <c r="CP2" s="142">
        <f t="shared" ca="1" si="1"/>
        <v>0.13384598807083228</v>
      </c>
      <c r="CQ2" s="142">
        <f t="shared" ca="1" si="1"/>
        <v>3.3698490850872953E-2</v>
      </c>
      <c r="CR2" s="142">
        <f t="shared" ca="1" si="1"/>
        <v>-1.7359418984992103E-3</v>
      </c>
      <c r="CS2" s="142">
        <f t="shared" ca="1" si="1"/>
        <v>0.22547074795517694</v>
      </c>
      <c r="CT2" s="142">
        <f t="shared" ca="1" si="1"/>
        <v>-9.1934240356050134E-2</v>
      </c>
      <c r="CU2" s="142">
        <f t="shared" ca="1" si="1"/>
        <v>3.7379814056506526E-2</v>
      </c>
      <c r="CV2" s="142">
        <f t="shared" ca="1" si="1"/>
        <v>-1.1987974457374692E-2</v>
      </c>
      <c r="CW2" s="142">
        <f t="shared" ca="1" si="1"/>
        <v>7.6449239543069897E-2</v>
      </c>
      <c r="CX2" s="142">
        <f t="shared" ca="1" si="1"/>
        <v>0.22734756035489778</v>
      </c>
      <c r="CY2" s="142">
        <f t="shared" ca="1" si="1"/>
        <v>-9.8251233033833013E-2</v>
      </c>
      <c r="CZ2" s="142">
        <f t="shared" ca="1" si="1"/>
        <v>0.24436252066362288</v>
      </c>
      <c r="DA2" s="142">
        <f t="shared" ca="1" si="1"/>
        <v>0.43145836967856699</v>
      </c>
      <c r="DB2" s="142">
        <f t="shared" ca="1" si="1"/>
        <v>0.41651902869466595</v>
      </c>
      <c r="DC2" s="142">
        <f t="shared" ca="1" si="1"/>
        <v>8.7068024064601623E-2</v>
      </c>
      <c r="DD2" s="142">
        <f t="shared" ca="1" si="1"/>
        <v>0.32405523573326628</v>
      </c>
      <c r="DE2" s="142">
        <f t="shared" ca="1" si="1"/>
        <v>0.20061003929537452</v>
      </c>
      <c r="DF2" s="142">
        <f t="shared" ca="1" si="1"/>
        <v>-6.5919385502684918E-2</v>
      </c>
      <c r="DG2" s="142">
        <f t="shared" ca="1" si="1"/>
        <v>0.17356696483283546</v>
      </c>
      <c r="DH2" s="142">
        <f t="shared" ca="1" si="1"/>
        <v>3.497963032225003E-2</v>
      </c>
      <c r="DI2" s="142">
        <f t="shared" ca="1" si="1"/>
        <v>0.2937988997240889</v>
      </c>
      <c r="DK2" s="118">
        <f>Dashboard!C3</f>
        <v>51</v>
      </c>
      <c r="DL2" s="142">
        <f ca="1">_xlfn.NORM.INV(RAND(),$B$116,$B$117)</f>
        <v>9.5869265310657745E-2</v>
      </c>
      <c r="DM2" s="142">
        <f t="shared" ref="DM2:FX5" ca="1" si="2">_xlfn.NORM.INV(RAND(),$B$116,$B$117)</f>
        <v>-3.3462832457076923E-2</v>
      </c>
      <c r="DN2" s="142">
        <f t="shared" ca="1" si="2"/>
        <v>-1.9631592271461544E-2</v>
      </c>
      <c r="DO2" s="142">
        <f t="shared" ca="1" si="2"/>
        <v>-4.926095204833119E-2</v>
      </c>
      <c r="DP2" s="142">
        <f t="shared" ca="1" si="2"/>
        <v>-2.2991512127320278E-2</v>
      </c>
      <c r="DQ2" s="142">
        <f t="shared" ca="1" si="2"/>
        <v>-5.0011932851057248E-3</v>
      </c>
      <c r="DR2" s="142">
        <f t="shared" ca="1" si="2"/>
        <v>0.12754197292349662</v>
      </c>
      <c r="DS2" s="142">
        <f t="shared" ca="1" si="2"/>
        <v>0.11946214925258322</v>
      </c>
      <c r="DT2" s="142">
        <f t="shared" ca="1" si="2"/>
        <v>-4.809093852293609E-2</v>
      </c>
      <c r="DU2" s="142">
        <f t="shared" ca="1" si="2"/>
        <v>0.113659365505421</v>
      </c>
      <c r="DV2" s="142">
        <f t="shared" ca="1" si="2"/>
        <v>2.9131461215072384E-2</v>
      </c>
      <c r="DW2" s="142">
        <f t="shared" ca="1" si="2"/>
        <v>-2.096769486661703E-2</v>
      </c>
      <c r="DX2" s="142">
        <f t="shared" ca="1" si="2"/>
        <v>-2.4544084624526709E-2</v>
      </c>
      <c r="DY2" s="142">
        <f t="shared" ca="1" si="2"/>
        <v>0.10526798800784351</v>
      </c>
      <c r="DZ2" s="142">
        <f t="shared" ca="1" si="2"/>
        <v>7.3998706956721283E-2</v>
      </c>
      <c r="EA2" s="142">
        <f t="shared" ca="1" si="2"/>
        <v>-2.4360128580755307E-2</v>
      </c>
      <c r="EB2" s="142">
        <f t="shared" ca="1" si="2"/>
        <v>1.2638680904730318E-2</v>
      </c>
      <c r="EC2" s="142">
        <f t="shared" ca="1" si="2"/>
        <v>-3.3618868612204221E-2</v>
      </c>
      <c r="ED2" s="142">
        <f t="shared" ca="1" si="2"/>
        <v>0.13148426626515847</v>
      </c>
      <c r="EE2" s="142">
        <f t="shared" ca="1" si="2"/>
        <v>8.3703577741979979E-2</v>
      </c>
      <c r="EF2" s="142">
        <f t="shared" ca="1" si="2"/>
        <v>0.12164067985267113</v>
      </c>
      <c r="EG2" s="142">
        <f t="shared" ca="1" si="2"/>
        <v>-6.0528288844494356E-2</v>
      </c>
      <c r="EH2" s="142">
        <f t="shared" ca="1" si="2"/>
        <v>3.5548009757279335E-2</v>
      </c>
      <c r="EI2" s="142">
        <f t="shared" ca="1" si="2"/>
        <v>0.13240000516000081</v>
      </c>
      <c r="EJ2" s="142">
        <f t="shared" ca="1" si="2"/>
        <v>-0.10845242913939401</v>
      </c>
      <c r="EK2" s="142">
        <f t="shared" ca="1" si="2"/>
        <v>-0.1595829070674542</v>
      </c>
      <c r="EL2" s="142">
        <f t="shared" ca="1" si="2"/>
        <v>4.9092816558401461E-2</v>
      </c>
      <c r="EM2" s="142">
        <f t="shared" ca="1" si="2"/>
        <v>-6.3901406984069459E-2</v>
      </c>
      <c r="EN2" s="142">
        <f t="shared" ca="1" si="2"/>
        <v>0.17479406149982007</v>
      </c>
      <c r="EO2" s="142">
        <f t="shared" ca="1" si="2"/>
        <v>4.8589961723999042E-2</v>
      </c>
      <c r="EP2" s="142">
        <f t="shared" ca="1" si="2"/>
        <v>3.6650376282477304E-2</v>
      </c>
      <c r="EQ2" s="142">
        <f t="shared" ca="1" si="2"/>
        <v>9.3339582087301587E-2</v>
      </c>
      <c r="ER2" s="142">
        <f t="shared" ca="1" si="2"/>
        <v>0.15562425626043902</v>
      </c>
      <c r="ES2" s="142">
        <f t="shared" ca="1" si="2"/>
        <v>-6.398554470114115E-2</v>
      </c>
      <c r="ET2" s="142">
        <f t="shared" ca="1" si="2"/>
        <v>-3.6861605367660456E-2</v>
      </c>
      <c r="EU2" s="142">
        <f t="shared" ca="1" si="2"/>
        <v>-5.1868887144991611E-2</v>
      </c>
      <c r="EV2" s="142">
        <f t="shared" ca="1" si="2"/>
        <v>-2.7039287569037236E-2</v>
      </c>
      <c r="EW2" s="142">
        <f t="shared" ca="1" si="2"/>
        <v>9.5457474100906034E-2</v>
      </c>
      <c r="EX2" s="142">
        <f t="shared" ca="1" si="2"/>
        <v>-3.6677138293933632E-2</v>
      </c>
      <c r="EY2" s="142">
        <f t="shared" ca="1" si="2"/>
        <v>1.5438224546572711E-2</v>
      </c>
      <c r="EZ2" s="142">
        <f t="shared" ca="1" si="2"/>
        <v>-2.5319481200453541E-2</v>
      </c>
      <c r="FA2" s="142">
        <f t="shared" ca="1" si="2"/>
        <v>8.1186585638179959E-2</v>
      </c>
      <c r="FB2" s="142">
        <f t="shared" ca="1" si="2"/>
        <v>5.6767368563055906E-3</v>
      </c>
      <c r="FC2" s="142">
        <f t="shared" ca="1" si="2"/>
        <v>6.6191006676590863E-2</v>
      </c>
      <c r="FD2" s="142">
        <f t="shared" ca="1" si="2"/>
        <v>0.10403909525185125</v>
      </c>
      <c r="FE2" s="142">
        <f t="shared" ca="1" si="2"/>
        <v>-1.3322383125868746E-2</v>
      </c>
      <c r="FF2" s="142">
        <f t="shared" ca="1" si="2"/>
        <v>0.27179242460218583</v>
      </c>
      <c r="FG2" s="142">
        <f t="shared" ca="1" si="2"/>
        <v>7.8932241977872075E-2</v>
      </c>
      <c r="FH2" s="142">
        <f t="shared" ca="1" si="2"/>
        <v>-2.4747874181483394E-2</v>
      </c>
      <c r="FI2" s="142">
        <f t="shared" ca="1" si="2"/>
        <v>-1.9242797655553624E-2</v>
      </c>
      <c r="FJ2" s="142">
        <f t="shared" ca="1" si="2"/>
        <v>1.1688189448603961E-2</v>
      </c>
      <c r="FK2" s="142">
        <f t="shared" ca="1" si="2"/>
        <v>0.10654659024550264</v>
      </c>
      <c r="FL2" s="142">
        <f t="shared" ca="1" si="2"/>
        <v>4.1782759065840905E-2</v>
      </c>
      <c r="FM2" s="142">
        <f t="shared" ca="1" si="2"/>
        <v>-5.8291485478898557E-2</v>
      </c>
      <c r="FN2" s="142">
        <f t="shared" ca="1" si="2"/>
        <v>6.53034738129179E-2</v>
      </c>
      <c r="FO2" s="142">
        <f t="shared" ca="1" si="2"/>
        <v>7.2532009133911085E-2</v>
      </c>
      <c r="FP2" s="142">
        <f t="shared" ca="1" si="2"/>
        <v>-0.14121302706377012</v>
      </c>
      <c r="FQ2" s="142">
        <f t="shared" ca="1" si="2"/>
        <v>0.13772219805198033</v>
      </c>
      <c r="FR2" s="142">
        <f t="shared" ca="1" si="2"/>
        <v>0.15514260985129089</v>
      </c>
      <c r="FS2" s="142">
        <f t="shared" ca="1" si="2"/>
        <v>6.7096039973382704E-2</v>
      </c>
      <c r="FT2" s="142">
        <f t="shared" ca="1" si="2"/>
        <v>3.0845713594448938E-2</v>
      </c>
      <c r="FU2" s="142">
        <f t="shared" ca="1" si="2"/>
        <v>0.14122883018168375</v>
      </c>
      <c r="FV2" s="142">
        <f t="shared" ca="1" si="2"/>
        <v>3.1684515350967141E-2</v>
      </c>
      <c r="FW2" s="142">
        <f t="shared" ca="1" si="2"/>
        <v>2.8090183218480752E-2</v>
      </c>
      <c r="FX2" s="142">
        <f t="shared" ca="1" si="2"/>
        <v>4.1817987608309862E-2</v>
      </c>
      <c r="FY2" s="142">
        <f t="shared" ref="FY2:HG4" ca="1" si="3">_xlfn.NORM.INV(RAND(),$B$116,$B$117)</f>
        <v>0.19331816742098668</v>
      </c>
      <c r="FZ2" s="142">
        <f t="shared" ca="1" si="3"/>
        <v>1.601742230836619E-2</v>
      </c>
      <c r="GA2" s="142">
        <f t="shared" ca="1" si="3"/>
        <v>0.22915099770261185</v>
      </c>
      <c r="GB2" s="142">
        <f t="shared" ca="1" si="3"/>
        <v>-9.9136542745745765E-2</v>
      </c>
      <c r="GC2" s="142">
        <f t="shared" ca="1" si="3"/>
        <v>3.7868802840066933E-2</v>
      </c>
      <c r="GD2" s="142">
        <f t="shared" ca="1" si="3"/>
        <v>-4.4006739470051695E-3</v>
      </c>
      <c r="GE2" s="142">
        <f t="shared" ca="1" si="3"/>
        <v>7.5449327249415304E-2</v>
      </c>
      <c r="GF2" s="142">
        <f t="shared" ca="1" si="3"/>
        <v>6.8824778079786084E-2</v>
      </c>
      <c r="GG2" s="142">
        <f t="shared" ca="1" si="3"/>
        <v>9.8527861543543926E-3</v>
      </c>
      <c r="GH2" s="142">
        <f t="shared" ca="1" si="3"/>
        <v>0.14593269919601756</v>
      </c>
      <c r="GI2" s="142">
        <f t="shared" ca="1" si="3"/>
        <v>1.6740559990915494E-2</v>
      </c>
      <c r="GJ2" s="142">
        <f t="shared" ca="1" si="3"/>
        <v>7.3976725771296395E-2</v>
      </c>
      <c r="GK2" s="142">
        <f t="shared" ca="1" si="3"/>
        <v>4.7857137403814497E-2</v>
      </c>
      <c r="GL2" s="142">
        <f t="shared" ca="1" si="3"/>
        <v>-3.0331648055072734E-2</v>
      </c>
      <c r="GM2" s="142">
        <f t="shared" ca="1" si="3"/>
        <v>3.0244748886192226E-2</v>
      </c>
      <c r="GN2" s="142">
        <f t="shared" ca="1" si="3"/>
        <v>-8.8859079886147579E-3</v>
      </c>
      <c r="GO2" s="142">
        <f t="shared" ca="1" si="3"/>
        <v>4.2096018977662179E-2</v>
      </c>
      <c r="GP2" s="142">
        <f t="shared" ca="1" si="3"/>
        <v>0.17930160645069138</v>
      </c>
      <c r="GQ2" s="142">
        <f t="shared" ca="1" si="3"/>
        <v>1.0586230454336383E-2</v>
      </c>
      <c r="GR2" s="142">
        <f t="shared" ca="1" si="3"/>
        <v>1.2314409158770086E-2</v>
      </c>
      <c r="GS2" s="142">
        <f t="shared" ca="1" si="3"/>
        <v>8.3561679539658082E-2</v>
      </c>
      <c r="GT2" s="142">
        <f t="shared" ca="1" si="3"/>
        <v>7.6050945103470435E-2</v>
      </c>
      <c r="GU2" s="142">
        <f t="shared" ca="1" si="3"/>
        <v>-1.635603110926722E-2</v>
      </c>
      <c r="GV2" s="142">
        <f t="shared" ca="1" si="3"/>
        <v>0.13104494828188842</v>
      </c>
      <c r="GW2" s="142">
        <f t="shared" ca="1" si="3"/>
        <v>3.9401011721236431E-2</v>
      </c>
      <c r="GX2" s="142">
        <f t="shared" ca="1" si="3"/>
        <v>5.4044237361242808E-2</v>
      </c>
      <c r="GY2" s="142">
        <f t="shared" ca="1" si="3"/>
        <v>7.6889665952343977E-2</v>
      </c>
      <c r="GZ2" s="142">
        <f t="shared" ca="1" si="3"/>
        <v>0.12051914719918241</v>
      </c>
      <c r="HA2" s="142">
        <f t="shared" ca="1" si="3"/>
        <v>-4.8769045762929779E-2</v>
      </c>
      <c r="HB2" s="142">
        <f t="shared" ca="1" si="3"/>
        <v>0.11733314711177897</v>
      </c>
      <c r="HC2" s="142">
        <f t="shared" ca="1" si="3"/>
        <v>-2.7559472583875831E-2</v>
      </c>
      <c r="HD2" s="142">
        <f t="shared" ca="1" si="3"/>
        <v>5.8173401765202477E-2</v>
      </c>
      <c r="HE2" s="142">
        <f t="shared" ca="1" si="3"/>
        <v>7.6942443087918477E-2</v>
      </c>
      <c r="HF2" s="142">
        <f t="shared" ca="1" si="3"/>
        <v>-5.667147961227114E-2</v>
      </c>
      <c r="HG2" s="142">
        <f t="shared" ca="1" si="3"/>
        <v>3.4306920294773988E-3</v>
      </c>
    </row>
    <row r="3" spans="1:317">
      <c r="A3" s="90">
        <v>1929</v>
      </c>
      <c r="B3" s="84">
        <v>-8.2979466119096595E-2</v>
      </c>
      <c r="C3" s="85">
        <v>-0.46610000000000001</v>
      </c>
      <c r="D3" s="83">
        <f t="shared" ref="D3:D66" si="4">(B3*$B$103)+(C3*$C$103)</f>
        <v>-0.15960357289527727</v>
      </c>
      <c r="E3" s="85"/>
      <c r="F3" s="85"/>
      <c r="G3" s="85">
        <v>3.1600000000000003E-2</v>
      </c>
      <c r="H3" s="85">
        <v>4.2038041563204259E-2</v>
      </c>
      <c r="I3" s="85">
        <v>3.0178562399040432E-2</v>
      </c>
      <c r="J3" s="85">
        <v>-1.4520813165538327E-3</v>
      </c>
      <c r="L3" s="102"/>
      <c r="M3" s="115">
        <f>M2+1</f>
        <v>52</v>
      </c>
      <c r="N3" s="143">
        <f t="shared" ref="N3:N25" ca="1" si="5">_xlfn.NORM.INV(RAND(),$B$112,$B$113)</f>
        <v>0.39082501073849962</v>
      </c>
      <c r="O3" s="143">
        <f t="shared" ca="1" si="0"/>
        <v>0.21366903720159183</v>
      </c>
      <c r="P3" s="143">
        <f t="shared" ca="1" si="0"/>
        <v>2.3292942535890773E-2</v>
      </c>
      <c r="Q3" s="143">
        <f t="shared" ca="1" si="0"/>
        <v>6.0078371234933779E-2</v>
      </c>
      <c r="R3" s="143">
        <f t="shared" ca="1" si="0"/>
        <v>0.34344673805113202</v>
      </c>
      <c r="S3" s="143">
        <f t="shared" ca="1" si="0"/>
        <v>1.0066863933729089E-2</v>
      </c>
      <c r="T3" s="143">
        <f t="shared" ca="1" si="0"/>
        <v>-3.1762815516745813E-2</v>
      </c>
      <c r="U3" s="143">
        <f t="shared" ca="1" si="0"/>
        <v>0.12125275638940151</v>
      </c>
      <c r="V3" s="143">
        <f t="shared" ca="1" si="0"/>
        <v>5.1834242936648206E-3</v>
      </c>
      <c r="W3" s="143">
        <f t="shared" ca="1" si="0"/>
        <v>-0.43130421029520416</v>
      </c>
      <c r="X3" s="143">
        <f t="shared" ca="1" si="0"/>
        <v>-1.3406130953689782E-2</v>
      </c>
      <c r="Y3" s="143">
        <f t="shared" ca="1" si="0"/>
        <v>0.27446454738780712</v>
      </c>
      <c r="Z3" s="143">
        <f t="shared" ca="1" si="0"/>
        <v>8.933381846775848E-3</v>
      </c>
      <c r="AA3" s="143">
        <f t="shared" ca="1" si="0"/>
        <v>0.27422574521679954</v>
      </c>
      <c r="AB3" s="143">
        <f t="shared" ca="1" si="0"/>
        <v>2.036974783170184E-2</v>
      </c>
      <c r="AC3" s="143">
        <f t="shared" ca="1" si="0"/>
        <v>0.16192749210399018</v>
      </c>
      <c r="AD3" s="143">
        <f t="shared" ca="1" si="0"/>
        <v>9.8967663333453276E-2</v>
      </c>
      <c r="AE3" s="143">
        <f t="shared" ca="1" si="0"/>
        <v>0.47313765023735843</v>
      </c>
      <c r="AF3" s="143">
        <f t="shared" ca="1" si="0"/>
        <v>0.23159261090483393</v>
      </c>
      <c r="AG3" s="143">
        <f t="shared" ca="1" si="0"/>
        <v>0.16367071090180085</v>
      </c>
      <c r="AH3" s="143">
        <f t="shared" ca="1" si="0"/>
        <v>-2.1163151515515732E-2</v>
      </c>
      <c r="AI3" s="143">
        <f t="shared" ca="1" si="0"/>
        <v>7.7616701701831714E-2</v>
      </c>
      <c r="AJ3" s="143">
        <f t="shared" ca="1" si="0"/>
        <v>-1.1983455224196318E-2</v>
      </c>
      <c r="AK3" s="143">
        <f t="shared" ca="1" si="0"/>
        <v>-2.2602786581306114E-2</v>
      </c>
      <c r="AL3" s="143">
        <f t="shared" ca="1" si="0"/>
        <v>-0.17484550761360415</v>
      </c>
      <c r="AM3" s="143">
        <f t="shared" ca="1" si="0"/>
        <v>-0.26910735110518669</v>
      </c>
      <c r="AN3" s="143">
        <f t="shared" ca="1" si="0"/>
        <v>0.2638948679313658</v>
      </c>
      <c r="AO3" s="143">
        <f t="shared" ca="1" si="0"/>
        <v>0.14314712930844703</v>
      </c>
      <c r="AP3" s="143">
        <f t="shared" ca="1" si="0"/>
        <v>0.29144477389687695</v>
      </c>
      <c r="AQ3" s="143">
        <f t="shared" ca="1" si="0"/>
        <v>0.28014150332071003</v>
      </c>
      <c r="AR3" s="143">
        <f t="shared" ca="1" si="0"/>
        <v>-0.15202048543177349</v>
      </c>
      <c r="AS3" s="143">
        <f t="shared" ca="1" si="0"/>
        <v>0.1851813752230706</v>
      </c>
      <c r="AT3" s="143">
        <f t="shared" ca="1" si="0"/>
        <v>0.25782497571550245</v>
      </c>
      <c r="AU3" s="143">
        <f t="shared" ca="1" si="0"/>
        <v>0.25917008173883904</v>
      </c>
      <c r="AV3" s="143">
        <f t="shared" ca="1" si="0"/>
        <v>-3.9672193588713017E-3</v>
      </c>
      <c r="AW3" s="143">
        <f t="shared" ca="1" si="0"/>
        <v>0.41084408991014443</v>
      </c>
      <c r="AX3" s="143">
        <f t="shared" ca="1" si="0"/>
        <v>0.23731774755420348</v>
      </c>
      <c r="AY3" s="143">
        <f t="shared" ca="1" si="0"/>
        <v>-0.29045109342250375</v>
      </c>
      <c r="AZ3" s="143">
        <f t="shared" ca="1" si="0"/>
        <v>0.44500205417299188</v>
      </c>
      <c r="BA3" s="143">
        <f t="shared" ca="1" si="0"/>
        <v>6.1122312417608793E-2</v>
      </c>
      <c r="BB3" s="143">
        <f t="shared" ca="1" si="0"/>
        <v>0.56415758022299933</v>
      </c>
      <c r="BC3" s="143">
        <f t="shared" ca="1" si="0"/>
        <v>5.6822903157166475E-2</v>
      </c>
      <c r="BD3" s="143">
        <f t="shared" ca="1" si="0"/>
        <v>-0.10780220564806223</v>
      </c>
      <c r="BE3" s="143">
        <f t="shared" ca="1" si="0"/>
        <v>0.12800280609618825</v>
      </c>
      <c r="BF3" s="143">
        <f t="shared" ca="1" si="0"/>
        <v>-0.24316250272139314</v>
      </c>
      <c r="BG3" s="143">
        <f t="shared" ca="1" si="0"/>
        <v>0.22282828918880393</v>
      </c>
      <c r="BH3" s="143">
        <f t="shared" ca="1" si="0"/>
        <v>4.6033551002463396E-2</v>
      </c>
      <c r="BI3" s="143">
        <f t="shared" ca="1" si="0"/>
        <v>0.33513283843888819</v>
      </c>
      <c r="BJ3" s="143">
        <f t="shared" ca="1" si="0"/>
        <v>0.18916290193301916</v>
      </c>
      <c r="BK3" s="143">
        <f t="shared" ca="1" si="0"/>
        <v>6.3990411097203437E-2</v>
      </c>
      <c r="BL3" s="143">
        <f t="shared" ca="1" si="0"/>
        <v>0.1894777910628081</v>
      </c>
      <c r="BM3" s="143">
        <f t="shared" ca="1" si="0"/>
        <v>0.16027322991758899</v>
      </c>
      <c r="BN3" s="143">
        <f t="shared" ca="1" si="0"/>
        <v>-0.14255506760438355</v>
      </c>
      <c r="BO3" s="143">
        <f t="shared" ca="1" si="0"/>
        <v>-0.10849581164276753</v>
      </c>
      <c r="BP3" s="143">
        <f t="shared" ca="1" si="0"/>
        <v>-0.16807767025070561</v>
      </c>
      <c r="BQ3" s="143">
        <f t="shared" ca="1" si="0"/>
        <v>-2.7084105794083657E-2</v>
      </c>
      <c r="BR3" s="143">
        <f t="shared" ca="1" si="0"/>
        <v>0.13013942924108413</v>
      </c>
      <c r="BS3" s="143">
        <f t="shared" ca="1" si="0"/>
        <v>-0.13421673602395368</v>
      </c>
      <c r="BT3" s="143">
        <f t="shared" ca="1" si="0"/>
        <v>0.22746338757510551</v>
      </c>
      <c r="BU3" s="143">
        <f t="shared" ca="1" si="0"/>
        <v>-5.5608331603967498E-2</v>
      </c>
      <c r="BV3" s="143">
        <f t="shared" ca="1" si="0"/>
        <v>0.19485411871665903</v>
      </c>
      <c r="BW3" s="143">
        <f t="shared" ca="1" si="0"/>
        <v>0.37201079983285579</v>
      </c>
      <c r="BX3" s="143">
        <f t="shared" ca="1" si="0"/>
        <v>-1.3687635509130464E-2</v>
      </c>
      <c r="BY3" s="143">
        <f t="shared" ca="1" si="0"/>
        <v>0.22932862976585866</v>
      </c>
      <c r="BZ3" s="143">
        <f t="shared" ca="1" si="0"/>
        <v>0.18952302876680077</v>
      </c>
      <c r="CA3" s="143">
        <f t="shared" ca="1" si="1"/>
        <v>-0.2451195599966505</v>
      </c>
      <c r="CB3" s="143">
        <f t="shared" ca="1" si="1"/>
        <v>9.2802586493452438E-3</v>
      </c>
      <c r="CC3" s="143">
        <f t="shared" ca="1" si="1"/>
        <v>8.1539098699203866E-3</v>
      </c>
      <c r="CD3" s="143">
        <f t="shared" ca="1" si="1"/>
        <v>0.39788435073375239</v>
      </c>
      <c r="CE3" s="143">
        <f t="shared" ca="1" si="1"/>
        <v>0.1389697144285823</v>
      </c>
      <c r="CF3" s="143">
        <f t="shared" ca="1" si="1"/>
        <v>4.7060391367044561E-2</v>
      </c>
      <c r="CG3" s="143">
        <f t="shared" ca="1" si="1"/>
        <v>0.18036219318485663</v>
      </c>
      <c r="CH3" s="143">
        <f t="shared" ca="1" si="1"/>
        <v>-0.10885317511897891</v>
      </c>
      <c r="CI3" s="143">
        <f t="shared" ca="1" si="1"/>
        <v>-0.13429392190246592</v>
      </c>
      <c r="CJ3" s="143">
        <f t="shared" ca="1" si="1"/>
        <v>0.19747690203709092</v>
      </c>
      <c r="CK3" s="143">
        <f t="shared" ca="1" si="1"/>
        <v>0.13364958815403061</v>
      </c>
      <c r="CL3" s="143">
        <f t="shared" ca="1" si="1"/>
        <v>3.531978869014131E-2</v>
      </c>
      <c r="CM3" s="143">
        <f t="shared" ca="1" si="1"/>
        <v>0.40404189786477129</v>
      </c>
      <c r="CN3" s="143">
        <f t="shared" ca="1" si="1"/>
        <v>-6.9376806751428322E-4</v>
      </c>
      <c r="CO3" s="143">
        <f t="shared" ca="1" si="1"/>
        <v>0.19152436170977033</v>
      </c>
      <c r="CP3" s="143">
        <f t="shared" ca="1" si="1"/>
        <v>0.11466337170402724</v>
      </c>
      <c r="CQ3" s="143">
        <f t="shared" ca="1" si="1"/>
        <v>0.31630220771839623</v>
      </c>
      <c r="CR3" s="143">
        <f t="shared" ca="1" si="1"/>
        <v>-4.7540213587077218E-2</v>
      </c>
      <c r="CS3" s="143">
        <f t="shared" ca="1" si="1"/>
        <v>0.29594653978072571</v>
      </c>
      <c r="CT3" s="143">
        <f t="shared" ca="1" si="1"/>
        <v>3.0221611994116798E-2</v>
      </c>
      <c r="CU3" s="143">
        <f t="shared" ca="1" si="1"/>
        <v>0.10399537336121736</v>
      </c>
      <c r="CV3" s="143">
        <f t="shared" ca="1" si="1"/>
        <v>6.2461138237044925E-2</v>
      </c>
      <c r="CW3" s="143">
        <f t="shared" ca="1" si="1"/>
        <v>0.4331622805901838</v>
      </c>
      <c r="CX3" s="143">
        <f t="shared" ca="1" si="1"/>
        <v>-0.22171501135024882</v>
      </c>
      <c r="CY3" s="143">
        <f t="shared" ca="1" si="1"/>
        <v>0.25966088415781241</v>
      </c>
      <c r="CZ3" s="143">
        <f t="shared" ca="1" si="1"/>
        <v>0.12480355580273909</v>
      </c>
      <c r="DA3" s="143">
        <f t="shared" ca="1" si="1"/>
        <v>5.0454810482054552E-2</v>
      </c>
      <c r="DB3" s="143">
        <f t="shared" ca="1" si="1"/>
        <v>0.3441700723926262</v>
      </c>
      <c r="DC3" s="143">
        <f t="shared" ca="1" si="1"/>
        <v>9.4799769297836275E-2</v>
      </c>
      <c r="DD3" s="143">
        <f t="shared" ca="1" si="1"/>
        <v>7.317389745943878E-2</v>
      </c>
      <c r="DE3" s="143">
        <f t="shared" ca="1" si="1"/>
        <v>-7.3465982817851411E-2</v>
      </c>
      <c r="DF3" s="143">
        <f t="shared" ca="1" si="1"/>
        <v>4.8135997860435237E-3</v>
      </c>
      <c r="DG3" s="143">
        <f t="shared" ca="1" si="1"/>
        <v>-0.11891512424874839</v>
      </c>
      <c r="DH3" s="143">
        <f t="shared" ca="1" si="1"/>
        <v>-5.6199251111822612E-2</v>
      </c>
      <c r="DI3" s="143">
        <f t="shared" ca="1" si="1"/>
        <v>-0.1097376146527031</v>
      </c>
      <c r="DK3" s="115">
        <f>DK2+1</f>
        <v>52</v>
      </c>
      <c r="DL3" s="143">
        <f t="shared" ref="DL3:DL25" ca="1" si="6">_xlfn.NORM.INV(RAND(),$B$116,$B$117)</f>
        <v>-0.10479386171054644</v>
      </c>
      <c r="DM3" s="143">
        <f t="shared" ca="1" si="2"/>
        <v>1.8776278056632859E-2</v>
      </c>
      <c r="DN3" s="143">
        <f t="shared" ca="1" si="2"/>
        <v>6.5628415802920739E-2</v>
      </c>
      <c r="DO3" s="143">
        <f t="shared" ca="1" si="2"/>
        <v>-0.14110732555054167</v>
      </c>
      <c r="DP3" s="143">
        <f t="shared" ca="1" si="2"/>
        <v>0.16861355092961613</v>
      </c>
      <c r="DQ3" s="143">
        <f t="shared" ca="1" si="2"/>
        <v>-7.5950663585275219E-2</v>
      </c>
      <c r="DR3" s="143">
        <f t="shared" ca="1" si="2"/>
        <v>7.7336244247420735E-2</v>
      </c>
      <c r="DS3" s="143">
        <f t="shared" ca="1" si="2"/>
        <v>3.1631712310495746E-2</v>
      </c>
      <c r="DT3" s="143">
        <f t="shared" ca="1" si="2"/>
        <v>6.2485393287583332E-2</v>
      </c>
      <c r="DU3" s="143">
        <f t="shared" ca="1" si="2"/>
        <v>-3.4792982634637502E-2</v>
      </c>
      <c r="DV3" s="143">
        <f t="shared" ca="1" si="2"/>
        <v>0.13378332158190939</v>
      </c>
      <c r="DW3" s="143">
        <f t="shared" ca="1" si="2"/>
        <v>-0.20386287892204369</v>
      </c>
      <c r="DX3" s="143">
        <f t="shared" ca="1" si="2"/>
        <v>9.801377290290976E-2</v>
      </c>
      <c r="DY3" s="143">
        <f t="shared" ca="1" si="2"/>
        <v>6.2220639004831324E-2</v>
      </c>
      <c r="DZ3" s="143">
        <f t="shared" ca="1" si="2"/>
        <v>-3.536115418794062E-2</v>
      </c>
      <c r="EA3" s="143">
        <f t="shared" ca="1" si="2"/>
        <v>0.11266821953831821</v>
      </c>
      <c r="EB3" s="143">
        <f t="shared" ca="1" si="2"/>
        <v>-5.441167318825376E-2</v>
      </c>
      <c r="EC3" s="143">
        <f t="shared" ca="1" si="2"/>
        <v>3.1929977170672086E-2</v>
      </c>
      <c r="ED3" s="143">
        <f t="shared" ca="1" si="2"/>
        <v>-1.8090132232480773E-2</v>
      </c>
      <c r="EE3" s="143">
        <f t="shared" ca="1" si="2"/>
        <v>0.14629892271853245</v>
      </c>
      <c r="EF3" s="143">
        <f t="shared" ca="1" si="2"/>
        <v>3.1714312264549474E-2</v>
      </c>
      <c r="EG3" s="143">
        <f t="shared" ca="1" si="2"/>
        <v>0.18154709504274832</v>
      </c>
      <c r="EH3" s="143">
        <f t="shared" ca="1" si="2"/>
        <v>-6.6972123887345247E-2</v>
      </c>
      <c r="EI3" s="143">
        <f t="shared" ca="1" si="2"/>
        <v>2.3158369862310901E-2</v>
      </c>
      <c r="EJ3" s="143">
        <f t="shared" ca="1" si="2"/>
        <v>6.4923681844501979E-2</v>
      </c>
      <c r="EK3" s="143">
        <f t="shared" ca="1" si="2"/>
        <v>9.7666843283406357E-2</v>
      </c>
      <c r="EL3" s="143">
        <f t="shared" ca="1" si="2"/>
        <v>1.3209572252322457E-2</v>
      </c>
      <c r="EM3" s="143">
        <f t="shared" ca="1" si="2"/>
        <v>0.13330205094966996</v>
      </c>
      <c r="EN3" s="143">
        <f t="shared" ca="1" si="2"/>
        <v>0.1080503929336272</v>
      </c>
      <c r="EO3" s="143">
        <f t="shared" ca="1" si="2"/>
        <v>4.542697837156659E-2</v>
      </c>
      <c r="EP3" s="143">
        <f t="shared" ca="1" si="2"/>
        <v>8.0938043229879714E-2</v>
      </c>
      <c r="EQ3" s="143">
        <f t="shared" ca="1" si="2"/>
        <v>0.14278221550037851</v>
      </c>
      <c r="ER3" s="143">
        <f t="shared" ca="1" si="2"/>
        <v>5.6069971927293204E-2</v>
      </c>
      <c r="ES3" s="143">
        <f t="shared" ca="1" si="2"/>
        <v>-2.8519625743301351E-2</v>
      </c>
      <c r="ET3" s="143">
        <f t="shared" ca="1" si="2"/>
        <v>8.2294416185598213E-2</v>
      </c>
      <c r="EU3" s="143">
        <f t="shared" ca="1" si="2"/>
        <v>8.451496964141901E-2</v>
      </c>
      <c r="EV3" s="143">
        <f t="shared" ca="1" si="2"/>
        <v>3.3557434885493988E-2</v>
      </c>
      <c r="EW3" s="143">
        <f t="shared" ca="1" si="2"/>
        <v>3.5352239843196534E-2</v>
      </c>
      <c r="EX3" s="143">
        <f t="shared" ca="1" si="2"/>
        <v>-0.12211372802767748</v>
      </c>
      <c r="EY3" s="143">
        <f t="shared" ca="1" si="2"/>
        <v>3.1926401872336925E-2</v>
      </c>
      <c r="EZ3" s="143">
        <f t="shared" ca="1" si="2"/>
        <v>1.1889201573395666E-2</v>
      </c>
      <c r="FA3" s="143">
        <f t="shared" ca="1" si="2"/>
        <v>7.7941837204333328E-2</v>
      </c>
      <c r="FB3" s="143">
        <f t="shared" ca="1" si="2"/>
        <v>-1.2786514088458663E-2</v>
      </c>
      <c r="FC3" s="143">
        <f t="shared" ca="1" si="2"/>
        <v>2.2757471571462472E-2</v>
      </c>
      <c r="FD3" s="143">
        <f t="shared" ca="1" si="2"/>
        <v>0.12785612722476453</v>
      </c>
      <c r="FE3" s="143">
        <f t="shared" ca="1" si="2"/>
        <v>4.6678778109158471E-2</v>
      </c>
      <c r="FF3" s="143">
        <f t="shared" ca="1" si="2"/>
        <v>-2.5226880768079447E-2</v>
      </c>
      <c r="FG3" s="143">
        <f t="shared" ca="1" si="2"/>
        <v>-4.4430668900504316E-3</v>
      </c>
      <c r="FH3" s="143">
        <f t="shared" ca="1" si="2"/>
        <v>3.091892870549777E-3</v>
      </c>
      <c r="FI3" s="143">
        <f t="shared" ca="1" si="2"/>
        <v>7.3996301868555908E-2</v>
      </c>
      <c r="FJ3" s="143">
        <f t="shared" ca="1" si="2"/>
        <v>2.1971745562306425E-2</v>
      </c>
      <c r="FK3" s="143">
        <f t="shared" ca="1" si="2"/>
        <v>0.13217763402211391</v>
      </c>
      <c r="FL3" s="143">
        <f t="shared" ca="1" si="2"/>
        <v>7.528262293776837E-2</v>
      </c>
      <c r="FM3" s="143">
        <f t="shared" ca="1" si="2"/>
        <v>2.5857064132740578E-2</v>
      </c>
      <c r="FN3" s="143">
        <f t="shared" ca="1" si="2"/>
        <v>-8.5922668741765296E-2</v>
      </c>
      <c r="FO3" s="143">
        <f t="shared" ca="1" si="2"/>
        <v>-5.491834345026083E-2</v>
      </c>
      <c r="FP3" s="143">
        <f t="shared" ca="1" si="2"/>
        <v>0.13497016574470225</v>
      </c>
      <c r="FQ3" s="143">
        <f t="shared" ca="1" si="2"/>
        <v>-2.5513499852065226E-2</v>
      </c>
      <c r="FR3" s="143">
        <f t="shared" ca="1" si="2"/>
        <v>5.4867282543920079E-2</v>
      </c>
      <c r="FS3" s="143">
        <f t="shared" ca="1" si="2"/>
        <v>6.8376660648884313E-2</v>
      </c>
      <c r="FT3" s="143">
        <f t="shared" ca="1" si="2"/>
        <v>-0.10689253763624662</v>
      </c>
      <c r="FU3" s="143">
        <f t="shared" ca="1" si="2"/>
        <v>-1.8746788703310029E-2</v>
      </c>
      <c r="FV3" s="143">
        <f t="shared" ca="1" si="2"/>
        <v>0.11114589895438495</v>
      </c>
      <c r="FW3" s="143">
        <f t="shared" ca="1" si="2"/>
        <v>-4.6917389157280324E-2</v>
      </c>
      <c r="FX3" s="143">
        <f t="shared" ca="1" si="2"/>
        <v>4.8637661303863419E-2</v>
      </c>
      <c r="FY3" s="143">
        <f t="shared" ca="1" si="3"/>
        <v>-4.2519604397546866E-2</v>
      </c>
      <c r="FZ3" s="143">
        <f t="shared" ca="1" si="3"/>
        <v>3.9222826690934222E-2</v>
      </c>
      <c r="GA3" s="143">
        <f t="shared" ca="1" si="3"/>
        <v>6.2528684700303705E-2</v>
      </c>
      <c r="GB3" s="143">
        <f t="shared" ca="1" si="3"/>
        <v>-1.488120547986025E-2</v>
      </c>
      <c r="GC3" s="143">
        <f t="shared" ca="1" si="3"/>
        <v>2.027302913900034E-2</v>
      </c>
      <c r="GD3" s="143">
        <f t="shared" ca="1" si="3"/>
        <v>0.17475605339998934</v>
      </c>
      <c r="GE3" s="143">
        <f t="shared" ca="1" si="3"/>
        <v>0.10310900155493311</v>
      </c>
      <c r="GF3" s="143">
        <f t="shared" ca="1" si="3"/>
        <v>8.7784270858231789E-2</v>
      </c>
      <c r="GG3" s="143">
        <f t="shared" ca="1" si="3"/>
        <v>-8.1635228580350591E-3</v>
      </c>
      <c r="GH3" s="143">
        <f t="shared" ca="1" si="3"/>
        <v>0.17448447647441684</v>
      </c>
      <c r="GI3" s="143">
        <f t="shared" ca="1" si="3"/>
        <v>6.9560038236582813E-2</v>
      </c>
      <c r="GJ3" s="143">
        <f t="shared" ca="1" si="3"/>
        <v>3.7936108680507813E-2</v>
      </c>
      <c r="GK3" s="143">
        <f t="shared" ca="1" si="3"/>
        <v>-3.9105569829319904E-2</v>
      </c>
      <c r="GL3" s="143">
        <f t="shared" ca="1" si="3"/>
        <v>-4.8286686280491008E-2</v>
      </c>
      <c r="GM3" s="143">
        <f t="shared" ca="1" si="3"/>
        <v>-5.0033909311865153E-2</v>
      </c>
      <c r="GN3" s="143">
        <f t="shared" ca="1" si="3"/>
        <v>7.7104835917727155E-2</v>
      </c>
      <c r="GO3" s="143">
        <f t="shared" ca="1" si="3"/>
        <v>0.10588000843046698</v>
      </c>
      <c r="GP3" s="143">
        <f t="shared" ca="1" si="3"/>
        <v>0.16769217973353762</v>
      </c>
      <c r="GQ3" s="143">
        <f t="shared" ca="1" si="3"/>
        <v>5.3737638636199118E-2</v>
      </c>
      <c r="GR3" s="143">
        <f t="shared" ca="1" si="3"/>
        <v>-9.2730083956777398E-3</v>
      </c>
      <c r="GS3" s="143">
        <f t="shared" ca="1" si="3"/>
        <v>6.933462835996862E-2</v>
      </c>
      <c r="GT3" s="143">
        <f t="shared" ca="1" si="3"/>
        <v>0.17810904702640865</v>
      </c>
      <c r="GU3" s="143">
        <f t="shared" ca="1" si="3"/>
        <v>8.121090612130083E-2</v>
      </c>
      <c r="GV3" s="143">
        <f t="shared" ca="1" si="3"/>
        <v>2.9584742775681825E-2</v>
      </c>
      <c r="GW3" s="143">
        <f t="shared" ca="1" si="3"/>
        <v>1.2538580954710166E-4</v>
      </c>
      <c r="GX3" s="143">
        <f t="shared" ca="1" si="3"/>
        <v>4.2184286962382425E-2</v>
      </c>
      <c r="GY3" s="143">
        <f t="shared" ca="1" si="3"/>
        <v>-1.8512656837015716E-2</v>
      </c>
      <c r="GZ3" s="143">
        <f t="shared" ca="1" si="3"/>
        <v>8.5829760662611165E-2</v>
      </c>
      <c r="HA3" s="143">
        <f t="shared" ca="1" si="3"/>
        <v>4.1998288771151207E-2</v>
      </c>
      <c r="HB3" s="143">
        <f t="shared" ca="1" si="3"/>
        <v>5.7378505870733114E-2</v>
      </c>
      <c r="HC3" s="143">
        <f t="shared" ca="1" si="3"/>
        <v>7.1431568810420079E-2</v>
      </c>
      <c r="HD3" s="143">
        <f t="shared" ca="1" si="3"/>
        <v>-2.2196731574221369E-2</v>
      </c>
      <c r="HE3" s="143">
        <f t="shared" ca="1" si="3"/>
        <v>0.26747695166101543</v>
      </c>
      <c r="HF3" s="143">
        <f t="shared" ca="1" si="3"/>
        <v>0.15510380052016901</v>
      </c>
      <c r="HG3" s="143">
        <f t="shared" ca="1" si="3"/>
        <v>7.9866031168483398E-2</v>
      </c>
    </row>
    <row r="4" spans="1:317">
      <c r="A4" s="90">
        <v>1930</v>
      </c>
      <c r="B4" s="84">
        <v>-0.25123636363636365</v>
      </c>
      <c r="C4" s="85">
        <v>-0.50029999999999997</v>
      </c>
      <c r="D4" s="83">
        <f t="shared" si="4"/>
        <v>-0.30104909090909088</v>
      </c>
      <c r="E4" s="85"/>
      <c r="F4" s="85"/>
      <c r="G4" s="85">
        <v>4.5499999999999999E-2</v>
      </c>
      <c r="H4" s="85">
        <v>4.5409314348970366E-2</v>
      </c>
      <c r="I4" s="85">
        <v>5.3978094648238287E-3</v>
      </c>
      <c r="J4" s="85">
        <v>9.6946194861846635E-4</v>
      </c>
      <c r="M4" s="115">
        <f t="shared" ref="M4:M51" si="7">M3+1</f>
        <v>53</v>
      </c>
      <c r="N4" s="143">
        <f t="shared" ca="1" si="5"/>
        <v>-9.3928071777521632E-2</v>
      </c>
      <c r="O4" s="143">
        <f t="shared" ca="1" si="0"/>
        <v>0.17434055331094328</v>
      </c>
      <c r="P4" s="143">
        <f t="shared" ca="1" si="0"/>
        <v>-0.18383687336221968</v>
      </c>
      <c r="Q4" s="143">
        <f t="shared" ca="1" si="0"/>
        <v>8.6838114326113949E-2</v>
      </c>
      <c r="R4" s="143">
        <f t="shared" ca="1" si="0"/>
        <v>0.39378445549710095</v>
      </c>
      <c r="S4" s="143">
        <f t="shared" ca="1" si="0"/>
        <v>0.26625723819570313</v>
      </c>
      <c r="T4" s="143">
        <f t="shared" ca="1" si="0"/>
        <v>-0.14471615473156463</v>
      </c>
      <c r="U4" s="143">
        <f t="shared" ca="1" si="0"/>
        <v>0.11812284960168221</v>
      </c>
      <c r="V4" s="143">
        <f t="shared" ca="1" si="0"/>
        <v>5.5542913550477649E-2</v>
      </c>
      <c r="W4" s="143">
        <f t="shared" ca="1" si="0"/>
        <v>0.17678695851207077</v>
      </c>
      <c r="X4" s="143">
        <f t="shared" ca="1" si="0"/>
        <v>-3.2752465702945321E-2</v>
      </c>
      <c r="Y4" s="143">
        <f t="shared" ca="1" si="0"/>
        <v>0.24816425307959483</v>
      </c>
      <c r="Z4" s="143">
        <f t="shared" ca="1" si="0"/>
        <v>0.18118095553752234</v>
      </c>
      <c r="AA4" s="143">
        <f t="shared" ca="1" si="0"/>
        <v>0.32526028956532366</v>
      </c>
      <c r="AB4" s="143">
        <f t="shared" ca="1" si="0"/>
        <v>0.25999623130146277</v>
      </c>
      <c r="AC4" s="143">
        <f t="shared" ca="1" si="0"/>
        <v>-0.16790000261109853</v>
      </c>
      <c r="AD4" s="143">
        <f t="shared" ca="1" si="0"/>
        <v>9.0584402890470372E-3</v>
      </c>
      <c r="AE4" s="143">
        <f t="shared" ca="1" si="0"/>
        <v>0.13820471659849734</v>
      </c>
      <c r="AF4" s="143">
        <f t="shared" ca="1" si="0"/>
        <v>0.11530066703200142</v>
      </c>
      <c r="AG4" s="143">
        <f t="shared" ca="1" si="0"/>
        <v>0.29988277589641399</v>
      </c>
      <c r="AH4" s="143">
        <f t="shared" ca="1" si="0"/>
        <v>0.21157422103623552</v>
      </c>
      <c r="AI4" s="143">
        <f t="shared" ca="1" si="0"/>
        <v>0.22669842323957917</v>
      </c>
      <c r="AJ4" s="143">
        <f t="shared" ca="1" si="0"/>
        <v>0.15643919174111787</v>
      </c>
      <c r="AK4" s="143">
        <f t="shared" ca="1" si="0"/>
        <v>-7.3702357654784389E-2</v>
      </c>
      <c r="AL4" s="143">
        <f t="shared" ca="1" si="0"/>
        <v>0.13656575608131016</v>
      </c>
      <c r="AM4" s="143">
        <f t="shared" ca="1" si="0"/>
        <v>0.14742772578895402</v>
      </c>
      <c r="AN4" s="143">
        <f t="shared" ca="1" si="0"/>
        <v>7.1668600933948903E-2</v>
      </c>
      <c r="AO4" s="143">
        <f t="shared" ca="1" si="0"/>
        <v>-6.115484566240223E-2</v>
      </c>
      <c r="AP4" s="143">
        <f t="shared" ca="1" si="0"/>
        <v>0.20429313478001704</v>
      </c>
      <c r="AQ4" s="143">
        <f t="shared" ca="1" si="0"/>
        <v>9.3902515877938478E-2</v>
      </c>
      <c r="AR4" s="143">
        <f t="shared" ca="1" si="0"/>
        <v>7.6936665326478318E-2</v>
      </c>
      <c r="AS4" s="143">
        <f t="shared" ca="1" si="0"/>
        <v>-1.7468421293837647E-2</v>
      </c>
      <c r="AT4" s="143">
        <f t="shared" ca="1" si="0"/>
        <v>0.25932446360781503</v>
      </c>
      <c r="AU4" s="143">
        <f t="shared" ca="1" si="0"/>
        <v>0.17997737932112132</v>
      </c>
      <c r="AV4" s="143">
        <f t="shared" ca="1" si="0"/>
        <v>9.3431514421968329E-2</v>
      </c>
      <c r="AW4" s="143">
        <f t="shared" ca="1" si="0"/>
        <v>0.30484593009963107</v>
      </c>
      <c r="AX4" s="143">
        <f t="shared" ca="1" si="0"/>
        <v>0.28131075591956989</v>
      </c>
      <c r="AY4" s="143">
        <f t="shared" ca="1" si="0"/>
        <v>0.10734786529121521</v>
      </c>
      <c r="AZ4" s="143">
        <f t="shared" ca="1" si="0"/>
        <v>0.36578311768491434</v>
      </c>
      <c r="BA4" s="143">
        <f t="shared" ca="1" si="0"/>
        <v>0.49672788775468901</v>
      </c>
      <c r="BB4" s="143">
        <f t="shared" ca="1" si="0"/>
        <v>0.1563949177948035</v>
      </c>
      <c r="BC4" s="143">
        <f t="shared" ca="1" si="0"/>
        <v>0.12022605425821495</v>
      </c>
      <c r="BD4" s="143">
        <f t="shared" ca="1" si="0"/>
        <v>-0.18605736209407167</v>
      </c>
      <c r="BE4" s="143">
        <f t="shared" ca="1" si="0"/>
        <v>0.16764471357249963</v>
      </c>
      <c r="BF4" s="143">
        <f t="shared" ca="1" si="0"/>
        <v>-0.16932451549194602</v>
      </c>
      <c r="BG4" s="143">
        <f t="shared" ca="1" si="0"/>
        <v>9.8662462695083553E-2</v>
      </c>
      <c r="BH4" s="143">
        <f t="shared" ca="1" si="0"/>
        <v>-2.9777099965160231E-2</v>
      </c>
      <c r="BI4" s="143">
        <f t="shared" ca="1" si="0"/>
        <v>0.38072831985423627</v>
      </c>
      <c r="BJ4" s="143">
        <f t="shared" ca="1" si="0"/>
        <v>-1.7865011297452063E-2</v>
      </c>
      <c r="BK4" s="143">
        <f t="shared" ca="1" si="0"/>
        <v>-0.1602947958842629</v>
      </c>
      <c r="BL4" s="143">
        <f t="shared" ca="1" si="0"/>
        <v>-1.3601811951271178E-2</v>
      </c>
      <c r="BM4" s="143">
        <f t="shared" ca="1" si="0"/>
        <v>0.19604210819603457</v>
      </c>
      <c r="BN4" s="143">
        <f t="shared" ca="1" si="0"/>
        <v>6.8036661247117367E-2</v>
      </c>
      <c r="BO4" s="143">
        <f t="shared" ca="1" si="0"/>
        <v>0.23642473334793762</v>
      </c>
      <c r="BP4" s="143">
        <f t="shared" ca="1" si="0"/>
        <v>0.39160735754152232</v>
      </c>
      <c r="BQ4" s="143">
        <f t="shared" ca="1" si="0"/>
        <v>0.54568216420971871</v>
      </c>
      <c r="BR4" s="143">
        <f t="shared" ca="1" si="0"/>
        <v>0.25466203885263544</v>
      </c>
      <c r="BS4" s="143">
        <f t="shared" ca="1" si="0"/>
        <v>-7.4242833917080725E-2</v>
      </c>
      <c r="BT4" s="143">
        <f t="shared" ca="1" si="0"/>
        <v>0.21313060028767722</v>
      </c>
      <c r="BU4" s="143">
        <f t="shared" ca="1" si="0"/>
        <v>0.13837412774587035</v>
      </c>
      <c r="BV4" s="143">
        <f t="shared" ca="1" si="0"/>
        <v>0.4998733745105014</v>
      </c>
      <c r="BW4" s="143">
        <f t="shared" ca="1" si="0"/>
        <v>-3.1194634458420911E-2</v>
      </c>
      <c r="BX4" s="143">
        <f t="shared" ca="1" si="0"/>
        <v>-0.16594747582577488</v>
      </c>
      <c r="BY4" s="143">
        <f t="shared" ca="1" si="0"/>
        <v>0.24163299748064762</v>
      </c>
      <c r="BZ4" s="143">
        <f t="shared" ca="1" si="0"/>
        <v>-0.17106305827250065</v>
      </c>
      <c r="CA4" s="143">
        <f t="shared" ca="1" si="1"/>
        <v>4.2494517559731E-2</v>
      </c>
      <c r="CB4" s="143">
        <f t="shared" ca="1" si="1"/>
        <v>-6.5486896162943314E-2</v>
      </c>
      <c r="CC4" s="143">
        <f t="shared" ca="1" si="1"/>
        <v>-0.10967599388182031</v>
      </c>
      <c r="CD4" s="143">
        <f t="shared" ca="1" si="1"/>
        <v>0.4245349927734815</v>
      </c>
      <c r="CE4" s="143">
        <f t="shared" ca="1" si="1"/>
        <v>0.23786135791715177</v>
      </c>
      <c r="CF4" s="143">
        <f t="shared" ca="1" si="1"/>
        <v>-1.1632638521024474E-2</v>
      </c>
      <c r="CG4" s="143">
        <f t="shared" ca="1" si="1"/>
        <v>9.7148711778836272E-2</v>
      </c>
      <c r="CH4" s="143">
        <f t="shared" ca="1" si="1"/>
        <v>0.11748876375351738</v>
      </c>
      <c r="CI4" s="143">
        <f t="shared" ca="1" si="1"/>
        <v>-0.2034256356674983</v>
      </c>
      <c r="CJ4" s="143">
        <f t="shared" ca="1" si="1"/>
        <v>-0.21951100923267411</v>
      </c>
      <c r="CK4" s="143">
        <f t="shared" ca="1" si="1"/>
        <v>-3.9953133576043437E-2</v>
      </c>
      <c r="CL4" s="143">
        <f t="shared" ca="1" si="1"/>
        <v>0.22279235133169267</v>
      </c>
      <c r="CM4" s="143">
        <f t="shared" ca="1" si="1"/>
        <v>-6.2379876294263725E-3</v>
      </c>
      <c r="CN4" s="143">
        <f t="shared" ca="1" si="1"/>
        <v>0.17408615788702608</v>
      </c>
      <c r="CO4" s="143">
        <f t="shared" ca="1" si="1"/>
        <v>0.26411230977466338</v>
      </c>
      <c r="CP4" s="143">
        <f t="shared" ca="1" si="1"/>
        <v>0.33181236270717696</v>
      </c>
      <c r="CQ4" s="143">
        <f t="shared" ca="1" si="1"/>
        <v>8.8181535724075596E-2</v>
      </c>
      <c r="CR4" s="143">
        <f t="shared" ca="1" si="1"/>
        <v>0.23301019683797214</v>
      </c>
      <c r="CS4" s="143">
        <f t="shared" ca="1" si="1"/>
        <v>0.34210880682574213</v>
      </c>
      <c r="CT4" s="143">
        <f t="shared" ca="1" si="1"/>
        <v>0.12418668411234324</v>
      </c>
      <c r="CU4" s="143">
        <f t="shared" ca="1" si="1"/>
        <v>4.3877358136199793E-2</v>
      </c>
      <c r="CV4" s="143">
        <f t="shared" ca="1" si="1"/>
        <v>0.29128937570902103</v>
      </c>
      <c r="CW4" s="143">
        <f t="shared" ca="1" si="1"/>
        <v>-0.15462565063111153</v>
      </c>
      <c r="CX4" s="143">
        <f t="shared" ca="1" si="1"/>
        <v>0.22939546857451115</v>
      </c>
      <c r="CY4" s="143">
        <f t="shared" ca="1" si="1"/>
        <v>0.18731960504671913</v>
      </c>
      <c r="CZ4" s="143">
        <f t="shared" ca="1" si="1"/>
        <v>0.61822760288070311</v>
      </c>
      <c r="DA4" s="143">
        <f t="shared" ca="1" si="1"/>
        <v>1.9472483083876752E-2</v>
      </c>
      <c r="DB4" s="143">
        <f t="shared" ca="1" si="1"/>
        <v>-0.28105057453467075</v>
      </c>
      <c r="DC4" s="143">
        <f t="shared" ca="1" si="1"/>
        <v>0.37917338437803283</v>
      </c>
      <c r="DD4" s="143">
        <f t="shared" ca="1" si="1"/>
        <v>-2.0988377561202504E-2</v>
      </c>
      <c r="DE4" s="143">
        <f t="shared" ca="1" si="1"/>
        <v>0.24223826075352053</v>
      </c>
      <c r="DF4" s="143">
        <f t="shared" ca="1" si="1"/>
        <v>0.40233972555684749</v>
      </c>
      <c r="DG4" s="143">
        <f t="shared" ca="1" si="1"/>
        <v>0.23431413834389883</v>
      </c>
      <c r="DH4" s="143">
        <f t="shared" ca="1" si="1"/>
        <v>-0.18091673305043501</v>
      </c>
      <c r="DI4" s="143">
        <f t="shared" ca="1" si="1"/>
        <v>-2.7846946332406197E-2</v>
      </c>
      <c r="DK4" s="115">
        <f t="shared" ref="DK4:DK51" si="8">DK3+1</f>
        <v>53</v>
      </c>
      <c r="DL4" s="143">
        <f t="shared" ca="1" si="6"/>
        <v>0.15753372777597535</v>
      </c>
      <c r="DM4" s="143">
        <f t="shared" ca="1" si="2"/>
        <v>2.9806392054290774E-2</v>
      </c>
      <c r="DN4" s="143">
        <f t="shared" ca="1" si="2"/>
        <v>-0.11121624042791925</v>
      </c>
      <c r="DO4" s="143">
        <f t="shared" ca="1" si="2"/>
        <v>-6.546307617021857E-2</v>
      </c>
      <c r="DP4" s="143">
        <f t="shared" ca="1" si="2"/>
        <v>3.2427625467516319E-2</v>
      </c>
      <c r="DQ4" s="143">
        <f t="shared" ca="1" si="2"/>
        <v>8.7185841001184136E-2</v>
      </c>
      <c r="DR4" s="143">
        <f t="shared" ca="1" si="2"/>
        <v>2.2902599029391811E-2</v>
      </c>
      <c r="DS4" s="143">
        <f t="shared" ca="1" si="2"/>
        <v>4.5004900109980192E-2</v>
      </c>
      <c r="DT4" s="143">
        <f t="shared" ca="1" si="2"/>
        <v>-7.1597500188397695E-2</v>
      </c>
      <c r="DU4" s="143">
        <f t="shared" ca="1" si="2"/>
        <v>-9.4243902563001178E-3</v>
      </c>
      <c r="DV4" s="143">
        <f t="shared" ca="1" si="2"/>
        <v>-3.3185720698006328E-2</v>
      </c>
      <c r="DW4" s="143">
        <f t="shared" ca="1" si="2"/>
        <v>5.9776359320766775E-2</v>
      </c>
      <c r="DX4" s="143">
        <f t="shared" ca="1" si="2"/>
        <v>7.6447579623337078E-2</v>
      </c>
      <c r="DY4" s="143">
        <f t="shared" ca="1" si="2"/>
        <v>9.3637311130549239E-2</v>
      </c>
      <c r="DZ4" s="143">
        <f t="shared" ca="1" si="2"/>
        <v>0.14877854197454154</v>
      </c>
      <c r="EA4" s="143">
        <f t="shared" ca="1" si="2"/>
        <v>-9.4848299229476407E-2</v>
      </c>
      <c r="EB4" s="143">
        <f t="shared" ca="1" si="2"/>
        <v>5.4942965359651083E-2</v>
      </c>
      <c r="EC4" s="143">
        <f t="shared" ca="1" si="2"/>
        <v>8.3171755939982855E-2</v>
      </c>
      <c r="ED4" s="143">
        <f t="shared" ca="1" si="2"/>
        <v>6.7044854347923205E-2</v>
      </c>
      <c r="EE4" s="143">
        <f t="shared" ca="1" si="2"/>
        <v>-3.0411566323133778E-2</v>
      </c>
      <c r="EF4" s="143">
        <f t="shared" ca="1" si="2"/>
        <v>-2.2878024024717981E-2</v>
      </c>
      <c r="EG4" s="143">
        <f t="shared" ca="1" si="2"/>
        <v>-3.9119066059831037E-3</v>
      </c>
      <c r="EH4" s="143">
        <f t="shared" ca="1" si="2"/>
        <v>-0.11486325944217946</v>
      </c>
      <c r="EI4" s="143">
        <f t="shared" ca="1" si="2"/>
        <v>0.12680025982257109</v>
      </c>
      <c r="EJ4" s="143">
        <f t="shared" ca="1" si="2"/>
        <v>0.15434854686228316</v>
      </c>
      <c r="EK4" s="143">
        <f t="shared" ca="1" si="2"/>
        <v>0.14163154028346964</v>
      </c>
      <c r="EL4" s="143">
        <f t="shared" ca="1" si="2"/>
        <v>1.9762345931151115E-2</v>
      </c>
      <c r="EM4" s="143">
        <f t="shared" ca="1" si="2"/>
        <v>9.4590407742711047E-2</v>
      </c>
      <c r="EN4" s="143">
        <f t="shared" ca="1" si="2"/>
        <v>-2.0552719030832743E-2</v>
      </c>
      <c r="EO4" s="143">
        <f t="shared" ca="1" si="2"/>
        <v>0.10853944745905753</v>
      </c>
      <c r="EP4" s="143">
        <f t="shared" ca="1" si="2"/>
        <v>6.0736386896654393E-2</v>
      </c>
      <c r="EQ4" s="143">
        <f t="shared" ca="1" si="2"/>
        <v>0.14001765331845228</v>
      </c>
      <c r="ER4" s="143">
        <f t="shared" ca="1" si="2"/>
        <v>0.10898062242710749</v>
      </c>
      <c r="ES4" s="143">
        <f t="shared" ca="1" si="2"/>
        <v>0.13125578820149358</v>
      </c>
      <c r="ET4" s="143">
        <f t="shared" ca="1" si="2"/>
        <v>0.20084969779221817</v>
      </c>
      <c r="EU4" s="143">
        <f t="shared" ca="1" si="2"/>
        <v>-4.9806736487341678E-2</v>
      </c>
      <c r="EV4" s="143">
        <f t="shared" ca="1" si="2"/>
        <v>5.1906018459734977E-2</v>
      </c>
      <c r="EW4" s="143">
        <f t="shared" ca="1" si="2"/>
        <v>0.10246174400385794</v>
      </c>
      <c r="EX4" s="143">
        <f t="shared" ca="1" si="2"/>
        <v>-6.3628394178672776E-2</v>
      </c>
      <c r="EY4" s="143">
        <f t="shared" ca="1" si="2"/>
        <v>-6.9765941603500053E-2</v>
      </c>
      <c r="EZ4" s="143">
        <f t="shared" ca="1" si="2"/>
        <v>6.8730838232731586E-2</v>
      </c>
      <c r="FA4" s="143">
        <f t="shared" ca="1" si="2"/>
        <v>7.1023020519974736E-2</v>
      </c>
      <c r="FB4" s="143">
        <f t="shared" ca="1" si="2"/>
        <v>8.9456414059245565E-2</v>
      </c>
      <c r="FC4" s="143">
        <f t="shared" ca="1" si="2"/>
        <v>0.1680980392425967</v>
      </c>
      <c r="FD4" s="143">
        <f t="shared" ca="1" si="2"/>
        <v>0.19893588969989814</v>
      </c>
      <c r="FE4" s="143">
        <f t="shared" ca="1" si="2"/>
        <v>0.17694747043188955</v>
      </c>
      <c r="FF4" s="143">
        <f t="shared" ca="1" si="2"/>
        <v>5.78148725100225E-2</v>
      </c>
      <c r="FG4" s="143">
        <f t="shared" ca="1" si="2"/>
        <v>0.13429828639918706</v>
      </c>
      <c r="FH4" s="143">
        <f t="shared" ca="1" si="2"/>
        <v>0.14795201330964247</v>
      </c>
      <c r="FI4" s="143">
        <f t="shared" ca="1" si="2"/>
        <v>0.16360174422937668</v>
      </c>
      <c r="FJ4" s="143">
        <f t="shared" ca="1" si="2"/>
        <v>9.2528874967460706E-2</v>
      </c>
      <c r="FK4" s="143">
        <f t="shared" ca="1" si="2"/>
        <v>0.15860869757900814</v>
      </c>
      <c r="FL4" s="143">
        <f t="shared" ca="1" si="2"/>
        <v>9.9698453905228718E-2</v>
      </c>
      <c r="FM4" s="143">
        <f t="shared" ca="1" si="2"/>
        <v>0.20121106759319385</v>
      </c>
      <c r="FN4" s="143">
        <f t="shared" ca="1" si="2"/>
        <v>8.3842615742151072E-2</v>
      </c>
      <c r="FO4" s="143">
        <f t="shared" ca="1" si="2"/>
        <v>4.6161518910281703E-2</v>
      </c>
      <c r="FP4" s="143">
        <f t="shared" ca="1" si="2"/>
        <v>0.13341727602826919</v>
      </c>
      <c r="FQ4" s="143">
        <f t="shared" ca="1" si="2"/>
        <v>0.11447238302546719</v>
      </c>
      <c r="FR4" s="143">
        <f t="shared" ca="1" si="2"/>
        <v>5.6383667220459531E-2</v>
      </c>
      <c r="FS4" s="143">
        <f t="shared" ca="1" si="2"/>
        <v>2.7849636974824066E-2</v>
      </c>
      <c r="FT4" s="143">
        <f t="shared" ca="1" si="2"/>
        <v>3.8276980756052029E-2</v>
      </c>
      <c r="FU4" s="143">
        <f t="shared" ca="1" si="2"/>
        <v>0.16502984195419756</v>
      </c>
      <c r="FV4" s="143">
        <f t="shared" ca="1" si="2"/>
        <v>8.0448890736792789E-2</v>
      </c>
      <c r="FW4" s="143">
        <f t="shared" ca="1" si="2"/>
        <v>9.9236709590104694E-2</v>
      </c>
      <c r="FX4" s="143">
        <f t="shared" ca="1" si="2"/>
        <v>6.4217953164445327E-2</v>
      </c>
      <c r="FY4" s="143">
        <f t="shared" ca="1" si="3"/>
        <v>3.4063191636369082E-2</v>
      </c>
      <c r="FZ4" s="143">
        <f t="shared" ca="1" si="3"/>
        <v>3.7787934192000494E-2</v>
      </c>
      <c r="GA4" s="143">
        <f t="shared" ca="1" si="3"/>
        <v>0.11041346793896079</v>
      </c>
      <c r="GB4" s="143">
        <f t="shared" ca="1" si="3"/>
        <v>-3.3128731075160657E-2</v>
      </c>
      <c r="GC4" s="143">
        <f t="shared" ca="1" si="3"/>
        <v>0.14148712082033996</v>
      </c>
      <c r="GD4" s="143">
        <f t="shared" ca="1" si="3"/>
        <v>0.12474790486846213</v>
      </c>
      <c r="GE4" s="143">
        <f t="shared" ca="1" si="3"/>
        <v>-9.3270451661734255E-2</v>
      </c>
      <c r="GF4" s="143">
        <f t="shared" ca="1" si="3"/>
        <v>5.2532636453305089E-2</v>
      </c>
      <c r="GG4" s="143">
        <f t="shared" ca="1" si="3"/>
        <v>9.0694519372279458E-2</v>
      </c>
      <c r="GH4" s="143">
        <f t="shared" ca="1" si="3"/>
        <v>-4.820555116468591E-2</v>
      </c>
      <c r="GI4" s="143">
        <f t="shared" ca="1" si="3"/>
        <v>2.5445910567286383E-2</v>
      </c>
      <c r="GJ4" s="143">
        <f t="shared" ca="1" si="3"/>
        <v>0.10046889167957268</v>
      </c>
      <c r="GK4" s="143">
        <f t="shared" ca="1" si="3"/>
        <v>0.11114453744598049</v>
      </c>
      <c r="GL4" s="143">
        <f t="shared" ca="1" si="3"/>
        <v>-8.2066616004121545E-2</v>
      </c>
      <c r="GM4" s="143">
        <f t="shared" ca="1" si="3"/>
        <v>0.13555472144457617</v>
      </c>
      <c r="GN4" s="143">
        <f t="shared" ca="1" si="3"/>
        <v>-0.11075569685344705</v>
      </c>
      <c r="GO4" s="143">
        <f t="shared" ca="1" si="3"/>
        <v>3.2070645754557855E-2</v>
      </c>
      <c r="GP4" s="143">
        <f t="shared" ca="1" si="3"/>
        <v>0.17497315725804452</v>
      </c>
      <c r="GQ4" s="143">
        <f t="shared" ca="1" si="3"/>
        <v>0.10167897391272382</v>
      </c>
      <c r="GR4" s="143">
        <f t="shared" ca="1" si="3"/>
        <v>0.16352354028163651</v>
      </c>
      <c r="GS4" s="143">
        <f t="shared" ca="1" si="3"/>
        <v>0.11127450715978243</v>
      </c>
      <c r="GT4" s="143">
        <f t="shared" ca="1" si="3"/>
        <v>5.3336800454250037E-2</v>
      </c>
      <c r="GU4" s="143">
        <f t="shared" ca="1" si="3"/>
        <v>0.16835495422915656</v>
      </c>
      <c r="GV4" s="143">
        <f t="shared" ca="1" si="3"/>
        <v>8.7921639157155063E-2</v>
      </c>
      <c r="GW4" s="143">
        <f t="shared" ca="1" si="3"/>
        <v>3.8225651225741217E-2</v>
      </c>
      <c r="GX4" s="143">
        <f t="shared" ca="1" si="3"/>
        <v>9.4248057014786654E-2</v>
      </c>
      <c r="GY4" s="143">
        <f t="shared" ca="1" si="3"/>
        <v>0.11069924654413335</v>
      </c>
      <c r="GZ4" s="143">
        <f t="shared" ca="1" si="3"/>
        <v>-9.4120474382360791E-3</v>
      </c>
      <c r="HA4" s="143">
        <f t="shared" ca="1" si="3"/>
        <v>5.634514944067491E-2</v>
      </c>
      <c r="HB4" s="143">
        <f t="shared" ca="1" si="3"/>
        <v>8.6086066613816126E-2</v>
      </c>
      <c r="HC4" s="143">
        <f t="shared" ca="1" si="3"/>
        <v>3.3226098969547237E-2</v>
      </c>
      <c r="HD4" s="143">
        <f t="shared" ca="1" si="3"/>
        <v>-7.3687524892403766E-2</v>
      </c>
      <c r="HE4" s="143">
        <f t="shared" ca="1" si="3"/>
        <v>-3.7683761297731024E-2</v>
      </c>
      <c r="HF4" s="143">
        <f t="shared" ca="1" si="3"/>
        <v>8.9634646416622443E-2</v>
      </c>
      <c r="HG4" s="143">
        <f t="shared" ca="1" si="3"/>
        <v>2.23894399544394E-2</v>
      </c>
    </row>
    <row r="5" spans="1:317">
      <c r="A5" s="90">
        <v>1931</v>
      </c>
      <c r="B5" s="84">
        <v>-0.43837548891786188</v>
      </c>
      <c r="C5" s="85">
        <v>-0.44659999999999994</v>
      </c>
      <c r="D5" s="83">
        <f t="shared" si="4"/>
        <v>-0.44002039113428948</v>
      </c>
      <c r="E5" s="85"/>
      <c r="F5" s="85"/>
      <c r="G5" s="85">
        <v>2.3099999999999999E-2</v>
      </c>
      <c r="H5" s="85">
        <v>-2.5588559619422531E-2</v>
      </c>
      <c r="I5" s="85">
        <v>-0.15680775082667592</v>
      </c>
      <c r="J5" s="85">
        <v>-0.17384987893462467</v>
      </c>
      <c r="M5" s="115">
        <f t="shared" si="7"/>
        <v>54</v>
      </c>
      <c r="N5" s="143">
        <f t="shared" ca="1" si="5"/>
        <v>6.3751552132412986E-2</v>
      </c>
      <c r="O5" s="143">
        <f t="shared" ca="1" si="0"/>
        <v>3.8623925650699352E-2</v>
      </c>
      <c r="P5" s="143">
        <f t="shared" ca="1" si="0"/>
        <v>6.4419040830965807E-2</v>
      </c>
      <c r="Q5" s="143">
        <f t="shared" ca="1" si="0"/>
        <v>0.19319958164821285</v>
      </c>
      <c r="R5" s="143">
        <f t="shared" ca="1" si="0"/>
        <v>0.10271073606856748</v>
      </c>
      <c r="S5" s="143">
        <f t="shared" ca="1" si="0"/>
        <v>0.29698448247926229</v>
      </c>
      <c r="T5" s="143">
        <f t="shared" ca="1" si="0"/>
        <v>6.2960024176429902E-2</v>
      </c>
      <c r="U5" s="143">
        <f t="shared" ca="1" si="0"/>
        <v>0.47158849744995934</v>
      </c>
      <c r="V5" s="143">
        <f t="shared" ca="1" si="0"/>
        <v>2.1170059103286148E-2</v>
      </c>
      <c r="W5" s="143">
        <f t="shared" ca="1" si="0"/>
        <v>0.32034806038136537</v>
      </c>
      <c r="X5" s="143">
        <f t="shared" ca="1" si="0"/>
        <v>-9.2068576764901683E-3</v>
      </c>
      <c r="Y5" s="143">
        <f t="shared" ca="1" si="0"/>
        <v>0.46133861479013571</v>
      </c>
      <c r="Z5" s="143">
        <f t="shared" ca="1" si="0"/>
        <v>3.1405512615986925E-3</v>
      </c>
      <c r="AA5" s="143">
        <f t="shared" ca="1" si="0"/>
        <v>0.24538065971744868</v>
      </c>
      <c r="AB5" s="143">
        <f t="shared" ca="1" si="0"/>
        <v>0.16880666091149904</v>
      </c>
      <c r="AC5" s="143">
        <f t="shared" ca="1" si="0"/>
        <v>0.11742386480158801</v>
      </c>
      <c r="AD5" s="143">
        <f t="shared" ca="1" si="0"/>
        <v>0.14714452130590155</v>
      </c>
      <c r="AE5" s="143">
        <f t="shared" ca="1" si="0"/>
        <v>9.8854615539656451E-2</v>
      </c>
      <c r="AF5" s="143">
        <f t="shared" ca="1" si="0"/>
        <v>0.25496135038505285</v>
      </c>
      <c r="AG5" s="143">
        <f t="shared" ca="1" si="0"/>
        <v>0.11516625501614837</v>
      </c>
      <c r="AH5" s="143">
        <f t="shared" ca="1" si="0"/>
        <v>-4.0223809604996691E-2</v>
      </c>
      <c r="AI5" s="143">
        <f t="shared" ca="1" si="0"/>
        <v>-1.2982849733482793E-2</v>
      </c>
      <c r="AJ5" s="143">
        <f t="shared" ca="1" si="0"/>
        <v>0.13531203047449425</v>
      </c>
      <c r="AK5" s="143">
        <f t="shared" ca="1" si="0"/>
        <v>0.10332722670803385</v>
      </c>
      <c r="AL5" s="143">
        <f t="shared" ca="1" si="0"/>
        <v>0.31023641277353847</v>
      </c>
      <c r="AM5" s="143">
        <f t="shared" ca="1" si="0"/>
        <v>-0.12765757629318569</v>
      </c>
      <c r="AN5" s="143">
        <f t="shared" ca="1" si="0"/>
        <v>-8.2580050524928617E-2</v>
      </c>
      <c r="AO5" s="143">
        <f t="shared" ca="1" si="0"/>
        <v>0.13506458903586233</v>
      </c>
      <c r="AP5" s="143">
        <f t="shared" ca="1" si="0"/>
        <v>0.18306977338943892</v>
      </c>
      <c r="AQ5" s="143">
        <f t="shared" ca="1" si="0"/>
        <v>0.21145912827792746</v>
      </c>
      <c r="AR5" s="143">
        <f t="shared" ca="1" si="0"/>
        <v>4.4722521878373001E-2</v>
      </c>
      <c r="AS5" s="143">
        <f t="shared" ca="1" si="0"/>
        <v>0.39391990277128075</v>
      </c>
      <c r="AT5" s="143">
        <f t="shared" ca="1" si="0"/>
        <v>3.9433746828826291E-2</v>
      </c>
      <c r="AU5" s="143">
        <f t="shared" ca="1" si="0"/>
        <v>-5.1797998491315722E-2</v>
      </c>
      <c r="AV5" s="143">
        <f t="shared" ca="1" si="0"/>
        <v>-0.28136605838490836</v>
      </c>
      <c r="AW5" s="143">
        <f t="shared" ca="1" si="0"/>
        <v>0.46120640605352048</v>
      </c>
      <c r="AX5" s="143">
        <f t="shared" ca="1" si="0"/>
        <v>0.10449628953419399</v>
      </c>
      <c r="AY5" s="143">
        <f t="shared" ca="1" si="0"/>
        <v>1.6384150517110022E-2</v>
      </c>
      <c r="AZ5" s="143">
        <f t="shared" ca="1" si="0"/>
        <v>-4.019432798126793E-2</v>
      </c>
      <c r="BA5" s="143">
        <f t="shared" ca="1" si="0"/>
        <v>9.0999367122312283E-2</v>
      </c>
      <c r="BB5" s="143">
        <f t="shared" ca="1" si="0"/>
        <v>0.14567903881777666</v>
      </c>
      <c r="BC5" s="143">
        <f t="shared" ca="1" si="0"/>
        <v>0.32032633957025258</v>
      </c>
      <c r="BD5" s="143">
        <f t="shared" ca="1" si="0"/>
        <v>0.16847953231933049</v>
      </c>
      <c r="BE5" s="143">
        <f t="shared" ca="1" si="0"/>
        <v>-5.0270184664333029E-2</v>
      </c>
      <c r="BF5" s="143">
        <f t="shared" ca="1" si="0"/>
        <v>-1.1829649710706353E-3</v>
      </c>
      <c r="BG5" s="143">
        <f t="shared" ca="1" si="0"/>
        <v>-5.0162805348428069E-3</v>
      </c>
      <c r="BH5" s="143">
        <f t="shared" ca="1" si="0"/>
        <v>0.36124480308507223</v>
      </c>
      <c r="BI5" s="143">
        <f t="shared" ca="1" si="0"/>
        <v>2.9215360989687827E-2</v>
      </c>
      <c r="BJ5" s="143">
        <f t="shared" ca="1" si="0"/>
        <v>0.59308563511007351</v>
      </c>
      <c r="BK5" s="143">
        <f t="shared" ca="1" si="0"/>
        <v>0.18052353381112135</v>
      </c>
      <c r="BL5" s="143">
        <f t="shared" ca="1" si="0"/>
        <v>0.14079136882714471</v>
      </c>
      <c r="BM5" s="143">
        <f t="shared" ca="1" si="0"/>
        <v>6.8556940212560535E-2</v>
      </c>
      <c r="BN5" s="143">
        <f t="shared" ca="1" si="0"/>
        <v>8.3640178227964629E-2</v>
      </c>
      <c r="BO5" s="143">
        <f t="shared" ca="1" si="0"/>
        <v>0.37463742445383208</v>
      </c>
      <c r="BP5" s="143">
        <f t="shared" ca="1" si="0"/>
        <v>2.0324426422887412E-2</v>
      </c>
      <c r="BQ5" s="143">
        <f t="shared" ca="1" si="0"/>
        <v>0.31964589998268433</v>
      </c>
      <c r="BR5" s="143">
        <f t="shared" ca="1" si="0"/>
        <v>0.27157784974782584</v>
      </c>
      <c r="BS5" s="143">
        <f t="shared" ca="1" si="0"/>
        <v>0.12923181124854441</v>
      </c>
      <c r="BT5" s="143">
        <f t="shared" ca="1" si="0"/>
        <v>0.2062724795999262</v>
      </c>
      <c r="BU5" s="143">
        <f t="shared" ca="1" si="0"/>
        <v>-5.7767258250985082E-2</v>
      </c>
      <c r="BV5" s="143">
        <f t="shared" ca="1" si="0"/>
        <v>-0.12620891073961144</v>
      </c>
      <c r="BW5" s="143">
        <f t="shared" ca="1" si="0"/>
        <v>0.27382564701422302</v>
      </c>
      <c r="BX5" s="143">
        <f t="shared" ca="1" si="0"/>
        <v>0.57980485656760117</v>
      </c>
      <c r="BY5" s="143">
        <f t="shared" ca="1" si="0"/>
        <v>5.0177353178143917E-2</v>
      </c>
      <c r="BZ5" s="143">
        <f t="shared" ref="BZ5:DI8" ca="1" si="9">_xlfn.NORM.INV(RAND(),$B$112,$B$113)</f>
        <v>0.17241070883575441</v>
      </c>
      <c r="CA5" s="143">
        <f t="shared" ca="1" si="9"/>
        <v>-0.26546798124240412</v>
      </c>
      <c r="CB5" s="143">
        <f t="shared" ca="1" si="9"/>
        <v>0.31534542298708201</v>
      </c>
      <c r="CC5" s="143">
        <f t="shared" ca="1" si="9"/>
        <v>6.0774116307432485E-2</v>
      </c>
      <c r="CD5" s="143">
        <f t="shared" ca="1" si="9"/>
        <v>0.39625756713205662</v>
      </c>
      <c r="CE5" s="143">
        <f t="shared" ca="1" si="9"/>
        <v>0.56949835797899895</v>
      </c>
      <c r="CF5" s="143">
        <f t="shared" ca="1" si="9"/>
        <v>0.13515508104522486</v>
      </c>
      <c r="CG5" s="143">
        <f t="shared" ca="1" si="9"/>
        <v>-0.15601319756738088</v>
      </c>
      <c r="CH5" s="143">
        <f t="shared" ca="1" si="9"/>
        <v>0.48530256720235454</v>
      </c>
      <c r="CI5" s="143">
        <f t="shared" ca="1" si="9"/>
        <v>-0.40039246604840861</v>
      </c>
      <c r="CJ5" s="143">
        <f t="shared" ca="1" si="9"/>
        <v>0.16558570608960693</v>
      </c>
      <c r="CK5" s="143">
        <f t="shared" ca="1" si="9"/>
        <v>0.25922404279425448</v>
      </c>
      <c r="CL5" s="143">
        <f t="shared" ca="1" si="9"/>
        <v>-0.17014225900250998</v>
      </c>
      <c r="CM5" s="143">
        <f t="shared" ca="1" si="9"/>
        <v>0.18463094107121458</v>
      </c>
      <c r="CN5" s="143">
        <f t="shared" ca="1" si="9"/>
        <v>0.20606181571543503</v>
      </c>
      <c r="CO5" s="143">
        <f t="shared" ca="1" si="9"/>
        <v>0.24439780785978493</v>
      </c>
      <c r="CP5" s="143">
        <f t="shared" ca="1" si="9"/>
        <v>-4.7117498517058182E-2</v>
      </c>
      <c r="CQ5" s="143">
        <f t="shared" ca="1" si="9"/>
        <v>-3.4490543593684281E-2</v>
      </c>
      <c r="CR5" s="143">
        <f t="shared" ca="1" si="9"/>
        <v>5.7832138276323927E-2</v>
      </c>
      <c r="CS5" s="143">
        <f t="shared" ca="1" si="9"/>
        <v>0.45411713086090777</v>
      </c>
      <c r="CT5" s="143">
        <f t="shared" ca="1" si="9"/>
        <v>-0.11987362893745557</v>
      </c>
      <c r="CU5" s="143">
        <f t="shared" ca="1" si="9"/>
        <v>-0.20988211590372954</v>
      </c>
      <c r="CV5" s="143">
        <f t="shared" ca="1" si="9"/>
        <v>0.16357115601602618</v>
      </c>
      <c r="CW5" s="143">
        <f t="shared" ca="1" si="9"/>
        <v>0.279348867093692</v>
      </c>
      <c r="CX5" s="143">
        <f t="shared" ca="1" si="9"/>
        <v>0.52034633190643165</v>
      </c>
      <c r="CY5" s="143">
        <f t="shared" ca="1" si="9"/>
        <v>0.37737141059988333</v>
      </c>
      <c r="CZ5" s="143">
        <f t="shared" ca="1" si="9"/>
        <v>0.14790433131369513</v>
      </c>
      <c r="DA5" s="143">
        <f t="shared" ca="1" si="9"/>
        <v>-5.0667418248159513E-2</v>
      </c>
      <c r="DB5" s="143">
        <f t="shared" ca="1" si="9"/>
        <v>0.19261527037773646</v>
      </c>
      <c r="DC5" s="143">
        <f t="shared" ca="1" si="9"/>
        <v>9.1632867133890905E-4</v>
      </c>
      <c r="DD5" s="143">
        <f t="shared" ca="1" si="9"/>
        <v>0.25764223784433793</v>
      </c>
      <c r="DE5" s="143">
        <f t="shared" ca="1" si="9"/>
        <v>-9.2946484624251591E-2</v>
      </c>
      <c r="DF5" s="143">
        <f t="shared" ca="1" si="9"/>
        <v>-3.2791344310176274E-3</v>
      </c>
      <c r="DG5" s="143">
        <f t="shared" ca="1" si="9"/>
        <v>-3.8608432632472295E-2</v>
      </c>
      <c r="DH5" s="143">
        <f t="shared" ca="1" si="9"/>
        <v>-0.25573330152685647</v>
      </c>
      <c r="DI5" s="143">
        <f t="shared" ca="1" si="9"/>
        <v>-0.58939496214370424</v>
      </c>
      <c r="DK5" s="115">
        <f t="shared" si="8"/>
        <v>54</v>
      </c>
      <c r="DL5" s="143">
        <f t="shared" ca="1" si="6"/>
        <v>8.7204308887153775E-2</v>
      </c>
      <c r="DM5" s="143">
        <f t="shared" ca="1" si="2"/>
        <v>0.10200094314648123</v>
      </c>
      <c r="DN5" s="143">
        <f t="shared" ca="1" si="2"/>
        <v>0.18113321419693446</v>
      </c>
      <c r="DO5" s="143">
        <f t="shared" ca="1" si="2"/>
        <v>4.6231967619793576E-3</v>
      </c>
      <c r="DP5" s="143">
        <f t="shared" ca="1" si="2"/>
        <v>-2.3749899581340661E-4</v>
      </c>
      <c r="DQ5" s="143">
        <f t="shared" ca="1" si="2"/>
        <v>6.9089708383592643E-2</v>
      </c>
      <c r="DR5" s="143">
        <f t="shared" ca="1" si="2"/>
        <v>1.628726476032967E-3</v>
      </c>
      <c r="DS5" s="143">
        <f t="shared" ca="1" si="2"/>
        <v>9.7653982447349047E-2</v>
      </c>
      <c r="DT5" s="143">
        <f t="shared" ca="1" si="2"/>
        <v>6.2941858267062251E-2</v>
      </c>
      <c r="DU5" s="143">
        <f t="shared" ca="1" si="2"/>
        <v>-1.6283967883502067E-2</v>
      </c>
      <c r="DV5" s="143">
        <f t="shared" ca="1" si="2"/>
        <v>-1.4049315685120779E-2</v>
      </c>
      <c r="DW5" s="143">
        <f t="shared" ca="1" si="2"/>
        <v>1.1041260609533109E-2</v>
      </c>
      <c r="DX5" s="143">
        <f t="shared" ca="1" si="2"/>
        <v>-5.6758453063138758E-3</v>
      </c>
      <c r="DY5" s="143">
        <f t="shared" ca="1" si="2"/>
        <v>-1.60964575722213E-2</v>
      </c>
      <c r="DZ5" s="143">
        <f t="shared" ca="1" si="2"/>
        <v>4.1491814176307082E-2</v>
      </c>
      <c r="EA5" s="143">
        <f t="shared" ca="1" si="2"/>
        <v>5.8686923772920285E-2</v>
      </c>
      <c r="EB5" s="143">
        <f t="shared" ca="1" si="2"/>
        <v>3.1361885420710202E-2</v>
      </c>
      <c r="EC5" s="143">
        <f t="shared" ca="1" si="2"/>
        <v>6.0182470386144771E-2</v>
      </c>
      <c r="ED5" s="143">
        <f t="shared" ca="1" si="2"/>
        <v>0.10190111892877277</v>
      </c>
      <c r="EE5" s="143">
        <f t="shared" ca="1" si="2"/>
        <v>-1.0323864875346214E-2</v>
      </c>
      <c r="EF5" s="143">
        <f t="shared" ca="1" si="2"/>
        <v>9.9641033383528338E-2</v>
      </c>
      <c r="EG5" s="143">
        <f t="shared" ca="1" si="2"/>
        <v>0.23241916768987617</v>
      </c>
      <c r="EH5" s="143">
        <f t="shared" ca="1" si="2"/>
        <v>9.1451607530329632E-2</v>
      </c>
      <c r="EI5" s="143">
        <f t="shared" ca="1" si="2"/>
        <v>0.1366795234108763</v>
      </c>
      <c r="EJ5" s="143">
        <f t="shared" ca="1" si="2"/>
        <v>3.7079177699404768E-2</v>
      </c>
      <c r="EK5" s="143">
        <f t="shared" ca="1" si="2"/>
        <v>5.6325201873490202E-2</v>
      </c>
      <c r="EL5" s="143">
        <f t="shared" ca="1" si="2"/>
        <v>4.9149365743640511E-2</v>
      </c>
      <c r="EM5" s="143">
        <f t="shared" ca="1" si="2"/>
        <v>0.16170545055915181</v>
      </c>
      <c r="EN5" s="143">
        <f t="shared" ca="1" si="2"/>
        <v>1.4332567941847632E-2</v>
      </c>
      <c r="EO5" s="143">
        <f t="shared" ca="1" si="2"/>
        <v>9.1108808292885979E-2</v>
      </c>
      <c r="EP5" s="143">
        <f t="shared" ca="1" si="2"/>
        <v>0.10876359050292617</v>
      </c>
      <c r="EQ5" s="143">
        <f t="shared" ca="1" si="2"/>
        <v>9.7133611626789962E-2</v>
      </c>
      <c r="ER5" s="143">
        <f t="shared" ca="1" si="2"/>
        <v>0.14164980057470294</v>
      </c>
      <c r="ES5" s="143">
        <f t="shared" ca="1" si="2"/>
        <v>-4.0535094092173929E-3</v>
      </c>
      <c r="ET5" s="143">
        <f t="shared" ca="1" si="2"/>
        <v>4.5482485122719934E-4</v>
      </c>
      <c r="EU5" s="143">
        <f t="shared" ca="1" si="2"/>
        <v>5.8505287149167584E-2</v>
      </c>
      <c r="EV5" s="143">
        <f t="shared" ca="1" si="2"/>
        <v>-6.8822558922309374E-2</v>
      </c>
      <c r="EW5" s="143">
        <f t="shared" ca="1" si="2"/>
        <v>-7.9697772621709045E-2</v>
      </c>
      <c r="EX5" s="143">
        <f t="shared" ca="1" si="2"/>
        <v>0.16964739533104886</v>
      </c>
      <c r="EY5" s="143">
        <f t="shared" ca="1" si="2"/>
        <v>4.7305625717595237E-2</v>
      </c>
      <c r="EZ5" s="143">
        <f t="shared" ca="1" si="2"/>
        <v>-4.2259205028167914E-2</v>
      </c>
      <c r="FA5" s="143">
        <f t="shared" ca="1" si="2"/>
        <v>0.15011279284630727</v>
      </c>
      <c r="FB5" s="143">
        <f t="shared" ca="1" si="2"/>
        <v>9.7366347703010392E-2</v>
      </c>
      <c r="FC5" s="143">
        <f t="shared" ca="1" si="2"/>
        <v>0.13128341065318017</v>
      </c>
      <c r="FD5" s="143">
        <f t="shared" ca="1" si="2"/>
        <v>4.6937546540807541E-2</v>
      </c>
      <c r="FE5" s="143">
        <f t="shared" ca="1" si="2"/>
        <v>2.916166501116952E-2</v>
      </c>
      <c r="FF5" s="143">
        <f t="shared" ca="1" si="2"/>
        <v>0.17222978423709021</v>
      </c>
      <c r="FG5" s="143">
        <f t="shared" ca="1" si="2"/>
        <v>-1.4577065644657654E-2</v>
      </c>
      <c r="FH5" s="143">
        <f t="shared" ca="1" si="2"/>
        <v>8.524901886225747E-3</v>
      </c>
      <c r="FI5" s="143">
        <f t="shared" ca="1" si="2"/>
        <v>-2.31813855781123E-2</v>
      </c>
      <c r="FJ5" s="143">
        <f t="shared" ca="1" si="2"/>
        <v>8.015676988731138E-2</v>
      </c>
      <c r="FK5" s="143">
        <f t="shared" ca="1" si="2"/>
        <v>1.8799848497304955E-2</v>
      </c>
      <c r="FL5" s="143">
        <f t="shared" ca="1" si="2"/>
        <v>-9.006276346895814E-2</v>
      </c>
      <c r="FM5" s="143">
        <f t="shared" ca="1" si="2"/>
        <v>7.2487695436864619E-2</v>
      </c>
      <c r="FN5" s="143">
        <f t="shared" ca="1" si="2"/>
        <v>-3.5083401771483037E-2</v>
      </c>
      <c r="FO5" s="143">
        <f t="shared" ca="1" si="2"/>
        <v>5.0687908801902742E-2</v>
      </c>
      <c r="FP5" s="143">
        <f t="shared" ca="1" si="2"/>
        <v>0.18108672216366864</v>
      </c>
      <c r="FQ5" s="143">
        <f t="shared" ca="1" si="2"/>
        <v>3.1578080075621517E-2</v>
      </c>
      <c r="FR5" s="143">
        <f t="shared" ca="1" si="2"/>
        <v>3.8255804165432394E-2</v>
      </c>
      <c r="FS5" s="143">
        <f t="shared" ca="1" si="2"/>
        <v>0.11337103731208489</v>
      </c>
      <c r="FT5" s="143">
        <f t="shared" ca="1" si="2"/>
        <v>0.15158413691505415</v>
      </c>
      <c r="FU5" s="143">
        <f t="shared" ca="1" si="2"/>
        <v>9.9831779102320356E-2</v>
      </c>
      <c r="FV5" s="143">
        <f t="shared" ca="1" si="2"/>
        <v>-2.7115944841393791E-5</v>
      </c>
      <c r="FW5" s="143">
        <f t="shared" ca="1" si="2"/>
        <v>0.10305536650764691</v>
      </c>
      <c r="FX5" s="143">
        <f t="shared" ref="FX5:HG8" ca="1" si="10">_xlfn.NORM.INV(RAND(),$B$116,$B$117)</f>
        <v>-1.7639022801722797E-2</v>
      </c>
      <c r="FY5" s="143">
        <f t="shared" ca="1" si="10"/>
        <v>0.14222062306839484</v>
      </c>
      <c r="FZ5" s="143">
        <f t="shared" ca="1" si="10"/>
        <v>2.3899165075757983E-2</v>
      </c>
      <c r="GA5" s="143">
        <f t="shared" ca="1" si="10"/>
        <v>5.0189171400275484E-2</v>
      </c>
      <c r="GB5" s="143">
        <f t="shared" ca="1" si="10"/>
        <v>0.29868625571605734</v>
      </c>
      <c r="GC5" s="143">
        <f t="shared" ca="1" si="10"/>
        <v>-2.4307163112657439E-2</v>
      </c>
      <c r="GD5" s="143">
        <f t="shared" ca="1" si="10"/>
        <v>3.0472663773024385E-2</v>
      </c>
      <c r="GE5" s="143">
        <f t="shared" ca="1" si="10"/>
        <v>1.3655578824660397E-2</v>
      </c>
      <c r="GF5" s="143">
        <f t="shared" ca="1" si="10"/>
        <v>7.3745406841575573E-2</v>
      </c>
      <c r="GG5" s="143">
        <f t="shared" ca="1" si="10"/>
        <v>-4.9822351143134373E-2</v>
      </c>
      <c r="GH5" s="143">
        <f t="shared" ca="1" si="10"/>
        <v>6.2036898300393037E-2</v>
      </c>
      <c r="GI5" s="143">
        <f t="shared" ca="1" si="10"/>
        <v>7.1603754893072483E-2</v>
      </c>
      <c r="GJ5" s="143">
        <f t="shared" ca="1" si="10"/>
        <v>6.5873944801009526E-2</v>
      </c>
      <c r="GK5" s="143">
        <f t="shared" ca="1" si="10"/>
        <v>7.6003691542598451E-2</v>
      </c>
      <c r="GL5" s="143">
        <f t="shared" ca="1" si="10"/>
        <v>6.4112767259574391E-2</v>
      </c>
      <c r="GM5" s="143">
        <f t="shared" ca="1" si="10"/>
        <v>3.7760071403921451E-2</v>
      </c>
      <c r="GN5" s="143">
        <f t="shared" ca="1" si="10"/>
        <v>5.594297123149862E-2</v>
      </c>
      <c r="GO5" s="143">
        <f t="shared" ca="1" si="10"/>
        <v>-5.6056391464627729E-2</v>
      </c>
      <c r="GP5" s="143">
        <f t="shared" ca="1" si="10"/>
        <v>-4.2181961241210542E-3</v>
      </c>
      <c r="GQ5" s="143">
        <f t="shared" ca="1" si="10"/>
        <v>-9.3657224275690176E-2</v>
      </c>
      <c r="GR5" s="143">
        <f t="shared" ca="1" si="10"/>
        <v>4.1801644521108329E-2</v>
      </c>
      <c r="GS5" s="143">
        <f t="shared" ca="1" si="10"/>
        <v>0.10280601277352028</v>
      </c>
      <c r="GT5" s="143">
        <f t="shared" ca="1" si="10"/>
        <v>1.2974809320954468E-2</v>
      </c>
      <c r="GU5" s="143">
        <f t="shared" ca="1" si="10"/>
        <v>0.1042169042900728</v>
      </c>
      <c r="GV5" s="143">
        <f t="shared" ca="1" si="10"/>
        <v>-0.11213013646054815</v>
      </c>
      <c r="GW5" s="143">
        <f t="shared" ca="1" si="10"/>
        <v>3.9487321786419165E-2</v>
      </c>
      <c r="GX5" s="143">
        <f t="shared" ca="1" si="10"/>
        <v>0.14001598701212326</v>
      </c>
      <c r="GY5" s="143">
        <f t="shared" ca="1" si="10"/>
        <v>0.17497923678222685</v>
      </c>
      <c r="GZ5" s="143">
        <f t="shared" ca="1" si="10"/>
        <v>0.2096376698867615</v>
      </c>
      <c r="HA5" s="143">
        <f t="shared" ca="1" si="10"/>
        <v>-9.5396351829527132E-3</v>
      </c>
      <c r="HB5" s="143">
        <f t="shared" ca="1" si="10"/>
        <v>-0.1073457884677681</v>
      </c>
      <c r="HC5" s="143">
        <f t="shared" ca="1" si="10"/>
        <v>7.8950401180909249E-2</v>
      </c>
      <c r="HD5" s="143">
        <f t="shared" ca="1" si="10"/>
        <v>0.14036447911244873</v>
      </c>
      <c r="HE5" s="143">
        <f t="shared" ca="1" si="10"/>
        <v>6.1847605701327558E-2</v>
      </c>
      <c r="HF5" s="143">
        <f t="shared" ca="1" si="10"/>
        <v>6.0716711488375326E-2</v>
      </c>
      <c r="HG5" s="143">
        <f t="shared" ca="1" si="10"/>
        <v>1.1893504199154616E-2</v>
      </c>
    </row>
    <row r="6" spans="1:317">
      <c r="A6" s="90">
        <v>1932</v>
      </c>
      <c r="B6" s="84">
        <v>-8.642364532019696E-2</v>
      </c>
      <c r="C6" s="85">
        <v>0.20489999999999997</v>
      </c>
      <c r="D6" s="83">
        <f t="shared" si="4"/>
        <v>-2.8158916256157594E-2</v>
      </c>
      <c r="E6" s="85"/>
      <c r="F6" s="85"/>
      <c r="G6" s="85">
        <v>1.0699999999999999E-2</v>
      </c>
      <c r="H6" s="85">
        <v>8.7903069904773257E-2</v>
      </c>
      <c r="I6" s="85">
        <v>0.23589601675740196</v>
      </c>
      <c r="J6" s="85">
        <v>0.21277842907385724</v>
      </c>
      <c r="M6" s="115">
        <f t="shared" si="7"/>
        <v>55</v>
      </c>
      <c r="N6" s="143">
        <f t="shared" ca="1" si="5"/>
        <v>0.1318012912409614</v>
      </c>
      <c r="O6" s="143">
        <f t="shared" ref="O6:BZ9" ca="1" si="11">_xlfn.NORM.INV(RAND(),$B$112,$B$113)</f>
        <v>7.2863310606703688E-2</v>
      </c>
      <c r="P6" s="143">
        <f t="shared" ca="1" si="11"/>
        <v>0.35266533406691036</v>
      </c>
      <c r="Q6" s="143">
        <f t="shared" ca="1" si="11"/>
        <v>0.22493865490585457</v>
      </c>
      <c r="R6" s="143">
        <f t="shared" ca="1" si="11"/>
        <v>-0.1026574302978277</v>
      </c>
      <c r="S6" s="143">
        <f t="shared" ca="1" si="11"/>
        <v>-1.0015370570141097E-2</v>
      </c>
      <c r="T6" s="143">
        <f t="shared" ca="1" si="11"/>
        <v>-0.19563214927249115</v>
      </c>
      <c r="U6" s="143">
        <f t="shared" ca="1" si="11"/>
        <v>-7.4258447377129111E-2</v>
      </c>
      <c r="V6" s="143">
        <f t="shared" ca="1" si="11"/>
        <v>0.49410825305118422</v>
      </c>
      <c r="W6" s="143">
        <f t="shared" ca="1" si="11"/>
        <v>0.22870152723772319</v>
      </c>
      <c r="X6" s="143">
        <f t="shared" ca="1" si="11"/>
        <v>0.28272891990853039</v>
      </c>
      <c r="Y6" s="143">
        <f t="shared" ca="1" si="11"/>
        <v>7.7138807462449596E-2</v>
      </c>
      <c r="Z6" s="143">
        <f t="shared" ca="1" si="11"/>
        <v>0.18028088501964315</v>
      </c>
      <c r="AA6" s="143">
        <f t="shared" ca="1" si="11"/>
        <v>0.27135548068811577</v>
      </c>
      <c r="AB6" s="143">
        <f t="shared" ca="1" si="11"/>
        <v>-7.3513071570818045E-2</v>
      </c>
      <c r="AC6" s="143">
        <f t="shared" ca="1" si="11"/>
        <v>0.31234912874663245</v>
      </c>
      <c r="AD6" s="143">
        <f t="shared" ca="1" si="11"/>
        <v>0.27334030975137213</v>
      </c>
      <c r="AE6" s="143">
        <f t="shared" ca="1" si="11"/>
        <v>-7.3630810293526527E-2</v>
      </c>
      <c r="AF6" s="143">
        <f t="shared" ca="1" si="11"/>
        <v>7.3814628508103261E-2</v>
      </c>
      <c r="AG6" s="143">
        <f t="shared" ca="1" si="11"/>
        <v>-0.10303382953167756</v>
      </c>
      <c r="AH6" s="143">
        <f t="shared" ca="1" si="11"/>
        <v>0.18929356596533772</v>
      </c>
      <c r="AI6" s="143">
        <f t="shared" ca="1" si="11"/>
        <v>5.0747972824693781E-2</v>
      </c>
      <c r="AJ6" s="143">
        <f t="shared" ca="1" si="11"/>
        <v>0.21071534979084436</v>
      </c>
      <c r="AK6" s="143">
        <f t="shared" ca="1" si="11"/>
        <v>1.4926508888029696E-2</v>
      </c>
      <c r="AL6" s="143">
        <f t="shared" ca="1" si="11"/>
        <v>0.40857826246391915</v>
      </c>
      <c r="AM6" s="143">
        <f t="shared" ca="1" si="11"/>
        <v>0.29611344001019346</v>
      </c>
      <c r="AN6" s="143">
        <f t="shared" ca="1" si="11"/>
        <v>-4.6115951786762227E-2</v>
      </c>
      <c r="AO6" s="143">
        <f t="shared" ca="1" si="11"/>
        <v>0.16014543267374903</v>
      </c>
      <c r="AP6" s="143">
        <f t="shared" ca="1" si="11"/>
        <v>6.1754659279677333E-2</v>
      </c>
      <c r="AQ6" s="143">
        <f t="shared" ca="1" si="11"/>
        <v>0.15741342313435411</v>
      </c>
      <c r="AR6" s="143">
        <f t="shared" ca="1" si="11"/>
        <v>0.13593799515009436</v>
      </c>
      <c r="AS6" s="143">
        <f t="shared" ca="1" si="11"/>
        <v>-0.20724474820734226</v>
      </c>
      <c r="AT6" s="143">
        <f t="shared" ca="1" si="11"/>
        <v>0.19901448873619354</v>
      </c>
      <c r="AU6" s="143">
        <f t="shared" ca="1" si="11"/>
        <v>0.18746830963275188</v>
      </c>
      <c r="AV6" s="143">
        <f t="shared" ca="1" si="11"/>
        <v>7.727791250976096E-2</v>
      </c>
      <c r="AW6" s="143">
        <f t="shared" ca="1" si="11"/>
        <v>0.28805991770118766</v>
      </c>
      <c r="AX6" s="143">
        <f t="shared" ca="1" si="11"/>
        <v>-7.3019183789078623E-2</v>
      </c>
      <c r="AY6" s="143">
        <f t="shared" ca="1" si="11"/>
        <v>0.31132339667073161</v>
      </c>
      <c r="AZ6" s="143">
        <f t="shared" ca="1" si="11"/>
        <v>0.10420998197847919</v>
      </c>
      <c r="BA6" s="143">
        <f t="shared" ca="1" si="11"/>
        <v>0.3686154840085446</v>
      </c>
      <c r="BB6" s="143">
        <f t="shared" ca="1" si="11"/>
        <v>-0.16491033490945148</v>
      </c>
      <c r="BC6" s="143">
        <f t="shared" ca="1" si="11"/>
        <v>-0.16948088899440131</v>
      </c>
      <c r="BD6" s="143">
        <f t="shared" ca="1" si="11"/>
        <v>-7.8918013554302197E-2</v>
      </c>
      <c r="BE6" s="143">
        <f t="shared" ca="1" si="11"/>
        <v>-0.16733224752242767</v>
      </c>
      <c r="BF6" s="143">
        <f t="shared" ca="1" si="11"/>
        <v>0.20567994019767977</v>
      </c>
      <c r="BG6" s="143">
        <f t="shared" ca="1" si="11"/>
        <v>0.13900809994457644</v>
      </c>
      <c r="BH6" s="143">
        <f t="shared" ca="1" si="11"/>
        <v>0.16204493578044812</v>
      </c>
      <c r="BI6" s="143">
        <f t="shared" ca="1" si="11"/>
        <v>0.30365137408824905</v>
      </c>
      <c r="BJ6" s="143">
        <f t="shared" ca="1" si="11"/>
        <v>0.14356536460942287</v>
      </c>
      <c r="BK6" s="143">
        <f t="shared" ca="1" si="11"/>
        <v>0.25637827807305857</v>
      </c>
      <c r="BL6" s="143">
        <f t="shared" ca="1" si="11"/>
        <v>0.1782566515783196</v>
      </c>
      <c r="BM6" s="143">
        <f t="shared" ca="1" si="11"/>
        <v>-0.10920024947879223</v>
      </c>
      <c r="BN6" s="143">
        <f t="shared" ca="1" si="11"/>
        <v>0.25950029718266315</v>
      </c>
      <c r="BO6" s="143">
        <f t="shared" ca="1" si="11"/>
        <v>9.0486846086865788E-2</v>
      </c>
      <c r="BP6" s="143">
        <f t="shared" ca="1" si="11"/>
        <v>7.4798674122845271E-3</v>
      </c>
      <c r="BQ6" s="143">
        <f t="shared" ca="1" si="11"/>
        <v>-5.6961429617419956E-2</v>
      </c>
      <c r="BR6" s="143">
        <f t="shared" ca="1" si="11"/>
        <v>2.9738156686673373E-2</v>
      </c>
      <c r="BS6" s="143">
        <f t="shared" ca="1" si="11"/>
        <v>-2.7988629873861109E-2</v>
      </c>
      <c r="BT6" s="143">
        <f t="shared" ca="1" si="11"/>
        <v>1.760731951747585E-3</v>
      </c>
      <c r="BU6" s="143">
        <f t="shared" ca="1" si="11"/>
        <v>0.15109075581272446</v>
      </c>
      <c r="BV6" s="143">
        <f t="shared" ca="1" si="11"/>
        <v>0.24712809569549921</v>
      </c>
      <c r="BW6" s="143">
        <f t="shared" ca="1" si="11"/>
        <v>-0.11658823879506344</v>
      </c>
      <c r="BX6" s="143">
        <f t="shared" ca="1" si="11"/>
        <v>-0.35832803284379011</v>
      </c>
      <c r="BY6" s="143">
        <f t="shared" ca="1" si="11"/>
        <v>0.10361953895783614</v>
      </c>
      <c r="BZ6" s="143">
        <f t="shared" ca="1" si="11"/>
        <v>0.14975390798318269</v>
      </c>
      <c r="CA6" s="143">
        <f t="shared" ca="1" si="9"/>
        <v>0.17818409645165181</v>
      </c>
      <c r="CB6" s="143">
        <f t="shared" ca="1" si="9"/>
        <v>0.23196545671870897</v>
      </c>
      <c r="CC6" s="143">
        <f t="shared" ca="1" si="9"/>
        <v>0.11311422105532246</v>
      </c>
      <c r="CD6" s="143">
        <f t="shared" ca="1" si="9"/>
        <v>-0.13450109884451919</v>
      </c>
      <c r="CE6" s="143">
        <f t="shared" ca="1" si="9"/>
        <v>0.21809372311995623</v>
      </c>
      <c r="CF6" s="143">
        <f t="shared" ca="1" si="9"/>
        <v>0.45666025393801912</v>
      </c>
      <c r="CG6" s="143">
        <f t="shared" ca="1" si="9"/>
        <v>2.4742426587472902E-2</v>
      </c>
      <c r="CH6" s="143">
        <f t="shared" ca="1" si="9"/>
        <v>-1.8173490823708394E-2</v>
      </c>
      <c r="CI6" s="143">
        <f t="shared" ca="1" si="9"/>
        <v>0.18482860875479967</v>
      </c>
      <c r="CJ6" s="143">
        <f t="shared" ca="1" si="9"/>
        <v>0.31054202261795288</v>
      </c>
      <c r="CK6" s="143">
        <f t="shared" ca="1" si="9"/>
        <v>9.0761552525482167E-2</v>
      </c>
      <c r="CL6" s="143">
        <f t="shared" ca="1" si="9"/>
        <v>0.10301356352683144</v>
      </c>
      <c r="CM6" s="143">
        <f t="shared" ca="1" si="9"/>
        <v>-0.12179256707135919</v>
      </c>
      <c r="CN6" s="143">
        <f t="shared" ca="1" si="9"/>
        <v>0.24367614221619527</v>
      </c>
      <c r="CO6" s="143">
        <f t="shared" ca="1" si="9"/>
        <v>-0.29333772470775621</v>
      </c>
      <c r="CP6" s="143">
        <f t="shared" ca="1" si="9"/>
        <v>9.777453521498701E-2</v>
      </c>
      <c r="CQ6" s="143">
        <f t="shared" ca="1" si="9"/>
        <v>8.5753520125221583E-3</v>
      </c>
      <c r="CR6" s="143">
        <f t="shared" ca="1" si="9"/>
        <v>-0.24695594420094621</v>
      </c>
      <c r="CS6" s="143">
        <f t="shared" ca="1" si="9"/>
        <v>-0.10096477432698656</v>
      </c>
      <c r="CT6" s="143">
        <f t="shared" ca="1" si="9"/>
        <v>0.31517512037759154</v>
      </c>
      <c r="CU6" s="143">
        <f t="shared" ca="1" si="9"/>
        <v>0.27570591542866096</v>
      </c>
      <c r="CV6" s="143">
        <f t="shared" ca="1" si="9"/>
        <v>1.6610172152022804E-2</v>
      </c>
      <c r="CW6" s="143">
        <f t="shared" ca="1" si="9"/>
        <v>0.16480056126007797</v>
      </c>
      <c r="CX6" s="143">
        <f t="shared" ca="1" si="9"/>
        <v>0.24702050960449737</v>
      </c>
      <c r="CY6" s="143">
        <f t="shared" ca="1" si="9"/>
        <v>6.9128973516384834E-2</v>
      </c>
      <c r="CZ6" s="143">
        <f t="shared" ca="1" si="9"/>
        <v>0.1866074935417919</v>
      </c>
      <c r="DA6" s="143">
        <f t="shared" ca="1" si="9"/>
        <v>-0.15356801706969533</v>
      </c>
      <c r="DB6" s="143">
        <f t="shared" ca="1" si="9"/>
        <v>0.26531087576809431</v>
      </c>
      <c r="DC6" s="143">
        <f t="shared" ca="1" si="9"/>
        <v>-0.22964151680233327</v>
      </c>
      <c r="DD6" s="143">
        <f t="shared" ca="1" si="9"/>
        <v>-1.4027778210921438E-2</v>
      </c>
      <c r="DE6" s="143">
        <f t="shared" ca="1" si="9"/>
        <v>-0.20663074641397092</v>
      </c>
      <c r="DF6" s="143">
        <f t="shared" ca="1" si="9"/>
        <v>0.11413112297581711</v>
      </c>
      <c r="DG6" s="143">
        <f t="shared" ca="1" si="9"/>
        <v>0.10176920390010663</v>
      </c>
      <c r="DH6" s="143">
        <f t="shared" ca="1" si="9"/>
        <v>0.32287574030255572</v>
      </c>
      <c r="DI6" s="143">
        <f t="shared" ca="1" si="9"/>
        <v>-2.6653405192676519E-2</v>
      </c>
      <c r="DK6" s="115">
        <f t="shared" si="8"/>
        <v>55</v>
      </c>
      <c r="DL6" s="143">
        <f t="shared" ca="1" si="6"/>
        <v>9.8874649101707596E-2</v>
      </c>
      <c r="DM6" s="143">
        <f t="shared" ref="DM6:FX9" ca="1" si="12">_xlfn.NORM.INV(RAND(),$B$116,$B$117)</f>
        <v>-1.1453620425713656E-2</v>
      </c>
      <c r="DN6" s="143">
        <f t="shared" ca="1" si="12"/>
        <v>-2.4498949619882825E-2</v>
      </c>
      <c r="DO6" s="143">
        <f t="shared" ca="1" si="12"/>
        <v>-8.3126895667977319E-4</v>
      </c>
      <c r="DP6" s="143">
        <f t="shared" ca="1" si="12"/>
        <v>0.10455605677281665</v>
      </c>
      <c r="DQ6" s="143">
        <f t="shared" ca="1" si="12"/>
        <v>-4.3813838335819456E-2</v>
      </c>
      <c r="DR6" s="143">
        <f t="shared" ca="1" si="12"/>
        <v>-6.6440605532638058E-2</v>
      </c>
      <c r="DS6" s="143">
        <f t="shared" ca="1" si="12"/>
        <v>-4.6600367705541337E-3</v>
      </c>
      <c r="DT6" s="143">
        <f t="shared" ca="1" si="12"/>
        <v>0.14806396535834751</v>
      </c>
      <c r="DU6" s="143">
        <f t="shared" ca="1" si="12"/>
        <v>-4.1551796973155163E-2</v>
      </c>
      <c r="DV6" s="143">
        <f t="shared" ca="1" si="12"/>
        <v>1.3444092348262812E-3</v>
      </c>
      <c r="DW6" s="143">
        <f t="shared" ca="1" si="12"/>
        <v>0.10097345322587914</v>
      </c>
      <c r="DX6" s="143">
        <f t="shared" ca="1" si="12"/>
        <v>-2.6330796008872372E-2</v>
      </c>
      <c r="DY6" s="143">
        <f t="shared" ca="1" si="12"/>
        <v>1.0184338127519989E-2</v>
      </c>
      <c r="DZ6" s="143">
        <f t="shared" ca="1" si="12"/>
        <v>7.6300112457372102E-2</v>
      </c>
      <c r="EA6" s="143">
        <f t="shared" ca="1" si="12"/>
        <v>1.2978679419461452E-2</v>
      </c>
      <c r="EB6" s="143">
        <f t="shared" ca="1" si="12"/>
        <v>0.10432229164439748</v>
      </c>
      <c r="EC6" s="143">
        <f t="shared" ca="1" si="12"/>
        <v>8.3623162282134178E-2</v>
      </c>
      <c r="ED6" s="143">
        <f t="shared" ca="1" si="12"/>
        <v>-1.1403689440756905E-2</v>
      </c>
      <c r="EE6" s="143">
        <f t="shared" ca="1" si="12"/>
        <v>4.7569160459147511E-3</v>
      </c>
      <c r="EF6" s="143">
        <f t="shared" ca="1" si="12"/>
        <v>-4.0046365693447127E-2</v>
      </c>
      <c r="EG6" s="143">
        <f t="shared" ca="1" si="12"/>
        <v>0.13033180918477724</v>
      </c>
      <c r="EH6" s="143">
        <f t="shared" ca="1" si="12"/>
        <v>0.1213962252736015</v>
      </c>
      <c r="EI6" s="143">
        <f t="shared" ca="1" si="12"/>
        <v>0.10463934715731674</v>
      </c>
      <c r="EJ6" s="143">
        <f t="shared" ca="1" si="12"/>
        <v>6.18373847059158E-2</v>
      </c>
      <c r="EK6" s="143">
        <f t="shared" ca="1" si="12"/>
        <v>8.7217550931712046E-2</v>
      </c>
      <c r="EL6" s="143">
        <f t="shared" ca="1" si="12"/>
        <v>0.13135821684823798</v>
      </c>
      <c r="EM6" s="143">
        <f t="shared" ca="1" si="12"/>
        <v>9.1958751247640219E-2</v>
      </c>
      <c r="EN6" s="143">
        <f t="shared" ca="1" si="12"/>
        <v>8.702857891495587E-2</v>
      </c>
      <c r="EO6" s="143">
        <f t="shared" ca="1" si="12"/>
        <v>0.12917209077988837</v>
      </c>
      <c r="EP6" s="143">
        <f t="shared" ca="1" si="12"/>
        <v>5.4268612878610387E-2</v>
      </c>
      <c r="EQ6" s="143">
        <f t="shared" ca="1" si="12"/>
        <v>0.11823228835821223</v>
      </c>
      <c r="ER6" s="143">
        <f t="shared" ca="1" si="12"/>
        <v>7.2895121900150059E-2</v>
      </c>
      <c r="ES6" s="143">
        <f t="shared" ca="1" si="12"/>
        <v>-4.690018082739713E-2</v>
      </c>
      <c r="ET6" s="143">
        <f t="shared" ca="1" si="12"/>
        <v>-6.9901352586715787E-3</v>
      </c>
      <c r="EU6" s="143">
        <f t="shared" ca="1" si="12"/>
        <v>-9.6196996224844622E-2</v>
      </c>
      <c r="EV6" s="143">
        <f t="shared" ca="1" si="12"/>
        <v>0.1362432211949321</v>
      </c>
      <c r="EW6" s="143">
        <f t="shared" ca="1" si="12"/>
        <v>5.2556792781897274E-2</v>
      </c>
      <c r="EX6" s="143">
        <f t="shared" ca="1" si="12"/>
        <v>4.1247185168315458E-2</v>
      </c>
      <c r="EY6" s="143">
        <f t="shared" ca="1" si="12"/>
        <v>3.4251151987197435E-2</v>
      </c>
      <c r="EZ6" s="143">
        <f t="shared" ca="1" si="12"/>
        <v>-2.6626567292569597E-3</v>
      </c>
      <c r="FA6" s="143">
        <f t="shared" ca="1" si="12"/>
        <v>0.1641784073956615</v>
      </c>
      <c r="FB6" s="143">
        <f t="shared" ca="1" si="12"/>
        <v>8.3312208120330675E-2</v>
      </c>
      <c r="FC6" s="143">
        <f t="shared" ca="1" si="12"/>
        <v>2.7904697417265884E-2</v>
      </c>
      <c r="FD6" s="143">
        <f t="shared" ca="1" si="12"/>
        <v>9.1867206612499669E-2</v>
      </c>
      <c r="FE6" s="143">
        <f t="shared" ca="1" si="12"/>
        <v>-7.8806300455382977E-2</v>
      </c>
      <c r="FF6" s="143">
        <f t="shared" ca="1" si="12"/>
        <v>9.8477209807095956E-2</v>
      </c>
      <c r="FG6" s="143">
        <f t="shared" ca="1" si="12"/>
        <v>0.21208422625908618</v>
      </c>
      <c r="FH6" s="143">
        <f t="shared" ca="1" si="12"/>
        <v>8.4594898643410618E-2</v>
      </c>
      <c r="FI6" s="143">
        <f t="shared" ca="1" si="12"/>
        <v>3.9132831004032163E-2</v>
      </c>
      <c r="FJ6" s="143">
        <f t="shared" ca="1" si="12"/>
        <v>-2.5639445742876417E-2</v>
      </c>
      <c r="FK6" s="143">
        <f t="shared" ca="1" si="12"/>
        <v>4.4811555305296832E-3</v>
      </c>
      <c r="FL6" s="143">
        <f t="shared" ca="1" si="12"/>
        <v>3.5721853252519253E-2</v>
      </c>
      <c r="FM6" s="143">
        <f t="shared" ca="1" si="12"/>
        <v>-8.5500788714552051E-2</v>
      </c>
      <c r="FN6" s="143">
        <f t="shared" ca="1" si="12"/>
        <v>0.16271948149373366</v>
      </c>
      <c r="FO6" s="143">
        <f t="shared" ca="1" si="12"/>
        <v>3.3380065899084613E-2</v>
      </c>
      <c r="FP6" s="143">
        <f t="shared" ca="1" si="12"/>
        <v>0.1348795836889666</v>
      </c>
      <c r="FQ6" s="143">
        <f t="shared" ca="1" si="12"/>
        <v>-2.441635557534224E-2</v>
      </c>
      <c r="FR6" s="143">
        <f t="shared" ca="1" si="12"/>
        <v>9.1163920887199129E-2</v>
      </c>
      <c r="FS6" s="143">
        <f t="shared" ca="1" si="12"/>
        <v>-4.0391972747584041E-2</v>
      </c>
      <c r="FT6" s="143">
        <f t="shared" ca="1" si="12"/>
        <v>4.2818133116576743E-2</v>
      </c>
      <c r="FU6" s="143">
        <f t="shared" ca="1" si="12"/>
        <v>0.15703426529603176</v>
      </c>
      <c r="FV6" s="143">
        <f t="shared" ca="1" si="12"/>
        <v>0.20744521194613408</v>
      </c>
      <c r="FW6" s="143">
        <f t="shared" ca="1" si="12"/>
        <v>0.12021410005195901</v>
      </c>
      <c r="FX6" s="143">
        <f t="shared" ca="1" si="12"/>
        <v>0.10960276630121765</v>
      </c>
      <c r="FY6" s="143">
        <f t="shared" ca="1" si="10"/>
        <v>5.9259394111960906E-2</v>
      </c>
      <c r="FZ6" s="143">
        <f t="shared" ca="1" si="10"/>
        <v>-3.9437928311383125E-4</v>
      </c>
      <c r="GA6" s="143">
        <f t="shared" ca="1" si="10"/>
        <v>-0.1170004385172308</v>
      </c>
      <c r="GB6" s="143">
        <f t="shared" ca="1" si="10"/>
        <v>-7.1915541624989338E-3</v>
      </c>
      <c r="GC6" s="143">
        <f t="shared" ca="1" si="10"/>
        <v>-7.495551226726134E-3</v>
      </c>
      <c r="GD6" s="143">
        <f t="shared" ca="1" si="10"/>
        <v>0.14414912716992276</v>
      </c>
      <c r="GE6" s="143">
        <f t="shared" ca="1" si="10"/>
        <v>5.7761580144064788E-2</v>
      </c>
      <c r="GF6" s="143">
        <f t="shared" ca="1" si="10"/>
        <v>6.0685862260800166E-2</v>
      </c>
      <c r="GG6" s="143">
        <f t="shared" ca="1" si="10"/>
        <v>9.9379839467673564E-3</v>
      </c>
      <c r="GH6" s="143">
        <f t="shared" ca="1" si="10"/>
        <v>-3.9360652967848422E-3</v>
      </c>
      <c r="GI6" s="143">
        <f t="shared" ca="1" si="10"/>
        <v>0.10637130800535675</v>
      </c>
      <c r="GJ6" s="143">
        <f t="shared" ca="1" si="10"/>
        <v>-5.53428772022184E-2</v>
      </c>
      <c r="GK6" s="143">
        <f t="shared" ca="1" si="10"/>
        <v>7.9544994361489096E-2</v>
      </c>
      <c r="GL6" s="143">
        <f t="shared" ca="1" si="10"/>
        <v>-1.7176987341463786E-2</v>
      </c>
      <c r="GM6" s="143">
        <f t="shared" ca="1" si="10"/>
        <v>-0.12540734353347496</v>
      </c>
      <c r="GN6" s="143">
        <f t="shared" ca="1" si="10"/>
        <v>-4.0772044988831573E-2</v>
      </c>
      <c r="GO6" s="143">
        <f t="shared" ca="1" si="10"/>
        <v>6.5811587343586914E-2</v>
      </c>
      <c r="GP6" s="143">
        <f t="shared" ca="1" si="10"/>
        <v>-1.815192883940981E-2</v>
      </c>
      <c r="GQ6" s="143">
        <f t="shared" ca="1" si="10"/>
        <v>0.12202838219023704</v>
      </c>
      <c r="GR6" s="143">
        <f t="shared" ca="1" si="10"/>
        <v>-0.10757790572999323</v>
      </c>
      <c r="GS6" s="143">
        <f t="shared" ca="1" si="10"/>
        <v>-4.6032850811421333E-3</v>
      </c>
      <c r="GT6" s="143">
        <f t="shared" ca="1" si="10"/>
        <v>-1.2776574063967865E-2</v>
      </c>
      <c r="GU6" s="143">
        <f t="shared" ca="1" si="10"/>
        <v>0.10730668637999025</v>
      </c>
      <c r="GV6" s="143">
        <f t="shared" ca="1" si="10"/>
        <v>5.4477021555445954E-2</v>
      </c>
      <c r="GW6" s="143">
        <f t="shared" ca="1" si="10"/>
        <v>-4.2444439753965897E-2</v>
      </c>
      <c r="GX6" s="143">
        <f t="shared" ca="1" si="10"/>
        <v>2.5160585630352818E-2</v>
      </c>
      <c r="GY6" s="143">
        <f t="shared" ca="1" si="10"/>
        <v>-0.14675013282979404</v>
      </c>
      <c r="GZ6" s="143">
        <f t="shared" ca="1" si="10"/>
        <v>9.1729745820706116E-2</v>
      </c>
      <c r="HA6" s="143">
        <f t="shared" ca="1" si="10"/>
        <v>3.659141224950252E-2</v>
      </c>
      <c r="HB6" s="143">
        <f t="shared" ca="1" si="10"/>
        <v>5.6535246266758418E-2</v>
      </c>
      <c r="HC6" s="143">
        <f t="shared" ca="1" si="10"/>
        <v>3.8156939421441549E-2</v>
      </c>
      <c r="HD6" s="143">
        <f t="shared" ca="1" si="10"/>
        <v>6.6954983917595703E-3</v>
      </c>
      <c r="HE6" s="143">
        <f t="shared" ca="1" si="10"/>
        <v>-5.3906440255156722E-2</v>
      </c>
      <c r="HF6" s="143">
        <f t="shared" ca="1" si="10"/>
        <v>-1.624253122511999E-2</v>
      </c>
      <c r="HG6" s="143">
        <f t="shared" ca="1" si="10"/>
        <v>9.2186311425943038E-2</v>
      </c>
    </row>
    <row r="7" spans="1:317">
      <c r="A7" s="90">
        <v>1933</v>
      </c>
      <c r="B7" s="84">
        <v>0.49982225433526023</v>
      </c>
      <c r="C7" s="85">
        <v>1.4834000000000001</v>
      </c>
      <c r="D7" s="83">
        <f t="shared" si="4"/>
        <v>0.69653780346820815</v>
      </c>
      <c r="E7" s="85"/>
      <c r="F7" s="85"/>
      <c r="G7" s="85">
        <v>9.5999999999999992E-3</v>
      </c>
      <c r="H7" s="85">
        <v>1.8552720891857361E-2</v>
      </c>
      <c r="I7" s="85">
        <v>0.1296689369754826</v>
      </c>
      <c r="J7" s="85">
        <v>0.27259545674238739</v>
      </c>
      <c r="M7" s="115">
        <f t="shared" si="7"/>
        <v>56</v>
      </c>
      <c r="N7" s="143">
        <f t="shared" ca="1" si="5"/>
        <v>2.5962651834963157E-2</v>
      </c>
      <c r="O7" s="143">
        <f t="shared" ca="1" si="11"/>
        <v>-0.34498690003079036</v>
      </c>
      <c r="P7" s="143">
        <f t="shared" ca="1" si="11"/>
        <v>0.39818935883701911</v>
      </c>
      <c r="Q7" s="143">
        <f t="shared" ca="1" si="11"/>
        <v>-2.5925941554777537E-2</v>
      </c>
      <c r="R7" s="143">
        <f t="shared" ca="1" si="11"/>
        <v>1.032201729643141E-2</v>
      </c>
      <c r="S7" s="143">
        <f t="shared" ca="1" si="11"/>
        <v>0.36985117501564146</v>
      </c>
      <c r="T7" s="143">
        <f t="shared" ca="1" si="11"/>
        <v>-0.14839635789575217</v>
      </c>
      <c r="U7" s="143">
        <f t="shared" ca="1" si="11"/>
        <v>0.15939908036352818</v>
      </c>
      <c r="V7" s="143">
        <f t="shared" ca="1" si="11"/>
        <v>4.1592620675062981E-2</v>
      </c>
      <c r="W7" s="143">
        <f t="shared" ca="1" si="11"/>
        <v>-0.11301615082806435</v>
      </c>
      <c r="X7" s="143">
        <f t="shared" ca="1" si="11"/>
        <v>0.44424378014937616</v>
      </c>
      <c r="Y7" s="143">
        <f t="shared" ca="1" si="11"/>
        <v>0.42793999044857733</v>
      </c>
      <c r="Z7" s="143">
        <f t="shared" ca="1" si="11"/>
        <v>0.20946619486713025</v>
      </c>
      <c r="AA7" s="143">
        <f t="shared" ca="1" si="11"/>
        <v>0.40812951151672006</v>
      </c>
      <c r="AB7" s="143">
        <f t="shared" ca="1" si="11"/>
        <v>0.13296151426574743</v>
      </c>
      <c r="AC7" s="143">
        <f t="shared" ca="1" si="11"/>
        <v>4.5293441813553915E-2</v>
      </c>
      <c r="AD7" s="143">
        <f t="shared" ca="1" si="11"/>
        <v>0.21375162712912255</v>
      </c>
      <c r="AE7" s="143">
        <f t="shared" ca="1" si="11"/>
        <v>-0.1452855455831969</v>
      </c>
      <c r="AF7" s="143">
        <f t="shared" ca="1" si="11"/>
        <v>-4.7752969779027182E-2</v>
      </c>
      <c r="AG7" s="143">
        <f t="shared" ca="1" si="11"/>
        <v>-1.289544057334148E-2</v>
      </c>
      <c r="AH7" s="143">
        <f t="shared" ca="1" si="11"/>
        <v>0.28181156939450613</v>
      </c>
      <c r="AI7" s="143">
        <f t="shared" ca="1" si="11"/>
        <v>0.22786937145793101</v>
      </c>
      <c r="AJ7" s="143">
        <f t="shared" ca="1" si="11"/>
        <v>0.29282275691483661</v>
      </c>
      <c r="AK7" s="143">
        <f t="shared" ca="1" si="11"/>
        <v>0.12334111485638433</v>
      </c>
      <c r="AL7" s="143">
        <f t="shared" ca="1" si="11"/>
        <v>5.4945662060877164E-2</v>
      </c>
      <c r="AM7" s="143">
        <f t="shared" ca="1" si="11"/>
        <v>-0.33631515647748933</v>
      </c>
      <c r="AN7" s="143">
        <f t="shared" ca="1" si="11"/>
        <v>-4.6158485573968511E-2</v>
      </c>
      <c r="AO7" s="143">
        <f t="shared" ca="1" si="11"/>
        <v>0.2730576169338268</v>
      </c>
      <c r="AP7" s="143">
        <f t="shared" ca="1" si="11"/>
        <v>-0.18001735727993898</v>
      </c>
      <c r="AQ7" s="143">
        <f t="shared" ca="1" si="11"/>
        <v>9.5270214428027952E-2</v>
      </c>
      <c r="AR7" s="143">
        <f t="shared" ca="1" si="11"/>
        <v>0.29308263451942584</v>
      </c>
      <c r="AS7" s="143">
        <f t="shared" ca="1" si="11"/>
        <v>0.28310074096888416</v>
      </c>
      <c r="AT7" s="143">
        <f t="shared" ca="1" si="11"/>
        <v>0.25782634565548757</v>
      </c>
      <c r="AU7" s="143">
        <f t="shared" ca="1" si="11"/>
        <v>-8.0174719889688661E-2</v>
      </c>
      <c r="AV7" s="143">
        <f t="shared" ca="1" si="11"/>
        <v>-0.15154242754694125</v>
      </c>
      <c r="AW7" s="143">
        <f t="shared" ca="1" si="11"/>
        <v>-9.1551863536041639E-2</v>
      </c>
      <c r="AX7" s="143">
        <f t="shared" ca="1" si="11"/>
        <v>0.12591485081232431</v>
      </c>
      <c r="AY7" s="143">
        <f t="shared" ca="1" si="11"/>
        <v>0.21422822548649828</v>
      </c>
      <c r="AZ7" s="143">
        <f t="shared" ca="1" si="11"/>
        <v>0.12869168110076976</v>
      </c>
      <c r="BA7" s="143">
        <f t="shared" ca="1" si="11"/>
        <v>0.3353945694759376</v>
      </c>
      <c r="BB7" s="143">
        <f t="shared" ca="1" si="11"/>
        <v>-0.38116270648882711</v>
      </c>
      <c r="BC7" s="143">
        <f t="shared" ca="1" si="11"/>
        <v>-0.15958656762162529</v>
      </c>
      <c r="BD7" s="143">
        <f t="shared" ca="1" si="11"/>
        <v>-4.5454868936257775E-2</v>
      </c>
      <c r="BE7" s="143">
        <f t="shared" ca="1" si="11"/>
        <v>0.12007670712592911</v>
      </c>
      <c r="BF7" s="143">
        <f t="shared" ca="1" si="11"/>
        <v>-0.14194933205668034</v>
      </c>
      <c r="BG7" s="143">
        <f t="shared" ca="1" si="11"/>
        <v>0.21071425717625636</v>
      </c>
      <c r="BH7" s="143">
        <f t="shared" ca="1" si="11"/>
        <v>-0.18460466714830118</v>
      </c>
      <c r="BI7" s="143">
        <f t="shared" ca="1" si="11"/>
        <v>0.56145122512657553</v>
      </c>
      <c r="BJ7" s="143">
        <f t="shared" ca="1" si="11"/>
        <v>0.11473821720724824</v>
      </c>
      <c r="BK7" s="143">
        <f t="shared" ca="1" si="11"/>
        <v>0.5263829437729548</v>
      </c>
      <c r="BL7" s="143">
        <f t="shared" ca="1" si="11"/>
        <v>8.6385235133531191E-2</v>
      </c>
      <c r="BM7" s="143">
        <f t="shared" ca="1" si="11"/>
        <v>-0.23369754553399189</v>
      </c>
      <c r="BN7" s="143">
        <f t="shared" ca="1" si="11"/>
        <v>-9.8555776121938415E-2</v>
      </c>
      <c r="BO7" s="143">
        <f t="shared" ca="1" si="11"/>
        <v>0.24994794378351326</v>
      </c>
      <c r="BP7" s="143">
        <f t="shared" ca="1" si="11"/>
        <v>-0.107711701232209</v>
      </c>
      <c r="BQ7" s="143">
        <f t="shared" ca="1" si="11"/>
        <v>7.3463617610823498E-2</v>
      </c>
      <c r="BR7" s="143">
        <f t="shared" ca="1" si="11"/>
        <v>1.344774758946779E-2</v>
      </c>
      <c r="BS7" s="143">
        <f t="shared" ca="1" si="11"/>
        <v>0.35891073817592112</v>
      </c>
      <c r="BT7" s="143">
        <f t="shared" ca="1" si="11"/>
        <v>0.27220978964408116</v>
      </c>
      <c r="BU7" s="143">
        <f t="shared" ca="1" si="11"/>
        <v>7.7246395811058327E-2</v>
      </c>
      <c r="BV7" s="143">
        <f t="shared" ca="1" si="11"/>
        <v>2.6109065884986876E-2</v>
      </c>
      <c r="BW7" s="143">
        <f t="shared" ca="1" si="11"/>
        <v>-9.1392353938831994E-2</v>
      </c>
      <c r="BX7" s="143">
        <f t="shared" ca="1" si="11"/>
        <v>0.10512518163711636</v>
      </c>
      <c r="BY7" s="143">
        <f t="shared" ca="1" si="11"/>
        <v>0.16136164659162988</v>
      </c>
      <c r="BZ7" s="143">
        <f t="shared" ca="1" si="11"/>
        <v>0.11294031578914371</v>
      </c>
      <c r="CA7" s="143">
        <f t="shared" ca="1" si="9"/>
        <v>-1.308150557853853E-2</v>
      </c>
      <c r="CB7" s="143">
        <f t="shared" ca="1" si="9"/>
        <v>0.31836991850733232</v>
      </c>
      <c r="CC7" s="143">
        <f t="shared" ca="1" si="9"/>
        <v>-7.0697946627985481E-2</v>
      </c>
      <c r="CD7" s="143">
        <f t="shared" ca="1" si="9"/>
        <v>0.11276437676428078</v>
      </c>
      <c r="CE7" s="143">
        <f t="shared" ca="1" si="9"/>
        <v>0.15665125712198313</v>
      </c>
      <c r="CF7" s="143">
        <f t="shared" ca="1" si="9"/>
        <v>2.5317482670485988E-2</v>
      </c>
      <c r="CG7" s="143">
        <f t="shared" ca="1" si="9"/>
        <v>0.39251244161306276</v>
      </c>
      <c r="CH7" s="143">
        <f t="shared" ca="1" si="9"/>
        <v>3.6802877951587813E-2</v>
      </c>
      <c r="CI7" s="143">
        <f t="shared" ca="1" si="9"/>
        <v>6.4302159794540514E-2</v>
      </c>
      <c r="CJ7" s="143">
        <f t="shared" ca="1" si="9"/>
        <v>0.54863536565331661</v>
      </c>
      <c r="CK7" s="143">
        <f t="shared" ca="1" si="9"/>
        <v>1.1058012918330196E-4</v>
      </c>
      <c r="CL7" s="143">
        <f t="shared" ca="1" si="9"/>
        <v>4.5863852749596014E-2</v>
      </c>
      <c r="CM7" s="143">
        <f t="shared" ca="1" si="9"/>
        <v>8.589237174855556E-2</v>
      </c>
      <c r="CN7" s="143">
        <f t="shared" ca="1" si="9"/>
        <v>0.33020173548146159</v>
      </c>
      <c r="CO7" s="143">
        <f t="shared" ca="1" si="9"/>
        <v>0.12855887669809823</v>
      </c>
      <c r="CP7" s="143">
        <f t="shared" ca="1" si="9"/>
        <v>0.44688707365021363</v>
      </c>
      <c r="CQ7" s="143">
        <f t="shared" ca="1" si="9"/>
        <v>6.2370798569112824E-2</v>
      </c>
      <c r="CR7" s="143">
        <f t="shared" ca="1" si="9"/>
        <v>0.37505500727846752</v>
      </c>
      <c r="CS7" s="143">
        <f t="shared" ca="1" si="9"/>
        <v>0.24976149521472146</v>
      </c>
      <c r="CT7" s="143">
        <f t="shared" ca="1" si="9"/>
        <v>-0.11799823855356725</v>
      </c>
      <c r="CU7" s="143">
        <f t="shared" ca="1" si="9"/>
        <v>7.6238883538024466E-2</v>
      </c>
      <c r="CV7" s="143">
        <f t="shared" ca="1" si="9"/>
        <v>-0.36740840743368397</v>
      </c>
      <c r="CW7" s="143">
        <f t="shared" ca="1" si="9"/>
        <v>9.274711475644544E-2</v>
      </c>
      <c r="CX7" s="143">
        <f t="shared" ca="1" si="9"/>
        <v>0.13050882789281532</v>
      </c>
      <c r="CY7" s="143">
        <f t="shared" ca="1" si="9"/>
        <v>0.23162874839500031</v>
      </c>
      <c r="CZ7" s="143">
        <f t="shared" ca="1" si="9"/>
        <v>-0.43218890963762024</v>
      </c>
      <c r="DA7" s="143">
        <f t="shared" ca="1" si="9"/>
        <v>0.19757484796187263</v>
      </c>
      <c r="DB7" s="143">
        <f t="shared" ca="1" si="9"/>
        <v>-5.8625446973970735E-2</v>
      </c>
      <c r="DC7" s="143">
        <f t="shared" ca="1" si="9"/>
        <v>0.4347037340023836</v>
      </c>
      <c r="DD7" s="143">
        <f t="shared" ca="1" si="9"/>
        <v>-0.19090303977263182</v>
      </c>
      <c r="DE7" s="143">
        <f t="shared" ca="1" si="9"/>
        <v>0.2534167068223846</v>
      </c>
      <c r="DF7" s="143">
        <f t="shared" ca="1" si="9"/>
        <v>4.1715205636867377E-2</v>
      </c>
      <c r="DG7" s="143">
        <f t="shared" ca="1" si="9"/>
        <v>0.248684312214939</v>
      </c>
      <c r="DH7" s="143">
        <f t="shared" ca="1" si="9"/>
        <v>-7.6992768160255437E-2</v>
      </c>
      <c r="DI7" s="143">
        <f t="shared" ca="1" si="9"/>
        <v>-6.5777345552522321E-2</v>
      </c>
      <c r="DK7" s="115">
        <f t="shared" si="8"/>
        <v>56</v>
      </c>
      <c r="DL7" s="143">
        <f t="shared" ca="1" si="6"/>
        <v>6.9110379470788991E-2</v>
      </c>
      <c r="DM7" s="143">
        <f t="shared" ca="1" si="12"/>
        <v>-0.10602594263122991</v>
      </c>
      <c r="DN7" s="143">
        <f t="shared" ca="1" si="12"/>
        <v>-0.100746334955991</v>
      </c>
      <c r="DO7" s="143">
        <f t="shared" ca="1" si="12"/>
        <v>0.119346623913447</v>
      </c>
      <c r="DP7" s="143">
        <f t="shared" ca="1" si="12"/>
        <v>0.14191719828534463</v>
      </c>
      <c r="DQ7" s="143">
        <f t="shared" ca="1" si="12"/>
        <v>9.0886717839194317E-2</v>
      </c>
      <c r="DR7" s="143">
        <f t="shared" ca="1" si="12"/>
        <v>-0.11786815491392355</v>
      </c>
      <c r="DS7" s="143">
        <f t="shared" ca="1" si="12"/>
        <v>7.948916721944288E-2</v>
      </c>
      <c r="DT7" s="143">
        <f t="shared" ca="1" si="12"/>
        <v>2.3764808959572312E-2</v>
      </c>
      <c r="DU7" s="143">
        <f t="shared" ca="1" si="12"/>
        <v>9.5377747147914721E-2</v>
      </c>
      <c r="DV7" s="143">
        <f t="shared" ca="1" si="12"/>
        <v>5.3869756282738677E-2</v>
      </c>
      <c r="DW7" s="143">
        <f t="shared" ca="1" si="12"/>
        <v>0.10573357478999947</v>
      </c>
      <c r="DX7" s="143">
        <f t="shared" ca="1" si="12"/>
        <v>8.217931204253423E-2</v>
      </c>
      <c r="DY7" s="143">
        <f t="shared" ca="1" si="12"/>
        <v>7.0812663549344651E-2</v>
      </c>
      <c r="DZ7" s="143">
        <f t="shared" ca="1" si="12"/>
        <v>0.13689003955557172</v>
      </c>
      <c r="EA7" s="143">
        <f t="shared" ca="1" si="12"/>
        <v>7.2395730811957687E-2</v>
      </c>
      <c r="EB7" s="143">
        <f t="shared" ca="1" si="12"/>
        <v>1.7634065940604658E-2</v>
      </c>
      <c r="EC7" s="143">
        <f t="shared" ca="1" si="12"/>
        <v>-3.2994635185835348E-2</v>
      </c>
      <c r="ED7" s="143">
        <f t="shared" ca="1" si="12"/>
        <v>0.1594817796586025</v>
      </c>
      <c r="EE7" s="143">
        <f t="shared" ca="1" si="12"/>
        <v>-3.1930637447607636E-2</v>
      </c>
      <c r="EF7" s="143">
        <f t="shared" ca="1" si="12"/>
        <v>0.21162400498723236</v>
      </c>
      <c r="EG7" s="143">
        <f t="shared" ca="1" si="12"/>
        <v>-1.0749659856196914E-2</v>
      </c>
      <c r="EH7" s="143">
        <f t="shared" ca="1" si="12"/>
        <v>2.3586827358690058E-2</v>
      </c>
      <c r="EI7" s="143">
        <f t="shared" ca="1" si="12"/>
        <v>-2.0793650011780067E-2</v>
      </c>
      <c r="EJ7" s="143">
        <f t="shared" ca="1" si="12"/>
        <v>3.6157688493000467E-2</v>
      </c>
      <c r="EK7" s="143">
        <f t="shared" ca="1" si="12"/>
        <v>8.8239450280604953E-2</v>
      </c>
      <c r="EL7" s="143">
        <f t="shared" ca="1" si="12"/>
        <v>8.6522698462638825E-2</v>
      </c>
      <c r="EM7" s="143">
        <f t="shared" ca="1" si="12"/>
        <v>6.8366517487557732E-2</v>
      </c>
      <c r="EN7" s="143">
        <f t="shared" ca="1" si="12"/>
        <v>2.6948635414166443E-2</v>
      </c>
      <c r="EO7" s="143">
        <f t="shared" ca="1" si="12"/>
        <v>7.1569307863299209E-2</v>
      </c>
      <c r="EP7" s="143">
        <f t="shared" ca="1" si="12"/>
        <v>0.13253131951107883</v>
      </c>
      <c r="EQ7" s="143">
        <f t="shared" ca="1" si="12"/>
        <v>9.7352848813711937E-2</v>
      </c>
      <c r="ER7" s="143">
        <f t="shared" ca="1" si="12"/>
        <v>9.1861401313534763E-2</v>
      </c>
      <c r="ES7" s="143">
        <f t="shared" ca="1" si="12"/>
        <v>4.4561609685986041E-2</v>
      </c>
      <c r="ET7" s="143">
        <f t="shared" ca="1" si="12"/>
        <v>-8.7535632534046476E-2</v>
      </c>
      <c r="EU7" s="143">
        <f t="shared" ca="1" si="12"/>
        <v>6.0142673554872961E-3</v>
      </c>
      <c r="EV7" s="143">
        <f t="shared" ca="1" si="12"/>
        <v>-1.1600288265440767E-3</v>
      </c>
      <c r="EW7" s="143">
        <f t="shared" ca="1" si="12"/>
        <v>4.3560973871113809E-3</v>
      </c>
      <c r="EX7" s="143">
        <f t="shared" ca="1" si="12"/>
        <v>5.0177670164484468E-2</v>
      </c>
      <c r="EY7" s="143">
        <f t="shared" ca="1" si="12"/>
        <v>4.7479269719897847E-2</v>
      </c>
      <c r="EZ7" s="143">
        <f t="shared" ca="1" si="12"/>
        <v>0.11208796365313098</v>
      </c>
      <c r="FA7" s="143">
        <f t="shared" ca="1" si="12"/>
        <v>2.224849507879588E-2</v>
      </c>
      <c r="FB7" s="143">
        <f t="shared" ca="1" si="12"/>
        <v>-0.11347157922427428</v>
      </c>
      <c r="FC7" s="143">
        <f t="shared" ca="1" si="12"/>
        <v>6.0855838269892722E-2</v>
      </c>
      <c r="FD7" s="143">
        <f t="shared" ca="1" si="12"/>
        <v>2.0912775902646119E-2</v>
      </c>
      <c r="FE7" s="143">
        <f t="shared" ca="1" si="12"/>
        <v>0.10971890258754174</v>
      </c>
      <c r="FF7" s="143">
        <f t="shared" ca="1" si="12"/>
        <v>4.9268815107587488E-2</v>
      </c>
      <c r="FG7" s="143">
        <f t="shared" ca="1" si="12"/>
        <v>2.3576000694091621E-2</v>
      </c>
      <c r="FH7" s="143">
        <f t="shared" ca="1" si="12"/>
        <v>0.12678821276641397</v>
      </c>
      <c r="FI7" s="143">
        <f t="shared" ca="1" si="12"/>
        <v>8.229599327161774E-3</v>
      </c>
      <c r="FJ7" s="143">
        <f t="shared" ca="1" si="12"/>
        <v>0.1831657739490051</v>
      </c>
      <c r="FK7" s="143">
        <f t="shared" ca="1" si="12"/>
        <v>6.1262839718602496E-2</v>
      </c>
      <c r="FL7" s="143">
        <f t="shared" ca="1" si="12"/>
        <v>0.13938193869427437</v>
      </c>
      <c r="FM7" s="143">
        <f t="shared" ca="1" si="12"/>
        <v>-7.8122843188416224E-4</v>
      </c>
      <c r="FN7" s="143">
        <f t="shared" ca="1" si="12"/>
        <v>-4.6780333811511803E-2</v>
      </c>
      <c r="FO7" s="143">
        <f t="shared" ca="1" si="12"/>
        <v>7.71866146803728E-2</v>
      </c>
      <c r="FP7" s="143">
        <f t="shared" ca="1" si="12"/>
        <v>5.3707714518035188E-2</v>
      </c>
      <c r="FQ7" s="143">
        <f t="shared" ca="1" si="12"/>
        <v>0.22658100662230618</v>
      </c>
      <c r="FR7" s="143">
        <f t="shared" ca="1" si="12"/>
        <v>-1.4139414253049001E-2</v>
      </c>
      <c r="FS7" s="143">
        <f t="shared" ca="1" si="12"/>
        <v>0.16279944592917323</v>
      </c>
      <c r="FT7" s="143">
        <f t="shared" ca="1" si="12"/>
        <v>-2.3555238946868402E-2</v>
      </c>
      <c r="FU7" s="143">
        <f t="shared" ca="1" si="12"/>
        <v>2.3669935305034223E-2</v>
      </c>
      <c r="FV7" s="143">
        <f t="shared" ca="1" si="12"/>
        <v>2.1583494683330869E-2</v>
      </c>
      <c r="FW7" s="143">
        <f t="shared" ca="1" si="12"/>
        <v>9.6510619840930109E-2</v>
      </c>
      <c r="FX7" s="143">
        <f t="shared" ca="1" si="12"/>
        <v>-2.0753566238004083E-2</v>
      </c>
      <c r="FY7" s="143">
        <f t="shared" ca="1" si="10"/>
        <v>-6.1291983245899677E-2</v>
      </c>
      <c r="FZ7" s="143">
        <f t="shared" ca="1" si="10"/>
        <v>8.4376551452696971E-2</v>
      </c>
      <c r="GA7" s="143">
        <f t="shared" ca="1" si="10"/>
        <v>0.12485894382725718</v>
      </c>
      <c r="GB7" s="143">
        <f t="shared" ca="1" si="10"/>
        <v>2.6038373572596283E-2</v>
      </c>
      <c r="GC7" s="143">
        <f t="shared" ca="1" si="10"/>
        <v>-3.54789277334722E-2</v>
      </c>
      <c r="GD7" s="143">
        <f t="shared" ca="1" si="10"/>
        <v>8.8445633303441615E-2</v>
      </c>
      <c r="GE7" s="143">
        <f t="shared" ca="1" si="10"/>
        <v>1.882526390387057E-2</v>
      </c>
      <c r="GF7" s="143">
        <f t="shared" ca="1" si="10"/>
        <v>8.2655935178534951E-2</v>
      </c>
      <c r="GG7" s="143">
        <f t="shared" ca="1" si="10"/>
        <v>0.16714418555855301</v>
      </c>
      <c r="GH7" s="143">
        <f t="shared" ca="1" si="10"/>
        <v>8.8020270671305856E-2</v>
      </c>
      <c r="GI7" s="143">
        <f t="shared" ca="1" si="10"/>
        <v>0.12737836043102516</v>
      </c>
      <c r="GJ7" s="143">
        <f t="shared" ca="1" si="10"/>
        <v>-6.3909224760074768E-2</v>
      </c>
      <c r="GK7" s="143">
        <f t="shared" ca="1" si="10"/>
        <v>0.14848356707921606</v>
      </c>
      <c r="GL7" s="143">
        <f t="shared" ca="1" si="10"/>
        <v>9.5353468334123337E-2</v>
      </c>
      <c r="GM7" s="143">
        <f t="shared" ca="1" si="10"/>
        <v>3.9540885416718553E-2</v>
      </c>
      <c r="GN7" s="143">
        <f t="shared" ca="1" si="10"/>
        <v>8.8072072397471696E-2</v>
      </c>
      <c r="GO7" s="143">
        <f t="shared" ca="1" si="10"/>
        <v>-8.5499860916629422E-2</v>
      </c>
      <c r="GP7" s="143">
        <f t="shared" ca="1" si="10"/>
        <v>-8.9417927847323359E-2</v>
      </c>
      <c r="GQ7" s="143">
        <f t="shared" ca="1" si="10"/>
        <v>6.5186164059917659E-3</v>
      </c>
      <c r="GR7" s="143">
        <f t="shared" ca="1" si="10"/>
        <v>2.1028290070912725E-2</v>
      </c>
      <c r="GS7" s="143">
        <f t="shared" ca="1" si="10"/>
        <v>-7.5738130437846385E-2</v>
      </c>
      <c r="GT7" s="143">
        <f t="shared" ca="1" si="10"/>
        <v>-4.976192025911922E-2</v>
      </c>
      <c r="GU7" s="143">
        <f t="shared" ca="1" si="10"/>
        <v>-1.9818931913002789E-2</v>
      </c>
      <c r="GV7" s="143">
        <f t="shared" ca="1" si="10"/>
        <v>7.6324693247607378E-2</v>
      </c>
      <c r="GW7" s="143">
        <f t="shared" ca="1" si="10"/>
        <v>5.8425258881149869E-2</v>
      </c>
      <c r="GX7" s="143">
        <f t="shared" ca="1" si="10"/>
        <v>3.5198123456075356E-2</v>
      </c>
      <c r="GY7" s="143">
        <f t="shared" ca="1" si="10"/>
        <v>4.5350205022913689E-3</v>
      </c>
      <c r="GZ7" s="143">
        <f t="shared" ca="1" si="10"/>
        <v>0.11432254271639075</v>
      </c>
      <c r="HA7" s="143">
        <f t="shared" ca="1" si="10"/>
        <v>7.5921692240415117E-2</v>
      </c>
      <c r="HB7" s="143">
        <f t="shared" ca="1" si="10"/>
        <v>-1.968944258547161E-2</v>
      </c>
      <c r="HC7" s="143">
        <f t="shared" ca="1" si="10"/>
        <v>0.16020066342420519</v>
      </c>
      <c r="HD7" s="143">
        <f t="shared" ca="1" si="10"/>
        <v>0.10477087748347158</v>
      </c>
      <c r="HE7" s="143">
        <f t="shared" ca="1" si="10"/>
        <v>0.12853596907493359</v>
      </c>
      <c r="HF7" s="143">
        <f t="shared" ca="1" si="10"/>
        <v>1.378506383464416E-2</v>
      </c>
      <c r="HG7" s="143">
        <f t="shared" ca="1" si="10"/>
        <v>-0.13123705146908732</v>
      </c>
    </row>
    <row r="8" spans="1:317">
      <c r="A8" s="90">
        <v>1934</v>
      </c>
      <c r="B8" s="84">
        <v>-1.1885656970912803E-2</v>
      </c>
      <c r="C8" s="85">
        <v>0.20010000000000003</v>
      </c>
      <c r="D8" s="83">
        <f t="shared" si="4"/>
        <v>3.0511474423269756E-2</v>
      </c>
      <c r="E8" s="85"/>
      <c r="F8" s="85"/>
      <c r="G8" s="85">
        <v>2.7833333333333334E-3</v>
      </c>
      <c r="H8" s="85">
        <v>7.9634426179656104E-2</v>
      </c>
      <c r="I8" s="85">
        <v>0.18816429268482648</v>
      </c>
      <c r="J8" s="85">
        <v>0.31750854538549178</v>
      </c>
      <c r="M8" s="115">
        <f t="shared" si="7"/>
        <v>57</v>
      </c>
      <c r="N8" s="143">
        <f t="shared" ca="1" si="5"/>
        <v>0.27311110147419754</v>
      </c>
      <c r="O8" s="143">
        <f t="shared" ca="1" si="11"/>
        <v>-0.17780121875330016</v>
      </c>
      <c r="P8" s="143">
        <f t="shared" ca="1" si="11"/>
        <v>-0.16374459106162229</v>
      </c>
      <c r="Q8" s="143">
        <f t="shared" ca="1" si="11"/>
        <v>-8.9481462816409479E-2</v>
      </c>
      <c r="R8" s="143">
        <f t="shared" ca="1" si="11"/>
        <v>2.4400671366955368E-2</v>
      </c>
      <c r="S8" s="143">
        <f t="shared" ca="1" si="11"/>
        <v>0.3637910095384338</v>
      </c>
      <c r="T8" s="143">
        <f t="shared" ca="1" si="11"/>
        <v>8.7629878994702703E-2</v>
      </c>
      <c r="U8" s="143">
        <f t="shared" ca="1" si="11"/>
        <v>-0.11786275543572949</v>
      </c>
      <c r="V8" s="143">
        <f t="shared" ca="1" si="11"/>
        <v>-4.2617153266013369E-2</v>
      </c>
      <c r="W8" s="143">
        <f t="shared" ca="1" si="11"/>
        <v>8.3513626204293756E-2</v>
      </c>
      <c r="X8" s="143">
        <f t="shared" ca="1" si="11"/>
        <v>4.0213474298636843E-2</v>
      </c>
      <c r="Y8" s="143">
        <f t="shared" ca="1" si="11"/>
        <v>-0.15963884545958681</v>
      </c>
      <c r="Z8" s="143">
        <f t="shared" ca="1" si="11"/>
        <v>0.40422263797421409</v>
      </c>
      <c r="AA8" s="143">
        <f t="shared" ca="1" si="11"/>
        <v>0.4185917074447616</v>
      </c>
      <c r="AB8" s="143">
        <f t="shared" ca="1" si="11"/>
        <v>0.20565284133673223</v>
      </c>
      <c r="AC8" s="143">
        <f t="shared" ca="1" si="11"/>
        <v>0.15287289875208299</v>
      </c>
      <c r="AD8" s="143">
        <f t="shared" ca="1" si="11"/>
        <v>-0.25883018713707484</v>
      </c>
      <c r="AE8" s="143">
        <f t="shared" ca="1" si="11"/>
        <v>-6.5683850845930536E-2</v>
      </c>
      <c r="AF8" s="143">
        <f t="shared" ca="1" si="11"/>
        <v>0.19881511749334108</v>
      </c>
      <c r="AG8" s="143">
        <f t="shared" ca="1" si="11"/>
        <v>0.43710628046874989</v>
      </c>
      <c r="AH8" s="143">
        <f t="shared" ca="1" si="11"/>
        <v>3.8470988586723209E-3</v>
      </c>
      <c r="AI8" s="143">
        <f t="shared" ca="1" si="11"/>
        <v>0.30097271018272309</v>
      </c>
      <c r="AJ8" s="143">
        <f t="shared" ca="1" si="11"/>
        <v>0.25546036023329938</v>
      </c>
      <c r="AK8" s="143">
        <f t="shared" ca="1" si="11"/>
        <v>-2.3816511052818359E-2</v>
      </c>
      <c r="AL8" s="143">
        <f t="shared" ca="1" si="11"/>
        <v>9.1902717594634184E-2</v>
      </c>
      <c r="AM8" s="143">
        <f t="shared" ca="1" si="11"/>
        <v>-0.1064755305946489</v>
      </c>
      <c r="AN8" s="143">
        <f t="shared" ca="1" si="11"/>
        <v>-5.9105010582256506E-2</v>
      </c>
      <c r="AO8" s="143">
        <f t="shared" ca="1" si="11"/>
        <v>3.4622221988831622E-2</v>
      </c>
      <c r="AP8" s="143">
        <f t="shared" ca="1" si="11"/>
        <v>0.20549710928602355</v>
      </c>
      <c r="AQ8" s="143">
        <f t="shared" ca="1" si="11"/>
        <v>0.18736902361049634</v>
      </c>
      <c r="AR8" s="143">
        <f t="shared" ca="1" si="11"/>
        <v>0.21506882596284288</v>
      </c>
      <c r="AS8" s="143">
        <f t="shared" ca="1" si="11"/>
        <v>-4.3794316361109059E-2</v>
      </c>
      <c r="AT8" s="143">
        <f t="shared" ca="1" si="11"/>
        <v>6.6718219704726328E-2</v>
      </c>
      <c r="AU8" s="143">
        <f t="shared" ca="1" si="11"/>
        <v>0.11613874421505797</v>
      </c>
      <c r="AV8" s="143">
        <f t="shared" ca="1" si="11"/>
        <v>0.26194101464517849</v>
      </c>
      <c r="AW8" s="143">
        <f t="shared" ca="1" si="11"/>
        <v>-0.15018714393641941</v>
      </c>
      <c r="AX8" s="143">
        <f t="shared" ca="1" si="11"/>
        <v>6.6099628465202814E-2</v>
      </c>
      <c r="AY8" s="143">
        <f t="shared" ca="1" si="11"/>
        <v>-1.6170048840193796E-2</v>
      </c>
      <c r="AZ8" s="143">
        <f t="shared" ca="1" si="11"/>
        <v>0.10407681923082393</v>
      </c>
      <c r="BA8" s="143">
        <f t="shared" ca="1" si="11"/>
        <v>2.5800325096753035E-2</v>
      </c>
      <c r="BB8" s="143">
        <f t="shared" ca="1" si="11"/>
        <v>0.13534294761242804</v>
      </c>
      <c r="BC8" s="143">
        <f t="shared" ca="1" si="11"/>
        <v>5.8375705164261583E-2</v>
      </c>
      <c r="BD8" s="143">
        <f t="shared" ca="1" si="11"/>
        <v>0.12732564880585276</v>
      </c>
      <c r="BE8" s="143">
        <f t="shared" ca="1" si="11"/>
        <v>-0.17663015706429971</v>
      </c>
      <c r="BF8" s="143">
        <f t="shared" ca="1" si="11"/>
        <v>0.18288281071392359</v>
      </c>
      <c r="BG8" s="143">
        <f t="shared" ca="1" si="11"/>
        <v>0.3005487301973816</v>
      </c>
      <c r="BH8" s="143">
        <f t="shared" ca="1" si="11"/>
        <v>9.8839433959741263E-2</v>
      </c>
      <c r="BI8" s="143">
        <f t="shared" ca="1" si="11"/>
        <v>-3.7821441151057872E-2</v>
      </c>
      <c r="BJ8" s="143">
        <f t="shared" ca="1" si="11"/>
        <v>0.16699606075206591</v>
      </c>
      <c r="BK8" s="143">
        <f t="shared" ca="1" si="11"/>
        <v>0.14936467173039583</v>
      </c>
      <c r="BL8" s="143">
        <f t="shared" ca="1" si="11"/>
        <v>0.50459877235063388</v>
      </c>
      <c r="BM8" s="143">
        <f t="shared" ca="1" si="11"/>
        <v>0.15121061908684411</v>
      </c>
      <c r="BN8" s="143">
        <f t="shared" ca="1" si="11"/>
        <v>0.20680334511859993</v>
      </c>
      <c r="BO8" s="143">
        <f t="shared" ca="1" si="11"/>
        <v>-0.35824208187958095</v>
      </c>
      <c r="BP8" s="143">
        <f t="shared" ca="1" si="11"/>
        <v>0.43203506988664109</v>
      </c>
      <c r="BQ8" s="143">
        <f t="shared" ca="1" si="11"/>
        <v>-0.25004839591882111</v>
      </c>
      <c r="BR8" s="143">
        <f t="shared" ca="1" si="11"/>
        <v>3.1518048537519522E-2</v>
      </c>
      <c r="BS8" s="143">
        <f t="shared" ca="1" si="11"/>
        <v>0.39173633803871455</v>
      </c>
      <c r="BT8" s="143">
        <f t="shared" ca="1" si="11"/>
        <v>-0.13860888682279837</v>
      </c>
      <c r="BU8" s="143">
        <f t="shared" ca="1" si="11"/>
        <v>0.27255244785977167</v>
      </c>
      <c r="BV8" s="143">
        <f t="shared" ca="1" si="11"/>
        <v>7.263502811221581E-2</v>
      </c>
      <c r="BW8" s="143">
        <f t="shared" ca="1" si="11"/>
        <v>-0.13182571733958148</v>
      </c>
      <c r="BX8" s="143">
        <f t="shared" ca="1" si="11"/>
        <v>6.8551506648692195E-3</v>
      </c>
      <c r="BY8" s="143">
        <f t="shared" ca="1" si="11"/>
        <v>0.14824092454333776</v>
      </c>
      <c r="BZ8" s="143">
        <f t="shared" ca="1" si="11"/>
        <v>-4.9299595466672924E-2</v>
      </c>
      <c r="CA8" s="143">
        <f t="shared" ca="1" si="9"/>
        <v>0.13050138803812472</v>
      </c>
      <c r="CB8" s="143">
        <f t="shared" ca="1" si="9"/>
        <v>-8.6312968648772248E-2</v>
      </c>
      <c r="CC8" s="143">
        <f t="shared" ca="1" si="9"/>
        <v>0.56970149217970645</v>
      </c>
      <c r="CD8" s="143">
        <f t="shared" ca="1" si="9"/>
        <v>8.9205147902595969E-2</v>
      </c>
      <c r="CE8" s="143">
        <f t="shared" ca="1" si="9"/>
        <v>0.31573947695525484</v>
      </c>
      <c r="CF8" s="143">
        <f t="shared" ca="1" si="9"/>
        <v>-0.18264951242119318</v>
      </c>
      <c r="CG8" s="143">
        <f t="shared" ca="1" si="9"/>
        <v>-0.16633201789842514</v>
      </c>
      <c r="CH8" s="143">
        <f t="shared" ca="1" si="9"/>
        <v>0.51391972387435048</v>
      </c>
      <c r="CI8" s="143">
        <f t="shared" ca="1" si="9"/>
        <v>-5.5760456873960085E-2</v>
      </c>
      <c r="CJ8" s="143">
        <f t="shared" ca="1" si="9"/>
        <v>0.13484882466972462</v>
      </c>
      <c r="CK8" s="143">
        <f t="shared" ca="1" si="9"/>
        <v>-0.13651571436340687</v>
      </c>
      <c r="CL8" s="143">
        <f t="shared" ca="1" si="9"/>
        <v>-0.22753462531713867</v>
      </c>
      <c r="CM8" s="143">
        <f t="shared" ca="1" si="9"/>
        <v>6.8228919076666311E-2</v>
      </c>
      <c r="CN8" s="143">
        <f t="shared" ca="1" si="9"/>
        <v>0.41642615437127939</v>
      </c>
      <c r="CO8" s="143">
        <f t="shared" ca="1" si="9"/>
        <v>0.28610491793556136</v>
      </c>
      <c r="CP8" s="143">
        <f t="shared" ca="1" si="9"/>
        <v>-6.0912698725274744E-2</v>
      </c>
      <c r="CQ8" s="143">
        <f t="shared" ca="1" si="9"/>
        <v>1.1261474925307421E-2</v>
      </c>
      <c r="CR8" s="143">
        <f t="shared" ca="1" si="9"/>
        <v>-4.951230277454019E-2</v>
      </c>
      <c r="CS8" s="143">
        <f t="shared" ca="1" si="9"/>
        <v>2.9046024677217008E-2</v>
      </c>
      <c r="CT8" s="143">
        <f t="shared" ca="1" si="9"/>
        <v>-0.2418295970250772</v>
      </c>
      <c r="CU8" s="143">
        <f t="shared" ca="1" si="9"/>
        <v>-0.17402483338334132</v>
      </c>
      <c r="CV8" s="143">
        <f t="shared" ca="1" si="9"/>
        <v>-0.11690479027728568</v>
      </c>
      <c r="CW8" s="143">
        <f t="shared" ca="1" si="9"/>
        <v>0.19714222356394476</v>
      </c>
      <c r="CX8" s="143">
        <f t="shared" ca="1" si="9"/>
        <v>6.1047573974345834E-2</v>
      </c>
      <c r="CY8" s="143">
        <f t="shared" ca="1" si="9"/>
        <v>2.4719505066193082E-2</v>
      </c>
      <c r="CZ8" s="143">
        <f t="shared" ca="1" si="9"/>
        <v>-0.13132620863584857</v>
      </c>
      <c r="DA8" s="143">
        <f t="shared" ca="1" si="9"/>
        <v>-0.30993362882835129</v>
      </c>
      <c r="DB8" s="143">
        <f t="shared" ca="1" si="9"/>
        <v>0.21307745673344042</v>
      </c>
      <c r="DC8" s="143">
        <f t="shared" ca="1" si="9"/>
        <v>-0.32718577667745685</v>
      </c>
      <c r="DD8" s="143">
        <f t="shared" ca="1" si="9"/>
        <v>0.16158969321251895</v>
      </c>
      <c r="DE8" s="143">
        <f t="shared" ca="1" si="9"/>
        <v>0.16441826043194069</v>
      </c>
      <c r="DF8" s="143">
        <f t="shared" ca="1" si="9"/>
        <v>0.12476163866826394</v>
      </c>
      <c r="DG8" s="143">
        <f t="shared" ca="1" si="9"/>
        <v>1.0194113194284524E-2</v>
      </c>
      <c r="DH8" s="143">
        <f t="shared" ca="1" si="9"/>
        <v>-4.1186408986963657E-2</v>
      </c>
      <c r="DI8" s="143">
        <f t="shared" ca="1" si="9"/>
        <v>0.37468144143920878</v>
      </c>
      <c r="DK8" s="115">
        <f t="shared" si="8"/>
        <v>57</v>
      </c>
      <c r="DL8" s="143">
        <f t="shared" ca="1" si="6"/>
        <v>-4.6052792284331241E-2</v>
      </c>
      <c r="DM8" s="143">
        <f t="shared" ca="1" si="12"/>
        <v>-5.4838731797463881E-2</v>
      </c>
      <c r="DN8" s="143">
        <f t="shared" ca="1" si="12"/>
        <v>7.6620816849734583E-2</v>
      </c>
      <c r="DO8" s="143">
        <f t="shared" ca="1" si="12"/>
        <v>-2.6054964643568761E-2</v>
      </c>
      <c r="DP8" s="143">
        <f t="shared" ca="1" si="12"/>
        <v>8.7483091068946389E-2</v>
      </c>
      <c r="DQ8" s="143">
        <f t="shared" ca="1" si="12"/>
        <v>0.14671878926105109</v>
      </c>
      <c r="DR8" s="143">
        <f t="shared" ca="1" si="12"/>
        <v>0.11611886635527816</v>
      </c>
      <c r="DS8" s="143">
        <f t="shared" ca="1" si="12"/>
        <v>6.4486104437653846E-2</v>
      </c>
      <c r="DT8" s="143">
        <f t="shared" ca="1" si="12"/>
        <v>4.2099292662246407E-2</v>
      </c>
      <c r="DU8" s="143">
        <f t="shared" ca="1" si="12"/>
        <v>0.11637805361982403</v>
      </c>
      <c r="DV8" s="143">
        <f t="shared" ca="1" si="12"/>
        <v>4.5558599101215673E-2</v>
      </c>
      <c r="DW8" s="143">
        <f t="shared" ca="1" si="12"/>
        <v>-7.9436310701789456E-3</v>
      </c>
      <c r="DX8" s="143">
        <f t="shared" ca="1" si="12"/>
        <v>-2.731267230007809E-2</v>
      </c>
      <c r="DY8" s="143">
        <f t="shared" ca="1" si="12"/>
        <v>5.9969987233500777E-2</v>
      </c>
      <c r="DZ8" s="143">
        <f t="shared" ca="1" si="12"/>
        <v>9.258253530278393E-2</v>
      </c>
      <c r="EA8" s="143">
        <f t="shared" ca="1" si="12"/>
        <v>0.1385612788562684</v>
      </c>
      <c r="EB8" s="143">
        <f t="shared" ca="1" si="12"/>
        <v>8.1226512088247826E-2</v>
      </c>
      <c r="EC8" s="143">
        <f t="shared" ca="1" si="12"/>
        <v>1.222463696004325E-2</v>
      </c>
      <c r="ED8" s="143">
        <f t="shared" ca="1" si="12"/>
        <v>0.12167883307369651</v>
      </c>
      <c r="EE8" s="143">
        <f t="shared" ca="1" si="12"/>
        <v>-4.2411830094171536E-2</v>
      </c>
      <c r="EF8" s="143">
        <f t="shared" ca="1" si="12"/>
        <v>-4.4224028645880382E-2</v>
      </c>
      <c r="EG8" s="143">
        <f t="shared" ca="1" si="12"/>
        <v>7.313895666517109E-2</v>
      </c>
      <c r="EH8" s="143">
        <f t="shared" ca="1" si="12"/>
        <v>5.5775819165808253E-2</v>
      </c>
      <c r="EI8" s="143">
        <f t="shared" ca="1" si="12"/>
        <v>0.25156824790916099</v>
      </c>
      <c r="EJ8" s="143">
        <f t="shared" ca="1" si="12"/>
        <v>2.745467894192806E-2</v>
      </c>
      <c r="EK8" s="143">
        <f t="shared" ca="1" si="12"/>
        <v>-1.9588172434449928E-2</v>
      </c>
      <c r="EL8" s="143">
        <f t="shared" ca="1" si="12"/>
        <v>-6.083464754769969E-2</v>
      </c>
      <c r="EM8" s="143">
        <f t="shared" ca="1" si="12"/>
        <v>1.34864370496902E-2</v>
      </c>
      <c r="EN8" s="143">
        <f t="shared" ca="1" si="12"/>
        <v>2.541134895732286E-2</v>
      </c>
      <c r="EO8" s="143">
        <f t="shared" ca="1" si="12"/>
        <v>-2.8024088503747074E-3</v>
      </c>
      <c r="EP8" s="143">
        <f t="shared" ca="1" si="12"/>
        <v>-5.3658856120052396E-2</v>
      </c>
      <c r="EQ8" s="143">
        <f t="shared" ca="1" si="12"/>
        <v>0.15245153607614448</v>
      </c>
      <c r="ER8" s="143">
        <f t="shared" ca="1" si="12"/>
        <v>8.1656388401204594E-2</v>
      </c>
      <c r="ES8" s="143">
        <f t="shared" ca="1" si="12"/>
        <v>1.633083634179229E-2</v>
      </c>
      <c r="ET8" s="143">
        <f t="shared" ca="1" si="12"/>
        <v>0.11077546266700131</v>
      </c>
      <c r="EU8" s="143">
        <f t="shared" ca="1" si="12"/>
        <v>-7.2027789825933122E-3</v>
      </c>
      <c r="EV8" s="143">
        <f t="shared" ca="1" si="12"/>
        <v>7.0611285129702508E-2</v>
      </c>
      <c r="EW8" s="143">
        <f t="shared" ca="1" si="12"/>
        <v>0.13156903396838826</v>
      </c>
      <c r="EX8" s="143">
        <f t="shared" ca="1" si="12"/>
        <v>0.14206047385082643</v>
      </c>
      <c r="EY8" s="143">
        <f t="shared" ca="1" si="12"/>
        <v>3.3087066674803919E-2</v>
      </c>
      <c r="EZ8" s="143">
        <f t="shared" ca="1" si="12"/>
        <v>0.16150374832483694</v>
      </c>
      <c r="FA8" s="143">
        <f t="shared" ca="1" si="12"/>
        <v>0.14504187377793132</v>
      </c>
      <c r="FB8" s="143">
        <f t="shared" ca="1" si="12"/>
        <v>0.11746255283041682</v>
      </c>
      <c r="FC8" s="143">
        <f t="shared" ca="1" si="12"/>
        <v>-1.420979387796404E-2</v>
      </c>
      <c r="FD8" s="143">
        <f t="shared" ca="1" si="12"/>
        <v>-3.4844494953681436E-2</v>
      </c>
      <c r="FE8" s="143">
        <f t="shared" ca="1" si="12"/>
        <v>7.3314211863245285E-2</v>
      </c>
      <c r="FF8" s="143">
        <f t="shared" ca="1" si="12"/>
        <v>5.0768358438918124E-3</v>
      </c>
      <c r="FG8" s="143">
        <f t="shared" ca="1" si="12"/>
        <v>0.15495814297945315</v>
      </c>
      <c r="FH8" s="143">
        <f t="shared" ca="1" si="12"/>
        <v>0.23039896633486306</v>
      </c>
      <c r="FI8" s="143">
        <f t="shared" ca="1" si="12"/>
        <v>-7.3224054656477189E-3</v>
      </c>
      <c r="FJ8" s="143">
        <f t="shared" ca="1" si="12"/>
        <v>6.9855023919589435E-2</v>
      </c>
      <c r="FK8" s="143">
        <f t="shared" ca="1" si="12"/>
        <v>0.10627246472753751</v>
      </c>
      <c r="FL8" s="143">
        <f t="shared" ca="1" si="12"/>
        <v>9.1915460676807823E-2</v>
      </c>
      <c r="FM8" s="143">
        <f t="shared" ca="1" si="12"/>
        <v>0.14509465052178683</v>
      </c>
      <c r="FN8" s="143">
        <f t="shared" ca="1" si="12"/>
        <v>3.3095819318019852E-2</v>
      </c>
      <c r="FO8" s="143">
        <f t="shared" ca="1" si="12"/>
        <v>-4.6909041010177628E-2</v>
      </c>
      <c r="FP8" s="143">
        <f t="shared" ca="1" si="12"/>
        <v>0.10835253935654213</v>
      </c>
      <c r="FQ8" s="143">
        <f t="shared" ca="1" si="12"/>
        <v>0.16231921959205084</v>
      </c>
      <c r="FR8" s="143">
        <f t="shared" ca="1" si="12"/>
        <v>5.9115590558543478E-2</v>
      </c>
      <c r="FS8" s="143">
        <f t="shared" ca="1" si="12"/>
        <v>2.3171771606268595E-2</v>
      </c>
      <c r="FT8" s="143">
        <f t="shared" ca="1" si="12"/>
        <v>0.15579894431325939</v>
      </c>
      <c r="FU8" s="143">
        <f t="shared" ca="1" si="12"/>
        <v>1.2463798010632729E-2</v>
      </c>
      <c r="FV8" s="143">
        <f t="shared" ca="1" si="12"/>
        <v>-7.3589470369568033E-2</v>
      </c>
      <c r="FW8" s="143">
        <f t="shared" ca="1" si="12"/>
        <v>4.4369976226375105E-2</v>
      </c>
      <c r="FX8" s="143">
        <f t="shared" ca="1" si="12"/>
        <v>3.9301696546724593E-2</v>
      </c>
      <c r="FY8" s="143">
        <f t="shared" ca="1" si="10"/>
        <v>-1.8323876206449215E-2</v>
      </c>
      <c r="FZ8" s="143">
        <f t="shared" ca="1" si="10"/>
        <v>0.12447629658044856</v>
      </c>
      <c r="GA8" s="143">
        <f t="shared" ca="1" si="10"/>
        <v>2.2910989013741601E-2</v>
      </c>
      <c r="GB8" s="143">
        <f t="shared" ca="1" si="10"/>
        <v>8.9807275013772961E-2</v>
      </c>
      <c r="GC8" s="143">
        <f t="shared" ca="1" si="10"/>
        <v>-4.0387258418402454E-2</v>
      </c>
      <c r="GD8" s="143">
        <f t="shared" ca="1" si="10"/>
        <v>8.1391675041178571E-2</v>
      </c>
      <c r="GE8" s="143">
        <f t="shared" ca="1" si="10"/>
        <v>7.9671486623167143E-2</v>
      </c>
      <c r="GF8" s="143">
        <f t="shared" ca="1" si="10"/>
        <v>3.8494909027504264E-2</v>
      </c>
      <c r="GG8" s="143">
        <f t="shared" ca="1" si="10"/>
        <v>-5.890770360646197E-3</v>
      </c>
      <c r="GH8" s="143">
        <f t="shared" ca="1" si="10"/>
        <v>3.8421598470682855E-2</v>
      </c>
      <c r="GI8" s="143">
        <f t="shared" ca="1" si="10"/>
        <v>-0.10170019669902897</v>
      </c>
      <c r="GJ8" s="143">
        <f t="shared" ca="1" si="10"/>
        <v>7.1730705117611301E-3</v>
      </c>
      <c r="GK8" s="143">
        <f t="shared" ca="1" si="10"/>
        <v>2.4667759067691045E-2</v>
      </c>
      <c r="GL8" s="143">
        <f t="shared" ca="1" si="10"/>
        <v>0.12590839354966732</v>
      </c>
      <c r="GM8" s="143">
        <f t="shared" ca="1" si="10"/>
        <v>5.5546675156298041E-2</v>
      </c>
      <c r="GN8" s="143">
        <f t="shared" ca="1" si="10"/>
        <v>-1.5459916044153962E-3</v>
      </c>
      <c r="GO8" s="143">
        <f t="shared" ca="1" si="10"/>
        <v>0.20570421609089276</v>
      </c>
      <c r="GP8" s="143">
        <f t="shared" ca="1" si="10"/>
        <v>1.1025674878597187E-2</v>
      </c>
      <c r="GQ8" s="143">
        <f t="shared" ca="1" si="10"/>
        <v>-0.10173290803831547</v>
      </c>
      <c r="GR8" s="143">
        <f t="shared" ca="1" si="10"/>
        <v>7.7373071849934485E-2</v>
      </c>
      <c r="GS8" s="143">
        <f t="shared" ca="1" si="10"/>
        <v>-2.0768920997968392E-2</v>
      </c>
      <c r="GT8" s="143">
        <f t="shared" ca="1" si="10"/>
        <v>0.18380161263191941</v>
      </c>
      <c r="GU8" s="143">
        <f t="shared" ca="1" si="10"/>
        <v>-7.4264420023906763E-2</v>
      </c>
      <c r="GV8" s="143">
        <f t="shared" ca="1" si="10"/>
        <v>1.7504294975855608E-3</v>
      </c>
      <c r="GW8" s="143">
        <f t="shared" ca="1" si="10"/>
        <v>0.13892183296288199</v>
      </c>
      <c r="GX8" s="143">
        <f t="shared" ca="1" si="10"/>
        <v>6.9299200908231925E-2</v>
      </c>
      <c r="GY8" s="143">
        <f t="shared" ca="1" si="10"/>
        <v>7.9600457127083427E-3</v>
      </c>
      <c r="GZ8" s="143">
        <f t="shared" ca="1" si="10"/>
        <v>6.8668214903109148E-2</v>
      </c>
      <c r="HA8" s="143">
        <f t="shared" ca="1" si="10"/>
        <v>4.1106726405978754E-2</v>
      </c>
      <c r="HB8" s="143">
        <f t="shared" ca="1" si="10"/>
        <v>-7.6184936358918237E-2</v>
      </c>
      <c r="HC8" s="143">
        <f t="shared" ca="1" si="10"/>
        <v>0.12633382630185638</v>
      </c>
      <c r="HD8" s="143">
        <f t="shared" ca="1" si="10"/>
        <v>-5.7537065770823882E-2</v>
      </c>
      <c r="HE8" s="143">
        <f t="shared" ca="1" si="10"/>
        <v>5.3788133388129135E-2</v>
      </c>
      <c r="HF8" s="143">
        <f t="shared" ca="1" si="10"/>
        <v>-0.11223790707198325</v>
      </c>
      <c r="HG8" s="143">
        <f t="shared" ca="1" si="10"/>
        <v>9.7212122534882817E-2</v>
      </c>
    </row>
    <row r="9" spans="1:317">
      <c r="A9" s="90">
        <v>1935</v>
      </c>
      <c r="B9" s="84">
        <v>0.46740421052631581</v>
      </c>
      <c r="C9" s="85">
        <v>0.53180000000000005</v>
      </c>
      <c r="D9" s="83">
        <f t="shared" si="4"/>
        <v>0.48028336842105268</v>
      </c>
      <c r="E9" s="85"/>
      <c r="F9" s="85"/>
      <c r="G9" s="85">
        <v>1.6750000000000001E-3</v>
      </c>
      <c r="H9" s="85">
        <v>4.4720477296566127E-2</v>
      </c>
      <c r="I9" s="85">
        <v>0.1330773186567917</v>
      </c>
      <c r="J9" s="85">
        <v>4.3240126837706949E-3</v>
      </c>
      <c r="M9" s="115">
        <f t="shared" si="7"/>
        <v>58</v>
      </c>
      <c r="N9" s="143">
        <f t="shared" ca="1" si="5"/>
        <v>0.45019856473684672</v>
      </c>
      <c r="O9" s="143">
        <f t="shared" ca="1" si="11"/>
        <v>-0.10334589444332476</v>
      </c>
      <c r="P9" s="143">
        <f t="shared" ca="1" si="11"/>
        <v>-2.750880095216976E-2</v>
      </c>
      <c r="Q9" s="143">
        <f t="shared" ca="1" si="11"/>
        <v>-0.19586372100870883</v>
      </c>
      <c r="R9" s="143">
        <f t="shared" ca="1" si="11"/>
        <v>8.1747496979002049E-2</v>
      </c>
      <c r="S9" s="143">
        <f t="shared" ca="1" si="11"/>
        <v>0.1583437152565757</v>
      </c>
      <c r="T9" s="143">
        <f t="shared" ca="1" si="11"/>
        <v>6.5915283686297566E-2</v>
      </c>
      <c r="U9" s="143">
        <f t="shared" ca="1" si="11"/>
        <v>0.19046449087486902</v>
      </c>
      <c r="V9" s="143">
        <f t="shared" ca="1" si="11"/>
        <v>-0.12716003368552004</v>
      </c>
      <c r="W9" s="143">
        <f t="shared" ca="1" si="11"/>
        <v>0.165003401842961</v>
      </c>
      <c r="X9" s="143">
        <f t="shared" ca="1" si="11"/>
        <v>0.73430064707503229</v>
      </c>
      <c r="Y9" s="143">
        <f t="shared" ca="1" si="11"/>
        <v>0.38523391639143967</v>
      </c>
      <c r="Z9" s="143">
        <f t="shared" ca="1" si="11"/>
        <v>1.2940578272737868E-2</v>
      </c>
      <c r="AA9" s="143">
        <f t="shared" ca="1" si="11"/>
        <v>0.40262539601955194</v>
      </c>
      <c r="AB9" s="143">
        <f t="shared" ca="1" si="11"/>
        <v>0.31389427860574703</v>
      </c>
      <c r="AC9" s="143">
        <f t="shared" ca="1" si="11"/>
        <v>3.0179763363015588E-2</v>
      </c>
      <c r="AD9" s="143">
        <f t="shared" ca="1" si="11"/>
        <v>0.40353360671981686</v>
      </c>
      <c r="AE9" s="143">
        <f t="shared" ca="1" si="11"/>
        <v>0.42850614693277977</v>
      </c>
      <c r="AF9" s="143">
        <f t="shared" ca="1" si="11"/>
        <v>4.7011141019484691E-2</v>
      </c>
      <c r="AG9" s="143">
        <f t="shared" ca="1" si="11"/>
        <v>-0.22013411979881872</v>
      </c>
      <c r="AH9" s="143">
        <f t="shared" ca="1" si="11"/>
        <v>0.15692852992513415</v>
      </c>
      <c r="AI9" s="143">
        <f t="shared" ca="1" si="11"/>
        <v>0.28868126767707758</v>
      </c>
      <c r="AJ9" s="143">
        <f t="shared" ca="1" si="11"/>
        <v>-0.15545452481981567</v>
      </c>
      <c r="AK9" s="143">
        <f t="shared" ca="1" si="11"/>
        <v>-0.18007814649284079</v>
      </c>
      <c r="AL9" s="143">
        <f t="shared" ca="1" si="11"/>
        <v>0.34787171843427622</v>
      </c>
      <c r="AM9" s="143">
        <f t="shared" ca="1" si="11"/>
        <v>0.19499146489364577</v>
      </c>
      <c r="AN9" s="143">
        <f t="shared" ca="1" si="11"/>
        <v>0.10506819096883979</v>
      </c>
      <c r="AO9" s="143">
        <f t="shared" ca="1" si="11"/>
        <v>-0.10898712921071421</v>
      </c>
      <c r="AP9" s="143">
        <f t="shared" ca="1" si="11"/>
        <v>0.19992663417466996</v>
      </c>
      <c r="AQ9" s="143">
        <f t="shared" ca="1" si="11"/>
        <v>0.26981200010824147</v>
      </c>
      <c r="AR9" s="143">
        <f t="shared" ca="1" si="11"/>
        <v>5.7655389400843374E-2</v>
      </c>
      <c r="AS9" s="143">
        <f t="shared" ca="1" si="11"/>
        <v>2.1966358312334719E-2</v>
      </c>
      <c r="AT9" s="143">
        <f t="shared" ca="1" si="11"/>
        <v>0.26230058565870884</v>
      </c>
      <c r="AU9" s="143">
        <f t="shared" ca="1" si="11"/>
        <v>-3.2977373304873381E-2</v>
      </c>
      <c r="AV9" s="143">
        <f t="shared" ca="1" si="11"/>
        <v>-0.34620957268935004</v>
      </c>
      <c r="AW9" s="143">
        <f t="shared" ca="1" si="11"/>
        <v>-0.17514062883506645</v>
      </c>
      <c r="AX9" s="143">
        <f t="shared" ca="1" si="11"/>
        <v>6.189160680746067E-2</v>
      </c>
      <c r="AY9" s="143">
        <f t="shared" ca="1" si="11"/>
        <v>2.7716172072201492E-2</v>
      </c>
      <c r="AZ9" s="143">
        <f t="shared" ca="1" si="11"/>
        <v>0.38535290426967772</v>
      </c>
      <c r="BA9" s="143">
        <f t="shared" ca="1" si="11"/>
        <v>0.4250573550061183</v>
      </c>
      <c r="BB9" s="143">
        <f t="shared" ca="1" si="11"/>
        <v>-8.7097315426853394E-2</v>
      </c>
      <c r="BC9" s="143">
        <f t="shared" ca="1" si="11"/>
        <v>0.25807361954422281</v>
      </c>
      <c r="BD9" s="143">
        <f t="shared" ca="1" si="11"/>
        <v>0.21892595014304869</v>
      </c>
      <c r="BE9" s="143">
        <f t="shared" ca="1" si="11"/>
        <v>0.4754410797282016</v>
      </c>
      <c r="BF9" s="143">
        <f t="shared" ca="1" si="11"/>
        <v>-2.5634369244826261E-2</v>
      </c>
      <c r="BG9" s="143">
        <f t="shared" ca="1" si="11"/>
        <v>9.045422119022116E-2</v>
      </c>
      <c r="BH9" s="143">
        <f t="shared" ca="1" si="11"/>
        <v>1.5093569398631809E-2</v>
      </c>
      <c r="BI9" s="143">
        <f t="shared" ca="1" si="11"/>
        <v>0.23460118829831433</v>
      </c>
      <c r="BJ9" s="143">
        <f t="shared" ca="1" si="11"/>
        <v>-0.11427267277955999</v>
      </c>
      <c r="BK9" s="143">
        <f t="shared" ca="1" si="11"/>
        <v>0.17169144622260868</v>
      </c>
      <c r="BL9" s="143">
        <f t="shared" ca="1" si="11"/>
        <v>0.36131879375089004</v>
      </c>
      <c r="BM9" s="143">
        <f t="shared" ca="1" si="11"/>
        <v>-0.34987429240399726</v>
      </c>
      <c r="BN9" s="143">
        <f t="shared" ca="1" si="11"/>
        <v>0.29744248124024669</v>
      </c>
      <c r="BO9" s="143">
        <f t="shared" ca="1" si="11"/>
        <v>8.1262169771078224E-2</v>
      </c>
      <c r="BP9" s="143">
        <f t="shared" ca="1" si="11"/>
        <v>-9.9646461601370584E-2</v>
      </c>
      <c r="BQ9" s="143">
        <f t="shared" ca="1" si="11"/>
        <v>0.3202396908641853</v>
      </c>
      <c r="BR9" s="143">
        <f t="shared" ca="1" si="11"/>
        <v>-1.6825415854401782E-2</v>
      </c>
      <c r="BS9" s="143">
        <f t="shared" ca="1" si="11"/>
        <v>0.18159175306670688</v>
      </c>
      <c r="BT9" s="143">
        <f t="shared" ca="1" si="11"/>
        <v>0.24025649160106613</v>
      </c>
      <c r="BU9" s="143">
        <f t="shared" ca="1" si="11"/>
        <v>-0.18641470205548857</v>
      </c>
      <c r="BV9" s="143">
        <f t="shared" ca="1" si="11"/>
        <v>-0.12061815942296103</v>
      </c>
      <c r="BW9" s="143">
        <f t="shared" ca="1" si="11"/>
        <v>-3.778075382735363E-2</v>
      </c>
      <c r="BX9" s="143">
        <f t="shared" ca="1" si="11"/>
        <v>0.30666648614517056</v>
      </c>
      <c r="BY9" s="143">
        <f t="shared" ca="1" si="11"/>
        <v>0.4845743666328598</v>
      </c>
      <c r="BZ9" s="143">
        <f t="shared" ref="BZ9:DI12" ca="1" si="13">_xlfn.NORM.INV(RAND(),$B$112,$B$113)</f>
        <v>0.41617096407693066</v>
      </c>
      <c r="CA9" s="143">
        <f t="shared" ca="1" si="13"/>
        <v>-4.1766298450524847E-2</v>
      </c>
      <c r="CB9" s="143">
        <f t="shared" ca="1" si="13"/>
        <v>2.5556444962884645E-2</v>
      </c>
      <c r="CC9" s="143">
        <f t="shared" ca="1" si="13"/>
        <v>0.39826794948589894</v>
      </c>
      <c r="CD9" s="143">
        <f t="shared" ca="1" si="13"/>
        <v>7.933775617232991E-2</v>
      </c>
      <c r="CE9" s="143">
        <f t="shared" ca="1" si="13"/>
        <v>0.16041128175761629</v>
      </c>
      <c r="CF9" s="143">
        <f t="shared" ca="1" si="13"/>
        <v>0.27331500242144219</v>
      </c>
      <c r="CG9" s="143">
        <f t="shared" ca="1" si="13"/>
        <v>0.23138761772365021</v>
      </c>
      <c r="CH9" s="143">
        <f t="shared" ca="1" si="13"/>
        <v>0.12663268297443595</v>
      </c>
      <c r="CI9" s="143">
        <f t="shared" ca="1" si="13"/>
        <v>0.26309054751905098</v>
      </c>
      <c r="CJ9" s="143">
        <f t="shared" ca="1" si="13"/>
        <v>-0.14004020965279682</v>
      </c>
      <c r="CK9" s="143">
        <f t="shared" ca="1" si="13"/>
        <v>-5.5764708702262716E-2</v>
      </c>
      <c r="CL9" s="143">
        <f t="shared" ca="1" si="13"/>
        <v>0.10085614675115559</v>
      </c>
      <c r="CM9" s="143">
        <f t="shared" ca="1" si="13"/>
        <v>-0.17712128842469169</v>
      </c>
      <c r="CN9" s="143">
        <f t="shared" ca="1" si="13"/>
        <v>0.2803578892892083</v>
      </c>
      <c r="CO9" s="143">
        <f t="shared" ca="1" si="13"/>
        <v>0.28638118480519215</v>
      </c>
      <c r="CP9" s="143">
        <f t="shared" ca="1" si="13"/>
        <v>0.10559154952584189</v>
      </c>
      <c r="CQ9" s="143">
        <f t="shared" ca="1" si="13"/>
        <v>0.12969090631217889</v>
      </c>
      <c r="CR9" s="143">
        <f t="shared" ca="1" si="13"/>
        <v>7.0064349621083474E-2</v>
      </c>
      <c r="CS9" s="143">
        <f t="shared" ca="1" si="13"/>
        <v>-0.17952462155148638</v>
      </c>
      <c r="CT9" s="143">
        <f t="shared" ca="1" si="13"/>
        <v>-0.16306204324700549</v>
      </c>
      <c r="CU9" s="143">
        <f t="shared" ca="1" si="13"/>
        <v>-7.6056307319190025E-2</v>
      </c>
      <c r="CV9" s="143">
        <f t="shared" ca="1" si="13"/>
        <v>-0.1404519310645426</v>
      </c>
      <c r="CW9" s="143">
        <f t="shared" ca="1" si="13"/>
        <v>0.19636050980519462</v>
      </c>
      <c r="CX9" s="143">
        <f t="shared" ca="1" si="13"/>
        <v>0.3621400853258645</v>
      </c>
      <c r="CY9" s="143">
        <f t="shared" ca="1" si="13"/>
        <v>0.45673388000843884</v>
      </c>
      <c r="CZ9" s="143">
        <f t="shared" ca="1" si="13"/>
        <v>6.7587454707517938E-2</v>
      </c>
      <c r="DA9" s="143">
        <f t="shared" ca="1" si="13"/>
        <v>-3.4346482230266956E-2</v>
      </c>
      <c r="DB9" s="143">
        <f t="shared" ca="1" si="13"/>
        <v>0.10156726305738722</v>
      </c>
      <c r="DC9" s="143">
        <f t="shared" ca="1" si="13"/>
        <v>2.4492357721180441E-3</v>
      </c>
      <c r="DD9" s="143">
        <f t="shared" ca="1" si="13"/>
        <v>-0.10718723886029805</v>
      </c>
      <c r="DE9" s="143">
        <f t="shared" ca="1" si="13"/>
        <v>-8.8227490849530826E-2</v>
      </c>
      <c r="DF9" s="143">
        <f t="shared" ca="1" si="13"/>
        <v>0.16098622741157131</v>
      </c>
      <c r="DG9" s="143">
        <f t="shared" ca="1" si="13"/>
        <v>0.28981904421107929</v>
      </c>
      <c r="DH9" s="143">
        <f t="shared" ca="1" si="13"/>
        <v>0.25496754872558275</v>
      </c>
      <c r="DI9" s="143">
        <f t="shared" ca="1" si="13"/>
        <v>0.30660976553125707</v>
      </c>
      <c r="DK9" s="115">
        <f t="shared" si="8"/>
        <v>58</v>
      </c>
      <c r="DL9" s="143">
        <f t="shared" ca="1" si="6"/>
        <v>-6.232022730684366E-2</v>
      </c>
      <c r="DM9" s="143">
        <f t="shared" ca="1" si="12"/>
        <v>0.11983472750301219</v>
      </c>
      <c r="DN9" s="143">
        <f t="shared" ca="1" si="12"/>
        <v>2.3703936974362669E-2</v>
      </c>
      <c r="DO9" s="143">
        <f t="shared" ca="1" si="12"/>
        <v>4.9926312691058607E-2</v>
      </c>
      <c r="DP9" s="143">
        <f t="shared" ca="1" si="12"/>
        <v>0.10858550474542318</v>
      </c>
      <c r="DQ9" s="143">
        <f t="shared" ca="1" si="12"/>
        <v>0.17834305914535434</v>
      </c>
      <c r="DR9" s="143">
        <f t="shared" ca="1" si="12"/>
        <v>0.1303043892505055</v>
      </c>
      <c r="DS9" s="143">
        <f t="shared" ca="1" si="12"/>
        <v>-9.5985821071375432E-2</v>
      </c>
      <c r="DT9" s="143">
        <f t="shared" ca="1" si="12"/>
        <v>-2.0397175765329019E-2</v>
      </c>
      <c r="DU9" s="143">
        <f t="shared" ca="1" si="12"/>
        <v>-2.4502481755304596E-2</v>
      </c>
      <c r="DV9" s="143">
        <f t="shared" ca="1" si="12"/>
        <v>-4.3709458044090176E-2</v>
      </c>
      <c r="DW9" s="143">
        <f t="shared" ca="1" si="12"/>
        <v>-1.4681813528450834E-2</v>
      </c>
      <c r="DX9" s="143">
        <f t="shared" ca="1" si="12"/>
        <v>-5.9211208798935898E-2</v>
      </c>
      <c r="DY9" s="143">
        <f t="shared" ca="1" si="12"/>
        <v>0.10543622852645457</v>
      </c>
      <c r="DZ9" s="143">
        <f t="shared" ca="1" si="12"/>
        <v>2.7944566307650281E-2</v>
      </c>
      <c r="EA9" s="143">
        <f t="shared" ca="1" si="12"/>
        <v>0.10804230894161382</v>
      </c>
      <c r="EB9" s="143">
        <f t="shared" ca="1" si="12"/>
        <v>5.2917860850799484E-2</v>
      </c>
      <c r="EC9" s="143">
        <f t="shared" ca="1" si="12"/>
        <v>0.17653966888619052</v>
      </c>
      <c r="ED9" s="143">
        <f t="shared" ca="1" si="12"/>
        <v>8.2316232834896474E-2</v>
      </c>
      <c r="EE9" s="143">
        <f t="shared" ca="1" si="12"/>
        <v>0.20726123520616568</v>
      </c>
      <c r="EF9" s="143">
        <f t="shared" ca="1" si="12"/>
        <v>0.13222131177596957</v>
      </c>
      <c r="EG9" s="143">
        <f t="shared" ca="1" si="12"/>
        <v>4.4986392404710383E-2</v>
      </c>
      <c r="EH9" s="143">
        <f t="shared" ca="1" si="12"/>
        <v>5.4368890784096721E-2</v>
      </c>
      <c r="EI9" s="143">
        <f t="shared" ca="1" si="12"/>
        <v>0.10011393588039842</v>
      </c>
      <c r="EJ9" s="143">
        <f t="shared" ca="1" si="12"/>
        <v>0.1145366858145247</v>
      </c>
      <c r="EK9" s="143">
        <f t="shared" ca="1" si="12"/>
        <v>-3.1032370169216887E-2</v>
      </c>
      <c r="EL9" s="143">
        <f t="shared" ca="1" si="12"/>
        <v>1.1559441866389866E-2</v>
      </c>
      <c r="EM9" s="143">
        <f t="shared" ca="1" si="12"/>
        <v>5.7004600853117114E-2</v>
      </c>
      <c r="EN9" s="143">
        <f t="shared" ca="1" si="12"/>
        <v>3.215401450115344E-2</v>
      </c>
      <c r="EO9" s="143">
        <f t="shared" ca="1" si="12"/>
        <v>0.11233454708942717</v>
      </c>
      <c r="EP9" s="143">
        <f t="shared" ca="1" si="12"/>
        <v>0.16637332795182724</v>
      </c>
      <c r="EQ9" s="143">
        <f t="shared" ca="1" si="12"/>
        <v>-5.2400387945747536E-2</v>
      </c>
      <c r="ER9" s="143">
        <f t="shared" ca="1" si="12"/>
        <v>1.1967721224445095E-2</v>
      </c>
      <c r="ES9" s="143">
        <f t="shared" ca="1" si="12"/>
        <v>9.3449860723928344E-3</v>
      </c>
      <c r="ET9" s="143">
        <f t="shared" ca="1" si="12"/>
        <v>7.0819759818625636E-2</v>
      </c>
      <c r="EU9" s="143">
        <f t="shared" ca="1" si="12"/>
        <v>0.2319703717656228</v>
      </c>
      <c r="EV9" s="143">
        <f t="shared" ca="1" si="12"/>
        <v>4.1878025584027645E-2</v>
      </c>
      <c r="EW9" s="143">
        <f t="shared" ca="1" si="12"/>
        <v>9.2350544881480354E-3</v>
      </c>
      <c r="EX9" s="143">
        <f t="shared" ca="1" si="12"/>
        <v>7.1942409830697676E-2</v>
      </c>
      <c r="EY9" s="143">
        <f t="shared" ca="1" si="12"/>
        <v>0.12919752731981582</v>
      </c>
      <c r="EZ9" s="143">
        <f t="shared" ca="1" si="12"/>
        <v>0.17287406996402135</v>
      </c>
      <c r="FA9" s="143">
        <f t="shared" ca="1" si="12"/>
        <v>0.11238134764368374</v>
      </c>
      <c r="FB9" s="143">
        <f t="shared" ca="1" si="12"/>
        <v>4.7571462161107858E-3</v>
      </c>
      <c r="FC9" s="143">
        <f t="shared" ca="1" si="12"/>
        <v>-1.1041001630716134E-2</v>
      </c>
      <c r="FD9" s="143">
        <f t="shared" ca="1" si="12"/>
        <v>-5.308455503691481E-4</v>
      </c>
      <c r="FE9" s="143">
        <f t="shared" ca="1" si="12"/>
        <v>0.11319753061226523</v>
      </c>
      <c r="FF9" s="143">
        <f t="shared" ca="1" si="12"/>
        <v>0.1204310443168205</v>
      </c>
      <c r="FG9" s="143">
        <f t="shared" ca="1" si="12"/>
        <v>0.10468926670849021</v>
      </c>
      <c r="FH9" s="143">
        <f t="shared" ca="1" si="12"/>
        <v>-5.8396060382365715E-2</v>
      </c>
      <c r="FI9" s="143">
        <f t="shared" ca="1" si="12"/>
        <v>0.18735070448703059</v>
      </c>
      <c r="FJ9" s="143">
        <f t="shared" ca="1" si="12"/>
        <v>-7.0093416560782468E-2</v>
      </c>
      <c r="FK9" s="143">
        <f t="shared" ca="1" si="12"/>
        <v>2.249465748037777E-2</v>
      </c>
      <c r="FL9" s="143">
        <f t="shared" ca="1" si="12"/>
        <v>8.7453588364902052E-2</v>
      </c>
      <c r="FM9" s="143">
        <f t="shared" ca="1" si="12"/>
        <v>-6.5224303606824352E-2</v>
      </c>
      <c r="FN9" s="143">
        <f t="shared" ca="1" si="12"/>
        <v>-1.2246742472217173E-2</v>
      </c>
      <c r="FO9" s="143">
        <f t="shared" ca="1" si="12"/>
        <v>3.5614288301431561E-2</v>
      </c>
      <c r="FP9" s="143">
        <f t="shared" ca="1" si="12"/>
        <v>-3.6332567357880548E-2</v>
      </c>
      <c r="FQ9" s="143">
        <f t="shared" ca="1" si="12"/>
        <v>0.11637901430202474</v>
      </c>
      <c r="FR9" s="143">
        <f t="shared" ca="1" si="12"/>
        <v>-9.865362439428324E-2</v>
      </c>
      <c r="FS9" s="143">
        <f t="shared" ca="1" si="12"/>
        <v>9.7488720117540978E-2</v>
      </c>
      <c r="FT9" s="143">
        <f t="shared" ca="1" si="12"/>
        <v>4.7497158426153263E-3</v>
      </c>
      <c r="FU9" s="143">
        <f t="shared" ca="1" si="12"/>
        <v>0.1400839868353379</v>
      </c>
      <c r="FV9" s="143">
        <f t="shared" ca="1" si="12"/>
        <v>5.8363235802686986E-2</v>
      </c>
      <c r="FW9" s="143">
        <f t="shared" ca="1" si="12"/>
        <v>0.1492571894905099</v>
      </c>
      <c r="FX9" s="143">
        <f t="shared" ref="FX9:HG12" ca="1" si="14">_xlfn.NORM.INV(RAND(),$B$116,$B$117)</f>
        <v>0.12911464952786531</v>
      </c>
      <c r="FY9" s="143">
        <f t="shared" ca="1" si="14"/>
        <v>0.14924983988951676</v>
      </c>
      <c r="FZ9" s="143">
        <f t="shared" ca="1" si="14"/>
        <v>0.11977937470396011</v>
      </c>
      <c r="GA9" s="143">
        <f t="shared" ca="1" si="14"/>
        <v>-5.2056482655396759E-2</v>
      </c>
      <c r="GB9" s="143">
        <f t="shared" ca="1" si="14"/>
        <v>3.9560267069750424E-3</v>
      </c>
      <c r="GC9" s="143">
        <f t="shared" ca="1" si="14"/>
        <v>0.17311794830782168</v>
      </c>
      <c r="GD9" s="143">
        <f t="shared" ca="1" si="14"/>
        <v>-4.3427393151673814E-2</v>
      </c>
      <c r="GE9" s="143">
        <f t="shared" ca="1" si="14"/>
        <v>-4.3239662887341164E-2</v>
      </c>
      <c r="GF9" s="143">
        <f t="shared" ca="1" si="14"/>
        <v>0.14240493069147961</v>
      </c>
      <c r="GG9" s="143">
        <f t="shared" ca="1" si="14"/>
        <v>-1.757144028141535E-2</v>
      </c>
      <c r="GH9" s="143">
        <f t="shared" ca="1" si="14"/>
        <v>0.14262963495147182</v>
      </c>
      <c r="GI9" s="143">
        <f t="shared" ca="1" si="14"/>
        <v>3.7407647191554025E-2</v>
      </c>
      <c r="GJ9" s="143">
        <f t="shared" ca="1" si="14"/>
        <v>1.1621139755673374E-2</v>
      </c>
      <c r="GK9" s="143">
        <f t="shared" ca="1" si="14"/>
        <v>0.15389459571075118</v>
      </c>
      <c r="GL9" s="143">
        <f t="shared" ca="1" si="14"/>
        <v>0.25490328657464917</v>
      </c>
      <c r="GM9" s="143">
        <f t="shared" ca="1" si="14"/>
        <v>-5.1372331860892718E-2</v>
      </c>
      <c r="GN9" s="143">
        <f t="shared" ca="1" si="14"/>
        <v>1.2225866378291352E-2</v>
      </c>
      <c r="GO9" s="143">
        <f t="shared" ca="1" si="14"/>
        <v>8.6157075612428066E-2</v>
      </c>
      <c r="GP9" s="143">
        <f t="shared" ca="1" si="14"/>
        <v>7.1285031854652209E-2</v>
      </c>
      <c r="GQ9" s="143">
        <f t="shared" ca="1" si="14"/>
        <v>7.6787912437942182E-2</v>
      </c>
      <c r="GR9" s="143">
        <f t="shared" ca="1" si="14"/>
        <v>6.3361437934570497E-2</v>
      </c>
      <c r="GS9" s="143">
        <f t="shared" ca="1" si="14"/>
        <v>7.0752722905970983E-2</v>
      </c>
      <c r="GT9" s="143">
        <f t="shared" ca="1" si="14"/>
        <v>0.11375258496835108</v>
      </c>
      <c r="GU9" s="143">
        <f t="shared" ca="1" si="14"/>
        <v>3.0612923709928536E-2</v>
      </c>
      <c r="GV9" s="143">
        <f t="shared" ca="1" si="14"/>
        <v>0.17295620464658859</v>
      </c>
      <c r="GW9" s="143">
        <f t="shared" ca="1" si="14"/>
        <v>0.15378415742841098</v>
      </c>
      <c r="GX9" s="143">
        <f t="shared" ca="1" si="14"/>
        <v>0.11619733690240147</v>
      </c>
      <c r="GY9" s="143">
        <f t="shared" ca="1" si="14"/>
        <v>2.0480347202465089E-2</v>
      </c>
      <c r="GZ9" s="143">
        <f t="shared" ca="1" si="14"/>
        <v>0.12730712513132914</v>
      </c>
      <c r="HA9" s="143">
        <f t="shared" ca="1" si="14"/>
        <v>8.0968723471097265E-2</v>
      </c>
      <c r="HB9" s="143">
        <f t="shared" ca="1" si="14"/>
        <v>4.1406803065014056E-2</v>
      </c>
      <c r="HC9" s="143">
        <f t="shared" ca="1" si="14"/>
        <v>6.4138087837238553E-2</v>
      </c>
      <c r="HD9" s="143">
        <f t="shared" ca="1" si="14"/>
        <v>9.8126850720809719E-2</v>
      </c>
      <c r="HE9" s="143">
        <f t="shared" ca="1" si="14"/>
        <v>6.7488347365876153E-2</v>
      </c>
      <c r="HF9" s="143">
        <f t="shared" ca="1" si="14"/>
        <v>0.12640912957171885</v>
      </c>
      <c r="HG9" s="143">
        <f t="shared" ca="1" si="14"/>
        <v>0.2453875685200147</v>
      </c>
    </row>
    <row r="10" spans="1:317">
      <c r="A10" s="90">
        <v>1936</v>
      </c>
      <c r="B10" s="84">
        <v>0.31943410275502609</v>
      </c>
      <c r="C10" s="85">
        <v>0.92819999999999991</v>
      </c>
      <c r="D10" s="83">
        <f t="shared" si="4"/>
        <v>0.44118728220402081</v>
      </c>
      <c r="E10" s="85"/>
      <c r="F10" s="85"/>
      <c r="G10" s="85">
        <v>1.725E-3</v>
      </c>
      <c r="H10" s="85">
        <v>5.0178754045450601E-2</v>
      </c>
      <c r="I10" s="85">
        <v>0.11383815871922703</v>
      </c>
      <c r="J10" s="85">
        <v>8.61079219288019E-4</v>
      </c>
      <c r="M10" s="115">
        <f t="shared" si="7"/>
        <v>59</v>
      </c>
      <c r="N10" s="143">
        <f t="shared" ca="1" si="5"/>
        <v>0.3234991436670866</v>
      </c>
      <c r="O10" s="143">
        <f t="shared" ref="O10:BZ13" ca="1" si="15">_xlfn.NORM.INV(RAND(),$B$112,$B$113)</f>
        <v>0.14158510950470843</v>
      </c>
      <c r="P10" s="143">
        <f t="shared" ca="1" si="15"/>
        <v>-0.19083409302499951</v>
      </c>
      <c r="Q10" s="143">
        <f t="shared" ca="1" si="15"/>
        <v>-0.16234231661709761</v>
      </c>
      <c r="R10" s="143">
        <f t="shared" ca="1" si="15"/>
        <v>-1.1817898763187132E-2</v>
      </c>
      <c r="S10" s="143">
        <f t="shared" ca="1" si="15"/>
        <v>0.23335546467480853</v>
      </c>
      <c r="T10" s="143">
        <f t="shared" ca="1" si="15"/>
        <v>-0.2445459870004337</v>
      </c>
      <c r="U10" s="143">
        <f t="shared" ca="1" si="15"/>
        <v>6.1709034207966994E-2</v>
      </c>
      <c r="V10" s="143">
        <f t="shared" ca="1" si="15"/>
        <v>0.20663706629430403</v>
      </c>
      <c r="W10" s="143">
        <f t="shared" ca="1" si="15"/>
        <v>0.10316037090693481</v>
      </c>
      <c r="X10" s="143">
        <f t="shared" ca="1" si="15"/>
        <v>0.11485507831779357</v>
      </c>
      <c r="Y10" s="143">
        <f t="shared" ca="1" si="15"/>
        <v>-0.21614073820331928</v>
      </c>
      <c r="Z10" s="143">
        <f t="shared" ca="1" si="15"/>
        <v>-3.1332487853342E-2</v>
      </c>
      <c r="AA10" s="143">
        <f t="shared" ca="1" si="15"/>
        <v>0.19644640777488975</v>
      </c>
      <c r="AB10" s="143">
        <f t="shared" ca="1" si="15"/>
        <v>-0.16167741725366627</v>
      </c>
      <c r="AC10" s="143">
        <f t="shared" ca="1" si="15"/>
        <v>-0.12720643284034833</v>
      </c>
      <c r="AD10" s="143">
        <f t="shared" ca="1" si="15"/>
        <v>-0.11801906469098747</v>
      </c>
      <c r="AE10" s="143">
        <f t="shared" ca="1" si="15"/>
        <v>0.11921697253087793</v>
      </c>
      <c r="AF10" s="143">
        <f t="shared" ca="1" si="15"/>
        <v>3.7756596584756386E-2</v>
      </c>
      <c r="AG10" s="143">
        <f t="shared" ca="1" si="15"/>
        <v>-1.0212799017125504E-2</v>
      </c>
      <c r="AH10" s="143">
        <f t="shared" ca="1" si="15"/>
        <v>3.7014016367591579E-2</v>
      </c>
      <c r="AI10" s="143">
        <f t="shared" ca="1" si="15"/>
        <v>0.10605400701873612</v>
      </c>
      <c r="AJ10" s="143">
        <f t="shared" ca="1" si="15"/>
        <v>0.21101139777184338</v>
      </c>
      <c r="AK10" s="143">
        <f t="shared" ca="1" si="15"/>
        <v>-4.4102761698752019E-2</v>
      </c>
      <c r="AL10" s="143">
        <f t="shared" ca="1" si="15"/>
        <v>0.15271863824740761</v>
      </c>
      <c r="AM10" s="143">
        <f t="shared" ca="1" si="15"/>
        <v>0.13802259849393544</v>
      </c>
      <c r="AN10" s="143">
        <f t="shared" ca="1" si="15"/>
        <v>4.3230180122437595E-2</v>
      </c>
      <c r="AO10" s="143">
        <f t="shared" ca="1" si="15"/>
        <v>-0.16855645986320136</v>
      </c>
      <c r="AP10" s="143">
        <f t="shared" ca="1" si="15"/>
        <v>-3.8314793192844671E-2</v>
      </c>
      <c r="AQ10" s="143">
        <f t="shared" ca="1" si="15"/>
        <v>3.9894518084100716E-2</v>
      </c>
      <c r="AR10" s="143">
        <f t="shared" ca="1" si="15"/>
        <v>4.5771433236728776E-2</v>
      </c>
      <c r="AS10" s="143">
        <f t="shared" ca="1" si="15"/>
        <v>9.7725604899584637E-2</v>
      </c>
      <c r="AT10" s="143">
        <f t="shared" ca="1" si="15"/>
        <v>-1.3393671091533041E-2</v>
      </c>
      <c r="AU10" s="143">
        <f t="shared" ca="1" si="15"/>
        <v>0.14794666047883276</v>
      </c>
      <c r="AV10" s="143">
        <f t="shared" ca="1" si="15"/>
        <v>0.42721034089891141</v>
      </c>
      <c r="AW10" s="143">
        <f t="shared" ca="1" si="15"/>
        <v>-6.7151369684189444E-2</v>
      </c>
      <c r="AX10" s="143">
        <f t="shared" ca="1" si="15"/>
        <v>0.35145430914285247</v>
      </c>
      <c r="AY10" s="143">
        <f t="shared" ca="1" si="15"/>
        <v>4.1408466413962626E-2</v>
      </c>
      <c r="AZ10" s="143">
        <f t="shared" ca="1" si="15"/>
        <v>0.10904601154142401</v>
      </c>
      <c r="BA10" s="143">
        <f t="shared" ca="1" si="15"/>
        <v>-3.6101924309484057E-2</v>
      </c>
      <c r="BB10" s="143">
        <f t="shared" ca="1" si="15"/>
        <v>0.19744536861468831</v>
      </c>
      <c r="BC10" s="143">
        <f t="shared" ca="1" si="15"/>
        <v>0.2758947519319927</v>
      </c>
      <c r="BD10" s="143">
        <f t="shared" ca="1" si="15"/>
        <v>9.8060516570500633E-2</v>
      </c>
      <c r="BE10" s="143">
        <f t="shared" ca="1" si="15"/>
        <v>-4.4474528285078918E-3</v>
      </c>
      <c r="BF10" s="143">
        <f t="shared" ca="1" si="15"/>
        <v>0.18931375635441977</v>
      </c>
      <c r="BG10" s="143">
        <f t="shared" ca="1" si="15"/>
        <v>-8.0810326608134281E-2</v>
      </c>
      <c r="BH10" s="143">
        <f t="shared" ca="1" si="15"/>
        <v>-0.14080798402200179</v>
      </c>
      <c r="BI10" s="143">
        <f t="shared" ca="1" si="15"/>
        <v>0.10441667116105251</v>
      </c>
      <c r="BJ10" s="143">
        <f t="shared" ca="1" si="15"/>
        <v>-5.3795126988310987E-2</v>
      </c>
      <c r="BK10" s="143">
        <f t="shared" ca="1" si="15"/>
        <v>0.25756948252851508</v>
      </c>
      <c r="BL10" s="143">
        <f t="shared" ca="1" si="15"/>
        <v>7.2711471151581886E-2</v>
      </c>
      <c r="BM10" s="143">
        <f t="shared" ca="1" si="15"/>
        <v>0.22397955283603452</v>
      </c>
      <c r="BN10" s="143">
        <f t="shared" ca="1" si="15"/>
        <v>9.8153140945586012E-2</v>
      </c>
      <c r="BO10" s="143">
        <f t="shared" ca="1" si="15"/>
        <v>0.42403213630389891</v>
      </c>
      <c r="BP10" s="143">
        <f t="shared" ca="1" si="15"/>
        <v>0.1351213661061724</v>
      </c>
      <c r="BQ10" s="143">
        <f t="shared" ca="1" si="15"/>
        <v>0.20900441326492689</v>
      </c>
      <c r="BR10" s="143">
        <f t="shared" ca="1" si="15"/>
        <v>0.13753379529034529</v>
      </c>
      <c r="BS10" s="143">
        <f t="shared" ca="1" si="15"/>
        <v>0.15880045058488096</v>
      </c>
      <c r="BT10" s="143">
        <f t="shared" ca="1" si="15"/>
        <v>0.22553274907929327</v>
      </c>
      <c r="BU10" s="143">
        <f t="shared" ca="1" si="15"/>
        <v>0.32062212529566225</v>
      </c>
      <c r="BV10" s="143">
        <f t="shared" ca="1" si="15"/>
        <v>0.12176934820292287</v>
      </c>
      <c r="BW10" s="143">
        <f t="shared" ca="1" si="15"/>
        <v>1.9455441816461264E-2</v>
      </c>
      <c r="BX10" s="143">
        <f t="shared" ca="1" si="15"/>
        <v>0.33038272291322945</v>
      </c>
      <c r="BY10" s="143">
        <f t="shared" ca="1" si="15"/>
        <v>7.8962324199522066E-2</v>
      </c>
      <c r="BZ10" s="143">
        <f t="shared" ca="1" si="15"/>
        <v>0.38844352600980037</v>
      </c>
      <c r="CA10" s="143">
        <f t="shared" ca="1" si="13"/>
        <v>0.26636465094225903</v>
      </c>
      <c r="CB10" s="143">
        <f t="shared" ca="1" si="13"/>
        <v>-0.14522184479684169</v>
      </c>
      <c r="CC10" s="143">
        <f t="shared" ca="1" si="13"/>
        <v>-0.22740643061875074</v>
      </c>
      <c r="CD10" s="143">
        <f t="shared" ca="1" si="13"/>
        <v>0.35352549352711393</v>
      </c>
      <c r="CE10" s="143">
        <f t="shared" ca="1" si="13"/>
        <v>0.154694353352516</v>
      </c>
      <c r="CF10" s="143">
        <f t="shared" ca="1" si="13"/>
        <v>0.18975595961842351</v>
      </c>
      <c r="CG10" s="143">
        <f t="shared" ca="1" si="13"/>
        <v>0.13491907590921215</v>
      </c>
      <c r="CH10" s="143">
        <f t="shared" ca="1" si="13"/>
        <v>4.9667091469952386E-2</v>
      </c>
      <c r="CI10" s="143">
        <f t="shared" ca="1" si="13"/>
        <v>0.46483932348708901</v>
      </c>
      <c r="CJ10" s="143">
        <f t="shared" ca="1" si="13"/>
        <v>0.29882396766936242</v>
      </c>
      <c r="CK10" s="143">
        <f t="shared" ca="1" si="13"/>
        <v>6.5771996720213499E-2</v>
      </c>
      <c r="CL10" s="143">
        <f t="shared" ca="1" si="13"/>
        <v>0.10692520600693517</v>
      </c>
      <c r="CM10" s="143">
        <f t="shared" ca="1" si="13"/>
        <v>0.25113839602761229</v>
      </c>
      <c r="CN10" s="143">
        <f t="shared" ca="1" si="13"/>
        <v>9.4286580691584534E-2</v>
      </c>
      <c r="CO10" s="143">
        <f t="shared" ca="1" si="13"/>
        <v>7.5646259562223789E-2</v>
      </c>
      <c r="CP10" s="143">
        <f t="shared" ca="1" si="13"/>
        <v>0.12558942992018518</v>
      </c>
      <c r="CQ10" s="143">
        <f t="shared" ca="1" si="13"/>
        <v>0.17691862616204129</v>
      </c>
      <c r="CR10" s="143">
        <f t="shared" ca="1" si="13"/>
        <v>4.4239015771094313E-2</v>
      </c>
      <c r="CS10" s="143">
        <f t="shared" ca="1" si="13"/>
        <v>0.63206680500843493</v>
      </c>
      <c r="CT10" s="143">
        <f t="shared" ca="1" si="13"/>
        <v>6.6488282639704618E-2</v>
      </c>
      <c r="CU10" s="143">
        <f t="shared" ca="1" si="13"/>
        <v>-5.5214491961704859E-2</v>
      </c>
      <c r="CV10" s="143">
        <f t="shared" ca="1" si="13"/>
        <v>9.5703612929759443E-2</v>
      </c>
      <c r="CW10" s="143">
        <f t="shared" ca="1" si="13"/>
        <v>-2.3594134661046276E-2</v>
      </c>
      <c r="CX10" s="143">
        <f t="shared" ca="1" si="13"/>
        <v>0.28613915210074226</v>
      </c>
      <c r="CY10" s="143">
        <f t="shared" ca="1" si="13"/>
        <v>0.17699085796420994</v>
      </c>
      <c r="CZ10" s="143">
        <f t="shared" ca="1" si="13"/>
        <v>-5.656637486592575E-2</v>
      </c>
      <c r="DA10" s="143">
        <f t="shared" ca="1" si="13"/>
        <v>-5.7431109685904091E-2</v>
      </c>
      <c r="DB10" s="143">
        <f t="shared" ca="1" si="13"/>
        <v>8.9127754304644591E-2</v>
      </c>
      <c r="DC10" s="143">
        <f t="shared" ca="1" si="13"/>
        <v>0.34643252900313837</v>
      </c>
      <c r="DD10" s="143">
        <f t="shared" ca="1" si="13"/>
        <v>4.0986730446494819E-2</v>
      </c>
      <c r="DE10" s="143">
        <f t="shared" ca="1" si="13"/>
        <v>8.0546617324185249E-2</v>
      </c>
      <c r="DF10" s="143">
        <f t="shared" ca="1" si="13"/>
        <v>0.14243657557343672</v>
      </c>
      <c r="DG10" s="143">
        <f t="shared" ca="1" si="13"/>
        <v>0.36188475994533909</v>
      </c>
      <c r="DH10" s="143">
        <f t="shared" ca="1" si="13"/>
        <v>-2.4972621709298676E-2</v>
      </c>
      <c r="DI10" s="143">
        <f t="shared" ca="1" si="13"/>
        <v>0.31619675017786364</v>
      </c>
      <c r="DK10" s="115">
        <f t="shared" si="8"/>
        <v>59</v>
      </c>
      <c r="DL10" s="143">
        <f t="shared" ca="1" si="6"/>
        <v>4.1412046044893396E-2</v>
      </c>
      <c r="DM10" s="143">
        <f t="shared" ref="DM10:FX13" ca="1" si="16">_xlfn.NORM.INV(RAND(),$B$116,$B$117)</f>
        <v>0.12009007581910833</v>
      </c>
      <c r="DN10" s="143">
        <f t="shared" ca="1" si="16"/>
        <v>3.4080221532558144E-3</v>
      </c>
      <c r="DO10" s="143">
        <f t="shared" ca="1" si="16"/>
        <v>-4.7494827337848718E-2</v>
      </c>
      <c r="DP10" s="143">
        <f t="shared" ca="1" si="16"/>
        <v>7.9271035161975006E-2</v>
      </c>
      <c r="DQ10" s="143">
        <f t="shared" ca="1" si="16"/>
        <v>7.1915047983033317E-2</v>
      </c>
      <c r="DR10" s="143">
        <f t="shared" ca="1" si="16"/>
        <v>4.0115693576531705E-2</v>
      </c>
      <c r="DS10" s="143">
        <f t="shared" ca="1" si="16"/>
        <v>6.3743440024153025E-2</v>
      </c>
      <c r="DT10" s="143">
        <f t="shared" ca="1" si="16"/>
        <v>4.2515423128806143E-2</v>
      </c>
      <c r="DU10" s="143">
        <f t="shared" ca="1" si="16"/>
        <v>-3.163175651029438E-2</v>
      </c>
      <c r="DV10" s="143">
        <f t="shared" ca="1" si="16"/>
        <v>6.2400552760988395E-2</v>
      </c>
      <c r="DW10" s="143">
        <f t="shared" ca="1" si="16"/>
        <v>-3.8113213343046147E-2</v>
      </c>
      <c r="DX10" s="143">
        <f t="shared" ca="1" si="16"/>
        <v>4.7787552672347897E-2</v>
      </c>
      <c r="DY10" s="143">
        <f t="shared" ca="1" si="16"/>
        <v>0.10439337588329348</v>
      </c>
      <c r="DZ10" s="143">
        <f t="shared" ca="1" si="16"/>
        <v>1.7685005245847426E-2</v>
      </c>
      <c r="EA10" s="143">
        <f t="shared" ca="1" si="16"/>
        <v>8.3946200307982541E-2</v>
      </c>
      <c r="EB10" s="143">
        <f t="shared" ca="1" si="16"/>
        <v>3.7516501662767654E-2</v>
      </c>
      <c r="EC10" s="143">
        <f t="shared" ca="1" si="16"/>
        <v>0.15199974714125983</v>
      </c>
      <c r="ED10" s="143">
        <f t="shared" ca="1" si="16"/>
        <v>0.10021876378540143</v>
      </c>
      <c r="EE10" s="143">
        <f t="shared" ca="1" si="16"/>
        <v>-3.0996796919764501E-2</v>
      </c>
      <c r="EF10" s="143">
        <f t="shared" ca="1" si="16"/>
        <v>0.11099982987146517</v>
      </c>
      <c r="EG10" s="143">
        <f t="shared" ca="1" si="16"/>
        <v>-2.5129853313401181E-2</v>
      </c>
      <c r="EH10" s="143">
        <f t="shared" ca="1" si="16"/>
        <v>0.13988578396090137</v>
      </c>
      <c r="EI10" s="143">
        <f t="shared" ca="1" si="16"/>
        <v>3.9024086399807652E-2</v>
      </c>
      <c r="EJ10" s="143">
        <f t="shared" ca="1" si="16"/>
        <v>0.16329622808171676</v>
      </c>
      <c r="EK10" s="143">
        <f t="shared" ca="1" si="16"/>
        <v>0.18659226311371541</v>
      </c>
      <c r="EL10" s="143">
        <f t="shared" ca="1" si="16"/>
        <v>5.0846887048593324E-2</v>
      </c>
      <c r="EM10" s="143">
        <f t="shared" ca="1" si="16"/>
        <v>3.7935836213885264E-2</v>
      </c>
      <c r="EN10" s="143">
        <f t="shared" ca="1" si="16"/>
        <v>5.0986642541844047E-2</v>
      </c>
      <c r="EO10" s="143">
        <f t="shared" ca="1" si="16"/>
        <v>1.0575924804975254E-2</v>
      </c>
      <c r="EP10" s="143">
        <f t="shared" ca="1" si="16"/>
        <v>0.19961596195380943</v>
      </c>
      <c r="EQ10" s="143">
        <f t="shared" ca="1" si="16"/>
        <v>-2.4103837420186854E-2</v>
      </c>
      <c r="ER10" s="143">
        <f t="shared" ca="1" si="16"/>
        <v>-1.9656105694046071E-2</v>
      </c>
      <c r="ES10" s="143">
        <f t="shared" ca="1" si="16"/>
        <v>-4.7513462452219581E-2</v>
      </c>
      <c r="ET10" s="143">
        <f t="shared" ca="1" si="16"/>
        <v>0.15536528767085828</v>
      </c>
      <c r="EU10" s="143">
        <f t="shared" ca="1" si="16"/>
        <v>4.0248441812207256E-2</v>
      </c>
      <c r="EV10" s="143">
        <f t="shared" ca="1" si="16"/>
        <v>0.11716940865631464</v>
      </c>
      <c r="EW10" s="143">
        <f t="shared" ca="1" si="16"/>
        <v>-6.1389015332664158E-2</v>
      </c>
      <c r="EX10" s="143">
        <f t="shared" ca="1" si="16"/>
        <v>4.9551459856817595E-3</v>
      </c>
      <c r="EY10" s="143">
        <f t="shared" ca="1" si="16"/>
        <v>1.0156171985989719E-2</v>
      </c>
      <c r="EZ10" s="143">
        <f t="shared" ca="1" si="16"/>
        <v>2.1798019509059508E-2</v>
      </c>
      <c r="FA10" s="143">
        <f t="shared" ca="1" si="16"/>
        <v>-5.8507800215738183E-2</v>
      </c>
      <c r="FB10" s="143">
        <f t="shared" ca="1" si="16"/>
        <v>6.8698899545710512E-2</v>
      </c>
      <c r="FC10" s="143">
        <f t="shared" ca="1" si="16"/>
        <v>-5.6459027749772649E-2</v>
      </c>
      <c r="FD10" s="143">
        <f t="shared" ca="1" si="16"/>
        <v>5.2831523277067222E-3</v>
      </c>
      <c r="FE10" s="143">
        <f t="shared" ca="1" si="16"/>
        <v>0.17110814700176685</v>
      </c>
      <c r="FF10" s="143">
        <f t="shared" ca="1" si="16"/>
        <v>6.227774331421064E-2</v>
      </c>
      <c r="FG10" s="143">
        <f t="shared" ca="1" si="16"/>
        <v>0.23272664559729891</v>
      </c>
      <c r="FH10" s="143">
        <f t="shared" ca="1" si="16"/>
        <v>0.13036883245891553</v>
      </c>
      <c r="FI10" s="143">
        <f t="shared" ca="1" si="16"/>
        <v>7.875007145865523E-2</v>
      </c>
      <c r="FJ10" s="143">
        <f t="shared" ca="1" si="16"/>
        <v>0.10025540776691427</v>
      </c>
      <c r="FK10" s="143">
        <f t="shared" ca="1" si="16"/>
        <v>0.11044353440844923</v>
      </c>
      <c r="FL10" s="143">
        <f t="shared" ca="1" si="16"/>
        <v>5.1226587665063238E-2</v>
      </c>
      <c r="FM10" s="143">
        <f t="shared" ca="1" si="16"/>
        <v>-0.14593736710570593</v>
      </c>
      <c r="FN10" s="143">
        <f t="shared" ca="1" si="16"/>
        <v>0.10600264626408508</v>
      </c>
      <c r="FO10" s="143">
        <f t="shared" ca="1" si="16"/>
        <v>-2.4558729369779909E-2</v>
      </c>
      <c r="FP10" s="143">
        <f t="shared" ca="1" si="16"/>
        <v>-6.3071015761434729E-2</v>
      </c>
      <c r="FQ10" s="143">
        <f t="shared" ca="1" si="16"/>
        <v>0.12629333821292779</v>
      </c>
      <c r="FR10" s="143">
        <f t="shared" ca="1" si="16"/>
        <v>0.13309084130844487</v>
      </c>
      <c r="FS10" s="143">
        <f t="shared" ca="1" si="16"/>
        <v>0.2036668058334769</v>
      </c>
      <c r="FT10" s="143">
        <f t="shared" ca="1" si="16"/>
        <v>-1.6235250027421745E-2</v>
      </c>
      <c r="FU10" s="143">
        <f t="shared" ca="1" si="16"/>
        <v>3.8604395256075827E-2</v>
      </c>
      <c r="FV10" s="143">
        <f t="shared" ca="1" si="16"/>
        <v>-7.0995896136624853E-2</v>
      </c>
      <c r="FW10" s="143">
        <f t="shared" ca="1" si="16"/>
        <v>-7.2007404726037727E-2</v>
      </c>
      <c r="FX10" s="143">
        <f t="shared" ca="1" si="16"/>
        <v>0.17601195463541816</v>
      </c>
      <c r="FY10" s="143">
        <f t="shared" ca="1" si="14"/>
        <v>3.2297294640977178E-2</v>
      </c>
      <c r="FZ10" s="143">
        <f t="shared" ca="1" si="14"/>
        <v>0.11332393675720276</v>
      </c>
      <c r="GA10" s="143">
        <f t="shared" ca="1" si="14"/>
        <v>4.6367983657370465E-2</v>
      </c>
      <c r="GB10" s="143">
        <f t="shared" ca="1" si="14"/>
        <v>6.3542922576722088E-2</v>
      </c>
      <c r="GC10" s="143">
        <f t="shared" ca="1" si="14"/>
        <v>3.7029824415403367E-2</v>
      </c>
      <c r="GD10" s="143">
        <f t="shared" ca="1" si="14"/>
        <v>0.10897783276892348</v>
      </c>
      <c r="GE10" s="143">
        <f t="shared" ca="1" si="14"/>
        <v>-5.4796242527202291E-3</v>
      </c>
      <c r="GF10" s="143">
        <f t="shared" ca="1" si="14"/>
        <v>4.340837109476877E-2</v>
      </c>
      <c r="GG10" s="143">
        <f t="shared" ca="1" si="14"/>
        <v>-8.6076938041557208E-3</v>
      </c>
      <c r="GH10" s="143">
        <f t="shared" ca="1" si="14"/>
        <v>-5.460302661149035E-2</v>
      </c>
      <c r="GI10" s="143">
        <f t="shared" ca="1" si="14"/>
        <v>-4.1188593846758804E-2</v>
      </c>
      <c r="GJ10" s="143">
        <f t="shared" ca="1" si="14"/>
        <v>0.12435584209338557</v>
      </c>
      <c r="GK10" s="143">
        <f t="shared" ca="1" si="14"/>
        <v>9.2164265691738717E-2</v>
      </c>
      <c r="GL10" s="143">
        <f t="shared" ca="1" si="14"/>
        <v>3.4353546794286219E-2</v>
      </c>
      <c r="GM10" s="143">
        <f t="shared" ca="1" si="14"/>
        <v>-1.1362067927023038E-2</v>
      </c>
      <c r="GN10" s="143">
        <f t="shared" ca="1" si="14"/>
        <v>-1.1508906330675313E-2</v>
      </c>
      <c r="GO10" s="143">
        <f t="shared" ca="1" si="14"/>
        <v>0.14123369326496668</v>
      </c>
      <c r="GP10" s="143">
        <f t="shared" ca="1" si="14"/>
        <v>-1.2342577861691038E-2</v>
      </c>
      <c r="GQ10" s="143">
        <f t="shared" ca="1" si="14"/>
        <v>-1.4364854458190128E-2</v>
      </c>
      <c r="GR10" s="143">
        <f t="shared" ca="1" si="14"/>
        <v>3.952437231129001E-2</v>
      </c>
      <c r="GS10" s="143">
        <f t="shared" ca="1" si="14"/>
        <v>9.3694123506967708E-2</v>
      </c>
      <c r="GT10" s="143">
        <f t="shared" ca="1" si="14"/>
        <v>-7.8280352555349347E-2</v>
      </c>
      <c r="GU10" s="143">
        <f t="shared" ca="1" si="14"/>
        <v>-8.0230921385801124E-2</v>
      </c>
      <c r="GV10" s="143">
        <f t="shared" ca="1" si="14"/>
        <v>0.1529241659443823</v>
      </c>
      <c r="GW10" s="143">
        <f t="shared" ca="1" si="14"/>
        <v>7.0254037982119308E-2</v>
      </c>
      <c r="GX10" s="143">
        <f t="shared" ca="1" si="14"/>
        <v>6.4299471844337819E-2</v>
      </c>
      <c r="GY10" s="143">
        <f t="shared" ca="1" si="14"/>
        <v>1.547489599818426E-2</v>
      </c>
      <c r="GZ10" s="143">
        <f t="shared" ca="1" si="14"/>
        <v>0.11788032752048719</v>
      </c>
      <c r="HA10" s="143">
        <f t="shared" ca="1" si="14"/>
        <v>0.11249720501547103</v>
      </c>
      <c r="HB10" s="143">
        <f t="shared" ca="1" si="14"/>
        <v>1.505468720857242E-2</v>
      </c>
      <c r="HC10" s="143">
        <f t="shared" ca="1" si="14"/>
        <v>0.14716180570016532</v>
      </c>
      <c r="HD10" s="143">
        <f t="shared" ca="1" si="14"/>
        <v>2.4841843382297026E-2</v>
      </c>
      <c r="HE10" s="143">
        <f t="shared" ca="1" si="14"/>
        <v>-9.9356428443864303E-2</v>
      </c>
      <c r="HF10" s="143">
        <f t="shared" ca="1" si="14"/>
        <v>5.0676478350194017E-2</v>
      </c>
      <c r="HG10" s="143">
        <f t="shared" ca="1" si="14"/>
        <v>-3.3218325263771727E-2</v>
      </c>
    </row>
    <row r="11" spans="1:317">
      <c r="A11" s="90">
        <v>1937</v>
      </c>
      <c r="B11" s="84">
        <v>-0.35336728754365537</v>
      </c>
      <c r="C11" s="85">
        <v>-0.53280000000000005</v>
      </c>
      <c r="D11" s="83">
        <f t="shared" si="4"/>
        <v>-0.38925383003492431</v>
      </c>
      <c r="E11" s="85"/>
      <c r="F11" s="85"/>
      <c r="G11" s="85">
        <v>2.7583333333333331E-3</v>
      </c>
      <c r="H11" s="85">
        <v>1.379146059646038E-2</v>
      </c>
      <c r="I11" s="85">
        <v>-4.4161916839982614E-2</v>
      </c>
      <c r="J11" s="85">
        <v>-2.2942357327214724E-3</v>
      </c>
      <c r="M11" s="115">
        <f t="shared" si="7"/>
        <v>60</v>
      </c>
      <c r="N11" s="143">
        <f t="shared" ca="1" si="5"/>
        <v>0.18717942453198683</v>
      </c>
      <c r="O11" s="143">
        <f t="shared" ca="1" si="15"/>
        <v>-6.8020564247118109E-2</v>
      </c>
      <c r="P11" s="143">
        <f t="shared" ca="1" si="15"/>
        <v>0.10536706194432503</v>
      </c>
      <c r="Q11" s="143">
        <f t="shared" ca="1" si="15"/>
        <v>0.15250228054496312</v>
      </c>
      <c r="R11" s="143">
        <f t="shared" ca="1" si="15"/>
        <v>0.6253452559230912</v>
      </c>
      <c r="S11" s="143">
        <f t="shared" ca="1" si="15"/>
        <v>3.8793207427639489E-2</v>
      </c>
      <c r="T11" s="143">
        <f t="shared" ca="1" si="15"/>
        <v>7.822487426551164E-2</v>
      </c>
      <c r="U11" s="143">
        <f t="shared" ca="1" si="15"/>
        <v>5.0640705922411683E-2</v>
      </c>
      <c r="V11" s="143">
        <f t="shared" ca="1" si="15"/>
        <v>5.5113290292725034E-2</v>
      </c>
      <c r="W11" s="143">
        <f t="shared" ca="1" si="15"/>
        <v>0.28529311105810495</v>
      </c>
      <c r="X11" s="143">
        <f t="shared" ca="1" si="15"/>
        <v>-0.10482388760954525</v>
      </c>
      <c r="Y11" s="143">
        <f t="shared" ca="1" si="15"/>
        <v>4.7388610186647445E-2</v>
      </c>
      <c r="Z11" s="143">
        <f t="shared" ca="1" si="15"/>
        <v>0.12704721718346651</v>
      </c>
      <c r="AA11" s="143">
        <f t="shared" ca="1" si="15"/>
        <v>0.23254942604264295</v>
      </c>
      <c r="AB11" s="143">
        <f t="shared" ca="1" si="15"/>
        <v>0.24432736167969399</v>
      </c>
      <c r="AC11" s="143">
        <f t="shared" ca="1" si="15"/>
        <v>0.21318356717696513</v>
      </c>
      <c r="AD11" s="143">
        <f t="shared" ca="1" si="15"/>
        <v>-8.7377658221447219E-2</v>
      </c>
      <c r="AE11" s="143">
        <f t="shared" ca="1" si="15"/>
        <v>-1.2607960350594694E-2</v>
      </c>
      <c r="AF11" s="143">
        <f t="shared" ca="1" si="15"/>
        <v>-1.9482174225520441E-2</v>
      </c>
      <c r="AG11" s="143">
        <f t="shared" ca="1" si="15"/>
        <v>-0.12174969135702451</v>
      </c>
      <c r="AH11" s="143">
        <f t="shared" ca="1" si="15"/>
        <v>4.9641268279045622E-2</v>
      </c>
      <c r="AI11" s="143">
        <f t="shared" ca="1" si="15"/>
        <v>-4.5664215710586681E-2</v>
      </c>
      <c r="AJ11" s="143">
        <f t="shared" ca="1" si="15"/>
        <v>0.23016411840609513</v>
      </c>
      <c r="AK11" s="143">
        <f t="shared" ca="1" si="15"/>
        <v>9.8476971819168591E-3</v>
      </c>
      <c r="AL11" s="143">
        <f t="shared" ca="1" si="15"/>
        <v>-0.17265003906461054</v>
      </c>
      <c r="AM11" s="143">
        <f t="shared" ca="1" si="15"/>
        <v>0.28650302522428123</v>
      </c>
      <c r="AN11" s="143">
        <f t="shared" ca="1" si="15"/>
        <v>0.2081476254232614</v>
      </c>
      <c r="AO11" s="143">
        <f t="shared" ca="1" si="15"/>
        <v>0.14641651747726947</v>
      </c>
      <c r="AP11" s="143">
        <f t="shared" ca="1" si="15"/>
        <v>0.14598357419626073</v>
      </c>
      <c r="AQ11" s="143">
        <f t="shared" ca="1" si="15"/>
        <v>0.14400962921426291</v>
      </c>
      <c r="AR11" s="143">
        <f t="shared" ca="1" si="15"/>
        <v>9.6353061471879553E-2</v>
      </c>
      <c r="AS11" s="143">
        <f t="shared" ca="1" si="15"/>
        <v>0.29049846842780724</v>
      </c>
      <c r="AT11" s="143">
        <f t="shared" ca="1" si="15"/>
        <v>-0.13643527509468004</v>
      </c>
      <c r="AU11" s="143">
        <f t="shared" ca="1" si="15"/>
        <v>8.3611086768678108E-2</v>
      </c>
      <c r="AV11" s="143">
        <f t="shared" ca="1" si="15"/>
        <v>0.1330955574082314</v>
      </c>
      <c r="AW11" s="143">
        <f t="shared" ca="1" si="15"/>
        <v>0.56087928313971036</v>
      </c>
      <c r="AX11" s="143">
        <f t="shared" ca="1" si="15"/>
        <v>0.20520877996976672</v>
      </c>
      <c r="AY11" s="143">
        <f t="shared" ca="1" si="15"/>
        <v>8.7616237814326176E-2</v>
      </c>
      <c r="AZ11" s="143">
        <f t="shared" ca="1" si="15"/>
        <v>0.15922076893350284</v>
      </c>
      <c r="BA11" s="143">
        <f t="shared" ca="1" si="15"/>
        <v>9.4017551559995402E-2</v>
      </c>
      <c r="BB11" s="143">
        <f t="shared" ca="1" si="15"/>
        <v>0.16769106741774278</v>
      </c>
      <c r="BC11" s="143">
        <f t="shared" ca="1" si="15"/>
        <v>-5.2985548273673327E-2</v>
      </c>
      <c r="BD11" s="143">
        <f t="shared" ca="1" si="15"/>
        <v>0.19834749077199801</v>
      </c>
      <c r="BE11" s="143">
        <f t="shared" ca="1" si="15"/>
        <v>-0.24028952107513665</v>
      </c>
      <c r="BF11" s="143">
        <f t="shared" ca="1" si="15"/>
        <v>0.23504531410499141</v>
      </c>
      <c r="BG11" s="143">
        <f t="shared" ca="1" si="15"/>
        <v>-0.12904269098699239</v>
      </c>
      <c r="BH11" s="143">
        <f t="shared" ca="1" si="15"/>
        <v>3.2476702062672849E-2</v>
      </c>
      <c r="BI11" s="143">
        <f t="shared" ca="1" si="15"/>
        <v>5.6351481385254448E-2</v>
      </c>
      <c r="BJ11" s="143">
        <f t="shared" ca="1" si="15"/>
        <v>-3.4584418390619293E-2</v>
      </c>
      <c r="BK11" s="143">
        <f t="shared" ca="1" si="15"/>
        <v>-0.15460238080296615</v>
      </c>
      <c r="BL11" s="143">
        <f t="shared" ca="1" si="15"/>
        <v>5.1534573348565017E-2</v>
      </c>
      <c r="BM11" s="143">
        <f t="shared" ca="1" si="15"/>
        <v>0.28212372547746456</v>
      </c>
      <c r="BN11" s="143">
        <f t="shared" ca="1" si="15"/>
        <v>0.12483741363210552</v>
      </c>
      <c r="BO11" s="143">
        <f t="shared" ca="1" si="15"/>
        <v>6.2034100989695397E-2</v>
      </c>
      <c r="BP11" s="143">
        <f t="shared" ca="1" si="15"/>
        <v>0.15632885813897152</v>
      </c>
      <c r="BQ11" s="143">
        <f t="shared" ca="1" si="15"/>
        <v>0.16236075034632469</v>
      </c>
      <c r="BR11" s="143">
        <f t="shared" ca="1" si="15"/>
        <v>5.0914056957923344E-2</v>
      </c>
      <c r="BS11" s="143">
        <f t="shared" ca="1" si="15"/>
        <v>-0.15147641065988113</v>
      </c>
      <c r="BT11" s="143">
        <f t="shared" ca="1" si="15"/>
        <v>0.16400880670749723</v>
      </c>
      <c r="BU11" s="143">
        <f t="shared" ca="1" si="15"/>
        <v>2.1307904267324082E-2</v>
      </c>
      <c r="BV11" s="143">
        <f t="shared" ca="1" si="15"/>
        <v>0.1485066017674381</v>
      </c>
      <c r="BW11" s="143">
        <f t="shared" ca="1" si="15"/>
        <v>-1.8601119489842013E-2</v>
      </c>
      <c r="BX11" s="143">
        <f t="shared" ca="1" si="15"/>
        <v>0.24037209138095128</v>
      </c>
      <c r="BY11" s="143">
        <f t="shared" ca="1" si="15"/>
        <v>-8.3525169370267494E-2</v>
      </c>
      <c r="BZ11" s="143">
        <f t="shared" ca="1" si="15"/>
        <v>0.22146152289827933</v>
      </c>
      <c r="CA11" s="143">
        <f t="shared" ca="1" si="13"/>
        <v>-6.7233671771688264E-2</v>
      </c>
      <c r="CB11" s="143">
        <f t="shared" ca="1" si="13"/>
        <v>0.37355618636648846</v>
      </c>
      <c r="CC11" s="143">
        <f t="shared" ca="1" si="13"/>
        <v>0.33754979490933112</v>
      </c>
      <c r="CD11" s="143">
        <f t="shared" ca="1" si="13"/>
        <v>-2.2172506535203029E-2</v>
      </c>
      <c r="CE11" s="143">
        <f t="shared" ca="1" si="13"/>
        <v>-3.7024074848403948E-2</v>
      </c>
      <c r="CF11" s="143">
        <f t="shared" ca="1" si="13"/>
        <v>0.39617960355966986</v>
      </c>
      <c r="CG11" s="143">
        <f t="shared" ca="1" si="13"/>
        <v>-0.10215439832906636</v>
      </c>
      <c r="CH11" s="143">
        <f t="shared" ca="1" si="13"/>
        <v>0.12723888514718215</v>
      </c>
      <c r="CI11" s="143">
        <f t="shared" ca="1" si="13"/>
        <v>-5.9621383828753954E-2</v>
      </c>
      <c r="CJ11" s="143">
        <f t="shared" ca="1" si="13"/>
        <v>-1.3226255419753738E-2</v>
      </c>
      <c r="CK11" s="143">
        <f t="shared" ca="1" si="13"/>
        <v>0.41385882484248115</v>
      </c>
      <c r="CL11" s="143">
        <f t="shared" ca="1" si="13"/>
        <v>-0.19319759213723461</v>
      </c>
      <c r="CM11" s="143">
        <f t="shared" ca="1" si="13"/>
        <v>0.23846493366293267</v>
      </c>
      <c r="CN11" s="143">
        <f t="shared" ca="1" si="13"/>
        <v>-6.524461103830087E-2</v>
      </c>
      <c r="CO11" s="143">
        <f t="shared" ca="1" si="13"/>
        <v>5.5758148143260355E-4</v>
      </c>
      <c r="CP11" s="143">
        <f t="shared" ca="1" si="13"/>
        <v>0.32627979235685767</v>
      </c>
      <c r="CQ11" s="143">
        <f t="shared" ca="1" si="13"/>
        <v>0.30041650911869522</v>
      </c>
      <c r="CR11" s="143">
        <f t="shared" ca="1" si="13"/>
        <v>0.18287162894802322</v>
      </c>
      <c r="CS11" s="143">
        <f t="shared" ca="1" si="13"/>
        <v>0.25135413513235016</v>
      </c>
      <c r="CT11" s="143">
        <f t="shared" ca="1" si="13"/>
        <v>4.0940321198661686E-2</v>
      </c>
      <c r="CU11" s="143">
        <f t="shared" ca="1" si="13"/>
        <v>0.36271706374740198</v>
      </c>
      <c r="CV11" s="143">
        <f t="shared" ca="1" si="13"/>
        <v>0.12476131915438167</v>
      </c>
      <c r="CW11" s="143">
        <f t="shared" ca="1" si="13"/>
        <v>-0.17753980965176272</v>
      </c>
      <c r="CX11" s="143">
        <f t="shared" ca="1" si="13"/>
        <v>-0.21639399643068488</v>
      </c>
      <c r="CY11" s="143">
        <f t="shared" ca="1" si="13"/>
        <v>3.5273120653073198E-2</v>
      </c>
      <c r="CZ11" s="143">
        <f t="shared" ca="1" si="13"/>
        <v>-5.1682564992285601E-2</v>
      </c>
      <c r="DA11" s="143">
        <f t="shared" ca="1" si="13"/>
        <v>-2.5824472109961985E-2</v>
      </c>
      <c r="DB11" s="143">
        <f t="shared" ca="1" si="13"/>
        <v>-0.20032987813820738</v>
      </c>
      <c r="DC11" s="143">
        <f t="shared" ca="1" si="13"/>
        <v>8.5577059197955704E-2</v>
      </c>
      <c r="DD11" s="143">
        <f t="shared" ca="1" si="13"/>
        <v>0.15092334668421034</v>
      </c>
      <c r="DE11" s="143">
        <f t="shared" ca="1" si="13"/>
        <v>8.8696065959104467E-2</v>
      </c>
      <c r="DF11" s="143">
        <f t="shared" ca="1" si="13"/>
        <v>0.22192355088658688</v>
      </c>
      <c r="DG11" s="143">
        <f t="shared" ca="1" si="13"/>
        <v>-7.5906598680253012E-2</v>
      </c>
      <c r="DH11" s="143">
        <f t="shared" ca="1" si="13"/>
        <v>0.1332143276548152</v>
      </c>
      <c r="DI11" s="143">
        <f t="shared" ca="1" si="13"/>
        <v>0.34208298356379191</v>
      </c>
      <c r="DK11" s="115">
        <f t="shared" si="8"/>
        <v>60</v>
      </c>
      <c r="DL11" s="143">
        <f t="shared" ca="1" si="6"/>
        <v>-3.3631653849948227E-2</v>
      </c>
      <c r="DM11" s="143">
        <f t="shared" ca="1" si="16"/>
        <v>0.11536101827678613</v>
      </c>
      <c r="DN11" s="143">
        <f t="shared" ca="1" si="16"/>
        <v>0.16917870322676301</v>
      </c>
      <c r="DO11" s="143">
        <f t="shared" ca="1" si="16"/>
        <v>4.1200928391295646E-2</v>
      </c>
      <c r="DP11" s="143">
        <f t="shared" ca="1" si="16"/>
        <v>9.5594357667985436E-2</v>
      </c>
      <c r="DQ11" s="143">
        <f t="shared" ca="1" si="16"/>
        <v>-8.6014732752111578E-3</v>
      </c>
      <c r="DR11" s="143">
        <f t="shared" ca="1" si="16"/>
        <v>-7.7012493671408916E-2</v>
      </c>
      <c r="DS11" s="143">
        <f t="shared" ca="1" si="16"/>
        <v>4.4325299416523446E-2</v>
      </c>
      <c r="DT11" s="143">
        <f t="shared" ca="1" si="16"/>
        <v>0.11655674879118483</v>
      </c>
      <c r="DU11" s="143">
        <f t="shared" ca="1" si="16"/>
        <v>2.3418355076700006E-2</v>
      </c>
      <c r="DV11" s="143">
        <f t="shared" ca="1" si="16"/>
        <v>4.4756894473129166E-2</v>
      </c>
      <c r="DW11" s="143">
        <f t="shared" ca="1" si="16"/>
        <v>3.1365779442680972E-2</v>
      </c>
      <c r="DX11" s="143">
        <f t="shared" ca="1" si="16"/>
        <v>-1.3073096749838829E-2</v>
      </c>
      <c r="DY11" s="143">
        <f t="shared" ca="1" si="16"/>
        <v>-5.9842642893935129E-2</v>
      </c>
      <c r="DZ11" s="143">
        <f t="shared" ca="1" si="16"/>
        <v>0.14822885095746643</v>
      </c>
      <c r="EA11" s="143">
        <f t="shared" ca="1" si="16"/>
        <v>9.1133417914395637E-2</v>
      </c>
      <c r="EB11" s="143">
        <f t="shared" ca="1" si="16"/>
        <v>4.3223831193000058E-2</v>
      </c>
      <c r="EC11" s="143">
        <f t="shared" ca="1" si="16"/>
        <v>0.10358962370180358</v>
      </c>
      <c r="ED11" s="143">
        <f t="shared" ca="1" si="16"/>
        <v>-5.6112538411906589E-2</v>
      </c>
      <c r="EE11" s="143">
        <f t="shared" ca="1" si="16"/>
        <v>7.7674537694295581E-2</v>
      </c>
      <c r="EF11" s="143">
        <f t="shared" ca="1" si="16"/>
        <v>-3.1425401666508236E-2</v>
      </c>
      <c r="EG11" s="143">
        <f t="shared" ca="1" si="16"/>
        <v>-0.17064288839099997</v>
      </c>
      <c r="EH11" s="143">
        <f t="shared" ca="1" si="16"/>
        <v>4.6054580219692144E-2</v>
      </c>
      <c r="EI11" s="143">
        <f t="shared" ca="1" si="16"/>
        <v>-5.1985478495645991E-2</v>
      </c>
      <c r="EJ11" s="143">
        <f t="shared" ca="1" si="16"/>
        <v>0.18418074233021531</v>
      </c>
      <c r="EK11" s="143">
        <f t="shared" ca="1" si="16"/>
        <v>4.0519040822315083E-2</v>
      </c>
      <c r="EL11" s="143">
        <f t="shared" ca="1" si="16"/>
        <v>-0.10659343203086652</v>
      </c>
      <c r="EM11" s="143">
        <f t="shared" ca="1" si="16"/>
        <v>-1.5030000687674613E-3</v>
      </c>
      <c r="EN11" s="143">
        <f t="shared" ca="1" si="16"/>
        <v>1.5842529434854931E-2</v>
      </c>
      <c r="EO11" s="143">
        <f t="shared" ca="1" si="16"/>
        <v>3.9093157430878475E-2</v>
      </c>
      <c r="EP11" s="143">
        <f t="shared" ca="1" si="16"/>
        <v>-1.2127447654090129E-2</v>
      </c>
      <c r="EQ11" s="143">
        <f t="shared" ca="1" si="16"/>
        <v>0.20343369527677985</v>
      </c>
      <c r="ER11" s="143">
        <f t="shared" ca="1" si="16"/>
        <v>9.6945534577579887E-2</v>
      </c>
      <c r="ES11" s="143">
        <f t="shared" ca="1" si="16"/>
        <v>-4.3440394101627998E-2</v>
      </c>
      <c r="ET11" s="143">
        <f t="shared" ca="1" si="16"/>
        <v>7.5933857215013403E-2</v>
      </c>
      <c r="EU11" s="143">
        <f t="shared" ca="1" si="16"/>
        <v>4.1399866587403168E-2</v>
      </c>
      <c r="EV11" s="143">
        <f t="shared" ca="1" si="16"/>
        <v>0.11082671906122754</v>
      </c>
      <c r="EW11" s="143">
        <f t="shared" ca="1" si="16"/>
        <v>0.10473065472643761</v>
      </c>
      <c r="EX11" s="143">
        <f t="shared" ca="1" si="16"/>
        <v>0.26239316281440267</v>
      </c>
      <c r="EY11" s="143">
        <f t="shared" ca="1" si="16"/>
        <v>0.11757557007904698</v>
      </c>
      <c r="EZ11" s="143">
        <f t="shared" ca="1" si="16"/>
        <v>-2.8636794626002E-2</v>
      </c>
      <c r="FA11" s="143">
        <f t="shared" ca="1" si="16"/>
        <v>7.8774535685856087E-3</v>
      </c>
      <c r="FB11" s="143">
        <f t="shared" ca="1" si="16"/>
        <v>-3.903819647401905E-2</v>
      </c>
      <c r="FC11" s="143">
        <f t="shared" ca="1" si="16"/>
        <v>7.0105948954305122E-2</v>
      </c>
      <c r="FD11" s="143">
        <f t="shared" ca="1" si="16"/>
        <v>6.8474140034725628E-2</v>
      </c>
      <c r="FE11" s="143">
        <f t="shared" ca="1" si="16"/>
        <v>0.20269378622639753</v>
      </c>
      <c r="FF11" s="143">
        <f t="shared" ca="1" si="16"/>
        <v>-0.13479268612808398</v>
      </c>
      <c r="FG11" s="143">
        <f t="shared" ca="1" si="16"/>
        <v>-0.10460261164950094</v>
      </c>
      <c r="FH11" s="143">
        <f t="shared" ca="1" si="16"/>
        <v>-3.8873167662266395E-3</v>
      </c>
      <c r="FI11" s="143">
        <f t="shared" ca="1" si="16"/>
        <v>6.7419314069148306E-2</v>
      </c>
      <c r="FJ11" s="143">
        <f t="shared" ca="1" si="16"/>
        <v>1.5867786572535431E-2</v>
      </c>
      <c r="FK11" s="143">
        <f t="shared" ca="1" si="16"/>
        <v>-4.7837591845555534E-2</v>
      </c>
      <c r="FL11" s="143">
        <f t="shared" ca="1" si="16"/>
        <v>-8.6694070999839626E-3</v>
      </c>
      <c r="FM11" s="143">
        <f t="shared" ca="1" si="16"/>
        <v>1.338945069182354E-2</v>
      </c>
      <c r="FN11" s="143">
        <f t="shared" ca="1" si="16"/>
        <v>2.1851326259425766E-2</v>
      </c>
      <c r="FO11" s="143">
        <f t="shared" ca="1" si="16"/>
        <v>-8.2176535952088542E-2</v>
      </c>
      <c r="FP11" s="143">
        <f t="shared" ca="1" si="16"/>
        <v>-0.13940355459684675</v>
      </c>
      <c r="FQ11" s="143">
        <f t="shared" ca="1" si="16"/>
        <v>-3.3903717096112986E-2</v>
      </c>
      <c r="FR11" s="143">
        <f t="shared" ca="1" si="16"/>
        <v>8.0595271295411747E-2</v>
      </c>
      <c r="FS11" s="143">
        <f t="shared" ca="1" si="16"/>
        <v>5.6254745482415096E-2</v>
      </c>
      <c r="FT11" s="143">
        <f t="shared" ca="1" si="16"/>
        <v>-8.3235968135298766E-2</v>
      </c>
      <c r="FU11" s="143">
        <f t="shared" ca="1" si="16"/>
        <v>-6.1943546559317698E-2</v>
      </c>
      <c r="FV11" s="143">
        <f t="shared" ca="1" si="16"/>
        <v>6.3446082973435194E-2</v>
      </c>
      <c r="FW11" s="143">
        <f t="shared" ca="1" si="16"/>
        <v>0.16372463144951782</v>
      </c>
      <c r="FX11" s="143">
        <f t="shared" ca="1" si="16"/>
        <v>0.10332547140852166</v>
      </c>
      <c r="FY11" s="143">
        <f t="shared" ca="1" si="14"/>
        <v>0.19726183626387417</v>
      </c>
      <c r="FZ11" s="143">
        <f t="shared" ca="1" si="14"/>
        <v>-6.1464543715360552E-2</v>
      </c>
      <c r="GA11" s="143">
        <f t="shared" ca="1" si="14"/>
        <v>0.15294131541953537</v>
      </c>
      <c r="GB11" s="143">
        <f t="shared" ca="1" si="14"/>
        <v>0.11143391578907555</v>
      </c>
      <c r="GC11" s="143">
        <f t="shared" ca="1" si="14"/>
        <v>-4.8283186750134273E-2</v>
      </c>
      <c r="GD11" s="143">
        <f t="shared" ca="1" si="14"/>
        <v>7.6331203032760669E-2</v>
      </c>
      <c r="GE11" s="143">
        <f t="shared" ca="1" si="14"/>
        <v>5.4610178187687541E-2</v>
      </c>
      <c r="GF11" s="143">
        <f t="shared" ca="1" si="14"/>
        <v>-5.8474502199916074E-2</v>
      </c>
      <c r="GG11" s="143">
        <f t="shared" ca="1" si="14"/>
        <v>5.3223968975548916E-2</v>
      </c>
      <c r="GH11" s="143">
        <f t="shared" ca="1" si="14"/>
        <v>0.15085848996231666</v>
      </c>
      <c r="GI11" s="143">
        <f t="shared" ca="1" si="14"/>
        <v>-4.1887563725475571E-3</v>
      </c>
      <c r="GJ11" s="143">
        <f t="shared" ca="1" si="14"/>
        <v>3.7963633060641121E-2</v>
      </c>
      <c r="GK11" s="143">
        <f t="shared" ca="1" si="14"/>
        <v>-3.5725389274992018E-2</v>
      </c>
      <c r="GL11" s="143">
        <f t="shared" ca="1" si="14"/>
        <v>4.7100792505480688E-2</v>
      </c>
      <c r="GM11" s="143">
        <f t="shared" ca="1" si="14"/>
        <v>9.6732188784752815E-2</v>
      </c>
      <c r="GN11" s="143">
        <f t="shared" ca="1" si="14"/>
        <v>0.21492349245786579</v>
      </c>
      <c r="GO11" s="143">
        <f t="shared" ca="1" si="14"/>
        <v>8.4528747570776844E-3</v>
      </c>
      <c r="GP11" s="143">
        <f t="shared" ca="1" si="14"/>
        <v>8.1086251627009345E-2</v>
      </c>
      <c r="GQ11" s="143">
        <f t="shared" ca="1" si="14"/>
        <v>-2.2543888273418862E-2</v>
      </c>
      <c r="GR11" s="143">
        <f t="shared" ca="1" si="14"/>
        <v>7.2343077371708808E-2</v>
      </c>
      <c r="GS11" s="143">
        <f t="shared" ca="1" si="14"/>
        <v>0.12012216235673054</v>
      </c>
      <c r="GT11" s="143">
        <f t="shared" ca="1" si="14"/>
        <v>-1.8038678484785027E-2</v>
      </c>
      <c r="GU11" s="143">
        <f t="shared" ca="1" si="14"/>
        <v>-0.13296042340375894</v>
      </c>
      <c r="GV11" s="143">
        <f t="shared" ca="1" si="14"/>
        <v>0.15311031021532706</v>
      </c>
      <c r="GW11" s="143">
        <f t="shared" ca="1" si="14"/>
        <v>9.3623817356424138E-2</v>
      </c>
      <c r="GX11" s="143">
        <f t="shared" ca="1" si="14"/>
        <v>9.6197392261066689E-2</v>
      </c>
      <c r="GY11" s="143">
        <f t="shared" ca="1" si="14"/>
        <v>-5.1655225634390352E-2</v>
      </c>
      <c r="GZ11" s="143">
        <f t="shared" ca="1" si="14"/>
        <v>2.6219665243153667E-2</v>
      </c>
      <c r="HA11" s="143">
        <f t="shared" ca="1" si="14"/>
        <v>1.3331480829923643E-2</v>
      </c>
      <c r="HB11" s="143">
        <f t="shared" ca="1" si="14"/>
        <v>4.0711571977180477E-2</v>
      </c>
      <c r="HC11" s="143">
        <f t="shared" ca="1" si="14"/>
        <v>2.3627621432414623E-2</v>
      </c>
      <c r="HD11" s="143">
        <f t="shared" ca="1" si="14"/>
        <v>3.7848852420126984E-2</v>
      </c>
      <c r="HE11" s="143">
        <f t="shared" ca="1" si="14"/>
        <v>0.10663126229666922</v>
      </c>
      <c r="HF11" s="143">
        <f t="shared" ca="1" si="14"/>
        <v>-3.1282056333975607E-2</v>
      </c>
      <c r="HG11" s="143">
        <f t="shared" ca="1" si="14"/>
        <v>4.9890599040278469E-2</v>
      </c>
    </row>
    <row r="12" spans="1:317">
      <c r="A12" s="90">
        <v>1938</v>
      </c>
      <c r="B12" s="84">
        <v>0.29282654028436017</v>
      </c>
      <c r="C12" s="85">
        <v>1.6E-2</v>
      </c>
      <c r="D12" s="83">
        <f t="shared" si="4"/>
        <v>0.23746123222748816</v>
      </c>
      <c r="E12" s="85"/>
      <c r="F12" s="85"/>
      <c r="G12" s="85">
        <v>6.4999999999999997E-4</v>
      </c>
      <c r="H12" s="85">
        <v>4.2132485322046068E-2</v>
      </c>
      <c r="I12" s="85">
        <v>9.2358817136874202E-2</v>
      </c>
      <c r="J12" s="85">
        <v>1.7246335153779935E-3</v>
      </c>
      <c r="M12" s="115">
        <f t="shared" si="7"/>
        <v>61</v>
      </c>
      <c r="N12" s="143">
        <f t="shared" ca="1" si="5"/>
        <v>0.19751876735471746</v>
      </c>
      <c r="O12" s="143">
        <f t="shared" ca="1" si="15"/>
        <v>-0.20735881679654403</v>
      </c>
      <c r="P12" s="143">
        <f t="shared" ca="1" si="15"/>
        <v>0.38488741703386176</v>
      </c>
      <c r="Q12" s="143">
        <f t="shared" ca="1" si="15"/>
        <v>-4.8654298212177843E-2</v>
      </c>
      <c r="R12" s="143">
        <f t="shared" ca="1" si="15"/>
        <v>-7.0250481812266452E-2</v>
      </c>
      <c r="S12" s="143">
        <f t="shared" ca="1" si="15"/>
        <v>-0.50050440227170845</v>
      </c>
      <c r="T12" s="143">
        <f t="shared" ca="1" si="15"/>
        <v>0.14471615496663523</v>
      </c>
      <c r="U12" s="143">
        <f t="shared" ca="1" si="15"/>
        <v>-4.1208724627371546E-2</v>
      </c>
      <c r="V12" s="143">
        <f t="shared" ca="1" si="15"/>
        <v>6.5193286408650478E-2</v>
      </c>
      <c r="W12" s="143">
        <f t="shared" ca="1" si="15"/>
        <v>0.28838481450837211</v>
      </c>
      <c r="X12" s="143">
        <f t="shared" ca="1" si="15"/>
        <v>0.39596821444688413</v>
      </c>
      <c r="Y12" s="143">
        <f t="shared" ca="1" si="15"/>
        <v>-0.23918819257413751</v>
      </c>
      <c r="Z12" s="143">
        <f t="shared" ca="1" si="15"/>
        <v>0.25367481227746974</v>
      </c>
      <c r="AA12" s="143">
        <f t="shared" ca="1" si="15"/>
        <v>0.10752488690567819</v>
      </c>
      <c r="AB12" s="143">
        <f t="shared" ca="1" si="15"/>
        <v>0.11880166424152047</v>
      </c>
      <c r="AC12" s="143">
        <f t="shared" ca="1" si="15"/>
        <v>-2.5195431614867855E-2</v>
      </c>
      <c r="AD12" s="143">
        <f t="shared" ca="1" si="15"/>
        <v>3.8591323066695903E-2</v>
      </c>
      <c r="AE12" s="143">
        <f t="shared" ca="1" si="15"/>
        <v>0.10376209949809354</v>
      </c>
      <c r="AF12" s="143">
        <f t="shared" ca="1" si="15"/>
        <v>0.18727752298619063</v>
      </c>
      <c r="AG12" s="143">
        <f t="shared" ca="1" si="15"/>
        <v>0.22880109817008404</v>
      </c>
      <c r="AH12" s="143">
        <f t="shared" ca="1" si="15"/>
        <v>-6.7607611059959216E-2</v>
      </c>
      <c r="AI12" s="143">
        <f t="shared" ca="1" si="15"/>
        <v>0.32605041202863305</v>
      </c>
      <c r="AJ12" s="143">
        <f t="shared" ca="1" si="15"/>
        <v>-2.5261708300304817E-2</v>
      </c>
      <c r="AK12" s="143">
        <f t="shared" ca="1" si="15"/>
        <v>9.1015175003864426E-2</v>
      </c>
      <c r="AL12" s="143">
        <f t="shared" ca="1" si="15"/>
        <v>0.44930636025821447</v>
      </c>
      <c r="AM12" s="143">
        <f t="shared" ca="1" si="15"/>
        <v>0.28946315606995587</v>
      </c>
      <c r="AN12" s="143">
        <f t="shared" ca="1" si="15"/>
        <v>7.5243203079145754E-2</v>
      </c>
      <c r="AO12" s="143">
        <f t="shared" ca="1" si="15"/>
        <v>0.12953936144505274</v>
      </c>
      <c r="AP12" s="143">
        <f t="shared" ca="1" si="15"/>
        <v>0.17321990710357926</v>
      </c>
      <c r="AQ12" s="143">
        <f t="shared" ca="1" si="15"/>
        <v>0.23022537913455821</v>
      </c>
      <c r="AR12" s="143">
        <f t="shared" ca="1" si="15"/>
        <v>0.29376984198927608</v>
      </c>
      <c r="AS12" s="143">
        <f t="shared" ca="1" si="15"/>
        <v>-2.9231650913529167E-3</v>
      </c>
      <c r="AT12" s="143">
        <f t="shared" ca="1" si="15"/>
        <v>3.2649546569191362E-2</v>
      </c>
      <c r="AU12" s="143">
        <f t="shared" ca="1" si="15"/>
        <v>0.17487020623780075</v>
      </c>
      <c r="AV12" s="143">
        <f t="shared" ca="1" si="15"/>
        <v>-6.9241154957437379E-2</v>
      </c>
      <c r="AW12" s="143">
        <f t="shared" ca="1" si="15"/>
        <v>-8.2419625731767754E-2</v>
      </c>
      <c r="AX12" s="143">
        <f t="shared" ca="1" si="15"/>
        <v>-4.8831209114672952E-2</v>
      </c>
      <c r="AY12" s="143">
        <f t="shared" ca="1" si="15"/>
        <v>0.12855584251801783</v>
      </c>
      <c r="AZ12" s="143">
        <f t="shared" ca="1" si="15"/>
        <v>-0.15765265608935528</v>
      </c>
      <c r="BA12" s="143">
        <f t="shared" ca="1" si="15"/>
        <v>-5.6859374916058275E-2</v>
      </c>
      <c r="BB12" s="143">
        <f t="shared" ca="1" si="15"/>
        <v>0.11319098447448663</v>
      </c>
      <c r="BC12" s="143">
        <f t="shared" ca="1" si="15"/>
        <v>7.5338867191001038E-2</v>
      </c>
      <c r="BD12" s="143">
        <f t="shared" ca="1" si="15"/>
        <v>-9.0812423090995242E-2</v>
      </c>
      <c r="BE12" s="143">
        <f t="shared" ca="1" si="15"/>
        <v>-6.5977758504851658E-2</v>
      </c>
      <c r="BF12" s="143">
        <f t="shared" ca="1" si="15"/>
        <v>0.30637790927917313</v>
      </c>
      <c r="BG12" s="143">
        <f t="shared" ca="1" si="15"/>
        <v>9.1413657359721956E-2</v>
      </c>
      <c r="BH12" s="143">
        <f t="shared" ca="1" si="15"/>
        <v>0.55917079929398816</v>
      </c>
      <c r="BI12" s="143">
        <f t="shared" ca="1" si="15"/>
        <v>0.11501644670993097</v>
      </c>
      <c r="BJ12" s="143">
        <f t="shared" ca="1" si="15"/>
        <v>0.25474230948268362</v>
      </c>
      <c r="BK12" s="143">
        <f t="shared" ca="1" si="15"/>
        <v>5.5890137279578769E-2</v>
      </c>
      <c r="BL12" s="143">
        <f t="shared" ca="1" si="15"/>
        <v>0.41822662479145867</v>
      </c>
      <c r="BM12" s="143">
        <f t="shared" ca="1" si="15"/>
        <v>-0.16796294326459152</v>
      </c>
      <c r="BN12" s="143">
        <f t="shared" ca="1" si="15"/>
        <v>0.13916161368045801</v>
      </c>
      <c r="BO12" s="143">
        <f t="shared" ca="1" si="15"/>
        <v>-0.18596453997729875</v>
      </c>
      <c r="BP12" s="143">
        <f t="shared" ca="1" si="15"/>
        <v>0.32349625688370798</v>
      </c>
      <c r="BQ12" s="143">
        <f t="shared" ca="1" si="15"/>
        <v>5.5602126148516264E-2</v>
      </c>
      <c r="BR12" s="143">
        <f t="shared" ca="1" si="15"/>
        <v>7.7819944251319162E-2</v>
      </c>
      <c r="BS12" s="143">
        <f t="shared" ca="1" si="15"/>
        <v>5.8581189564641492E-2</v>
      </c>
      <c r="BT12" s="143">
        <f t="shared" ca="1" si="15"/>
        <v>-0.23407075941442221</v>
      </c>
      <c r="BU12" s="143">
        <f t="shared" ca="1" si="15"/>
        <v>0.18439681483863146</v>
      </c>
      <c r="BV12" s="143">
        <f t="shared" ca="1" si="15"/>
        <v>0.16596563191141722</v>
      </c>
      <c r="BW12" s="143">
        <f t="shared" ca="1" si="15"/>
        <v>0.16138328699093576</v>
      </c>
      <c r="BX12" s="143">
        <f t="shared" ca="1" si="15"/>
        <v>0.11336316575910531</v>
      </c>
      <c r="BY12" s="143">
        <f t="shared" ca="1" si="15"/>
        <v>-3.763608054084705E-2</v>
      </c>
      <c r="BZ12" s="143">
        <f t="shared" ca="1" si="15"/>
        <v>-0.13285201594721757</v>
      </c>
      <c r="CA12" s="143">
        <f t="shared" ca="1" si="13"/>
        <v>0.25284213468279704</v>
      </c>
      <c r="CB12" s="143">
        <f t="shared" ca="1" si="13"/>
        <v>0.21657732148525016</v>
      </c>
      <c r="CC12" s="143">
        <f t="shared" ca="1" si="13"/>
        <v>-4.8280986594461311E-2</v>
      </c>
      <c r="CD12" s="143">
        <f t="shared" ca="1" si="13"/>
        <v>-0.24527145933244518</v>
      </c>
      <c r="CE12" s="143">
        <f t="shared" ca="1" si="13"/>
        <v>-0.18072534418339656</v>
      </c>
      <c r="CF12" s="143">
        <f t="shared" ca="1" si="13"/>
        <v>0.1546811563165979</v>
      </c>
      <c r="CG12" s="143">
        <f t="shared" ca="1" si="13"/>
        <v>-0.15987949086020783</v>
      </c>
      <c r="CH12" s="143">
        <f t="shared" ca="1" si="13"/>
        <v>4.5564369541494343E-2</v>
      </c>
      <c r="CI12" s="143">
        <f t="shared" ca="1" si="13"/>
        <v>3.7352711826314576E-2</v>
      </c>
      <c r="CJ12" s="143">
        <f t="shared" ca="1" si="13"/>
        <v>0.16249902611002592</v>
      </c>
      <c r="CK12" s="143">
        <f t="shared" ca="1" si="13"/>
        <v>-1.6430161554179853E-2</v>
      </c>
      <c r="CL12" s="143">
        <f t="shared" ca="1" si="13"/>
        <v>0.12669726970617332</v>
      </c>
      <c r="CM12" s="143">
        <f t="shared" ca="1" si="13"/>
        <v>0.20574901416311556</v>
      </c>
      <c r="CN12" s="143">
        <f t="shared" ca="1" si="13"/>
        <v>0.36145869281819654</v>
      </c>
      <c r="CO12" s="143">
        <f t="shared" ca="1" si="13"/>
        <v>9.9047260269518336E-2</v>
      </c>
      <c r="CP12" s="143">
        <f t="shared" ca="1" si="13"/>
        <v>8.0429078567344742E-2</v>
      </c>
      <c r="CQ12" s="143">
        <f t="shared" ca="1" si="13"/>
        <v>0.18249554143548552</v>
      </c>
      <c r="CR12" s="143">
        <f t="shared" ca="1" si="13"/>
        <v>0.2489803768926882</v>
      </c>
      <c r="CS12" s="143">
        <f t="shared" ca="1" si="13"/>
        <v>2.9379360125702234E-2</v>
      </c>
      <c r="CT12" s="143">
        <f t="shared" ca="1" si="13"/>
        <v>-8.3289405171405179E-2</v>
      </c>
      <c r="CU12" s="143">
        <f t="shared" ca="1" si="13"/>
        <v>8.3539254439317021E-2</v>
      </c>
      <c r="CV12" s="143">
        <f t="shared" ca="1" si="13"/>
        <v>0.18295746511754241</v>
      </c>
      <c r="CW12" s="143">
        <f t="shared" ca="1" si="13"/>
        <v>0.23087970310921657</v>
      </c>
      <c r="CX12" s="143">
        <f t="shared" ca="1" si="13"/>
        <v>3.1246668322801235E-2</v>
      </c>
      <c r="CY12" s="143">
        <f t="shared" ca="1" si="13"/>
        <v>0.35326807326024368</v>
      </c>
      <c r="CZ12" s="143">
        <f t="shared" ca="1" si="13"/>
        <v>-2.8957858718233892E-2</v>
      </c>
      <c r="DA12" s="143">
        <f t="shared" ca="1" si="13"/>
        <v>0.11703292132265375</v>
      </c>
      <c r="DB12" s="143">
        <f t="shared" ca="1" si="13"/>
        <v>1.8346603001402728E-2</v>
      </c>
      <c r="DC12" s="143">
        <f t="shared" ca="1" si="13"/>
        <v>-7.23613221069975E-2</v>
      </c>
      <c r="DD12" s="143">
        <f t="shared" ca="1" si="13"/>
        <v>3.3150673178814899E-3</v>
      </c>
      <c r="DE12" s="143">
        <f t="shared" ca="1" si="13"/>
        <v>-0.31294509673065762</v>
      </c>
      <c r="DF12" s="143">
        <f t="shared" ca="1" si="13"/>
        <v>0.16101644707437038</v>
      </c>
      <c r="DG12" s="143">
        <f t="shared" ca="1" si="13"/>
        <v>0.10709318652013945</v>
      </c>
      <c r="DH12" s="143">
        <f t="shared" ca="1" si="13"/>
        <v>9.0239780920491869E-2</v>
      </c>
      <c r="DI12" s="143">
        <f t="shared" ca="1" si="13"/>
        <v>8.3197172550167814E-2</v>
      </c>
      <c r="DK12" s="115">
        <f t="shared" si="8"/>
        <v>61</v>
      </c>
      <c r="DL12" s="143">
        <f t="shared" ca="1" si="6"/>
        <v>7.65602009376537E-2</v>
      </c>
      <c r="DM12" s="143">
        <f t="shared" ca="1" si="16"/>
        <v>2.559829051057565E-2</v>
      </c>
      <c r="DN12" s="143">
        <f t="shared" ca="1" si="16"/>
        <v>0.1997970870287992</v>
      </c>
      <c r="DO12" s="143">
        <f t="shared" ca="1" si="16"/>
        <v>0.14429197568872065</v>
      </c>
      <c r="DP12" s="143">
        <f t="shared" ca="1" si="16"/>
        <v>-7.1300160563620568E-4</v>
      </c>
      <c r="DQ12" s="143">
        <f t="shared" ca="1" si="16"/>
        <v>0.12673564407708152</v>
      </c>
      <c r="DR12" s="143">
        <f t="shared" ca="1" si="16"/>
        <v>0.16839368726781651</v>
      </c>
      <c r="DS12" s="143">
        <f t="shared" ca="1" si="16"/>
        <v>-4.1728200161037309E-2</v>
      </c>
      <c r="DT12" s="143">
        <f t="shared" ca="1" si="16"/>
        <v>-0.12201046909593549</v>
      </c>
      <c r="DU12" s="143">
        <f t="shared" ca="1" si="16"/>
        <v>9.3054185964337552E-2</v>
      </c>
      <c r="DV12" s="143">
        <f t="shared" ca="1" si="16"/>
        <v>6.0834449618761999E-2</v>
      </c>
      <c r="DW12" s="143">
        <f t="shared" ca="1" si="16"/>
        <v>-2.2749945144409332E-2</v>
      </c>
      <c r="DX12" s="143">
        <f t="shared" ca="1" si="16"/>
        <v>0.11968479717538361</v>
      </c>
      <c r="DY12" s="143">
        <f t="shared" ca="1" si="16"/>
        <v>-6.859427536916618E-2</v>
      </c>
      <c r="DZ12" s="143">
        <f t="shared" ca="1" si="16"/>
        <v>0.18988643562077182</v>
      </c>
      <c r="EA12" s="143">
        <f t="shared" ca="1" si="16"/>
        <v>-2.8443479526223107E-2</v>
      </c>
      <c r="EB12" s="143">
        <f t="shared" ca="1" si="16"/>
        <v>0.10442789825415952</v>
      </c>
      <c r="EC12" s="143">
        <f t="shared" ca="1" si="16"/>
        <v>8.2416801280726759E-2</v>
      </c>
      <c r="ED12" s="143">
        <f t="shared" ca="1" si="16"/>
        <v>8.3459841126544698E-2</v>
      </c>
      <c r="EE12" s="143">
        <f t="shared" ca="1" si="16"/>
        <v>8.6983651379359483E-2</v>
      </c>
      <c r="EF12" s="143">
        <f t="shared" ca="1" si="16"/>
        <v>6.1889100434171798E-2</v>
      </c>
      <c r="EG12" s="143">
        <f t="shared" ca="1" si="16"/>
        <v>5.0434746781021111E-2</v>
      </c>
      <c r="EH12" s="143">
        <f t="shared" ca="1" si="16"/>
        <v>0.19691084827243735</v>
      </c>
      <c r="EI12" s="143">
        <f t="shared" ca="1" si="16"/>
        <v>0.16612882405113916</v>
      </c>
      <c r="EJ12" s="143">
        <f t="shared" ca="1" si="16"/>
        <v>5.6873176481154718E-2</v>
      </c>
      <c r="EK12" s="143">
        <f t="shared" ca="1" si="16"/>
        <v>0.14368567524098039</v>
      </c>
      <c r="EL12" s="143">
        <f t="shared" ca="1" si="16"/>
        <v>0.11372530355514698</v>
      </c>
      <c r="EM12" s="143">
        <f t="shared" ca="1" si="16"/>
        <v>3.9432974457175973E-2</v>
      </c>
      <c r="EN12" s="143">
        <f t="shared" ca="1" si="16"/>
        <v>8.2063146931463854E-2</v>
      </c>
      <c r="EO12" s="143">
        <f t="shared" ca="1" si="16"/>
        <v>5.8736751765402356E-2</v>
      </c>
      <c r="EP12" s="143">
        <f t="shared" ca="1" si="16"/>
        <v>8.819162402854816E-2</v>
      </c>
      <c r="EQ12" s="143">
        <f t="shared" ca="1" si="16"/>
        <v>1.7535115123244748E-2</v>
      </c>
      <c r="ER12" s="143">
        <f t="shared" ca="1" si="16"/>
        <v>0.13145846433100664</v>
      </c>
      <c r="ES12" s="143">
        <f t="shared" ca="1" si="16"/>
        <v>6.6697729861168606E-2</v>
      </c>
      <c r="ET12" s="143">
        <f t="shared" ca="1" si="16"/>
        <v>3.1596012991701852E-2</v>
      </c>
      <c r="EU12" s="143">
        <f t="shared" ca="1" si="16"/>
        <v>5.7769703975110574E-2</v>
      </c>
      <c r="EV12" s="143">
        <f t="shared" ca="1" si="16"/>
        <v>3.3448257801582157E-2</v>
      </c>
      <c r="EW12" s="143">
        <f t="shared" ca="1" si="16"/>
        <v>-9.9380669397196086E-2</v>
      </c>
      <c r="EX12" s="143">
        <f t="shared" ca="1" si="16"/>
        <v>3.6658981497155949E-2</v>
      </c>
      <c r="EY12" s="143">
        <f t="shared" ca="1" si="16"/>
        <v>3.9972745101345047E-2</v>
      </c>
      <c r="EZ12" s="143">
        <f t="shared" ca="1" si="16"/>
        <v>5.2301361612077137E-2</v>
      </c>
      <c r="FA12" s="143">
        <f t="shared" ca="1" si="16"/>
        <v>1.4399823222789869E-2</v>
      </c>
      <c r="FB12" s="143">
        <f t="shared" ca="1" si="16"/>
        <v>-1.298691168259021E-2</v>
      </c>
      <c r="FC12" s="143">
        <f t="shared" ca="1" si="16"/>
        <v>0.12762454763545031</v>
      </c>
      <c r="FD12" s="143">
        <f t="shared" ca="1" si="16"/>
        <v>-5.9974606914038886E-3</v>
      </c>
      <c r="FE12" s="143">
        <f t="shared" ca="1" si="16"/>
        <v>7.0295484493817811E-2</v>
      </c>
      <c r="FF12" s="143">
        <f t="shared" ca="1" si="16"/>
        <v>-5.665711919285752E-2</v>
      </c>
      <c r="FG12" s="143">
        <f t="shared" ca="1" si="16"/>
        <v>0.13719206774655571</v>
      </c>
      <c r="FH12" s="143">
        <f t="shared" ca="1" si="16"/>
        <v>6.836504892742544E-2</v>
      </c>
      <c r="FI12" s="143">
        <f t="shared" ca="1" si="16"/>
        <v>2.688765685228248E-2</v>
      </c>
      <c r="FJ12" s="143">
        <f t="shared" ca="1" si="16"/>
        <v>2.0826310214844782E-2</v>
      </c>
      <c r="FK12" s="143">
        <f t="shared" ca="1" si="16"/>
        <v>-8.1388529597296838E-2</v>
      </c>
      <c r="FL12" s="143">
        <f t="shared" ca="1" si="16"/>
        <v>0.11673738318052967</v>
      </c>
      <c r="FM12" s="143">
        <f t="shared" ca="1" si="16"/>
        <v>0.24266992564195122</v>
      </c>
      <c r="FN12" s="143">
        <f t="shared" ca="1" si="16"/>
        <v>0.14784205038667983</v>
      </c>
      <c r="FO12" s="143">
        <f t="shared" ca="1" si="16"/>
        <v>-4.8442318396893148E-2</v>
      </c>
      <c r="FP12" s="143">
        <f t="shared" ca="1" si="16"/>
        <v>-1.5630524019604429E-2</v>
      </c>
      <c r="FQ12" s="143">
        <f t="shared" ca="1" si="16"/>
        <v>1.2948478577700089E-2</v>
      </c>
      <c r="FR12" s="143">
        <f t="shared" ca="1" si="16"/>
        <v>-6.7814213182687336E-3</v>
      </c>
      <c r="FS12" s="143">
        <f t="shared" ca="1" si="16"/>
        <v>0.12816400125323102</v>
      </c>
      <c r="FT12" s="143">
        <f t="shared" ca="1" si="16"/>
        <v>-6.2917111019373473E-2</v>
      </c>
      <c r="FU12" s="143">
        <f t="shared" ca="1" si="16"/>
        <v>0.13922445457376662</v>
      </c>
      <c r="FV12" s="143">
        <f t="shared" ca="1" si="16"/>
        <v>-5.0146709712694838E-2</v>
      </c>
      <c r="FW12" s="143">
        <f t="shared" ca="1" si="16"/>
        <v>-5.9516361275710049E-2</v>
      </c>
      <c r="FX12" s="143">
        <f t="shared" ca="1" si="16"/>
        <v>0.11330323374192147</v>
      </c>
      <c r="FY12" s="143">
        <f t="shared" ca="1" si="14"/>
        <v>0.17423748068508929</v>
      </c>
      <c r="FZ12" s="143">
        <f t="shared" ca="1" si="14"/>
        <v>-1.6579963083414924E-2</v>
      </c>
      <c r="GA12" s="143">
        <f t="shared" ca="1" si="14"/>
        <v>0.21597925798808584</v>
      </c>
      <c r="GB12" s="143">
        <f t="shared" ca="1" si="14"/>
        <v>0.11017439679192309</v>
      </c>
      <c r="GC12" s="143">
        <f t="shared" ca="1" si="14"/>
        <v>-1.6195433283703736E-3</v>
      </c>
      <c r="GD12" s="143">
        <f t="shared" ca="1" si="14"/>
        <v>6.5040091269197228E-3</v>
      </c>
      <c r="GE12" s="143">
        <f t="shared" ca="1" si="14"/>
        <v>1.3169989233229838E-2</v>
      </c>
      <c r="GF12" s="143">
        <f t="shared" ca="1" si="14"/>
        <v>-4.2907890186841269E-3</v>
      </c>
      <c r="GG12" s="143">
        <f t="shared" ca="1" si="14"/>
        <v>7.5194257008977999E-2</v>
      </c>
      <c r="GH12" s="143">
        <f t="shared" ca="1" si="14"/>
        <v>-2.7833894628613125E-2</v>
      </c>
      <c r="GI12" s="143">
        <f t="shared" ca="1" si="14"/>
        <v>-0.10616367505906865</v>
      </c>
      <c r="GJ12" s="143">
        <f t="shared" ca="1" si="14"/>
        <v>0.19328631768593982</v>
      </c>
      <c r="GK12" s="143">
        <f t="shared" ca="1" si="14"/>
        <v>3.9198310542470326E-2</v>
      </c>
      <c r="GL12" s="143">
        <f t="shared" ca="1" si="14"/>
        <v>-2.235780652031865E-2</v>
      </c>
      <c r="GM12" s="143">
        <f t="shared" ca="1" si="14"/>
        <v>8.8591794624175324E-2</v>
      </c>
      <c r="GN12" s="143">
        <f t="shared" ca="1" si="14"/>
        <v>2.2233525150837603E-2</v>
      </c>
      <c r="GO12" s="143">
        <f t="shared" ca="1" si="14"/>
        <v>0.10356534833933195</v>
      </c>
      <c r="GP12" s="143">
        <f t="shared" ca="1" si="14"/>
        <v>-3.3014508968415353E-2</v>
      </c>
      <c r="GQ12" s="143">
        <f t="shared" ca="1" si="14"/>
        <v>0.10872473156222023</v>
      </c>
      <c r="GR12" s="143">
        <f t="shared" ca="1" si="14"/>
        <v>0.10673330114469903</v>
      </c>
      <c r="GS12" s="143">
        <f t="shared" ca="1" si="14"/>
        <v>0.16283917340676407</v>
      </c>
      <c r="GT12" s="143">
        <f t="shared" ca="1" si="14"/>
        <v>6.5852386972663324E-2</v>
      </c>
      <c r="GU12" s="143">
        <f t="shared" ca="1" si="14"/>
        <v>5.9874740070561268E-2</v>
      </c>
      <c r="GV12" s="143">
        <f t="shared" ca="1" si="14"/>
        <v>-6.649804859179248E-2</v>
      </c>
      <c r="GW12" s="143">
        <f t="shared" ca="1" si="14"/>
        <v>8.4455816606570172E-2</v>
      </c>
      <c r="GX12" s="143">
        <f t="shared" ca="1" si="14"/>
        <v>4.7117815870868773E-3</v>
      </c>
      <c r="GY12" s="143">
        <f t="shared" ca="1" si="14"/>
        <v>0.23512802186353851</v>
      </c>
      <c r="GZ12" s="143">
        <f t="shared" ca="1" si="14"/>
        <v>-2.9632237623837356E-2</v>
      </c>
      <c r="HA12" s="143">
        <f t="shared" ca="1" si="14"/>
        <v>1.4783371794393423E-2</v>
      </c>
      <c r="HB12" s="143">
        <f t="shared" ca="1" si="14"/>
        <v>-2.635917413676591E-2</v>
      </c>
      <c r="HC12" s="143">
        <f t="shared" ca="1" si="14"/>
        <v>-9.5796507717981969E-3</v>
      </c>
      <c r="HD12" s="143">
        <f t="shared" ca="1" si="14"/>
        <v>0.14933568504411704</v>
      </c>
      <c r="HE12" s="143">
        <f t="shared" ca="1" si="14"/>
        <v>0.1492597703119449</v>
      </c>
      <c r="HF12" s="143">
        <f t="shared" ca="1" si="14"/>
        <v>8.6978377229040782E-2</v>
      </c>
      <c r="HG12" s="143">
        <f t="shared" ca="1" si="14"/>
        <v>-1.3467843010082491E-2</v>
      </c>
    </row>
    <row r="13" spans="1:317">
      <c r="A13" s="90">
        <v>1939</v>
      </c>
      <c r="B13" s="84">
        <v>-1.0975646879756443E-2</v>
      </c>
      <c r="C13" s="85">
        <v>-5.7300000000000004E-2</v>
      </c>
      <c r="D13" s="83">
        <f t="shared" si="4"/>
        <v>-2.0240517503805153E-2</v>
      </c>
      <c r="E13" s="85"/>
      <c r="F13" s="85"/>
      <c r="G13" s="85">
        <v>4.5833333333333332E-4</v>
      </c>
      <c r="H13" s="85">
        <v>4.4122613942060671E-2</v>
      </c>
      <c r="I13" s="85">
        <v>7.9831377653461405E-2</v>
      </c>
      <c r="J13" s="85">
        <v>-1.2338593974175027E-2</v>
      </c>
      <c r="M13" s="115">
        <f t="shared" si="7"/>
        <v>62</v>
      </c>
      <c r="N13" s="143">
        <f t="shared" ca="1" si="5"/>
        <v>9.2484478035876602E-2</v>
      </c>
      <c r="O13" s="143">
        <f t="shared" ca="1" si="15"/>
        <v>-0.15534646256772686</v>
      </c>
      <c r="P13" s="143">
        <f t="shared" ca="1" si="15"/>
        <v>0.19138840773002688</v>
      </c>
      <c r="Q13" s="143">
        <f t="shared" ca="1" si="15"/>
        <v>9.7697761647872042E-2</v>
      </c>
      <c r="R13" s="143">
        <f t="shared" ca="1" si="15"/>
        <v>0.23100116841947477</v>
      </c>
      <c r="S13" s="143">
        <f t="shared" ca="1" si="15"/>
        <v>0.15955447116733795</v>
      </c>
      <c r="T13" s="143">
        <f t="shared" ca="1" si="15"/>
        <v>0.29709653187541929</v>
      </c>
      <c r="U13" s="143">
        <f t="shared" ca="1" si="15"/>
        <v>0.21285233745235718</v>
      </c>
      <c r="V13" s="143">
        <f t="shared" ca="1" si="15"/>
        <v>0.11770557434958329</v>
      </c>
      <c r="W13" s="143">
        <f t="shared" ca="1" si="15"/>
        <v>-4.9546730061486133E-2</v>
      </c>
      <c r="X13" s="143">
        <f t="shared" ca="1" si="15"/>
        <v>0.24314261319542382</v>
      </c>
      <c r="Y13" s="143">
        <f t="shared" ca="1" si="15"/>
        <v>3.5630222504080121E-2</v>
      </c>
      <c r="Z13" s="143">
        <f t="shared" ca="1" si="15"/>
        <v>-7.2100709684244424E-2</v>
      </c>
      <c r="AA13" s="143">
        <f t="shared" ca="1" si="15"/>
        <v>0.26631747651708843</v>
      </c>
      <c r="AB13" s="143">
        <f t="shared" ca="1" si="15"/>
        <v>4.3872516985669824E-2</v>
      </c>
      <c r="AC13" s="143">
        <f t="shared" ca="1" si="15"/>
        <v>0.30780307232960763</v>
      </c>
      <c r="AD13" s="143">
        <f t="shared" ca="1" si="15"/>
        <v>0.17920649696042229</v>
      </c>
      <c r="AE13" s="143">
        <f t="shared" ca="1" si="15"/>
        <v>4.0327304271068155E-2</v>
      </c>
      <c r="AF13" s="143">
        <f t="shared" ca="1" si="15"/>
        <v>0.19967258511705682</v>
      </c>
      <c r="AG13" s="143">
        <f t="shared" ca="1" si="15"/>
        <v>0.11678349666134127</v>
      </c>
      <c r="AH13" s="143">
        <f t="shared" ca="1" si="15"/>
        <v>4.0098456248444575E-2</v>
      </c>
      <c r="AI13" s="143">
        <f t="shared" ca="1" si="15"/>
        <v>0.58569962541011911</v>
      </c>
      <c r="AJ13" s="143">
        <f t="shared" ca="1" si="15"/>
        <v>-5.573428430809263E-2</v>
      </c>
      <c r="AK13" s="143">
        <f t="shared" ca="1" si="15"/>
        <v>0.15246742628813417</v>
      </c>
      <c r="AL13" s="143">
        <f t="shared" ca="1" si="15"/>
        <v>2.4072653243878597E-2</v>
      </c>
      <c r="AM13" s="143">
        <f t="shared" ca="1" si="15"/>
        <v>0.21860345711958942</v>
      </c>
      <c r="AN13" s="143">
        <f t="shared" ca="1" si="15"/>
        <v>0.25952880111952786</v>
      </c>
      <c r="AO13" s="143">
        <f t="shared" ca="1" si="15"/>
        <v>0.20296300693625266</v>
      </c>
      <c r="AP13" s="143">
        <f t="shared" ca="1" si="15"/>
        <v>0.50117104603067641</v>
      </c>
      <c r="AQ13" s="143">
        <f t="shared" ca="1" si="15"/>
        <v>-0.20334245284510685</v>
      </c>
      <c r="AR13" s="143">
        <f t="shared" ca="1" si="15"/>
        <v>1.3703695591054374E-2</v>
      </c>
      <c r="AS13" s="143">
        <f t="shared" ca="1" si="15"/>
        <v>4.2321344753375643E-2</v>
      </c>
      <c r="AT13" s="143">
        <f t="shared" ca="1" si="15"/>
        <v>0.37132355360137548</v>
      </c>
      <c r="AU13" s="143">
        <f t="shared" ca="1" si="15"/>
        <v>0.31978319972197344</v>
      </c>
      <c r="AV13" s="143">
        <f t="shared" ca="1" si="15"/>
        <v>0.25824187246752861</v>
      </c>
      <c r="AW13" s="143">
        <f t="shared" ca="1" si="15"/>
        <v>1.1336187914686033E-2</v>
      </c>
      <c r="AX13" s="143">
        <f t="shared" ca="1" si="15"/>
        <v>0.2503275854207726</v>
      </c>
      <c r="AY13" s="143">
        <f t="shared" ca="1" si="15"/>
        <v>-7.3111510140835806E-2</v>
      </c>
      <c r="AZ13" s="143">
        <f t="shared" ca="1" si="15"/>
        <v>-0.32540985753507023</v>
      </c>
      <c r="BA13" s="143">
        <f t="shared" ca="1" si="15"/>
        <v>-4.94212581230076E-2</v>
      </c>
      <c r="BB13" s="143">
        <f t="shared" ca="1" si="15"/>
        <v>-0.14806661635807689</v>
      </c>
      <c r="BC13" s="143">
        <f t="shared" ca="1" si="15"/>
        <v>-5.1241457351200559E-2</v>
      </c>
      <c r="BD13" s="143">
        <f t="shared" ca="1" si="15"/>
        <v>0.19433293380179673</v>
      </c>
      <c r="BE13" s="143">
        <f t="shared" ca="1" si="15"/>
        <v>-0.27160181470396083</v>
      </c>
      <c r="BF13" s="143">
        <f t="shared" ca="1" si="15"/>
        <v>0.29691205258094755</v>
      </c>
      <c r="BG13" s="143">
        <f t="shared" ca="1" si="15"/>
        <v>0.24008309332622754</v>
      </c>
      <c r="BH13" s="143">
        <f t="shared" ca="1" si="15"/>
        <v>0.40669920234803569</v>
      </c>
      <c r="BI13" s="143">
        <f t="shared" ca="1" si="15"/>
        <v>0.15578575695161478</v>
      </c>
      <c r="BJ13" s="143">
        <f t="shared" ca="1" si="15"/>
        <v>-3.2184293969469951E-2</v>
      </c>
      <c r="BK13" s="143">
        <f t="shared" ca="1" si="15"/>
        <v>-6.2643129970012951E-2</v>
      </c>
      <c r="BL13" s="143">
        <f t="shared" ca="1" si="15"/>
        <v>0.34908877892258616</v>
      </c>
      <c r="BM13" s="143">
        <f t="shared" ca="1" si="15"/>
        <v>0.10792798980585616</v>
      </c>
      <c r="BN13" s="143">
        <f t="shared" ca="1" si="15"/>
        <v>-0.12927137019391752</v>
      </c>
      <c r="BO13" s="143">
        <f t="shared" ca="1" si="15"/>
        <v>-0.16226582442611062</v>
      </c>
      <c r="BP13" s="143">
        <f t="shared" ca="1" si="15"/>
        <v>-8.6816449163708259E-2</v>
      </c>
      <c r="BQ13" s="143">
        <f t="shared" ca="1" si="15"/>
        <v>0.58778287558961984</v>
      </c>
      <c r="BR13" s="143">
        <f t="shared" ca="1" si="15"/>
        <v>-7.8456461366616714E-2</v>
      </c>
      <c r="BS13" s="143">
        <f t="shared" ca="1" si="15"/>
        <v>9.628340752116217E-2</v>
      </c>
      <c r="BT13" s="143">
        <f t="shared" ca="1" si="15"/>
        <v>-0.14545385753043738</v>
      </c>
      <c r="BU13" s="143">
        <f t="shared" ca="1" si="15"/>
        <v>0.11790046548312615</v>
      </c>
      <c r="BV13" s="143">
        <f t="shared" ca="1" si="15"/>
        <v>0.25143817318560863</v>
      </c>
      <c r="BW13" s="143">
        <f t="shared" ca="1" si="15"/>
        <v>0.46054972875363354</v>
      </c>
      <c r="BX13" s="143">
        <f t="shared" ca="1" si="15"/>
        <v>0.32828377082977245</v>
      </c>
      <c r="BY13" s="143">
        <f t="shared" ca="1" si="15"/>
        <v>-0.18468233851451696</v>
      </c>
      <c r="BZ13" s="143">
        <f t="shared" ref="BZ13:DI16" ca="1" si="17">_xlfn.NORM.INV(RAND(),$B$112,$B$113)</f>
        <v>2.8386718423850141E-2</v>
      </c>
      <c r="CA13" s="143">
        <f t="shared" ca="1" si="17"/>
        <v>0.29564779533659674</v>
      </c>
      <c r="CB13" s="143">
        <f t="shared" ca="1" si="17"/>
        <v>-5.6576689087873416E-2</v>
      </c>
      <c r="CC13" s="143">
        <f t="shared" ca="1" si="17"/>
        <v>1.8143237734599305E-2</v>
      </c>
      <c r="CD13" s="143">
        <f t="shared" ca="1" si="17"/>
        <v>-1.2752818172681882E-2</v>
      </c>
      <c r="CE13" s="143">
        <f t="shared" ca="1" si="17"/>
        <v>0.25076889958843074</v>
      </c>
      <c r="CF13" s="143">
        <f t="shared" ca="1" si="17"/>
        <v>0.64283421343272962</v>
      </c>
      <c r="CG13" s="143">
        <f t="shared" ca="1" si="17"/>
        <v>0.24659623538866196</v>
      </c>
      <c r="CH13" s="143">
        <f t="shared" ca="1" si="17"/>
        <v>0.19760215904133907</v>
      </c>
      <c r="CI13" s="143">
        <f t="shared" ca="1" si="17"/>
        <v>0.30252320451917719</v>
      </c>
      <c r="CJ13" s="143">
        <f t="shared" ca="1" si="17"/>
        <v>0.28093806177007796</v>
      </c>
      <c r="CK13" s="143">
        <f t="shared" ca="1" si="17"/>
        <v>0.14621447128118281</v>
      </c>
      <c r="CL13" s="143">
        <f t="shared" ca="1" si="17"/>
        <v>0.36621712231523251</v>
      </c>
      <c r="CM13" s="143">
        <f t="shared" ca="1" si="17"/>
        <v>0.52603548605576012</v>
      </c>
      <c r="CN13" s="143">
        <f t="shared" ca="1" si="17"/>
        <v>-4.4313013050472E-2</v>
      </c>
      <c r="CO13" s="143">
        <f t="shared" ca="1" si="17"/>
        <v>0.32979143494445379</v>
      </c>
      <c r="CP13" s="143">
        <f t="shared" ca="1" si="17"/>
        <v>0.13341407380660814</v>
      </c>
      <c r="CQ13" s="143">
        <f t="shared" ca="1" si="17"/>
        <v>0.15214631925804037</v>
      </c>
      <c r="CR13" s="143">
        <f t="shared" ca="1" si="17"/>
        <v>-7.8208654092447427E-2</v>
      </c>
      <c r="CS13" s="143">
        <f t="shared" ca="1" si="17"/>
        <v>0.15915421479767516</v>
      </c>
      <c r="CT13" s="143">
        <f t="shared" ca="1" si="17"/>
        <v>0.21077587573455372</v>
      </c>
      <c r="CU13" s="143">
        <f t="shared" ca="1" si="17"/>
        <v>3.8564670178561827E-2</v>
      </c>
      <c r="CV13" s="143">
        <f t="shared" ca="1" si="17"/>
        <v>0.27936707128221117</v>
      </c>
      <c r="CW13" s="143">
        <f t="shared" ca="1" si="17"/>
        <v>5.4006817550505543E-3</v>
      </c>
      <c r="CX13" s="143">
        <f t="shared" ca="1" si="17"/>
        <v>4.5760270161048257E-2</v>
      </c>
      <c r="CY13" s="143">
        <f t="shared" ca="1" si="17"/>
        <v>-6.9924095777671919E-2</v>
      </c>
      <c r="CZ13" s="143">
        <f t="shared" ca="1" si="17"/>
        <v>1.5136763719202681E-2</v>
      </c>
      <c r="DA13" s="143">
        <f t="shared" ca="1" si="17"/>
        <v>-6.2728952603940902E-2</v>
      </c>
      <c r="DB13" s="143">
        <f t="shared" ca="1" si="17"/>
        <v>0.33687540798465543</v>
      </c>
      <c r="DC13" s="143">
        <f t="shared" ca="1" si="17"/>
        <v>0.29550587437760695</v>
      </c>
      <c r="DD13" s="143">
        <f t="shared" ca="1" si="17"/>
        <v>7.8563848359176819E-2</v>
      </c>
      <c r="DE13" s="143">
        <f t="shared" ca="1" si="17"/>
        <v>2.9299092090197792E-2</v>
      </c>
      <c r="DF13" s="143">
        <f t="shared" ca="1" si="17"/>
        <v>0.33930712704625349</v>
      </c>
      <c r="DG13" s="143">
        <f t="shared" ca="1" si="17"/>
        <v>0.18918887925812447</v>
      </c>
      <c r="DH13" s="143">
        <f t="shared" ca="1" si="17"/>
        <v>0.35782644437150979</v>
      </c>
      <c r="DI13" s="143">
        <f t="shared" ca="1" si="17"/>
        <v>0.34770372394186055</v>
      </c>
      <c r="DK13" s="115">
        <f t="shared" si="8"/>
        <v>62</v>
      </c>
      <c r="DL13" s="143">
        <f t="shared" ca="1" si="6"/>
        <v>4.7959417540694209E-2</v>
      </c>
      <c r="DM13" s="143">
        <f t="shared" ca="1" si="16"/>
        <v>0.14459030033359555</v>
      </c>
      <c r="DN13" s="143">
        <f t="shared" ca="1" si="16"/>
        <v>0.12762932685887349</v>
      </c>
      <c r="DO13" s="143">
        <f t="shared" ca="1" si="16"/>
        <v>9.186362337934792E-2</v>
      </c>
      <c r="DP13" s="143">
        <f t="shared" ca="1" si="16"/>
        <v>0.1133802033656145</v>
      </c>
      <c r="DQ13" s="143">
        <f t="shared" ca="1" si="16"/>
        <v>0.15722381595925788</v>
      </c>
      <c r="DR13" s="143">
        <f t="shared" ca="1" si="16"/>
        <v>4.3504865259045927E-2</v>
      </c>
      <c r="DS13" s="143">
        <f t="shared" ca="1" si="16"/>
        <v>4.6444045842500031E-2</v>
      </c>
      <c r="DT13" s="143">
        <f t="shared" ca="1" si="16"/>
        <v>4.3603971635580739E-2</v>
      </c>
      <c r="DU13" s="143">
        <f t="shared" ca="1" si="16"/>
        <v>4.3267085009003801E-2</v>
      </c>
      <c r="DV13" s="143">
        <f t="shared" ca="1" si="16"/>
        <v>5.6786461068330588E-2</v>
      </c>
      <c r="DW13" s="143">
        <f t="shared" ca="1" si="16"/>
        <v>8.9560094723409561E-2</v>
      </c>
      <c r="DX13" s="143">
        <f t="shared" ca="1" si="16"/>
        <v>0.13309198992698587</v>
      </c>
      <c r="DY13" s="143">
        <f t="shared" ca="1" si="16"/>
        <v>0.11797698129168999</v>
      </c>
      <c r="DZ13" s="143">
        <f t="shared" ca="1" si="16"/>
        <v>3.2266153627542038E-2</v>
      </c>
      <c r="EA13" s="143">
        <f t="shared" ca="1" si="16"/>
        <v>5.1073457155513625E-2</v>
      </c>
      <c r="EB13" s="143">
        <f t="shared" ca="1" si="16"/>
        <v>4.4169765184217724E-2</v>
      </c>
      <c r="EC13" s="143">
        <f t="shared" ca="1" si="16"/>
        <v>5.1692050702742631E-2</v>
      </c>
      <c r="ED13" s="143">
        <f t="shared" ca="1" si="16"/>
        <v>2.7024422123290859E-2</v>
      </c>
      <c r="EE13" s="143">
        <f t="shared" ca="1" si="16"/>
        <v>-5.5067555784639947E-2</v>
      </c>
      <c r="EF13" s="143">
        <f t="shared" ca="1" si="16"/>
        <v>1.5358398046115912E-2</v>
      </c>
      <c r="EG13" s="143">
        <f t="shared" ca="1" si="16"/>
        <v>-2.6318843194117182E-2</v>
      </c>
      <c r="EH13" s="143">
        <f t="shared" ca="1" si="16"/>
        <v>1.3339176853263995E-2</v>
      </c>
      <c r="EI13" s="143">
        <f t="shared" ca="1" si="16"/>
        <v>2.8777023232884127E-2</v>
      </c>
      <c r="EJ13" s="143">
        <f t="shared" ca="1" si="16"/>
        <v>1.6034350399945212E-2</v>
      </c>
      <c r="EK13" s="143">
        <f t="shared" ca="1" si="16"/>
        <v>-4.5355155895029205E-2</v>
      </c>
      <c r="EL13" s="143">
        <f t="shared" ca="1" si="16"/>
        <v>0.21635108494349498</v>
      </c>
      <c r="EM13" s="143">
        <f t="shared" ca="1" si="16"/>
        <v>9.7305393679841423E-2</v>
      </c>
      <c r="EN13" s="143">
        <f t="shared" ca="1" si="16"/>
        <v>1.2468268388367912E-2</v>
      </c>
      <c r="EO13" s="143">
        <f t="shared" ca="1" si="16"/>
        <v>1.6940906741702365E-2</v>
      </c>
      <c r="EP13" s="143">
        <f t="shared" ca="1" si="16"/>
        <v>3.6842803068839816E-2</v>
      </c>
      <c r="EQ13" s="143">
        <f t="shared" ca="1" si="16"/>
        <v>5.9826173138898715E-2</v>
      </c>
      <c r="ER13" s="143">
        <f t="shared" ca="1" si="16"/>
        <v>-4.5913379425301805E-2</v>
      </c>
      <c r="ES13" s="143">
        <f t="shared" ca="1" si="16"/>
        <v>7.286411274787509E-2</v>
      </c>
      <c r="ET13" s="143">
        <f t="shared" ca="1" si="16"/>
        <v>0.10638103851204572</v>
      </c>
      <c r="EU13" s="143">
        <f t="shared" ca="1" si="16"/>
        <v>8.5352510923586977E-2</v>
      </c>
      <c r="EV13" s="143">
        <f t="shared" ca="1" si="16"/>
        <v>0.20194402238503786</v>
      </c>
      <c r="EW13" s="143">
        <f t="shared" ca="1" si="16"/>
        <v>-0.11168123771920799</v>
      </c>
      <c r="EX13" s="143">
        <f t="shared" ca="1" si="16"/>
        <v>6.3583394106669466E-2</v>
      </c>
      <c r="EY13" s="143">
        <f t="shared" ca="1" si="16"/>
        <v>2.0676977442373526E-3</v>
      </c>
      <c r="EZ13" s="143">
        <f t="shared" ca="1" si="16"/>
        <v>6.0172741694247925E-2</v>
      </c>
      <c r="FA13" s="143">
        <f t="shared" ca="1" si="16"/>
        <v>4.2094850570997544E-2</v>
      </c>
      <c r="FB13" s="143">
        <f t="shared" ca="1" si="16"/>
        <v>5.077201799929025E-2</v>
      </c>
      <c r="FC13" s="143">
        <f t="shared" ca="1" si="16"/>
        <v>6.5249534856843219E-2</v>
      </c>
      <c r="FD13" s="143">
        <f t="shared" ca="1" si="16"/>
        <v>5.0504040236739142E-2</v>
      </c>
      <c r="FE13" s="143">
        <f t="shared" ca="1" si="16"/>
        <v>-1.2151113870148424E-2</v>
      </c>
      <c r="FF13" s="143">
        <f t="shared" ca="1" si="16"/>
        <v>0.1236325461766572</v>
      </c>
      <c r="FG13" s="143">
        <f t="shared" ca="1" si="16"/>
        <v>3.8591158826560071E-3</v>
      </c>
      <c r="FH13" s="143">
        <f t="shared" ca="1" si="16"/>
        <v>3.9619636651961235E-2</v>
      </c>
      <c r="FI13" s="143">
        <f t="shared" ca="1" si="16"/>
        <v>0.11464799598643349</v>
      </c>
      <c r="FJ13" s="143">
        <f t="shared" ca="1" si="16"/>
        <v>-1.0092411969812837E-2</v>
      </c>
      <c r="FK13" s="143">
        <f t="shared" ca="1" si="16"/>
        <v>-3.0764770629392833E-2</v>
      </c>
      <c r="FL13" s="143">
        <f t="shared" ca="1" si="16"/>
        <v>7.6562672236899998E-2</v>
      </c>
      <c r="FM13" s="143">
        <f t="shared" ca="1" si="16"/>
        <v>2.5178342556178266E-2</v>
      </c>
      <c r="FN13" s="143">
        <f t="shared" ca="1" si="16"/>
        <v>7.9625737713402076E-3</v>
      </c>
      <c r="FO13" s="143">
        <f t="shared" ca="1" si="16"/>
        <v>8.6747858644423276E-3</v>
      </c>
      <c r="FP13" s="143">
        <f t="shared" ca="1" si="16"/>
        <v>7.1848322397549763E-2</v>
      </c>
      <c r="FQ13" s="143">
        <f t="shared" ca="1" si="16"/>
        <v>8.3531735304927107E-3</v>
      </c>
      <c r="FR13" s="143">
        <f t="shared" ca="1" si="16"/>
        <v>-1.442039368461618E-2</v>
      </c>
      <c r="FS13" s="143">
        <f t="shared" ca="1" si="16"/>
        <v>4.7728261990662289E-2</v>
      </c>
      <c r="FT13" s="143">
        <f t="shared" ca="1" si="16"/>
        <v>0.10374811385377361</v>
      </c>
      <c r="FU13" s="143">
        <f t="shared" ca="1" si="16"/>
        <v>0.15341181129199669</v>
      </c>
      <c r="FV13" s="143">
        <f t="shared" ca="1" si="16"/>
        <v>8.2782544062162539E-2</v>
      </c>
      <c r="FW13" s="143">
        <f t="shared" ca="1" si="16"/>
        <v>6.3164047544981436E-2</v>
      </c>
      <c r="FX13" s="143">
        <f t="shared" ref="FX13:HG16" ca="1" si="18">_xlfn.NORM.INV(RAND(),$B$116,$B$117)</f>
        <v>4.112244476889762E-2</v>
      </c>
      <c r="FY13" s="143">
        <f t="shared" ca="1" si="18"/>
        <v>1.6152224832027551E-2</v>
      </c>
      <c r="FZ13" s="143">
        <f t="shared" ca="1" si="18"/>
        <v>-4.5377600245567661E-2</v>
      </c>
      <c r="GA13" s="143">
        <f t="shared" ca="1" si="18"/>
        <v>-5.460845745422447E-2</v>
      </c>
      <c r="GB13" s="143">
        <f t="shared" ca="1" si="18"/>
        <v>-3.7498384828356317E-2</v>
      </c>
      <c r="GC13" s="143">
        <f t="shared" ca="1" si="18"/>
        <v>-7.2131049061659874E-3</v>
      </c>
      <c r="GD13" s="143">
        <f t="shared" ca="1" si="18"/>
        <v>-4.1543987827705471E-2</v>
      </c>
      <c r="GE13" s="143">
        <f t="shared" ca="1" si="18"/>
        <v>-8.9599769977538657E-2</v>
      </c>
      <c r="GF13" s="143">
        <f t="shared" ca="1" si="18"/>
        <v>-2.8270370640054374E-3</v>
      </c>
      <c r="GG13" s="143">
        <f t="shared" ca="1" si="18"/>
        <v>0.18140140062649479</v>
      </c>
      <c r="GH13" s="143">
        <f t="shared" ca="1" si="18"/>
        <v>-2.3413578053914468E-2</v>
      </c>
      <c r="GI13" s="143">
        <f t="shared" ca="1" si="18"/>
        <v>6.8564541274692942E-2</v>
      </c>
      <c r="GJ13" s="143">
        <f t="shared" ca="1" si="18"/>
        <v>-9.8177013941074323E-3</v>
      </c>
      <c r="GK13" s="143">
        <f t="shared" ca="1" si="18"/>
        <v>0.12886723184440607</v>
      </c>
      <c r="GL13" s="143">
        <f t="shared" ca="1" si="18"/>
        <v>4.0929671492882583E-3</v>
      </c>
      <c r="GM13" s="143">
        <f t="shared" ca="1" si="18"/>
        <v>7.8691898433896623E-3</v>
      </c>
      <c r="GN13" s="143">
        <f t="shared" ca="1" si="18"/>
        <v>0.10186420935542193</v>
      </c>
      <c r="GO13" s="143">
        <f t="shared" ca="1" si="18"/>
        <v>0.11750479404635353</v>
      </c>
      <c r="GP13" s="143">
        <f t="shared" ca="1" si="18"/>
        <v>3.0354682852538933E-2</v>
      </c>
      <c r="GQ13" s="143">
        <f t="shared" ca="1" si="18"/>
        <v>3.2166162303970611E-2</v>
      </c>
      <c r="GR13" s="143">
        <f t="shared" ca="1" si="18"/>
        <v>6.9146345297976766E-2</v>
      </c>
      <c r="GS13" s="143">
        <f t="shared" ca="1" si="18"/>
        <v>1.954763606734515E-3</v>
      </c>
      <c r="GT13" s="143">
        <f t="shared" ca="1" si="18"/>
        <v>-1.8027926370515181E-2</v>
      </c>
      <c r="GU13" s="143">
        <f t="shared" ca="1" si="18"/>
        <v>2.1660744380568274E-2</v>
      </c>
      <c r="GV13" s="143">
        <f t="shared" ca="1" si="18"/>
        <v>-3.2863582810800977E-2</v>
      </c>
      <c r="GW13" s="143">
        <f t="shared" ca="1" si="18"/>
        <v>0.12456387359968313</v>
      </c>
      <c r="GX13" s="143">
        <f t="shared" ca="1" si="18"/>
        <v>-3.5800430398632031E-2</v>
      </c>
      <c r="GY13" s="143">
        <f t="shared" ca="1" si="18"/>
        <v>-6.9739518783605375E-2</v>
      </c>
      <c r="GZ13" s="143">
        <f t="shared" ca="1" si="18"/>
        <v>-2.7750085461999648E-2</v>
      </c>
      <c r="HA13" s="143">
        <f t="shared" ca="1" si="18"/>
        <v>-3.4267446097608893E-2</v>
      </c>
      <c r="HB13" s="143">
        <f t="shared" ca="1" si="18"/>
        <v>-8.0204564156085845E-3</v>
      </c>
      <c r="HC13" s="143">
        <f t="shared" ca="1" si="18"/>
        <v>0.20482664271069279</v>
      </c>
      <c r="HD13" s="143">
        <f t="shared" ca="1" si="18"/>
        <v>2.1575542833352265E-2</v>
      </c>
      <c r="HE13" s="143">
        <f t="shared" ca="1" si="18"/>
        <v>-8.579210631511891E-2</v>
      </c>
      <c r="HF13" s="143">
        <f t="shared" ca="1" si="18"/>
        <v>1.2231544079869268E-2</v>
      </c>
      <c r="HG13" s="143">
        <f t="shared" ca="1" si="18"/>
        <v>0.18745040092577464</v>
      </c>
    </row>
    <row r="14" spans="1:317">
      <c r="A14" s="90">
        <v>1940</v>
      </c>
      <c r="B14" s="84">
        <v>-0.10672873194221515</v>
      </c>
      <c r="C14" s="85">
        <v>-0.31809999999999999</v>
      </c>
      <c r="D14" s="83">
        <f t="shared" si="4"/>
        <v>-0.14900298555377212</v>
      </c>
      <c r="E14" s="85"/>
      <c r="F14" s="85"/>
      <c r="G14" s="85">
        <v>3.5833333333333333E-4</v>
      </c>
      <c r="H14" s="85">
        <v>5.4024815962845509E-2</v>
      </c>
      <c r="I14" s="85">
        <v>8.6481371775829569E-2</v>
      </c>
      <c r="J14" s="85">
        <v>-1.6560139453805967E-2</v>
      </c>
      <c r="M14" s="115">
        <f t="shared" si="7"/>
        <v>63</v>
      </c>
      <c r="N14" s="143">
        <f t="shared" ca="1" si="5"/>
        <v>0.25081558321963704</v>
      </c>
      <c r="O14" s="143">
        <f t="shared" ref="O14:BZ17" ca="1" si="19">_xlfn.NORM.INV(RAND(),$B$112,$B$113)</f>
        <v>-0.17386154424400271</v>
      </c>
      <c r="P14" s="143">
        <f t="shared" ca="1" si="19"/>
        <v>8.9228487367008821E-2</v>
      </c>
      <c r="Q14" s="143">
        <f t="shared" ca="1" si="19"/>
        <v>-0.11734883895058235</v>
      </c>
      <c r="R14" s="143">
        <f t="shared" ca="1" si="19"/>
        <v>0.3300680594716715</v>
      </c>
      <c r="S14" s="143">
        <f t="shared" ca="1" si="19"/>
        <v>0.41050744981028608</v>
      </c>
      <c r="T14" s="143">
        <f t="shared" ca="1" si="19"/>
        <v>-0.22898256700644729</v>
      </c>
      <c r="U14" s="143">
        <f t="shared" ca="1" si="19"/>
        <v>0.32309230509151354</v>
      </c>
      <c r="V14" s="143">
        <f t="shared" ca="1" si="19"/>
        <v>5.8380288582102216E-2</v>
      </c>
      <c r="W14" s="143">
        <f t="shared" ca="1" si="19"/>
        <v>0.11252077279528365</v>
      </c>
      <c r="X14" s="143">
        <f t="shared" ca="1" si="19"/>
        <v>-7.1199294413208825E-2</v>
      </c>
      <c r="Y14" s="143">
        <f t="shared" ca="1" si="19"/>
        <v>0.20139183185884224</v>
      </c>
      <c r="Z14" s="143">
        <f t="shared" ca="1" si="19"/>
        <v>0.11523222040216019</v>
      </c>
      <c r="AA14" s="143">
        <f t="shared" ca="1" si="19"/>
        <v>0.12721263881348913</v>
      </c>
      <c r="AB14" s="143">
        <f t="shared" ca="1" si="19"/>
        <v>0.17257163912978549</v>
      </c>
      <c r="AC14" s="143">
        <f t="shared" ca="1" si="19"/>
        <v>1.9718264149803322E-2</v>
      </c>
      <c r="AD14" s="143">
        <f t="shared" ca="1" si="19"/>
        <v>0.26437733382779327</v>
      </c>
      <c r="AE14" s="143">
        <f t="shared" ca="1" si="19"/>
        <v>2.0160736874866469E-2</v>
      </c>
      <c r="AF14" s="143">
        <f t="shared" ca="1" si="19"/>
        <v>0.1526593921538732</v>
      </c>
      <c r="AG14" s="143">
        <f t="shared" ca="1" si="19"/>
        <v>0.1128790093170708</v>
      </c>
      <c r="AH14" s="143">
        <f t="shared" ca="1" si="19"/>
        <v>0.22522934347109749</v>
      </c>
      <c r="AI14" s="143">
        <f t="shared" ca="1" si="19"/>
        <v>-0.16876044329406978</v>
      </c>
      <c r="AJ14" s="143">
        <f t="shared" ca="1" si="19"/>
        <v>2.3375856462247824E-2</v>
      </c>
      <c r="AK14" s="143">
        <f t="shared" ca="1" si="19"/>
        <v>0.1414133257344963</v>
      </c>
      <c r="AL14" s="143">
        <f t="shared" ca="1" si="19"/>
        <v>0.186507772229281</v>
      </c>
      <c r="AM14" s="143">
        <f t="shared" ca="1" si="19"/>
        <v>-0.18127764814016137</v>
      </c>
      <c r="AN14" s="143">
        <f t="shared" ca="1" si="19"/>
        <v>4.124218841341374E-2</v>
      </c>
      <c r="AO14" s="143">
        <f t="shared" ca="1" si="19"/>
        <v>6.5625205564526903E-2</v>
      </c>
      <c r="AP14" s="143">
        <f t="shared" ca="1" si="19"/>
        <v>0.21180538897311268</v>
      </c>
      <c r="AQ14" s="143">
        <f t="shared" ca="1" si="19"/>
        <v>0.17227920929880558</v>
      </c>
      <c r="AR14" s="143">
        <f t="shared" ca="1" si="19"/>
        <v>-0.18037443779873844</v>
      </c>
      <c r="AS14" s="143">
        <f t="shared" ca="1" si="19"/>
        <v>-9.2229688441761437E-2</v>
      </c>
      <c r="AT14" s="143">
        <f t="shared" ca="1" si="19"/>
        <v>0.33304993133569294</v>
      </c>
      <c r="AU14" s="143">
        <f t="shared" ca="1" si="19"/>
        <v>-0.21353401528691765</v>
      </c>
      <c r="AV14" s="143">
        <f t="shared" ca="1" si="19"/>
        <v>-0.25732489224157262</v>
      </c>
      <c r="AW14" s="143">
        <f t="shared" ca="1" si="19"/>
        <v>-6.4639631130661401E-2</v>
      </c>
      <c r="AX14" s="143">
        <f t="shared" ca="1" si="19"/>
        <v>0.16154439007372823</v>
      </c>
      <c r="AY14" s="143">
        <f t="shared" ca="1" si="19"/>
        <v>-0.16425719203704439</v>
      </c>
      <c r="AZ14" s="143">
        <f t="shared" ca="1" si="19"/>
        <v>7.183473555012436E-2</v>
      </c>
      <c r="BA14" s="143">
        <f t="shared" ca="1" si="19"/>
        <v>-0.11374310375696683</v>
      </c>
      <c r="BB14" s="143">
        <f t="shared" ca="1" si="19"/>
        <v>0.1345338147668616</v>
      </c>
      <c r="BC14" s="143">
        <f t="shared" ca="1" si="19"/>
        <v>0.34037042833511888</v>
      </c>
      <c r="BD14" s="143">
        <f t="shared" ca="1" si="19"/>
        <v>0.10381338026913445</v>
      </c>
      <c r="BE14" s="143">
        <f t="shared" ca="1" si="19"/>
        <v>-5.9914069105651641E-2</v>
      </c>
      <c r="BF14" s="143">
        <f t="shared" ca="1" si="19"/>
        <v>0.37963151896974145</v>
      </c>
      <c r="BG14" s="143">
        <f t="shared" ca="1" si="19"/>
        <v>-0.15926788133016237</v>
      </c>
      <c r="BH14" s="143">
        <f t="shared" ca="1" si="19"/>
        <v>0.32317122034548318</v>
      </c>
      <c r="BI14" s="143">
        <f t="shared" ca="1" si="19"/>
        <v>9.1517104992293985E-2</v>
      </c>
      <c r="BJ14" s="143">
        <f t="shared" ca="1" si="19"/>
        <v>0.26512077497815023</v>
      </c>
      <c r="BK14" s="143">
        <f t="shared" ca="1" si="19"/>
        <v>8.0460366939356515E-3</v>
      </c>
      <c r="BL14" s="143">
        <f t="shared" ca="1" si="19"/>
        <v>0.14265456148466835</v>
      </c>
      <c r="BM14" s="143">
        <f t="shared" ca="1" si="19"/>
        <v>0.23217107943184262</v>
      </c>
      <c r="BN14" s="143">
        <f t="shared" ca="1" si="19"/>
        <v>0.14263332381491037</v>
      </c>
      <c r="BO14" s="143">
        <f t="shared" ca="1" si="19"/>
        <v>-0.12761891045161566</v>
      </c>
      <c r="BP14" s="143">
        <f t="shared" ca="1" si="19"/>
        <v>3.7755588886985519E-2</v>
      </c>
      <c r="BQ14" s="143">
        <f t="shared" ca="1" si="19"/>
        <v>1.4777183865074178E-2</v>
      </c>
      <c r="BR14" s="143">
        <f t="shared" ca="1" si="19"/>
        <v>0.19324378106081214</v>
      </c>
      <c r="BS14" s="143">
        <f t="shared" ca="1" si="19"/>
        <v>-7.0942997783633305E-2</v>
      </c>
      <c r="BT14" s="143">
        <f t="shared" ca="1" si="19"/>
        <v>-0.17886276001425747</v>
      </c>
      <c r="BU14" s="143">
        <f t="shared" ca="1" si="19"/>
        <v>0.22056263506582213</v>
      </c>
      <c r="BV14" s="143">
        <f t="shared" ca="1" si="19"/>
        <v>6.6332115808638195E-2</v>
      </c>
      <c r="BW14" s="143">
        <f t="shared" ca="1" si="19"/>
        <v>8.6692476550000327E-2</v>
      </c>
      <c r="BX14" s="143">
        <f t="shared" ca="1" si="19"/>
        <v>5.8144207583084931E-2</v>
      </c>
      <c r="BY14" s="143">
        <f t="shared" ca="1" si="19"/>
        <v>9.8640366433435864E-2</v>
      </c>
      <c r="BZ14" s="143">
        <f t="shared" ca="1" si="19"/>
        <v>0.11132063740148229</v>
      </c>
      <c r="CA14" s="143">
        <f t="shared" ca="1" si="17"/>
        <v>8.1753024791971135E-2</v>
      </c>
      <c r="CB14" s="143">
        <f t="shared" ca="1" si="17"/>
        <v>-3.4525257308716528E-3</v>
      </c>
      <c r="CC14" s="143">
        <f t="shared" ca="1" si="17"/>
        <v>0.16759257466433075</v>
      </c>
      <c r="CD14" s="143">
        <f t="shared" ca="1" si="17"/>
        <v>0.14985780181266967</v>
      </c>
      <c r="CE14" s="143">
        <f t="shared" ca="1" si="17"/>
        <v>0.26125646051656282</v>
      </c>
      <c r="CF14" s="143">
        <f t="shared" ca="1" si="17"/>
        <v>0.2526501083156622</v>
      </c>
      <c r="CG14" s="143">
        <f t="shared" ca="1" si="17"/>
        <v>0.15175258826414856</v>
      </c>
      <c r="CH14" s="143">
        <f t="shared" ca="1" si="17"/>
        <v>-0.15979851804456</v>
      </c>
      <c r="CI14" s="143">
        <f t="shared" ca="1" si="17"/>
        <v>0.101389839500686</v>
      </c>
      <c r="CJ14" s="143">
        <f t="shared" ca="1" si="17"/>
        <v>2.9554228061085444E-2</v>
      </c>
      <c r="CK14" s="143">
        <f t="shared" ca="1" si="17"/>
        <v>-5.5033309665812796E-2</v>
      </c>
      <c r="CL14" s="143">
        <f t="shared" ca="1" si="17"/>
        <v>0.20325856750780086</v>
      </c>
      <c r="CM14" s="143">
        <f t="shared" ca="1" si="17"/>
        <v>4.4421975949106039E-2</v>
      </c>
      <c r="CN14" s="143">
        <f t="shared" ca="1" si="17"/>
        <v>-9.7583332715792531E-2</v>
      </c>
      <c r="CO14" s="143">
        <f t="shared" ca="1" si="17"/>
        <v>2.0706700607691655E-2</v>
      </c>
      <c r="CP14" s="143">
        <f t="shared" ca="1" si="17"/>
        <v>0.4599867520788532</v>
      </c>
      <c r="CQ14" s="143">
        <f t="shared" ca="1" si="17"/>
        <v>0.23011618749608842</v>
      </c>
      <c r="CR14" s="143">
        <f t="shared" ca="1" si="17"/>
        <v>0.22779518885130806</v>
      </c>
      <c r="CS14" s="143">
        <f t="shared" ca="1" si="17"/>
        <v>0.30303955378222613</v>
      </c>
      <c r="CT14" s="143">
        <f t="shared" ca="1" si="17"/>
        <v>3.9259913914489047E-3</v>
      </c>
      <c r="CU14" s="143">
        <f t="shared" ca="1" si="17"/>
        <v>0.30574297636063519</v>
      </c>
      <c r="CV14" s="143">
        <f t="shared" ca="1" si="17"/>
        <v>-0.10708606148159619</v>
      </c>
      <c r="CW14" s="143">
        <f t="shared" ca="1" si="17"/>
        <v>0.26666020341363539</v>
      </c>
      <c r="CX14" s="143">
        <f t="shared" ca="1" si="17"/>
        <v>0.27058797339919949</v>
      </c>
      <c r="CY14" s="143">
        <f t="shared" ca="1" si="17"/>
        <v>7.6328777463721104E-2</v>
      </c>
      <c r="CZ14" s="143">
        <f t="shared" ca="1" si="17"/>
        <v>0.26231088396923408</v>
      </c>
      <c r="DA14" s="143">
        <f t="shared" ca="1" si="17"/>
        <v>-0.1646392300725639</v>
      </c>
      <c r="DB14" s="143">
        <f t="shared" ca="1" si="17"/>
        <v>4.0075738153042689E-3</v>
      </c>
      <c r="DC14" s="143">
        <f t="shared" ca="1" si="17"/>
        <v>-7.6079330641497966E-2</v>
      </c>
      <c r="DD14" s="143">
        <f t="shared" ca="1" si="17"/>
        <v>5.1434066113935174E-2</v>
      </c>
      <c r="DE14" s="143">
        <f t="shared" ca="1" si="17"/>
        <v>0.28852179730799143</v>
      </c>
      <c r="DF14" s="143">
        <f t="shared" ca="1" si="17"/>
        <v>0.20626663901235698</v>
      </c>
      <c r="DG14" s="143">
        <f t="shared" ca="1" si="17"/>
        <v>0.43944830887928044</v>
      </c>
      <c r="DH14" s="143">
        <f t="shared" ca="1" si="17"/>
        <v>0.16118101174262423</v>
      </c>
      <c r="DI14" s="143">
        <f t="shared" ca="1" si="17"/>
        <v>-6.5486819578635835E-2</v>
      </c>
      <c r="DK14" s="115">
        <f t="shared" si="8"/>
        <v>63</v>
      </c>
      <c r="DL14" s="143">
        <f t="shared" ca="1" si="6"/>
        <v>5.5821700420340147E-2</v>
      </c>
      <c r="DM14" s="143">
        <f t="shared" ref="DM14:FX17" ca="1" si="20">_xlfn.NORM.INV(RAND(),$B$116,$B$117)</f>
        <v>-5.3949343277292366E-3</v>
      </c>
      <c r="DN14" s="143">
        <f t="shared" ca="1" si="20"/>
        <v>-1.3040159830270195E-2</v>
      </c>
      <c r="DO14" s="143">
        <f t="shared" ca="1" si="20"/>
        <v>3.6071891794301675E-2</v>
      </c>
      <c r="DP14" s="143">
        <f t="shared" ca="1" si="20"/>
        <v>-2.089878207728741E-2</v>
      </c>
      <c r="DQ14" s="143">
        <f t="shared" ca="1" si="20"/>
        <v>1.1901407470359816E-2</v>
      </c>
      <c r="DR14" s="143">
        <f t="shared" ca="1" si="20"/>
        <v>-3.8786101526325077E-2</v>
      </c>
      <c r="DS14" s="143">
        <f t="shared" ca="1" si="20"/>
        <v>0.23313912769789863</v>
      </c>
      <c r="DT14" s="143">
        <f t="shared" ca="1" si="20"/>
        <v>9.2709406535067151E-2</v>
      </c>
      <c r="DU14" s="143">
        <f t="shared" ca="1" si="20"/>
        <v>-1.9339550575443003E-2</v>
      </c>
      <c r="DV14" s="143">
        <f t="shared" ca="1" si="20"/>
        <v>0.12511775154545837</v>
      </c>
      <c r="DW14" s="143">
        <f t="shared" ca="1" si="20"/>
        <v>0.13264796183109151</v>
      </c>
      <c r="DX14" s="143">
        <f t="shared" ca="1" si="20"/>
        <v>0.11495510425125519</v>
      </c>
      <c r="DY14" s="143">
        <f t="shared" ca="1" si="20"/>
        <v>9.7153680691676583E-2</v>
      </c>
      <c r="DZ14" s="143">
        <f t="shared" ca="1" si="20"/>
        <v>2.3905319078496717E-4</v>
      </c>
      <c r="EA14" s="143">
        <f t="shared" ca="1" si="20"/>
        <v>-6.9419981163975603E-2</v>
      </c>
      <c r="EB14" s="143">
        <f t="shared" ca="1" si="20"/>
        <v>0.13467741062258126</v>
      </c>
      <c r="EC14" s="143">
        <f t="shared" ca="1" si="20"/>
        <v>1.8751794229511513E-2</v>
      </c>
      <c r="ED14" s="143">
        <f t="shared" ca="1" si="20"/>
        <v>-5.1553958156036271E-2</v>
      </c>
      <c r="EE14" s="143">
        <f t="shared" ca="1" si="20"/>
        <v>7.1696798064021156E-2</v>
      </c>
      <c r="EF14" s="143">
        <f t="shared" ca="1" si="20"/>
        <v>0.13689364755037156</v>
      </c>
      <c r="EG14" s="143">
        <f t="shared" ca="1" si="20"/>
        <v>0.11083476388431343</v>
      </c>
      <c r="EH14" s="143">
        <f t="shared" ca="1" si="20"/>
        <v>-6.0908066790899142E-2</v>
      </c>
      <c r="EI14" s="143">
        <f t="shared" ca="1" si="20"/>
        <v>-5.7554902099851597E-2</v>
      </c>
      <c r="EJ14" s="143">
        <f t="shared" ca="1" si="20"/>
        <v>-1.9980670966976012E-2</v>
      </c>
      <c r="EK14" s="143">
        <f t="shared" ca="1" si="20"/>
        <v>-1.5456681950879479E-2</v>
      </c>
      <c r="EL14" s="143">
        <f t="shared" ca="1" si="20"/>
        <v>0.10015122472912924</v>
      </c>
      <c r="EM14" s="143">
        <f t="shared" ca="1" si="20"/>
        <v>9.4039411690357483E-2</v>
      </c>
      <c r="EN14" s="143">
        <f t="shared" ca="1" si="20"/>
        <v>2.6181735004960988E-2</v>
      </c>
      <c r="EO14" s="143">
        <f t="shared" ca="1" si="20"/>
        <v>-8.0334352034730605E-2</v>
      </c>
      <c r="EP14" s="143">
        <f t="shared" ca="1" si="20"/>
        <v>7.4883384475689957E-2</v>
      </c>
      <c r="EQ14" s="143">
        <f t="shared" ca="1" si="20"/>
        <v>0.22069293915048055</v>
      </c>
      <c r="ER14" s="143">
        <f t="shared" ca="1" si="20"/>
        <v>6.1365353091490327E-2</v>
      </c>
      <c r="ES14" s="143">
        <f t="shared" ca="1" si="20"/>
        <v>7.3222364801159526E-2</v>
      </c>
      <c r="ET14" s="143">
        <f t="shared" ca="1" si="20"/>
        <v>1.4142439630788754E-2</v>
      </c>
      <c r="EU14" s="143">
        <f t="shared" ca="1" si="20"/>
        <v>8.2193987250568229E-2</v>
      </c>
      <c r="EV14" s="143">
        <f t="shared" ca="1" si="20"/>
        <v>-7.4202921797093507E-2</v>
      </c>
      <c r="EW14" s="143">
        <f t="shared" ca="1" si="20"/>
        <v>0.1010746198647742</v>
      </c>
      <c r="EX14" s="143">
        <f t="shared" ca="1" si="20"/>
        <v>2.6279101681184816E-3</v>
      </c>
      <c r="EY14" s="143">
        <f t="shared" ca="1" si="20"/>
        <v>7.8191350985128291E-2</v>
      </c>
      <c r="EZ14" s="143">
        <f t="shared" ca="1" si="20"/>
        <v>-3.9132525100278003E-2</v>
      </c>
      <c r="FA14" s="143">
        <f t="shared" ca="1" si="20"/>
        <v>5.8967366094212582E-2</v>
      </c>
      <c r="FB14" s="143">
        <f t="shared" ca="1" si="20"/>
        <v>2.7725504969095798E-2</v>
      </c>
      <c r="FC14" s="143">
        <f t="shared" ca="1" si="20"/>
        <v>-4.0689889036326692E-2</v>
      </c>
      <c r="FD14" s="143">
        <f t="shared" ca="1" si="20"/>
        <v>7.8105609634677817E-2</v>
      </c>
      <c r="FE14" s="143">
        <f t="shared" ca="1" si="20"/>
        <v>0.12127109914293863</v>
      </c>
      <c r="FF14" s="143">
        <f t="shared" ca="1" si="20"/>
        <v>-2.1904107210687897E-2</v>
      </c>
      <c r="FG14" s="143">
        <f t="shared" ca="1" si="20"/>
        <v>0.10390560593896685</v>
      </c>
      <c r="FH14" s="143">
        <f t="shared" ca="1" si="20"/>
        <v>7.8704908795371287E-2</v>
      </c>
      <c r="FI14" s="143">
        <f t="shared" ca="1" si="20"/>
        <v>2.7780397467944602E-2</v>
      </c>
      <c r="FJ14" s="143">
        <f t="shared" ca="1" si="20"/>
        <v>2.993317426536372E-2</v>
      </c>
      <c r="FK14" s="143">
        <f t="shared" ca="1" si="20"/>
        <v>-5.7283654460990256E-2</v>
      </c>
      <c r="FL14" s="143">
        <f t="shared" ca="1" si="20"/>
        <v>8.8742037665343249E-2</v>
      </c>
      <c r="FM14" s="143">
        <f t="shared" ca="1" si="20"/>
        <v>-3.5221006801176062E-2</v>
      </c>
      <c r="FN14" s="143">
        <f t="shared" ca="1" si="20"/>
        <v>0.16403264848359567</v>
      </c>
      <c r="FO14" s="143">
        <f t="shared" ca="1" si="20"/>
        <v>0.14025305955386674</v>
      </c>
      <c r="FP14" s="143">
        <f t="shared" ca="1" si="20"/>
        <v>0.13718827859821739</v>
      </c>
      <c r="FQ14" s="143">
        <f t="shared" ca="1" si="20"/>
        <v>0.13027261797791487</v>
      </c>
      <c r="FR14" s="143">
        <f t="shared" ca="1" si="20"/>
        <v>-0.10532341170312573</v>
      </c>
      <c r="FS14" s="143">
        <f t="shared" ca="1" si="20"/>
        <v>8.964454164403704E-2</v>
      </c>
      <c r="FT14" s="143">
        <f t="shared" ca="1" si="20"/>
        <v>6.671459712263772E-2</v>
      </c>
      <c r="FU14" s="143">
        <f t="shared" ca="1" si="20"/>
        <v>0.22713643234934267</v>
      </c>
      <c r="FV14" s="143">
        <f t="shared" ca="1" si="20"/>
        <v>1.8123955978151338E-2</v>
      </c>
      <c r="FW14" s="143">
        <f t="shared" ca="1" si="20"/>
        <v>2.9787570668253889E-2</v>
      </c>
      <c r="FX14" s="143">
        <f t="shared" ca="1" si="20"/>
        <v>9.6170102265284579E-2</v>
      </c>
      <c r="FY14" s="143">
        <f t="shared" ca="1" si="18"/>
        <v>5.4767995874717909E-2</v>
      </c>
      <c r="FZ14" s="143">
        <f t="shared" ca="1" si="18"/>
        <v>3.0698951200214986E-2</v>
      </c>
      <c r="GA14" s="143">
        <f t="shared" ca="1" si="18"/>
        <v>-7.6289741173298592E-2</v>
      </c>
      <c r="GB14" s="143">
        <f t="shared" ca="1" si="18"/>
        <v>-5.6607417067957438E-3</v>
      </c>
      <c r="GC14" s="143">
        <f t="shared" ca="1" si="18"/>
        <v>-4.5989320620340772E-2</v>
      </c>
      <c r="GD14" s="143">
        <f t="shared" ca="1" si="18"/>
        <v>1.3524430569324064E-2</v>
      </c>
      <c r="GE14" s="143">
        <f t="shared" ca="1" si="18"/>
        <v>0.1065729493695719</v>
      </c>
      <c r="GF14" s="143">
        <f t="shared" ca="1" si="18"/>
        <v>0.15754797874845192</v>
      </c>
      <c r="GG14" s="143">
        <f t="shared" ca="1" si="18"/>
        <v>0.21182557629879487</v>
      </c>
      <c r="GH14" s="143">
        <f t="shared" ca="1" si="18"/>
        <v>2.7815632899498191E-2</v>
      </c>
      <c r="GI14" s="143">
        <f t="shared" ca="1" si="18"/>
        <v>5.3657112718914955E-2</v>
      </c>
      <c r="GJ14" s="143">
        <f t="shared" ca="1" si="18"/>
        <v>0.10353829125250316</v>
      </c>
      <c r="GK14" s="143">
        <f t="shared" ca="1" si="18"/>
        <v>-1.6189420180234351E-3</v>
      </c>
      <c r="GL14" s="143">
        <f t="shared" ca="1" si="18"/>
        <v>0.1961223023348882</v>
      </c>
      <c r="GM14" s="143">
        <f t="shared" ca="1" si="18"/>
        <v>0.11646612078310106</v>
      </c>
      <c r="GN14" s="143">
        <f t="shared" ca="1" si="18"/>
        <v>0.18182216856894257</v>
      </c>
      <c r="GO14" s="143">
        <f t="shared" ca="1" si="18"/>
        <v>5.146633223195065E-2</v>
      </c>
      <c r="GP14" s="143">
        <f t="shared" ca="1" si="18"/>
        <v>3.1777608162540008E-2</v>
      </c>
      <c r="GQ14" s="143">
        <f t="shared" ca="1" si="18"/>
        <v>0.13200828490266098</v>
      </c>
      <c r="GR14" s="143">
        <f t="shared" ca="1" si="18"/>
        <v>5.5459654206306393E-2</v>
      </c>
      <c r="GS14" s="143">
        <f t="shared" ca="1" si="18"/>
        <v>5.5588025971655963E-3</v>
      </c>
      <c r="GT14" s="143">
        <f t="shared" ca="1" si="18"/>
        <v>0.21916592651797356</v>
      </c>
      <c r="GU14" s="143">
        <f t="shared" ca="1" si="18"/>
        <v>8.3830244654010316E-2</v>
      </c>
      <c r="GV14" s="143">
        <f t="shared" ca="1" si="18"/>
        <v>-1.0751051311821316E-2</v>
      </c>
      <c r="GW14" s="143">
        <f t="shared" ca="1" si="18"/>
        <v>-0.10623888279239599</v>
      </c>
      <c r="GX14" s="143">
        <f t="shared" ca="1" si="18"/>
        <v>0.22917768700098134</v>
      </c>
      <c r="GY14" s="143">
        <f t="shared" ca="1" si="18"/>
        <v>-8.5320550261100969E-2</v>
      </c>
      <c r="GZ14" s="143">
        <f t="shared" ca="1" si="18"/>
        <v>-2.5271747993829398E-2</v>
      </c>
      <c r="HA14" s="143">
        <f t="shared" ca="1" si="18"/>
        <v>-2.5713932122076906E-2</v>
      </c>
      <c r="HB14" s="143">
        <f t="shared" ca="1" si="18"/>
        <v>-3.3855090068700848E-2</v>
      </c>
      <c r="HC14" s="143">
        <f t="shared" ca="1" si="18"/>
        <v>3.2157073549781465E-2</v>
      </c>
      <c r="HD14" s="143">
        <f t="shared" ca="1" si="18"/>
        <v>6.3167271740234357E-2</v>
      </c>
      <c r="HE14" s="143">
        <f t="shared" ca="1" si="18"/>
        <v>6.4490313151702311E-3</v>
      </c>
      <c r="HF14" s="143">
        <f t="shared" ca="1" si="18"/>
        <v>0.18754944951910965</v>
      </c>
      <c r="HG14" s="143">
        <f t="shared" ca="1" si="18"/>
        <v>8.1160288693750901E-3</v>
      </c>
    </row>
    <row r="15" spans="1:317">
      <c r="A15" s="90">
        <v>1941</v>
      </c>
      <c r="B15" s="84">
        <v>-0.12771455576559551</v>
      </c>
      <c r="C15" s="85">
        <v>-5.5399999999999998E-2</v>
      </c>
      <c r="D15" s="83">
        <f t="shared" si="4"/>
        <v>-0.1132516446124764</v>
      </c>
      <c r="E15" s="85"/>
      <c r="F15" s="85"/>
      <c r="G15" s="85">
        <v>1.2916666666666669E-3</v>
      </c>
      <c r="H15" s="85">
        <v>-2.0221975848580105E-2</v>
      </c>
      <c r="I15" s="85">
        <v>5.0071728572759232E-2</v>
      </c>
      <c r="J15" s="85">
        <v>0</v>
      </c>
      <c r="M15" s="115">
        <f t="shared" si="7"/>
        <v>64</v>
      </c>
      <c r="N15" s="143">
        <f t="shared" ca="1" si="5"/>
        <v>0.13975072667960239</v>
      </c>
      <c r="O15" s="143">
        <f t="shared" ca="1" si="19"/>
        <v>-4.4065101360827974E-2</v>
      </c>
      <c r="P15" s="143">
        <f t="shared" ca="1" si="19"/>
        <v>0.10546906949155425</v>
      </c>
      <c r="Q15" s="143">
        <f t="shared" ca="1" si="19"/>
        <v>-4.1056426225509202E-2</v>
      </c>
      <c r="R15" s="143">
        <f t="shared" ca="1" si="19"/>
        <v>2.8563718257696144E-2</v>
      </c>
      <c r="S15" s="143">
        <f t="shared" ca="1" si="19"/>
        <v>0.21217811356073876</v>
      </c>
      <c r="T15" s="143">
        <f t="shared" ca="1" si="19"/>
        <v>0.24720780845491824</v>
      </c>
      <c r="U15" s="143">
        <f t="shared" ca="1" si="19"/>
        <v>3.1674891354722443E-2</v>
      </c>
      <c r="V15" s="143">
        <f t="shared" ca="1" si="19"/>
        <v>0.14699869517118647</v>
      </c>
      <c r="W15" s="143">
        <f t="shared" ca="1" si="19"/>
        <v>0.22172362314257332</v>
      </c>
      <c r="X15" s="143">
        <f t="shared" ca="1" si="19"/>
        <v>-8.2185587969444557E-2</v>
      </c>
      <c r="Y15" s="143">
        <f t="shared" ca="1" si="19"/>
        <v>-0.29202146229113657</v>
      </c>
      <c r="Z15" s="143">
        <f t="shared" ca="1" si="19"/>
        <v>2.6019892494451455E-2</v>
      </c>
      <c r="AA15" s="143">
        <f t="shared" ca="1" si="19"/>
        <v>0.25358790297205641</v>
      </c>
      <c r="AB15" s="143">
        <f t="shared" ca="1" si="19"/>
        <v>-1.4804399149754385E-2</v>
      </c>
      <c r="AC15" s="143">
        <f t="shared" ca="1" si="19"/>
        <v>0.24866344305678903</v>
      </c>
      <c r="AD15" s="143">
        <f t="shared" ca="1" si="19"/>
        <v>7.4974969422412274E-2</v>
      </c>
      <c r="AE15" s="143">
        <f t="shared" ca="1" si="19"/>
        <v>0.31682321152809023</v>
      </c>
      <c r="AF15" s="143">
        <f t="shared" ca="1" si="19"/>
        <v>-8.6831423765704657E-2</v>
      </c>
      <c r="AG15" s="143">
        <f t="shared" ca="1" si="19"/>
        <v>1.6946594822583344E-2</v>
      </c>
      <c r="AH15" s="143">
        <f t="shared" ca="1" si="19"/>
        <v>0.19269055338818303</v>
      </c>
      <c r="AI15" s="143">
        <f t="shared" ca="1" si="19"/>
        <v>0.44894449686692062</v>
      </c>
      <c r="AJ15" s="143">
        <f t="shared" ca="1" si="19"/>
        <v>0.23185601774555994</v>
      </c>
      <c r="AK15" s="143">
        <f t="shared" ca="1" si="19"/>
        <v>0.44619565914237247</v>
      </c>
      <c r="AL15" s="143">
        <f t="shared" ca="1" si="19"/>
        <v>-6.4405218364239347E-3</v>
      </c>
      <c r="AM15" s="143">
        <f t="shared" ca="1" si="19"/>
        <v>0.29709795191048494</v>
      </c>
      <c r="AN15" s="143">
        <f t="shared" ca="1" si="19"/>
        <v>8.3650569471086997E-2</v>
      </c>
      <c r="AO15" s="143">
        <f t="shared" ca="1" si="19"/>
        <v>0.34577160183271438</v>
      </c>
      <c r="AP15" s="143">
        <f t="shared" ca="1" si="19"/>
        <v>0.26628873473053416</v>
      </c>
      <c r="AQ15" s="143">
        <f t="shared" ca="1" si="19"/>
        <v>0.18428504928394385</v>
      </c>
      <c r="AR15" s="143">
        <f t="shared" ca="1" si="19"/>
        <v>0.36811692931428486</v>
      </c>
      <c r="AS15" s="143">
        <f t="shared" ca="1" si="19"/>
        <v>0.49260386375974186</v>
      </c>
      <c r="AT15" s="143">
        <f t="shared" ca="1" si="19"/>
        <v>-0.13816979350775502</v>
      </c>
      <c r="AU15" s="143">
        <f t="shared" ca="1" si="19"/>
        <v>9.2680061635495636E-2</v>
      </c>
      <c r="AV15" s="143">
        <f t="shared" ca="1" si="19"/>
        <v>0.2594372419723085</v>
      </c>
      <c r="AW15" s="143">
        <f t="shared" ca="1" si="19"/>
        <v>-3.163516946757064E-2</v>
      </c>
      <c r="AX15" s="143">
        <f t="shared" ca="1" si="19"/>
        <v>-6.0063418618683279E-2</v>
      </c>
      <c r="AY15" s="143">
        <f t="shared" ca="1" si="19"/>
        <v>0.13233084842325396</v>
      </c>
      <c r="AZ15" s="143">
        <f t="shared" ca="1" si="19"/>
        <v>0.25236460831504737</v>
      </c>
      <c r="BA15" s="143">
        <f t="shared" ca="1" si="19"/>
        <v>0.23610634755813797</v>
      </c>
      <c r="BB15" s="143">
        <f t="shared" ca="1" si="19"/>
        <v>5.6267422605072434E-2</v>
      </c>
      <c r="BC15" s="143">
        <f t="shared" ca="1" si="19"/>
        <v>0.21051665543948075</v>
      </c>
      <c r="BD15" s="143">
        <f t="shared" ca="1" si="19"/>
        <v>0.25733213131219507</v>
      </c>
      <c r="BE15" s="143">
        <f t="shared" ca="1" si="19"/>
        <v>0.23983738054053153</v>
      </c>
      <c r="BF15" s="143">
        <f t="shared" ca="1" si="19"/>
        <v>0.3282974734221813</v>
      </c>
      <c r="BG15" s="143">
        <f t="shared" ca="1" si="19"/>
        <v>0.21409502226840571</v>
      </c>
      <c r="BH15" s="143">
        <f t="shared" ca="1" si="19"/>
        <v>-1.2450539235300359E-2</v>
      </c>
      <c r="BI15" s="143">
        <f t="shared" ca="1" si="19"/>
        <v>-1.7743891435392442E-2</v>
      </c>
      <c r="BJ15" s="143">
        <f t="shared" ca="1" si="19"/>
        <v>5.4866915228654521E-2</v>
      </c>
      <c r="BK15" s="143">
        <f t="shared" ca="1" si="19"/>
        <v>-8.8540097153030572E-2</v>
      </c>
      <c r="BL15" s="143">
        <f t="shared" ca="1" si="19"/>
        <v>7.5449656715217653E-2</v>
      </c>
      <c r="BM15" s="143">
        <f t="shared" ca="1" si="19"/>
        <v>0.38595933065410937</v>
      </c>
      <c r="BN15" s="143">
        <f t="shared" ca="1" si="19"/>
        <v>0.35109443537036844</v>
      </c>
      <c r="BO15" s="143">
        <f t="shared" ca="1" si="19"/>
        <v>-0.13730530915560393</v>
      </c>
      <c r="BP15" s="143">
        <f t="shared" ca="1" si="19"/>
        <v>3.4946368204940584E-2</v>
      </c>
      <c r="BQ15" s="143">
        <f t="shared" ca="1" si="19"/>
        <v>7.1818415486148562E-2</v>
      </c>
      <c r="BR15" s="143">
        <f t="shared" ca="1" si="19"/>
        <v>6.779047501990991E-2</v>
      </c>
      <c r="BS15" s="143">
        <f t="shared" ca="1" si="19"/>
        <v>-0.41638124500284801</v>
      </c>
      <c r="BT15" s="143">
        <f t="shared" ca="1" si="19"/>
        <v>0.19290426245260844</v>
      </c>
      <c r="BU15" s="143">
        <f t="shared" ca="1" si="19"/>
        <v>0.21498767137279942</v>
      </c>
      <c r="BV15" s="143">
        <f t="shared" ca="1" si="19"/>
        <v>0.42052248474053633</v>
      </c>
      <c r="BW15" s="143">
        <f t="shared" ca="1" si="19"/>
        <v>0.28757515016182622</v>
      </c>
      <c r="BX15" s="143">
        <f t="shared" ca="1" si="19"/>
        <v>7.629946044777923E-2</v>
      </c>
      <c r="BY15" s="143">
        <f t="shared" ca="1" si="19"/>
        <v>0.14218664866230465</v>
      </c>
      <c r="BZ15" s="143">
        <f t="shared" ca="1" si="19"/>
        <v>0.17443943888468089</v>
      </c>
      <c r="CA15" s="143">
        <f t="shared" ca="1" si="17"/>
        <v>5.1881761438825405E-2</v>
      </c>
      <c r="CB15" s="143">
        <f t="shared" ca="1" si="17"/>
        <v>-0.12431255783230347</v>
      </c>
      <c r="CC15" s="143">
        <f t="shared" ca="1" si="17"/>
        <v>-0.30598041644506424</v>
      </c>
      <c r="CD15" s="143">
        <f t="shared" ca="1" si="17"/>
        <v>-0.16334919794625044</v>
      </c>
      <c r="CE15" s="143">
        <f t="shared" ca="1" si="17"/>
        <v>7.7348975081792531E-2</v>
      </c>
      <c r="CF15" s="143">
        <f t="shared" ca="1" si="17"/>
        <v>0.43566197593479861</v>
      </c>
      <c r="CG15" s="143">
        <f t="shared" ca="1" si="17"/>
        <v>0.41617981833427642</v>
      </c>
      <c r="CH15" s="143">
        <f t="shared" ca="1" si="17"/>
        <v>2.5012984804232086E-2</v>
      </c>
      <c r="CI15" s="143">
        <f t="shared" ca="1" si="17"/>
        <v>0.25542820633394947</v>
      </c>
      <c r="CJ15" s="143">
        <f t="shared" ca="1" si="17"/>
        <v>0.20632125508348817</v>
      </c>
      <c r="CK15" s="143">
        <f t="shared" ca="1" si="17"/>
        <v>0.21062220591594588</v>
      </c>
      <c r="CL15" s="143">
        <f t="shared" ca="1" si="17"/>
        <v>-0.22844863181836747</v>
      </c>
      <c r="CM15" s="143">
        <f t="shared" ca="1" si="17"/>
        <v>0.17382490196301725</v>
      </c>
      <c r="CN15" s="143">
        <f t="shared" ca="1" si="17"/>
        <v>0.43953702406273509</v>
      </c>
      <c r="CO15" s="143">
        <f t="shared" ca="1" si="17"/>
        <v>-0.14597356906415182</v>
      </c>
      <c r="CP15" s="143">
        <f t="shared" ca="1" si="17"/>
        <v>0.54216989832613793</v>
      </c>
      <c r="CQ15" s="143">
        <f t="shared" ca="1" si="17"/>
        <v>0.33912317169964246</v>
      </c>
      <c r="CR15" s="143">
        <f t="shared" ca="1" si="17"/>
        <v>-6.2768855515955235E-2</v>
      </c>
      <c r="CS15" s="143">
        <f t="shared" ca="1" si="17"/>
        <v>0.34808824293720064</v>
      </c>
      <c r="CT15" s="143">
        <f t="shared" ca="1" si="17"/>
        <v>0.25131666115987317</v>
      </c>
      <c r="CU15" s="143">
        <f t="shared" ca="1" si="17"/>
        <v>-6.5078617944319822E-2</v>
      </c>
      <c r="CV15" s="143">
        <f t="shared" ca="1" si="17"/>
        <v>1.6729647965090591E-2</v>
      </c>
      <c r="CW15" s="143">
        <f t="shared" ca="1" si="17"/>
        <v>0.25886998742768463</v>
      </c>
      <c r="CX15" s="143">
        <f t="shared" ca="1" si="17"/>
        <v>0.16578659470000656</v>
      </c>
      <c r="CY15" s="143">
        <f t="shared" ca="1" si="17"/>
        <v>-8.9938498661840338E-2</v>
      </c>
      <c r="CZ15" s="143">
        <f t="shared" ca="1" si="17"/>
        <v>0.20895512214715045</v>
      </c>
      <c r="DA15" s="143">
        <f t="shared" ca="1" si="17"/>
        <v>-2.2803230214937881E-2</v>
      </c>
      <c r="DB15" s="143">
        <f t="shared" ca="1" si="17"/>
        <v>7.8017469258926581E-2</v>
      </c>
      <c r="DC15" s="143">
        <f t="shared" ca="1" si="17"/>
        <v>0.1008827586677801</v>
      </c>
      <c r="DD15" s="143">
        <f t="shared" ca="1" si="17"/>
        <v>0.20046731306272192</v>
      </c>
      <c r="DE15" s="143">
        <f t="shared" ca="1" si="17"/>
        <v>0.14669848701555044</v>
      </c>
      <c r="DF15" s="143">
        <f t="shared" ca="1" si="17"/>
        <v>0.15824525306712087</v>
      </c>
      <c r="DG15" s="143">
        <f t="shared" ca="1" si="17"/>
        <v>0.25457882195556158</v>
      </c>
      <c r="DH15" s="143">
        <f t="shared" ca="1" si="17"/>
        <v>-0.4181537628744223</v>
      </c>
      <c r="DI15" s="143">
        <f t="shared" ca="1" si="17"/>
        <v>-6.610076325873071E-3</v>
      </c>
      <c r="DK15" s="115">
        <f t="shared" si="8"/>
        <v>64</v>
      </c>
      <c r="DL15" s="143">
        <f t="shared" ca="1" si="6"/>
        <v>2.2351309417624372E-2</v>
      </c>
      <c r="DM15" s="143">
        <f t="shared" ca="1" si="20"/>
        <v>-6.962056581158696E-2</v>
      </c>
      <c r="DN15" s="143">
        <f t="shared" ca="1" si="20"/>
        <v>-2.6719013949621277E-2</v>
      </c>
      <c r="DO15" s="143">
        <f t="shared" ca="1" si="20"/>
        <v>3.9834418993186571E-2</v>
      </c>
      <c r="DP15" s="143">
        <f t="shared" ca="1" si="20"/>
        <v>9.0963516384150539E-2</v>
      </c>
      <c r="DQ15" s="143">
        <f t="shared" ca="1" si="20"/>
        <v>-4.5136743042388273E-2</v>
      </c>
      <c r="DR15" s="143">
        <f t="shared" ca="1" si="20"/>
        <v>9.1284929756874578E-2</v>
      </c>
      <c r="DS15" s="143">
        <f t="shared" ca="1" si="20"/>
        <v>9.0926667318393578E-2</v>
      </c>
      <c r="DT15" s="143">
        <f t="shared" ca="1" si="20"/>
        <v>8.2708449848971244E-2</v>
      </c>
      <c r="DU15" s="143">
        <f t="shared" ca="1" si="20"/>
        <v>-1.1487935831739605E-2</v>
      </c>
      <c r="DV15" s="143">
        <f t="shared" ca="1" si="20"/>
        <v>5.159132692390276E-2</v>
      </c>
      <c r="DW15" s="143">
        <f t="shared" ca="1" si="20"/>
        <v>0.17655932670002453</v>
      </c>
      <c r="DX15" s="143">
        <f t="shared" ca="1" si="20"/>
        <v>9.2079622924324922E-2</v>
      </c>
      <c r="DY15" s="143">
        <f t="shared" ca="1" si="20"/>
        <v>-0.17194342886597075</v>
      </c>
      <c r="DZ15" s="143">
        <f t="shared" ca="1" si="20"/>
        <v>-0.10495823696778697</v>
      </c>
      <c r="EA15" s="143">
        <f t="shared" ca="1" si="20"/>
        <v>1.662238061099449E-2</v>
      </c>
      <c r="EB15" s="143">
        <f t="shared" ca="1" si="20"/>
        <v>6.4575464023836071E-2</v>
      </c>
      <c r="EC15" s="143">
        <f t="shared" ca="1" si="20"/>
        <v>-3.7799337139194734E-2</v>
      </c>
      <c r="ED15" s="143">
        <f t="shared" ca="1" si="20"/>
        <v>8.0416929834232403E-2</v>
      </c>
      <c r="EE15" s="143">
        <f t="shared" ca="1" si="20"/>
        <v>6.3859229055697631E-2</v>
      </c>
      <c r="EF15" s="143">
        <f t="shared" ca="1" si="20"/>
        <v>1.2848563856987447E-2</v>
      </c>
      <c r="EG15" s="143">
        <f t="shared" ca="1" si="20"/>
        <v>-6.9818122586470466E-2</v>
      </c>
      <c r="EH15" s="143">
        <f t="shared" ca="1" si="20"/>
        <v>6.0899213755319918E-2</v>
      </c>
      <c r="EI15" s="143">
        <f t="shared" ca="1" si="20"/>
        <v>0.11658384861512194</v>
      </c>
      <c r="EJ15" s="143">
        <f t="shared" ca="1" si="20"/>
        <v>7.2537895843943101E-2</v>
      </c>
      <c r="EK15" s="143">
        <f t="shared" ca="1" si="20"/>
        <v>-2.8926935459397847E-2</v>
      </c>
      <c r="EL15" s="143">
        <f t="shared" ca="1" si="20"/>
        <v>3.6937877656989117E-2</v>
      </c>
      <c r="EM15" s="143">
        <f t="shared" ca="1" si="20"/>
        <v>0.1102751614611092</v>
      </c>
      <c r="EN15" s="143">
        <f t="shared" ca="1" si="20"/>
        <v>2.6608499325323637E-4</v>
      </c>
      <c r="EO15" s="143">
        <f t="shared" ca="1" si="20"/>
        <v>2.9389211230203497E-2</v>
      </c>
      <c r="EP15" s="143">
        <f t="shared" ca="1" si="20"/>
        <v>0.16460160851770569</v>
      </c>
      <c r="EQ15" s="143">
        <f t="shared" ca="1" si="20"/>
        <v>4.9196667159550414E-3</v>
      </c>
      <c r="ER15" s="143">
        <f t="shared" ca="1" si="20"/>
        <v>0.1607785912185663</v>
      </c>
      <c r="ES15" s="143">
        <f t="shared" ca="1" si="20"/>
        <v>7.1231783662247236E-2</v>
      </c>
      <c r="ET15" s="143">
        <f t="shared" ca="1" si="20"/>
        <v>7.3410619439120084E-2</v>
      </c>
      <c r="EU15" s="143">
        <f t="shared" ca="1" si="20"/>
        <v>0.10572793505523749</v>
      </c>
      <c r="EV15" s="143">
        <f t="shared" ca="1" si="20"/>
        <v>-3.3943558806096182E-2</v>
      </c>
      <c r="EW15" s="143">
        <f t="shared" ca="1" si="20"/>
        <v>0.14091352805203031</v>
      </c>
      <c r="EX15" s="143">
        <f t="shared" ca="1" si="20"/>
        <v>3.9187437375262646E-3</v>
      </c>
      <c r="EY15" s="143">
        <f t="shared" ca="1" si="20"/>
        <v>0.11959923658067742</v>
      </c>
      <c r="EZ15" s="143">
        <f t="shared" ca="1" si="20"/>
        <v>7.5186410392398956E-2</v>
      </c>
      <c r="FA15" s="143">
        <f t="shared" ca="1" si="20"/>
        <v>6.9227907026643984E-2</v>
      </c>
      <c r="FB15" s="143">
        <f t="shared" ca="1" si="20"/>
        <v>-3.0551036488427954E-3</v>
      </c>
      <c r="FC15" s="143">
        <f t="shared" ca="1" si="20"/>
        <v>0.15043780719901526</v>
      </c>
      <c r="FD15" s="143">
        <f t="shared" ca="1" si="20"/>
        <v>0.12729771002441098</v>
      </c>
      <c r="FE15" s="143">
        <f t="shared" ca="1" si="20"/>
        <v>0.1246630321421115</v>
      </c>
      <c r="FF15" s="143">
        <f t="shared" ca="1" si="20"/>
        <v>-4.0583418611597567E-2</v>
      </c>
      <c r="FG15" s="143">
        <f t="shared" ca="1" si="20"/>
        <v>7.0068154089311177E-3</v>
      </c>
      <c r="FH15" s="143">
        <f t="shared" ca="1" si="20"/>
        <v>-2.5706103343204202E-2</v>
      </c>
      <c r="FI15" s="143">
        <f t="shared" ca="1" si="20"/>
        <v>0.13843488705555704</v>
      </c>
      <c r="FJ15" s="143">
        <f t="shared" ca="1" si="20"/>
        <v>-3.1477403929523855E-2</v>
      </c>
      <c r="FK15" s="143">
        <f t="shared" ca="1" si="20"/>
        <v>-2.1379465371697416E-2</v>
      </c>
      <c r="FL15" s="143">
        <f t="shared" ca="1" si="20"/>
        <v>4.7922696024742625E-2</v>
      </c>
      <c r="FM15" s="143">
        <f t="shared" ca="1" si="20"/>
        <v>5.621030485682911E-2</v>
      </c>
      <c r="FN15" s="143">
        <f t="shared" ca="1" si="20"/>
        <v>7.4085989258323617E-2</v>
      </c>
      <c r="FO15" s="143">
        <f t="shared" ca="1" si="20"/>
        <v>0.12934959518044203</v>
      </c>
      <c r="FP15" s="143">
        <f t="shared" ca="1" si="20"/>
        <v>9.5622404060404287E-2</v>
      </c>
      <c r="FQ15" s="143">
        <f t="shared" ca="1" si="20"/>
        <v>5.2409722628652886E-3</v>
      </c>
      <c r="FR15" s="143">
        <f t="shared" ca="1" si="20"/>
        <v>-7.007480160062661E-3</v>
      </c>
      <c r="FS15" s="143">
        <f t="shared" ca="1" si="20"/>
        <v>-5.1176960170628581E-2</v>
      </c>
      <c r="FT15" s="143">
        <f t="shared" ca="1" si="20"/>
        <v>-3.5601154445426136E-3</v>
      </c>
      <c r="FU15" s="143">
        <f t="shared" ca="1" si="20"/>
        <v>0.12466756120123726</v>
      </c>
      <c r="FV15" s="143">
        <f t="shared" ca="1" si="20"/>
        <v>5.8142816993531597E-2</v>
      </c>
      <c r="FW15" s="143">
        <f t="shared" ca="1" si="20"/>
        <v>0.19466150842454583</v>
      </c>
      <c r="FX15" s="143">
        <f t="shared" ca="1" si="20"/>
        <v>7.1837250084405072E-2</v>
      </c>
      <c r="FY15" s="143">
        <f t="shared" ca="1" si="18"/>
        <v>-8.9379567345031219E-4</v>
      </c>
      <c r="FZ15" s="143">
        <f t="shared" ca="1" si="18"/>
        <v>5.2552952267137819E-2</v>
      </c>
      <c r="GA15" s="143">
        <f t="shared" ca="1" si="18"/>
        <v>5.5219256530502421E-2</v>
      </c>
      <c r="GB15" s="143">
        <f t="shared" ca="1" si="18"/>
        <v>-3.8021952648210282E-2</v>
      </c>
      <c r="GC15" s="143">
        <f t="shared" ca="1" si="18"/>
        <v>-2.7602153557918473E-2</v>
      </c>
      <c r="GD15" s="143">
        <f t="shared" ca="1" si="18"/>
        <v>-4.1220682130985793E-2</v>
      </c>
      <c r="GE15" s="143">
        <f t="shared" ca="1" si="18"/>
        <v>0.26277265868130495</v>
      </c>
      <c r="GF15" s="143">
        <f t="shared" ca="1" si="18"/>
        <v>4.7442579871065912E-2</v>
      </c>
      <c r="GG15" s="143">
        <f t="shared" ca="1" si="18"/>
        <v>3.7826820969010994E-2</v>
      </c>
      <c r="GH15" s="143">
        <f t="shared" ca="1" si="18"/>
        <v>2.1789929274134749E-2</v>
      </c>
      <c r="GI15" s="143">
        <f t="shared" ca="1" si="18"/>
        <v>0.17628023024961695</v>
      </c>
      <c r="GJ15" s="143">
        <f t="shared" ca="1" si="18"/>
        <v>3.5740397416234124E-2</v>
      </c>
      <c r="GK15" s="143">
        <f t="shared" ca="1" si="18"/>
        <v>-1.24529206817834E-2</v>
      </c>
      <c r="GL15" s="143">
        <f t="shared" ca="1" si="18"/>
        <v>-7.7673974227529113E-2</v>
      </c>
      <c r="GM15" s="143">
        <f t="shared" ca="1" si="18"/>
        <v>0.1624927103453119</v>
      </c>
      <c r="GN15" s="143">
        <f t="shared" ca="1" si="18"/>
        <v>0.15032385381124932</v>
      </c>
      <c r="GO15" s="143">
        <f t="shared" ca="1" si="18"/>
        <v>3.6201561473163696E-2</v>
      </c>
      <c r="GP15" s="143">
        <f t="shared" ca="1" si="18"/>
        <v>8.3474964470152291E-2</v>
      </c>
      <c r="GQ15" s="143">
        <f t="shared" ca="1" si="18"/>
        <v>0.18180616814926215</v>
      </c>
      <c r="GR15" s="143">
        <f t="shared" ca="1" si="18"/>
        <v>2.5405819009332111E-2</v>
      </c>
      <c r="GS15" s="143">
        <f t="shared" ca="1" si="18"/>
        <v>0.13927897741075751</v>
      </c>
      <c r="GT15" s="143">
        <f t="shared" ca="1" si="18"/>
        <v>-2.1500183038813327E-2</v>
      </c>
      <c r="GU15" s="143">
        <f t="shared" ca="1" si="18"/>
        <v>-1.7166886917426016E-4</v>
      </c>
      <c r="GV15" s="143">
        <f t="shared" ca="1" si="18"/>
        <v>-7.7630394773467365E-2</v>
      </c>
      <c r="GW15" s="143">
        <f t="shared" ca="1" si="18"/>
        <v>5.172150109653563E-2</v>
      </c>
      <c r="GX15" s="143">
        <f t="shared" ca="1" si="18"/>
        <v>9.798417103398703E-3</v>
      </c>
      <c r="GY15" s="143">
        <f t="shared" ca="1" si="18"/>
        <v>-3.3127119650878493E-2</v>
      </c>
      <c r="GZ15" s="143">
        <f t="shared" ca="1" si="18"/>
        <v>0.11535958034351132</v>
      </c>
      <c r="HA15" s="143">
        <f t="shared" ca="1" si="18"/>
        <v>2.6535870599385517E-2</v>
      </c>
      <c r="HB15" s="143">
        <f t="shared" ca="1" si="18"/>
        <v>5.890242774255916E-2</v>
      </c>
      <c r="HC15" s="143">
        <f t="shared" ca="1" si="18"/>
        <v>-0.17253241103825187</v>
      </c>
      <c r="HD15" s="143">
        <f t="shared" ca="1" si="18"/>
        <v>-8.7284894942346231E-2</v>
      </c>
      <c r="HE15" s="143">
        <f t="shared" ca="1" si="18"/>
        <v>0.17929440184361359</v>
      </c>
      <c r="HF15" s="143">
        <f t="shared" ca="1" si="18"/>
        <v>0.13844384309789967</v>
      </c>
      <c r="HG15" s="143">
        <f t="shared" ca="1" si="18"/>
        <v>-4.2929156123127719E-2</v>
      </c>
    </row>
    <row r="16" spans="1:317">
      <c r="A16" s="90">
        <v>1942</v>
      </c>
      <c r="B16" s="84">
        <v>0.19173762945914843</v>
      </c>
      <c r="C16" s="85">
        <v>0.6179</v>
      </c>
      <c r="D16" s="83">
        <f t="shared" si="4"/>
        <v>0.27697010356731872</v>
      </c>
      <c r="E16" s="85"/>
      <c r="F16" s="85"/>
      <c r="G16" s="85">
        <v>3.4250000000000001E-3</v>
      </c>
      <c r="H16" s="85">
        <v>2.2948682374484164E-2</v>
      </c>
      <c r="I16" s="85">
        <v>5.1799010426587015E-2</v>
      </c>
      <c r="J16" s="85">
        <v>0</v>
      </c>
      <c r="M16" s="115">
        <f t="shared" si="7"/>
        <v>65</v>
      </c>
      <c r="N16" s="143">
        <f t="shared" ca="1" si="5"/>
        <v>-1.9954949373806721E-2</v>
      </c>
      <c r="O16" s="143">
        <f t="shared" ca="1" si="19"/>
        <v>-6.6354880976222358E-2</v>
      </c>
      <c r="P16" s="143">
        <f t="shared" ca="1" si="19"/>
        <v>0.22753877039603199</v>
      </c>
      <c r="Q16" s="143">
        <f t="shared" ca="1" si="19"/>
        <v>2.8905991962651909E-2</v>
      </c>
      <c r="R16" s="143">
        <f t="shared" ca="1" si="19"/>
        <v>0.24946808134699253</v>
      </c>
      <c r="S16" s="143">
        <f t="shared" ca="1" si="19"/>
        <v>-0.22330292735229149</v>
      </c>
      <c r="T16" s="143">
        <f t="shared" ca="1" si="19"/>
        <v>0.1354569969291422</v>
      </c>
      <c r="U16" s="143">
        <f t="shared" ca="1" si="19"/>
        <v>0.34159361411960232</v>
      </c>
      <c r="V16" s="143">
        <f t="shared" ca="1" si="19"/>
        <v>0.13698886018922829</v>
      </c>
      <c r="W16" s="143">
        <f t="shared" ca="1" si="19"/>
        <v>-0.17301694635513101</v>
      </c>
      <c r="X16" s="143">
        <f t="shared" ca="1" si="19"/>
        <v>0.28125208924682366</v>
      </c>
      <c r="Y16" s="143">
        <f t="shared" ca="1" si="19"/>
        <v>0.35900367864123428</v>
      </c>
      <c r="Z16" s="143">
        <f t="shared" ca="1" si="19"/>
        <v>5.4651253066828609E-4</v>
      </c>
      <c r="AA16" s="143">
        <f t="shared" ca="1" si="19"/>
        <v>0.19734902396441659</v>
      </c>
      <c r="AB16" s="143">
        <f t="shared" ca="1" si="19"/>
        <v>-0.10219372325913845</v>
      </c>
      <c r="AC16" s="143">
        <f t="shared" ca="1" si="19"/>
        <v>0.18064800975670919</v>
      </c>
      <c r="AD16" s="143">
        <f t="shared" ca="1" si="19"/>
        <v>1.8002887800226061E-2</v>
      </c>
      <c r="AE16" s="143">
        <f t="shared" ca="1" si="19"/>
        <v>0.29313299336285914</v>
      </c>
      <c r="AF16" s="143">
        <f t="shared" ca="1" si="19"/>
        <v>-0.3914939996639768</v>
      </c>
      <c r="AG16" s="143">
        <f t="shared" ca="1" si="19"/>
        <v>-0.12311962935141635</v>
      </c>
      <c r="AH16" s="143">
        <f t="shared" ca="1" si="19"/>
        <v>-0.18500037125562649</v>
      </c>
      <c r="AI16" s="143">
        <f t="shared" ca="1" si="19"/>
        <v>7.0456527678690345E-2</v>
      </c>
      <c r="AJ16" s="143">
        <f t="shared" ca="1" si="19"/>
        <v>1.2448832649256086E-2</v>
      </c>
      <c r="AK16" s="143">
        <f t="shared" ca="1" si="19"/>
        <v>-8.8396345252447356E-2</v>
      </c>
      <c r="AL16" s="143">
        <f t="shared" ca="1" si="19"/>
        <v>0.37410101745964475</v>
      </c>
      <c r="AM16" s="143">
        <f t="shared" ca="1" si="19"/>
        <v>-9.3824960366385657E-2</v>
      </c>
      <c r="AN16" s="143">
        <f t="shared" ca="1" si="19"/>
        <v>0.15122795723638202</v>
      </c>
      <c r="AO16" s="143">
        <f t="shared" ca="1" si="19"/>
        <v>7.3604297296416571E-2</v>
      </c>
      <c r="AP16" s="143">
        <f t="shared" ca="1" si="19"/>
        <v>3.7146841602654773E-3</v>
      </c>
      <c r="AQ16" s="143">
        <f t="shared" ca="1" si="19"/>
        <v>0.29592200811286634</v>
      </c>
      <c r="AR16" s="143">
        <f t="shared" ca="1" si="19"/>
        <v>0.15659454451919214</v>
      </c>
      <c r="AS16" s="143">
        <f t="shared" ca="1" si="19"/>
        <v>-0.19001514569508191</v>
      </c>
      <c r="AT16" s="143">
        <f t="shared" ca="1" si="19"/>
        <v>0.23239971504351237</v>
      </c>
      <c r="AU16" s="143">
        <f t="shared" ca="1" si="19"/>
        <v>0.45721340832019353</v>
      </c>
      <c r="AV16" s="143">
        <f t="shared" ca="1" si="19"/>
        <v>-7.4764234283307418E-2</v>
      </c>
      <c r="AW16" s="143">
        <f t="shared" ca="1" si="19"/>
        <v>0.11361985441773075</v>
      </c>
      <c r="AX16" s="143">
        <f t="shared" ca="1" si="19"/>
        <v>0.33102815694065529</v>
      </c>
      <c r="AY16" s="143">
        <f t="shared" ca="1" si="19"/>
        <v>0.11002774425367881</v>
      </c>
      <c r="AZ16" s="143">
        <f t="shared" ca="1" si="19"/>
        <v>0.18487386737562322</v>
      </c>
      <c r="BA16" s="143">
        <f t="shared" ca="1" si="19"/>
        <v>2.602711000349156E-2</v>
      </c>
      <c r="BB16" s="143">
        <f t="shared" ca="1" si="19"/>
        <v>0.12715196810001944</v>
      </c>
      <c r="BC16" s="143">
        <f t="shared" ca="1" si="19"/>
        <v>0.23078403420990845</v>
      </c>
      <c r="BD16" s="143">
        <f t="shared" ca="1" si="19"/>
        <v>0.30996113471609876</v>
      </c>
      <c r="BE16" s="143">
        <f t="shared" ca="1" si="19"/>
        <v>0.39941288336164271</v>
      </c>
      <c r="BF16" s="143">
        <f t="shared" ca="1" si="19"/>
        <v>0.35553509439785158</v>
      </c>
      <c r="BG16" s="143">
        <f t="shared" ca="1" si="19"/>
        <v>7.2736305173252871E-2</v>
      </c>
      <c r="BH16" s="143">
        <f t="shared" ca="1" si="19"/>
        <v>-9.3274085090460229E-3</v>
      </c>
      <c r="BI16" s="143">
        <f t="shared" ca="1" si="19"/>
        <v>8.2446158502020916E-2</v>
      </c>
      <c r="BJ16" s="143">
        <f t="shared" ca="1" si="19"/>
        <v>0.51496997078324569</v>
      </c>
      <c r="BK16" s="143">
        <f t="shared" ca="1" si="19"/>
        <v>0.1016825208115904</v>
      </c>
      <c r="BL16" s="143">
        <f t="shared" ca="1" si="19"/>
        <v>0.27236523663459855</v>
      </c>
      <c r="BM16" s="143">
        <f t="shared" ca="1" si="19"/>
        <v>0.39409173109944595</v>
      </c>
      <c r="BN16" s="143">
        <f t="shared" ca="1" si="19"/>
        <v>0.15019733836025351</v>
      </c>
      <c r="BO16" s="143">
        <f t="shared" ca="1" si="19"/>
        <v>-0.40506272469738924</v>
      </c>
      <c r="BP16" s="143">
        <f t="shared" ca="1" si="19"/>
        <v>0.31353483235561663</v>
      </c>
      <c r="BQ16" s="143">
        <f t="shared" ca="1" si="19"/>
        <v>0.28870615474285477</v>
      </c>
      <c r="BR16" s="143">
        <f t="shared" ca="1" si="19"/>
        <v>5.9059924548882321E-2</v>
      </c>
      <c r="BS16" s="143">
        <f t="shared" ca="1" si="19"/>
        <v>0.29336040068005448</v>
      </c>
      <c r="BT16" s="143">
        <f t="shared" ca="1" si="19"/>
        <v>-6.4303980715854359E-2</v>
      </c>
      <c r="BU16" s="143">
        <f t="shared" ca="1" si="19"/>
        <v>-0.1286136058678832</v>
      </c>
      <c r="BV16" s="143">
        <f t="shared" ca="1" si="19"/>
        <v>1.412214717281729E-3</v>
      </c>
      <c r="BW16" s="143">
        <f t="shared" ca="1" si="19"/>
        <v>2.1424886439787794E-2</v>
      </c>
      <c r="BX16" s="143">
        <f t="shared" ca="1" si="19"/>
        <v>0.26136953837323246</v>
      </c>
      <c r="BY16" s="143">
        <f t="shared" ca="1" si="19"/>
        <v>0.18235869047173292</v>
      </c>
      <c r="BZ16" s="143">
        <f t="shared" ca="1" si="19"/>
        <v>7.6727794492347595E-2</v>
      </c>
      <c r="CA16" s="143">
        <f t="shared" ca="1" si="17"/>
        <v>-0.46784540602861935</v>
      </c>
      <c r="CB16" s="143">
        <f t="shared" ca="1" si="17"/>
        <v>1.2755451837376724E-2</v>
      </c>
      <c r="CC16" s="143">
        <f t="shared" ca="1" si="17"/>
        <v>0.31020199353456179</v>
      </c>
      <c r="CD16" s="143">
        <f t="shared" ca="1" si="17"/>
        <v>2.1831648353626332E-2</v>
      </c>
      <c r="CE16" s="143">
        <f t="shared" ca="1" si="17"/>
        <v>0.12842106279882212</v>
      </c>
      <c r="CF16" s="143">
        <f t="shared" ca="1" si="17"/>
        <v>-6.5516019640525364E-2</v>
      </c>
      <c r="CG16" s="143">
        <f t="shared" ca="1" si="17"/>
        <v>1.2412207879611309E-2</v>
      </c>
      <c r="CH16" s="143">
        <f t="shared" ca="1" si="17"/>
        <v>0.22656956703158951</v>
      </c>
      <c r="CI16" s="143">
        <f t="shared" ca="1" si="17"/>
        <v>0.31450691295402167</v>
      </c>
      <c r="CJ16" s="143">
        <f t="shared" ca="1" si="17"/>
        <v>6.3851607194986032E-2</v>
      </c>
      <c r="CK16" s="143">
        <f t="shared" ca="1" si="17"/>
        <v>-7.6360916993626404E-2</v>
      </c>
      <c r="CL16" s="143">
        <f t="shared" ca="1" si="17"/>
        <v>6.5778762396584547E-2</v>
      </c>
      <c r="CM16" s="143">
        <f t="shared" ca="1" si="17"/>
        <v>0.14776791778277953</v>
      </c>
      <c r="CN16" s="143">
        <f t="shared" ca="1" si="17"/>
        <v>0.24783373750105761</v>
      </c>
      <c r="CO16" s="143">
        <f t="shared" ca="1" si="17"/>
        <v>3.2621617937708708E-2</v>
      </c>
      <c r="CP16" s="143">
        <f t="shared" ca="1" si="17"/>
        <v>-3.3619344529382117E-3</v>
      </c>
      <c r="CQ16" s="143">
        <f t="shared" ca="1" si="17"/>
        <v>0.17343162224046288</v>
      </c>
      <c r="CR16" s="143">
        <f t="shared" ca="1" si="17"/>
        <v>0.21421293603848723</v>
      </c>
      <c r="CS16" s="143">
        <f t="shared" ca="1" si="17"/>
        <v>-2.2844703933182081E-2</v>
      </c>
      <c r="CT16" s="143">
        <f t="shared" ca="1" si="17"/>
        <v>2.1976061636335878E-2</v>
      </c>
      <c r="CU16" s="143">
        <f t="shared" ca="1" si="17"/>
        <v>6.35795240220349E-2</v>
      </c>
      <c r="CV16" s="143">
        <f t="shared" ca="1" si="17"/>
        <v>0.46498614590282994</v>
      </c>
      <c r="CW16" s="143">
        <f t="shared" ca="1" si="17"/>
        <v>0.15567035258270473</v>
      </c>
      <c r="CX16" s="143">
        <f t="shared" ca="1" si="17"/>
        <v>4.1359228068447842E-2</v>
      </c>
      <c r="CY16" s="143">
        <f t="shared" ca="1" si="17"/>
        <v>0.23328866986209046</v>
      </c>
      <c r="CZ16" s="143">
        <f t="shared" ca="1" si="17"/>
        <v>0.18657046651165021</v>
      </c>
      <c r="DA16" s="143">
        <f t="shared" ca="1" si="17"/>
        <v>0.128156779548318</v>
      </c>
      <c r="DB16" s="143">
        <f t="shared" ca="1" si="17"/>
        <v>-0.11377280600196052</v>
      </c>
      <c r="DC16" s="143">
        <f t="shared" ca="1" si="17"/>
        <v>-2.3416056572133415E-2</v>
      </c>
      <c r="DD16" s="143">
        <f t="shared" ca="1" si="17"/>
        <v>-4.2423454545995248E-2</v>
      </c>
      <c r="DE16" s="143">
        <f t="shared" ca="1" si="17"/>
        <v>0.37473382935069233</v>
      </c>
      <c r="DF16" s="143">
        <f t="shared" ca="1" si="17"/>
        <v>0.26077556419046316</v>
      </c>
      <c r="DG16" s="143">
        <f t="shared" ca="1" si="17"/>
        <v>0.20531131450214921</v>
      </c>
      <c r="DH16" s="143">
        <f t="shared" ca="1" si="17"/>
        <v>0.35742738724215162</v>
      </c>
      <c r="DI16" s="143">
        <f t="shared" ca="1" si="17"/>
        <v>0.18630319892371461</v>
      </c>
      <c r="DK16" s="115">
        <f t="shared" si="8"/>
        <v>65</v>
      </c>
      <c r="DL16" s="143">
        <f t="shared" ca="1" si="6"/>
        <v>4.0488952068614886E-2</v>
      </c>
      <c r="DM16" s="143">
        <f t="shared" ca="1" si="20"/>
        <v>9.306038600677477E-2</v>
      </c>
      <c r="DN16" s="143">
        <f t="shared" ca="1" si="20"/>
        <v>6.7142748984075143E-3</v>
      </c>
      <c r="DO16" s="143">
        <f t="shared" ca="1" si="20"/>
        <v>-3.9404675821540898E-2</v>
      </c>
      <c r="DP16" s="143">
        <f t="shared" ca="1" si="20"/>
        <v>-4.7771573293960909E-3</v>
      </c>
      <c r="DQ16" s="143">
        <f t="shared" ca="1" si="20"/>
        <v>0.15368243067732354</v>
      </c>
      <c r="DR16" s="143">
        <f t="shared" ca="1" si="20"/>
        <v>9.5067981075428382E-2</v>
      </c>
      <c r="DS16" s="143">
        <f t="shared" ca="1" si="20"/>
        <v>3.2447513053002794E-2</v>
      </c>
      <c r="DT16" s="143">
        <f t="shared" ca="1" si="20"/>
        <v>4.0665485255652729E-2</v>
      </c>
      <c r="DU16" s="143">
        <f t="shared" ca="1" si="20"/>
        <v>2.4976446597384763E-2</v>
      </c>
      <c r="DV16" s="143">
        <f t="shared" ca="1" si="20"/>
        <v>9.3075252057749192E-2</v>
      </c>
      <c r="DW16" s="143">
        <f t="shared" ca="1" si="20"/>
        <v>-5.6519144945638422E-3</v>
      </c>
      <c r="DX16" s="143">
        <f t="shared" ca="1" si="20"/>
        <v>9.7120045435039895E-2</v>
      </c>
      <c r="DY16" s="143">
        <f t="shared" ca="1" si="20"/>
        <v>0.1360662474017236</v>
      </c>
      <c r="DZ16" s="143">
        <f t="shared" ca="1" si="20"/>
        <v>1.5268830730508984E-2</v>
      </c>
      <c r="EA16" s="143">
        <f t="shared" ca="1" si="20"/>
        <v>9.5569206132153833E-2</v>
      </c>
      <c r="EB16" s="143">
        <f t="shared" ca="1" si="20"/>
        <v>5.5023902741795569E-2</v>
      </c>
      <c r="EC16" s="143">
        <f t="shared" ca="1" si="20"/>
        <v>7.2598530468442016E-2</v>
      </c>
      <c r="ED16" s="143">
        <f t="shared" ca="1" si="20"/>
        <v>-1.8455414860204016E-2</v>
      </c>
      <c r="EE16" s="143">
        <f t="shared" ca="1" si="20"/>
        <v>7.0786696220977413E-2</v>
      </c>
      <c r="EF16" s="143">
        <f t="shared" ca="1" si="20"/>
        <v>0.14772187834926931</v>
      </c>
      <c r="EG16" s="143">
        <f t="shared" ca="1" si="20"/>
        <v>4.8565092042640853E-2</v>
      </c>
      <c r="EH16" s="143">
        <f t="shared" ca="1" si="20"/>
        <v>5.0597569220722657E-2</v>
      </c>
      <c r="EI16" s="143">
        <f t="shared" ca="1" si="20"/>
        <v>0.10592985024224548</v>
      </c>
      <c r="EJ16" s="143">
        <f t="shared" ca="1" si="20"/>
        <v>0.10287702627004028</v>
      </c>
      <c r="EK16" s="143">
        <f t="shared" ca="1" si="20"/>
        <v>4.9924409948057226E-2</v>
      </c>
      <c r="EL16" s="143">
        <f t="shared" ca="1" si="20"/>
        <v>0.17286209348143455</v>
      </c>
      <c r="EM16" s="143">
        <f t="shared" ca="1" si="20"/>
        <v>4.2054219583419171E-2</v>
      </c>
      <c r="EN16" s="143">
        <f t="shared" ca="1" si="20"/>
        <v>7.6687762678361179E-2</v>
      </c>
      <c r="EO16" s="143">
        <f t="shared" ca="1" si="20"/>
        <v>2.1498028132320334E-2</v>
      </c>
      <c r="EP16" s="143">
        <f t="shared" ca="1" si="20"/>
        <v>5.7169478059305376E-2</v>
      </c>
      <c r="EQ16" s="143">
        <f t="shared" ca="1" si="20"/>
        <v>-5.7147404044038258E-4</v>
      </c>
      <c r="ER16" s="143">
        <f t="shared" ca="1" si="20"/>
        <v>0.13009138417959687</v>
      </c>
      <c r="ES16" s="143">
        <f t="shared" ca="1" si="20"/>
        <v>9.5613857701737304E-2</v>
      </c>
      <c r="ET16" s="143">
        <f t="shared" ca="1" si="20"/>
        <v>5.971152665462498E-2</v>
      </c>
      <c r="EU16" s="143">
        <f t="shared" ca="1" si="20"/>
        <v>5.2748295925206488E-2</v>
      </c>
      <c r="EV16" s="143">
        <f t="shared" ca="1" si="20"/>
        <v>-7.7611448185035209E-2</v>
      </c>
      <c r="EW16" s="143">
        <f t="shared" ca="1" si="20"/>
        <v>-1.8287829121760919E-2</v>
      </c>
      <c r="EX16" s="143">
        <f t="shared" ca="1" si="20"/>
        <v>2.1776294046640738E-2</v>
      </c>
      <c r="EY16" s="143">
        <f t="shared" ca="1" si="20"/>
        <v>0.11426832283754532</v>
      </c>
      <c r="EZ16" s="143">
        <f t="shared" ca="1" si="20"/>
        <v>9.5706850650257719E-2</v>
      </c>
      <c r="FA16" s="143">
        <f t="shared" ca="1" si="20"/>
        <v>-1.4463974954284378E-2</v>
      </c>
      <c r="FB16" s="143">
        <f t="shared" ca="1" si="20"/>
        <v>9.7057852227144331E-2</v>
      </c>
      <c r="FC16" s="143">
        <f t="shared" ca="1" si="20"/>
        <v>5.6386335629969843E-2</v>
      </c>
      <c r="FD16" s="143">
        <f t="shared" ca="1" si="20"/>
        <v>-7.4043670268593015E-2</v>
      </c>
      <c r="FE16" s="143">
        <f t="shared" ca="1" si="20"/>
        <v>-3.7819820021503976E-2</v>
      </c>
      <c r="FF16" s="143">
        <f t="shared" ca="1" si="20"/>
        <v>0.19264186447370579</v>
      </c>
      <c r="FG16" s="143">
        <f t="shared" ca="1" si="20"/>
        <v>3.6332138288125593E-2</v>
      </c>
      <c r="FH16" s="143">
        <f t="shared" ca="1" si="20"/>
        <v>7.9887303033636239E-2</v>
      </c>
      <c r="FI16" s="143">
        <f t="shared" ca="1" si="20"/>
        <v>-0.13428325126800897</v>
      </c>
      <c r="FJ16" s="143">
        <f t="shared" ca="1" si="20"/>
        <v>-4.2348436017817091E-2</v>
      </c>
      <c r="FK16" s="143">
        <f t="shared" ca="1" si="20"/>
        <v>0.25384602793234612</v>
      </c>
      <c r="FL16" s="143">
        <f t="shared" ca="1" si="20"/>
        <v>1.9972815792473651E-2</v>
      </c>
      <c r="FM16" s="143">
        <f t="shared" ca="1" si="20"/>
        <v>0.11945773209707505</v>
      </c>
      <c r="FN16" s="143">
        <f t="shared" ca="1" si="20"/>
        <v>7.0151253748454878E-2</v>
      </c>
      <c r="FO16" s="143">
        <f t="shared" ca="1" si="20"/>
        <v>0.17855568220296497</v>
      </c>
      <c r="FP16" s="143">
        <f t="shared" ca="1" si="20"/>
        <v>-6.0235149470881259E-2</v>
      </c>
      <c r="FQ16" s="143">
        <f t="shared" ca="1" si="20"/>
        <v>0.12197619043728911</v>
      </c>
      <c r="FR16" s="143">
        <f t="shared" ca="1" si="20"/>
        <v>2.6142113748065923E-2</v>
      </c>
      <c r="FS16" s="143">
        <f t="shared" ca="1" si="20"/>
        <v>5.3578785940797451E-2</v>
      </c>
      <c r="FT16" s="143">
        <f t="shared" ca="1" si="20"/>
        <v>5.9554466329294592E-2</v>
      </c>
      <c r="FU16" s="143">
        <f t="shared" ca="1" si="20"/>
        <v>2.0429971888671551E-2</v>
      </c>
      <c r="FV16" s="143">
        <f t="shared" ca="1" si="20"/>
        <v>5.2814381467599161E-2</v>
      </c>
      <c r="FW16" s="143">
        <f t="shared" ca="1" si="20"/>
        <v>0.12342311812899834</v>
      </c>
      <c r="FX16" s="143">
        <f t="shared" ca="1" si="20"/>
        <v>-2.5044864555821951E-2</v>
      </c>
      <c r="FY16" s="143">
        <f t="shared" ca="1" si="18"/>
        <v>-6.3462385040271768E-2</v>
      </c>
      <c r="FZ16" s="143">
        <f t="shared" ca="1" si="18"/>
        <v>5.4703605953267953E-3</v>
      </c>
      <c r="GA16" s="143">
        <f t="shared" ca="1" si="18"/>
        <v>2.7455656183134475E-3</v>
      </c>
      <c r="GB16" s="143">
        <f t="shared" ca="1" si="18"/>
        <v>-4.431509377234185E-2</v>
      </c>
      <c r="GC16" s="143">
        <f t="shared" ca="1" si="18"/>
        <v>-5.4851268219175166E-2</v>
      </c>
      <c r="GD16" s="143">
        <f t="shared" ca="1" si="18"/>
        <v>0.16957802367560179</v>
      </c>
      <c r="GE16" s="143">
        <f t="shared" ca="1" si="18"/>
        <v>-1.0903009774765327E-4</v>
      </c>
      <c r="GF16" s="143">
        <f t="shared" ca="1" si="18"/>
        <v>6.3874812229618896E-2</v>
      </c>
      <c r="GG16" s="143">
        <f t="shared" ca="1" si="18"/>
        <v>4.2195831333143752E-2</v>
      </c>
      <c r="GH16" s="143">
        <f t="shared" ca="1" si="18"/>
        <v>0.10368369904266568</v>
      </c>
      <c r="GI16" s="143">
        <f t="shared" ca="1" si="18"/>
        <v>3.6742818422881081E-2</v>
      </c>
      <c r="GJ16" s="143">
        <f t="shared" ca="1" si="18"/>
        <v>-2.4881387584402219E-2</v>
      </c>
      <c r="GK16" s="143">
        <f t="shared" ca="1" si="18"/>
        <v>4.3719447279271351E-2</v>
      </c>
      <c r="GL16" s="143">
        <f t="shared" ca="1" si="18"/>
        <v>8.9979245002832886E-2</v>
      </c>
      <c r="GM16" s="143">
        <f t="shared" ca="1" si="18"/>
        <v>-1.6459045539940327E-2</v>
      </c>
      <c r="GN16" s="143">
        <f t="shared" ca="1" si="18"/>
        <v>1.4610886227057328E-2</v>
      </c>
      <c r="GO16" s="143">
        <f t="shared" ca="1" si="18"/>
        <v>9.0344630479052557E-2</v>
      </c>
      <c r="GP16" s="143">
        <f t="shared" ca="1" si="18"/>
        <v>3.5779024724531733E-2</v>
      </c>
      <c r="GQ16" s="143">
        <f t="shared" ca="1" si="18"/>
        <v>6.2026593210185332E-2</v>
      </c>
      <c r="GR16" s="143">
        <f t="shared" ca="1" si="18"/>
        <v>2.8104097705618215E-2</v>
      </c>
      <c r="GS16" s="143">
        <f t="shared" ca="1" si="18"/>
        <v>0.11171002254125503</v>
      </c>
      <c r="GT16" s="143">
        <f t="shared" ca="1" si="18"/>
        <v>-7.1436538960575224E-2</v>
      </c>
      <c r="GU16" s="143">
        <f t="shared" ca="1" si="18"/>
        <v>3.9950871009537717E-2</v>
      </c>
      <c r="GV16" s="143">
        <f t="shared" ca="1" si="18"/>
        <v>0.13787669745830478</v>
      </c>
      <c r="GW16" s="143">
        <f t="shared" ca="1" si="18"/>
        <v>2.2217572356485655E-2</v>
      </c>
      <c r="GX16" s="143">
        <f t="shared" ca="1" si="18"/>
        <v>-2.1565023497052797E-2</v>
      </c>
      <c r="GY16" s="143">
        <f t="shared" ca="1" si="18"/>
        <v>5.3069291181011856E-2</v>
      </c>
      <c r="GZ16" s="143">
        <f t="shared" ca="1" si="18"/>
        <v>-8.3731224697248044E-3</v>
      </c>
      <c r="HA16" s="143">
        <f t="shared" ca="1" si="18"/>
        <v>-5.3874568279237332E-2</v>
      </c>
      <c r="HB16" s="143">
        <f t="shared" ca="1" si="18"/>
        <v>-1.0461896467926543E-2</v>
      </c>
      <c r="HC16" s="143">
        <f t="shared" ca="1" si="18"/>
        <v>-2.542012941958683E-2</v>
      </c>
      <c r="HD16" s="143">
        <f t="shared" ca="1" si="18"/>
        <v>4.0957379564324423E-2</v>
      </c>
      <c r="HE16" s="143">
        <f t="shared" ca="1" si="18"/>
        <v>-2.99592934160628E-2</v>
      </c>
      <c r="HF16" s="143">
        <f t="shared" ca="1" si="18"/>
        <v>1.9028301343062562E-2</v>
      </c>
      <c r="HG16" s="143">
        <f t="shared" ca="1" si="18"/>
        <v>2.9646371135637738E-2</v>
      </c>
    </row>
    <row r="17" spans="1:215">
      <c r="A17" s="90">
        <v>1943</v>
      </c>
      <c r="B17" s="84">
        <v>0.25061310133060394</v>
      </c>
      <c r="C17" s="85">
        <v>1.3796999999999999</v>
      </c>
      <c r="D17" s="83">
        <f t="shared" si="4"/>
        <v>0.47643048106448305</v>
      </c>
      <c r="E17" s="85"/>
      <c r="F17" s="85"/>
      <c r="G17" s="85">
        <v>3.8E-3</v>
      </c>
      <c r="H17" s="85">
        <v>2.4899999999999999E-2</v>
      </c>
      <c r="I17" s="85">
        <v>8.044670060105924E-2</v>
      </c>
      <c r="J17" s="85">
        <v>0</v>
      </c>
      <c r="M17" s="115">
        <f t="shared" si="7"/>
        <v>66</v>
      </c>
      <c r="N17" s="143">
        <f t="shared" ca="1" si="5"/>
        <v>0.27061733975103053</v>
      </c>
      <c r="O17" s="143">
        <f t="shared" ca="1" si="19"/>
        <v>0.16878627662179102</v>
      </c>
      <c r="P17" s="143">
        <f t="shared" ca="1" si="19"/>
        <v>0.26633429022813843</v>
      </c>
      <c r="Q17" s="143">
        <f t="shared" ca="1" si="19"/>
        <v>0.18662992681791241</v>
      </c>
      <c r="R17" s="143">
        <f t="shared" ca="1" si="19"/>
        <v>0.13127144715835604</v>
      </c>
      <c r="S17" s="143">
        <f t="shared" ca="1" si="19"/>
        <v>-8.7174151739315781E-2</v>
      </c>
      <c r="T17" s="143">
        <f t="shared" ca="1" si="19"/>
        <v>0.42403369573426242</v>
      </c>
      <c r="U17" s="143">
        <f t="shared" ca="1" si="19"/>
        <v>0.16151859301357607</v>
      </c>
      <c r="V17" s="143">
        <f t="shared" ca="1" si="19"/>
        <v>0.14695710608889317</v>
      </c>
      <c r="W17" s="143">
        <f t="shared" ca="1" si="19"/>
        <v>0.22005459593588927</v>
      </c>
      <c r="X17" s="143">
        <f t="shared" ca="1" si="19"/>
        <v>0.3894625387068843</v>
      </c>
      <c r="Y17" s="143">
        <f t="shared" ca="1" si="19"/>
        <v>-0.22311081396524771</v>
      </c>
      <c r="Z17" s="143">
        <f t="shared" ca="1" si="19"/>
        <v>0.17743994649730149</v>
      </c>
      <c r="AA17" s="143">
        <f t="shared" ca="1" si="19"/>
        <v>0.38646114553509503</v>
      </c>
      <c r="AB17" s="143">
        <f t="shared" ca="1" si="19"/>
        <v>-9.540135996999638E-2</v>
      </c>
      <c r="AC17" s="143">
        <f t="shared" ca="1" si="19"/>
        <v>0.31755345353204545</v>
      </c>
      <c r="AD17" s="143">
        <f t="shared" ca="1" si="19"/>
        <v>1.1411580522381684E-2</v>
      </c>
      <c r="AE17" s="143">
        <f t="shared" ca="1" si="19"/>
        <v>0.20724756441340697</v>
      </c>
      <c r="AF17" s="143">
        <f t="shared" ca="1" si="19"/>
        <v>-1.9089989600576229E-2</v>
      </c>
      <c r="AG17" s="143">
        <f t="shared" ca="1" si="19"/>
        <v>-1.4849181455161342E-2</v>
      </c>
      <c r="AH17" s="143">
        <f t="shared" ca="1" si="19"/>
        <v>0.32572815814066441</v>
      </c>
      <c r="AI17" s="143">
        <f t="shared" ca="1" si="19"/>
        <v>0.4391780811212006</v>
      </c>
      <c r="AJ17" s="143">
        <f t="shared" ca="1" si="19"/>
        <v>0.27799941235792947</v>
      </c>
      <c r="AK17" s="143">
        <f t="shared" ca="1" si="19"/>
        <v>0.27389870028151497</v>
      </c>
      <c r="AL17" s="143">
        <f t="shared" ca="1" si="19"/>
        <v>4.5964108071315901E-2</v>
      </c>
      <c r="AM17" s="143">
        <f t="shared" ca="1" si="19"/>
        <v>0.19523301376090665</v>
      </c>
      <c r="AN17" s="143">
        <f t="shared" ca="1" si="19"/>
        <v>0.27963704298352976</v>
      </c>
      <c r="AO17" s="143">
        <f t="shared" ca="1" si="19"/>
        <v>0.37291809502219764</v>
      </c>
      <c r="AP17" s="143">
        <f t="shared" ca="1" si="19"/>
        <v>-5.4490756626452419E-3</v>
      </c>
      <c r="AQ17" s="143">
        <f t="shared" ca="1" si="19"/>
        <v>-0.1435029814766963</v>
      </c>
      <c r="AR17" s="143">
        <f t="shared" ca="1" si="19"/>
        <v>0.19132933768966712</v>
      </c>
      <c r="AS17" s="143">
        <f t="shared" ca="1" si="19"/>
        <v>-0.36137109691987268</v>
      </c>
      <c r="AT17" s="143">
        <f t="shared" ca="1" si="19"/>
        <v>0.34645028100877062</v>
      </c>
      <c r="AU17" s="143">
        <f t="shared" ca="1" si="19"/>
        <v>9.7516976382504977E-2</v>
      </c>
      <c r="AV17" s="143">
        <f t="shared" ca="1" si="19"/>
        <v>0.25880949306554946</v>
      </c>
      <c r="AW17" s="143">
        <f t="shared" ca="1" si="19"/>
        <v>0.35838230814917094</v>
      </c>
      <c r="AX17" s="143">
        <f t="shared" ca="1" si="19"/>
        <v>0.15636701692353239</v>
      </c>
      <c r="AY17" s="143">
        <f t="shared" ca="1" si="19"/>
        <v>-0.127827552107799</v>
      </c>
      <c r="AZ17" s="143">
        <f t="shared" ca="1" si="19"/>
        <v>0.22353072054575726</v>
      </c>
      <c r="BA17" s="143">
        <f t="shared" ca="1" si="19"/>
        <v>-4.3576850641434184E-2</v>
      </c>
      <c r="BB17" s="143">
        <f t="shared" ca="1" si="19"/>
        <v>-0.14565386832835581</v>
      </c>
      <c r="BC17" s="143">
        <f t="shared" ca="1" si="19"/>
        <v>-0.15151673959629214</v>
      </c>
      <c r="BD17" s="143">
        <f t="shared" ca="1" si="19"/>
        <v>-0.19737157196945934</v>
      </c>
      <c r="BE17" s="143">
        <f t="shared" ca="1" si="19"/>
        <v>-0.10333608585687343</v>
      </c>
      <c r="BF17" s="143">
        <f t="shared" ca="1" si="19"/>
        <v>9.3035678890728057E-2</v>
      </c>
      <c r="BG17" s="143">
        <f t="shared" ca="1" si="19"/>
        <v>-6.9502506257399149E-2</v>
      </c>
      <c r="BH17" s="143">
        <f t="shared" ca="1" si="19"/>
        <v>9.123090536181061E-2</v>
      </c>
      <c r="BI17" s="143">
        <f t="shared" ca="1" si="19"/>
        <v>0.19717341291625967</v>
      </c>
      <c r="BJ17" s="143">
        <f t="shared" ca="1" si="19"/>
        <v>-8.4214691111959616E-2</v>
      </c>
      <c r="BK17" s="143">
        <f t="shared" ca="1" si="19"/>
        <v>-0.10280300972728346</v>
      </c>
      <c r="BL17" s="143">
        <f t="shared" ca="1" si="19"/>
        <v>8.8442431629948137E-5</v>
      </c>
      <c r="BM17" s="143">
        <f t="shared" ca="1" si="19"/>
        <v>0.16567843993778233</v>
      </c>
      <c r="BN17" s="143">
        <f t="shared" ca="1" si="19"/>
        <v>0.31748177483102474</v>
      </c>
      <c r="BO17" s="143">
        <f t="shared" ca="1" si="19"/>
        <v>0.13313184087311569</v>
      </c>
      <c r="BP17" s="143">
        <f t="shared" ca="1" si="19"/>
        <v>0.24641174098147778</v>
      </c>
      <c r="BQ17" s="143">
        <f t="shared" ca="1" si="19"/>
        <v>-0.13015407617327937</v>
      </c>
      <c r="BR17" s="143">
        <f t="shared" ca="1" si="19"/>
        <v>0.22102105436646158</v>
      </c>
      <c r="BS17" s="143">
        <f t="shared" ca="1" si="19"/>
        <v>-1.4646764459999434E-3</v>
      </c>
      <c r="BT17" s="143">
        <f t="shared" ca="1" si="19"/>
        <v>0.15465100861529096</v>
      </c>
      <c r="BU17" s="143">
        <f t="shared" ca="1" si="19"/>
        <v>0.34916858570586429</v>
      </c>
      <c r="BV17" s="143">
        <f t="shared" ca="1" si="19"/>
        <v>0.1834230359432224</v>
      </c>
      <c r="BW17" s="143">
        <f t="shared" ca="1" si="19"/>
        <v>6.9714720112647705E-2</v>
      </c>
      <c r="BX17" s="143">
        <f t="shared" ca="1" si="19"/>
        <v>0.23765522670291089</v>
      </c>
      <c r="BY17" s="143">
        <f t="shared" ca="1" si="19"/>
        <v>5.6247820887580069E-2</v>
      </c>
      <c r="BZ17" s="143">
        <f t="shared" ref="BZ17:DI20" ca="1" si="21">_xlfn.NORM.INV(RAND(),$B$112,$B$113)</f>
        <v>0.39802781189206393</v>
      </c>
      <c r="CA17" s="143">
        <f t="shared" ca="1" si="21"/>
        <v>-0.28785956586900063</v>
      </c>
      <c r="CB17" s="143">
        <f t="shared" ca="1" si="21"/>
        <v>8.6336343823037648E-2</v>
      </c>
      <c r="CC17" s="143">
        <f t="shared" ca="1" si="21"/>
        <v>0.28798305308989014</v>
      </c>
      <c r="CD17" s="143">
        <f t="shared" ca="1" si="21"/>
        <v>2.0153552307243638E-2</v>
      </c>
      <c r="CE17" s="143">
        <f t="shared" ca="1" si="21"/>
        <v>5.994365877176816E-2</v>
      </c>
      <c r="CF17" s="143">
        <f t="shared" ca="1" si="21"/>
        <v>-0.16671929987795961</v>
      </c>
      <c r="CG17" s="143">
        <f t="shared" ca="1" si="21"/>
        <v>-0.10592446135991665</v>
      </c>
      <c r="CH17" s="143">
        <f t="shared" ca="1" si="21"/>
        <v>0.14494767212132581</v>
      </c>
      <c r="CI17" s="143">
        <f t="shared" ca="1" si="21"/>
        <v>-4.0459261707327665E-3</v>
      </c>
      <c r="CJ17" s="143">
        <f t="shared" ca="1" si="21"/>
        <v>9.9255278942366576E-2</v>
      </c>
      <c r="CK17" s="143">
        <f t="shared" ca="1" si="21"/>
        <v>0.35418856407933641</v>
      </c>
      <c r="CL17" s="143">
        <f t="shared" ca="1" si="21"/>
        <v>0.12418989287990985</v>
      </c>
      <c r="CM17" s="143">
        <f t="shared" ca="1" si="21"/>
        <v>0.38428948735749302</v>
      </c>
      <c r="CN17" s="143">
        <f t="shared" ca="1" si="21"/>
        <v>-9.0799147584153472E-2</v>
      </c>
      <c r="CO17" s="143">
        <f t="shared" ca="1" si="21"/>
        <v>-9.5336446997598828E-2</v>
      </c>
      <c r="CP17" s="143">
        <f t="shared" ca="1" si="21"/>
        <v>-0.16969324961010065</v>
      </c>
      <c r="CQ17" s="143">
        <f t="shared" ca="1" si="21"/>
        <v>0.17448934608745501</v>
      </c>
      <c r="CR17" s="143">
        <f t="shared" ca="1" si="21"/>
        <v>0.33100152380703229</v>
      </c>
      <c r="CS17" s="143">
        <f t="shared" ca="1" si="21"/>
        <v>2.1286656959144973E-2</v>
      </c>
      <c r="CT17" s="143">
        <f t="shared" ca="1" si="21"/>
        <v>0.29338770865365932</v>
      </c>
      <c r="CU17" s="143">
        <f t="shared" ca="1" si="21"/>
        <v>0.25402679441017828</v>
      </c>
      <c r="CV17" s="143">
        <f t="shared" ca="1" si="21"/>
        <v>0.2982661707682942</v>
      </c>
      <c r="CW17" s="143">
        <f t="shared" ca="1" si="21"/>
        <v>-8.2973862015158439E-2</v>
      </c>
      <c r="CX17" s="143">
        <f t="shared" ca="1" si="21"/>
        <v>7.7296811094773349E-2</v>
      </c>
      <c r="CY17" s="143">
        <f t="shared" ca="1" si="21"/>
        <v>0.27154470899174854</v>
      </c>
      <c r="CZ17" s="143">
        <f t="shared" ca="1" si="21"/>
        <v>0.15439550117195866</v>
      </c>
      <c r="DA17" s="143">
        <f t="shared" ca="1" si="21"/>
        <v>-8.6540942446218794E-2</v>
      </c>
      <c r="DB17" s="143">
        <f t="shared" ca="1" si="21"/>
        <v>-0.14229936231547852</v>
      </c>
      <c r="DC17" s="143">
        <f t="shared" ca="1" si="21"/>
        <v>5.9679478210004896E-2</v>
      </c>
      <c r="DD17" s="143">
        <f t="shared" ca="1" si="21"/>
        <v>-1.2817203240991226E-2</v>
      </c>
      <c r="DE17" s="143">
        <f t="shared" ca="1" si="21"/>
        <v>-6.5433815170902826E-2</v>
      </c>
      <c r="DF17" s="143">
        <f t="shared" ca="1" si="21"/>
        <v>-0.23480457384172695</v>
      </c>
      <c r="DG17" s="143">
        <f t="shared" ca="1" si="21"/>
        <v>0.16246880769062855</v>
      </c>
      <c r="DH17" s="143">
        <f t="shared" ca="1" si="21"/>
        <v>0.23096490628597433</v>
      </c>
      <c r="DI17" s="143">
        <f t="shared" ca="1" si="21"/>
        <v>-2.3442200133460905E-2</v>
      </c>
      <c r="DK17" s="115">
        <f t="shared" si="8"/>
        <v>66</v>
      </c>
      <c r="DL17" s="143">
        <f t="shared" ca="1" si="6"/>
        <v>0.11019727009189706</v>
      </c>
      <c r="DM17" s="143">
        <f t="shared" ca="1" si="20"/>
        <v>-7.0913239551027379E-2</v>
      </c>
      <c r="DN17" s="143">
        <f t="shared" ca="1" si="20"/>
        <v>8.4553931273004201E-2</v>
      </c>
      <c r="DO17" s="143">
        <f t="shared" ca="1" si="20"/>
        <v>1.1062692190805648E-2</v>
      </c>
      <c r="DP17" s="143">
        <f t="shared" ca="1" si="20"/>
        <v>2.8194681872868096E-2</v>
      </c>
      <c r="DQ17" s="143">
        <f t="shared" ca="1" si="20"/>
        <v>1.5381997565942149E-3</v>
      </c>
      <c r="DR17" s="143">
        <f t="shared" ca="1" si="20"/>
        <v>6.5241295708495295E-2</v>
      </c>
      <c r="DS17" s="143">
        <f t="shared" ca="1" si="20"/>
        <v>0.1390930123362589</v>
      </c>
      <c r="DT17" s="143">
        <f t="shared" ca="1" si="20"/>
        <v>8.3664616754982865E-2</v>
      </c>
      <c r="DU17" s="143">
        <f t="shared" ca="1" si="20"/>
        <v>0.17257390774457754</v>
      </c>
      <c r="DV17" s="143">
        <f t="shared" ca="1" si="20"/>
        <v>-5.7744734083147724E-2</v>
      </c>
      <c r="DW17" s="143">
        <f t="shared" ca="1" si="20"/>
        <v>-5.4534794355894388E-2</v>
      </c>
      <c r="DX17" s="143">
        <f t="shared" ca="1" si="20"/>
        <v>5.7816169559640238E-2</v>
      </c>
      <c r="DY17" s="143">
        <f t="shared" ca="1" si="20"/>
        <v>-6.1184434397346145E-2</v>
      </c>
      <c r="DZ17" s="143">
        <f t="shared" ca="1" si="20"/>
        <v>0.10183632278268698</v>
      </c>
      <c r="EA17" s="143">
        <f t="shared" ca="1" si="20"/>
        <v>6.1981984200498309E-2</v>
      </c>
      <c r="EB17" s="143">
        <f t="shared" ca="1" si="20"/>
        <v>-6.7539995643388001E-2</v>
      </c>
      <c r="EC17" s="143">
        <f t="shared" ca="1" si="20"/>
        <v>8.5005531627955239E-2</v>
      </c>
      <c r="ED17" s="143">
        <f t="shared" ca="1" si="20"/>
        <v>7.5240807173235086E-2</v>
      </c>
      <c r="EE17" s="143">
        <f t="shared" ca="1" si="20"/>
        <v>-9.5555535903431132E-2</v>
      </c>
      <c r="EF17" s="143">
        <f t="shared" ca="1" si="20"/>
        <v>7.0296237245339649E-2</v>
      </c>
      <c r="EG17" s="143">
        <f t="shared" ca="1" si="20"/>
        <v>1.6710016699444202E-2</v>
      </c>
      <c r="EH17" s="143">
        <f t="shared" ca="1" si="20"/>
        <v>-7.8950787970630737E-2</v>
      </c>
      <c r="EI17" s="143">
        <f t="shared" ca="1" si="20"/>
        <v>0.14266546367819125</v>
      </c>
      <c r="EJ17" s="143">
        <f t="shared" ca="1" si="20"/>
        <v>1.5242342454717166E-2</v>
      </c>
      <c r="EK17" s="143">
        <f t="shared" ca="1" si="20"/>
        <v>0.21435997600137768</v>
      </c>
      <c r="EL17" s="143">
        <f t="shared" ca="1" si="20"/>
        <v>0.14161888509291273</v>
      </c>
      <c r="EM17" s="143">
        <f t="shared" ca="1" si="20"/>
        <v>-3.0348456884071541E-2</v>
      </c>
      <c r="EN17" s="143">
        <f t="shared" ca="1" si="20"/>
        <v>7.1274950542814366E-2</v>
      </c>
      <c r="EO17" s="143">
        <f t="shared" ca="1" si="20"/>
        <v>-2.4396998970317461E-2</v>
      </c>
      <c r="EP17" s="143">
        <f t="shared" ca="1" si="20"/>
        <v>0.10983311049228772</v>
      </c>
      <c r="EQ17" s="143">
        <f t="shared" ca="1" si="20"/>
        <v>7.3519500545712838E-2</v>
      </c>
      <c r="ER17" s="143">
        <f t="shared" ca="1" si="20"/>
        <v>7.6176415787349253E-2</v>
      </c>
      <c r="ES17" s="143">
        <f t="shared" ca="1" si="20"/>
        <v>-7.5061053831679408E-2</v>
      </c>
      <c r="ET17" s="143">
        <f t="shared" ca="1" si="20"/>
        <v>5.0201646717917756E-2</v>
      </c>
      <c r="EU17" s="143">
        <f t="shared" ca="1" si="20"/>
        <v>-1.9527133054162635E-3</v>
      </c>
      <c r="EV17" s="143">
        <f t="shared" ca="1" si="20"/>
        <v>7.1673267912569338E-2</v>
      </c>
      <c r="EW17" s="143">
        <f t="shared" ca="1" si="20"/>
        <v>9.7255234567318036E-2</v>
      </c>
      <c r="EX17" s="143">
        <f t="shared" ca="1" si="20"/>
        <v>-5.2649030446785337E-2</v>
      </c>
      <c r="EY17" s="143">
        <f t="shared" ca="1" si="20"/>
        <v>-6.5362335625269052E-2</v>
      </c>
      <c r="EZ17" s="143">
        <f t="shared" ca="1" si="20"/>
        <v>-3.1816430668326741E-2</v>
      </c>
      <c r="FA17" s="143">
        <f t="shared" ca="1" si="20"/>
        <v>1.5507409937265779E-2</v>
      </c>
      <c r="FB17" s="143">
        <f t="shared" ca="1" si="20"/>
        <v>-3.2422854404028291E-2</v>
      </c>
      <c r="FC17" s="143">
        <f t="shared" ca="1" si="20"/>
        <v>-2.6829254182648976E-4</v>
      </c>
      <c r="FD17" s="143">
        <f t="shared" ca="1" si="20"/>
        <v>7.1629800411302319E-2</v>
      </c>
      <c r="FE17" s="143">
        <f t="shared" ca="1" si="20"/>
        <v>4.4565308501373357E-2</v>
      </c>
      <c r="FF17" s="143">
        <f t="shared" ca="1" si="20"/>
        <v>0.15405922484202136</v>
      </c>
      <c r="FG17" s="143">
        <f t="shared" ca="1" si="20"/>
        <v>2.3170336160634072E-2</v>
      </c>
      <c r="FH17" s="143">
        <f t="shared" ca="1" si="20"/>
        <v>0.1024628279991919</v>
      </c>
      <c r="FI17" s="143">
        <f t="shared" ca="1" si="20"/>
        <v>0.13056993614661647</v>
      </c>
      <c r="FJ17" s="143">
        <f t="shared" ca="1" si="20"/>
        <v>-8.6141913325948172E-2</v>
      </c>
      <c r="FK17" s="143">
        <f t="shared" ca="1" si="20"/>
        <v>9.3391068923513246E-2</v>
      </c>
      <c r="FL17" s="143">
        <f t="shared" ca="1" si="20"/>
        <v>-1.5065143655694509E-2</v>
      </c>
      <c r="FM17" s="143">
        <f t="shared" ca="1" si="20"/>
        <v>4.7816755213120135E-2</v>
      </c>
      <c r="FN17" s="143">
        <f t="shared" ca="1" si="20"/>
        <v>-1.7811744673584519E-2</v>
      </c>
      <c r="FO17" s="143">
        <f t="shared" ca="1" si="20"/>
        <v>6.9467220776944297E-2</v>
      </c>
      <c r="FP17" s="143">
        <f t="shared" ca="1" si="20"/>
        <v>6.4175757909928327E-2</v>
      </c>
      <c r="FQ17" s="143">
        <f t="shared" ca="1" si="20"/>
        <v>0.12002872649775559</v>
      </c>
      <c r="FR17" s="143">
        <f t="shared" ca="1" si="20"/>
        <v>5.1434444961507939E-2</v>
      </c>
      <c r="FS17" s="143">
        <f t="shared" ca="1" si="20"/>
        <v>8.7696521698043178E-2</v>
      </c>
      <c r="FT17" s="143">
        <f t="shared" ca="1" si="20"/>
        <v>9.2592711968728453E-2</v>
      </c>
      <c r="FU17" s="143">
        <f t="shared" ca="1" si="20"/>
        <v>9.765190878864155E-2</v>
      </c>
      <c r="FV17" s="143">
        <f t="shared" ca="1" si="20"/>
        <v>6.2208831975548301E-3</v>
      </c>
      <c r="FW17" s="143">
        <f t="shared" ca="1" si="20"/>
        <v>5.8388541951793077E-2</v>
      </c>
      <c r="FX17" s="143">
        <f t="shared" ref="FX17:HG20" ca="1" si="22">_xlfn.NORM.INV(RAND(),$B$116,$B$117)</f>
        <v>0.14696830138128097</v>
      </c>
      <c r="FY17" s="143">
        <f t="shared" ca="1" si="22"/>
        <v>-1.4927120080032837E-2</v>
      </c>
      <c r="FZ17" s="143">
        <f t="shared" ca="1" si="22"/>
        <v>9.6825275041413361E-2</v>
      </c>
      <c r="GA17" s="143">
        <f t="shared" ca="1" si="22"/>
        <v>0.17592277412806409</v>
      </c>
      <c r="GB17" s="143">
        <f t="shared" ca="1" si="22"/>
        <v>7.4559690513994192E-3</v>
      </c>
      <c r="GC17" s="143">
        <f t="shared" ca="1" si="22"/>
        <v>3.3418764747542018E-3</v>
      </c>
      <c r="GD17" s="143">
        <f t="shared" ca="1" si="22"/>
        <v>5.5930051611392181E-3</v>
      </c>
      <c r="GE17" s="143">
        <f t="shared" ca="1" si="22"/>
        <v>0.20429406397401159</v>
      </c>
      <c r="GF17" s="143">
        <f t="shared" ca="1" si="22"/>
        <v>1.2556115629450124E-2</v>
      </c>
      <c r="GG17" s="143">
        <f t="shared" ca="1" si="22"/>
        <v>5.74519461896245E-2</v>
      </c>
      <c r="GH17" s="143">
        <f t="shared" ca="1" si="22"/>
        <v>2.1096261898676676E-2</v>
      </c>
      <c r="GI17" s="143">
        <f t="shared" ca="1" si="22"/>
        <v>3.4454102308123333E-2</v>
      </c>
      <c r="GJ17" s="143">
        <f t="shared" ca="1" si="22"/>
        <v>5.2140467585888167E-2</v>
      </c>
      <c r="GK17" s="143">
        <f t="shared" ca="1" si="22"/>
        <v>-4.8605406225946425E-2</v>
      </c>
      <c r="GL17" s="143">
        <f t="shared" ca="1" si="22"/>
        <v>6.7363037820893659E-2</v>
      </c>
      <c r="GM17" s="143">
        <f t="shared" ca="1" si="22"/>
        <v>-6.749776653351533E-2</v>
      </c>
      <c r="GN17" s="143">
        <f t="shared" ca="1" si="22"/>
        <v>3.2606400120121906E-2</v>
      </c>
      <c r="GO17" s="143">
        <f t="shared" ca="1" si="22"/>
        <v>-3.7971603511697948E-2</v>
      </c>
      <c r="GP17" s="143">
        <f t="shared" ca="1" si="22"/>
        <v>-5.5846634593169207E-2</v>
      </c>
      <c r="GQ17" s="143">
        <f t="shared" ca="1" si="22"/>
        <v>-1.3809396151268902E-2</v>
      </c>
      <c r="GR17" s="143">
        <f t="shared" ca="1" si="22"/>
        <v>-9.1796321429767624E-3</v>
      </c>
      <c r="GS17" s="143">
        <f t="shared" ca="1" si="22"/>
        <v>7.6547137372322049E-2</v>
      </c>
      <c r="GT17" s="143">
        <f t="shared" ca="1" si="22"/>
        <v>6.9235325278642901E-2</v>
      </c>
      <c r="GU17" s="143">
        <f t="shared" ca="1" si="22"/>
        <v>0.14441852464532925</v>
      </c>
      <c r="GV17" s="143">
        <f t="shared" ca="1" si="22"/>
        <v>9.660748286939648E-2</v>
      </c>
      <c r="GW17" s="143">
        <f t="shared" ca="1" si="22"/>
        <v>5.8562917628755387E-2</v>
      </c>
      <c r="GX17" s="143">
        <f t="shared" ca="1" si="22"/>
        <v>0.15315470699179365</v>
      </c>
      <c r="GY17" s="143">
        <f t="shared" ca="1" si="22"/>
        <v>5.7740769121651152E-2</v>
      </c>
      <c r="GZ17" s="143">
        <f t="shared" ca="1" si="22"/>
        <v>4.1661063873206929E-2</v>
      </c>
      <c r="HA17" s="143">
        <f t="shared" ca="1" si="22"/>
        <v>3.5716480937040759E-2</v>
      </c>
      <c r="HB17" s="143">
        <f t="shared" ca="1" si="22"/>
        <v>0.10011022979063768</v>
      </c>
      <c r="HC17" s="143">
        <f t="shared" ca="1" si="22"/>
        <v>-5.1631849549308446E-2</v>
      </c>
      <c r="HD17" s="143">
        <f t="shared" ca="1" si="22"/>
        <v>0.11707905662054022</v>
      </c>
      <c r="HE17" s="143">
        <f t="shared" ca="1" si="22"/>
        <v>-3.3034620869133134E-2</v>
      </c>
      <c r="HF17" s="143">
        <f t="shared" ca="1" si="22"/>
        <v>8.039682430448028E-2</v>
      </c>
      <c r="HG17" s="143">
        <f t="shared" ca="1" si="22"/>
        <v>2.7837850231910089E-2</v>
      </c>
    </row>
    <row r="18" spans="1:215">
      <c r="A18" s="90">
        <v>1944</v>
      </c>
      <c r="B18" s="84">
        <v>0.19030676949443009</v>
      </c>
      <c r="C18" s="85">
        <v>0.69730000000000003</v>
      </c>
      <c r="D18" s="83">
        <f t="shared" si="4"/>
        <v>0.29170541559554408</v>
      </c>
      <c r="E18" s="85"/>
      <c r="F18" s="85"/>
      <c r="G18" s="85">
        <v>3.8E-3</v>
      </c>
      <c r="H18" s="85">
        <v>2.5776111579070303E-2</v>
      </c>
      <c r="I18" s="85">
        <v>6.5658635882561697E-2</v>
      </c>
      <c r="J18" s="85">
        <v>0</v>
      </c>
      <c r="M18" s="115">
        <f t="shared" si="7"/>
        <v>67</v>
      </c>
      <c r="N18" s="143">
        <f t="shared" ca="1" si="5"/>
        <v>0.32181635035732931</v>
      </c>
      <c r="O18" s="143">
        <f t="shared" ref="O18:BZ21" ca="1" si="23">_xlfn.NORM.INV(RAND(),$B$112,$B$113)</f>
        <v>0.26313214030008597</v>
      </c>
      <c r="P18" s="143">
        <f t="shared" ca="1" si="23"/>
        <v>0.25601754406758626</v>
      </c>
      <c r="Q18" s="143">
        <f t="shared" ca="1" si="23"/>
        <v>7.3523234340732241E-2</v>
      </c>
      <c r="R18" s="143">
        <f t="shared" ca="1" si="23"/>
        <v>-3.2883269753968436E-2</v>
      </c>
      <c r="S18" s="143">
        <f t="shared" ca="1" si="23"/>
        <v>0.25828955449071117</v>
      </c>
      <c r="T18" s="143">
        <f t="shared" ca="1" si="23"/>
        <v>-9.8759167421227256E-2</v>
      </c>
      <c r="U18" s="143">
        <f t="shared" ca="1" si="23"/>
        <v>0.37803441995379927</v>
      </c>
      <c r="V18" s="143">
        <f t="shared" ca="1" si="23"/>
        <v>0.14827808345603655</v>
      </c>
      <c r="W18" s="143">
        <f t="shared" ca="1" si="23"/>
        <v>-8.1275108814697794E-2</v>
      </c>
      <c r="X18" s="143">
        <f t="shared" ca="1" si="23"/>
        <v>-0.2789817018067644</v>
      </c>
      <c r="Y18" s="143">
        <f t="shared" ca="1" si="23"/>
        <v>1.6388136574892576E-2</v>
      </c>
      <c r="Z18" s="143">
        <f t="shared" ca="1" si="23"/>
        <v>-0.18234812190977248</v>
      </c>
      <c r="AA18" s="143">
        <f t="shared" ca="1" si="23"/>
        <v>6.149362703636168E-2</v>
      </c>
      <c r="AB18" s="143">
        <f t="shared" ca="1" si="23"/>
        <v>0.17974896274755991</v>
      </c>
      <c r="AC18" s="143">
        <f t="shared" ca="1" si="23"/>
        <v>0.13598811286550488</v>
      </c>
      <c r="AD18" s="143">
        <f t="shared" ca="1" si="23"/>
        <v>0.4756946323805209</v>
      </c>
      <c r="AE18" s="143">
        <f t="shared" ca="1" si="23"/>
        <v>6.0809885465274022E-2</v>
      </c>
      <c r="AF18" s="143">
        <f t="shared" ca="1" si="23"/>
        <v>-0.14643276325265533</v>
      </c>
      <c r="AG18" s="143">
        <f t="shared" ca="1" si="23"/>
        <v>0.35691743157272149</v>
      </c>
      <c r="AH18" s="143">
        <f t="shared" ca="1" si="23"/>
        <v>4.6821609011690551E-2</v>
      </c>
      <c r="AI18" s="143">
        <f t="shared" ca="1" si="23"/>
        <v>0.15215159445909654</v>
      </c>
      <c r="AJ18" s="143">
        <f t="shared" ca="1" si="23"/>
        <v>-0.22655206341914988</v>
      </c>
      <c r="AK18" s="143">
        <f t="shared" ca="1" si="23"/>
        <v>5.2583172929977967E-2</v>
      </c>
      <c r="AL18" s="143">
        <f t="shared" ca="1" si="23"/>
        <v>0.54479992044267467</v>
      </c>
      <c r="AM18" s="143">
        <f t="shared" ca="1" si="23"/>
        <v>4.2326011181166572E-2</v>
      </c>
      <c r="AN18" s="143">
        <f t="shared" ca="1" si="23"/>
        <v>7.0830660069524348E-2</v>
      </c>
      <c r="AO18" s="143">
        <f t="shared" ca="1" si="23"/>
        <v>0.41652436106492807</v>
      </c>
      <c r="AP18" s="143">
        <f t="shared" ca="1" si="23"/>
        <v>0.3884820541119578</v>
      </c>
      <c r="AQ18" s="143">
        <f t="shared" ca="1" si="23"/>
        <v>0.22141360788359069</v>
      </c>
      <c r="AR18" s="143">
        <f t="shared" ca="1" si="23"/>
        <v>0.2532755810707274</v>
      </c>
      <c r="AS18" s="143">
        <f t="shared" ca="1" si="23"/>
        <v>0.19022287042829117</v>
      </c>
      <c r="AT18" s="143">
        <f t="shared" ca="1" si="23"/>
        <v>-0.19430328724351129</v>
      </c>
      <c r="AU18" s="143">
        <f t="shared" ca="1" si="23"/>
        <v>-1.3528587933433089E-2</v>
      </c>
      <c r="AV18" s="143">
        <f t="shared" ca="1" si="23"/>
        <v>2.1247272318585933E-2</v>
      </c>
      <c r="AW18" s="143">
        <f t="shared" ca="1" si="23"/>
        <v>-2.210255906988047E-2</v>
      </c>
      <c r="AX18" s="143">
        <f t="shared" ca="1" si="23"/>
        <v>-6.6515909035966325E-2</v>
      </c>
      <c r="AY18" s="143">
        <f t="shared" ca="1" si="23"/>
        <v>-8.8937199065568295E-2</v>
      </c>
      <c r="AZ18" s="143">
        <f t="shared" ca="1" si="23"/>
        <v>-0.37304921219080478</v>
      </c>
      <c r="BA18" s="143">
        <f t="shared" ca="1" si="23"/>
        <v>0.11586748843327735</v>
      </c>
      <c r="BB18" s="143">
        <f t="shared" ca="1" si="23"/>
        <v>-0.38233127392388178</v>
      </c>
      <c r="BC18" s="143">
        <f t="shared" ca="1" si="23"/>
        <v>0.27739202786234429</v>
      </c>
      <c r="BD18" s="143">
        <f t="shared" ca="1" si="23"/>
        <v>-2.2453625772436897E-2</v>
      </c>
      <c r="BE18" s="143">
        <f t="shared" ca="1" si="23"/>
        <v>0.2290629421405215</v>
      </c>
      <c r="BF18" s="143">
        <f t="shared" ca="1" si="23"/>
        <v>0.26162415499451402</v>
      </c>
      <c r="BG18" s="143">
        <f t="shared" ca="1" si="23"/>
        <v>-2.6538821099073434E-2</v>
      </c>
      <c r="BH18" s="143">
        <f t="shared" ca="1" si="23"/>
        <v>0.24808637811310572</v>
      </c>
      <c r="BI18" s="143">
        <f t="shared" ca="1" si="23"/>
        <v>0.25045652059686641</v>
      </c>
      <c r="BJ18" s="143">
        <f t="shared" ca="1" si="23"/>
        <v>0.26881262249313642</v>
      </c>
      <c r="BK18" s="143">
        <f t="shared" ca="1" si="23"/>
        <v>-7.3600286503836487E-2</v>
      </c>
      <c r="BL18" s="143">
        <f t="shared" ca="1" si="23"/>
        <v>-0.17135462159093587</v>
      </c>
      <c r="BM18" s="143">
        <f t="shared" ca="1" si="23"/>
        <v>0.20470749004389394</v>
      </c>
      <c r="BN18" s="143">
        <f t="shared" ca="1" si="23"/>
        <v>0.21765547864913318</v>
      </c>
      <c r="BO18" s="143">
        <f t="shared" ca="1" si="23"/>
        <v>0.34622198122501058</v>
      </c>
      <c r="BP18" s="143">
        <f t="shared" ca="1" si="23"/>
        <v>0.40556002134705316</v>
      </c>
      <c r="BQ18" s="143">
        <f t="shared" ca="1" si="23"/>
        <v>0.29371026887608842</v>
      </c>
      <c r="BR18" s="143">
        <f t="shared" ca="1" si="23"/>
        <v>0.31211991004083078</v>
      </c>
      <c r="BS18" s="143">
        <f t="shared" ca="1" si="23"/>
        <v>1.4546361184992404E-2</v>
      </c>
      <c r="BT18" s="143">
        <f t="shared" ca="1" si="23"/>
        <v>0.16128402512574164</v>
      </c>
      <c r="BU18" s="143">
        <f t="shared" ca="1" si="23"/>
        <v>0.23593409102530877</v>
      </c>
      <c r="BV18" s="143">
        <f t="shared" ca="1" si="23"/>
        <v>0.23648041655442567</v>
      </c>
      <c r="BW18" s="143">
        <f t="shared" ca="1" si="23"/>
        <v>-0.18548447525182368</v>
      </c>
      <c r="BX18" s="143">
        <f t="shared" ca="1" si="23"/>
        <v>-0.15002509078060675</v>
      </c>
      <c r="BY18" s="143">
        <f t="shared" ca="1" si="23"/>
        <v>-0.37743606477804581</v>
      </c>
      <c r="BZ18" s="143">
        <f t="shared" ca="1" si="23"/>
        <v>0.4251222534929332</v>
      </c>
      <c r="CA18" s="143">
        <f t="shared" ca="1" si="21"/>
        <v>-2.6644851127556018E-2</v>
      </c>
      <c r="CB18" s="143">
        <f t="shared" ca="1" si="21"/>
        <v>0.39929705656646419</v>
      </c>
      <c r="CC18" s="143">
        <f t="shared" ca="1" si="21"/>
        <v>7.031112943897766E-2</v>
      </c>
      <c r="CD18" s="143">
        <f t="shared" ca="1" si="21"/>
        <v>0.14534469022133609</v>
      </c>
      <c r="CE18" s="143">
        <f t="shared" ca="1" si="21"/>
        <v>5.5016126511330046E-2</v>
      </c>
      <c r="CF18" s="143">
        <f t="shared" ca="1" si="21"/>
        <v>0.26194541382636516</v>
      </c>
      <c r="CG18" s="143">
        <f t="shared" ca="1" si="21"/>
        <v>-7.8815817362626162E-2</v>
      </c>
      <c r="CH18" s="143">
        <f t="shared" ca="1" si="21"/>
        <v>-0.19245229413317147</v>
      </c>
      <c r="CI18" s="143">
        <f t="shared" ca="1" si="21"/>
        <v>0.57653210328308913</v>
      </c>
      <c r="CJ18" s="143">
        <f t="shared" ca="1" si="21"/>
        <v>0.20562772203628957</v>
      </c>
      <c r="CK18" s="143">
        <f t="shared" ca="1" si="21"/>
        <v>-4.2680883978854445E-2</v>
      </c>
      <c r="CL18" s="143">
        <f t="shared" ca="1" si="21"/>
        <v>0.19247155869680577</v>
      </c>
      <c r="CM18" s="143">
        <f t="shared" ca="1" si="21"/>
        <v>0.14564461982710059</v>
      </c>
      <c r="CN18" s="143">
        <f t="shared" ca="1" si="21"/>
        <v>-0.25652399006368543</v>
      </c>
      <c r="CO18" s="143">
        <f t="shared" ca="1" si="21"/>
        <v>-0.1540672564462903</v>
      </c>
      <c r="CP18" s="143">
        <f t="shared" ca="1" si="21"/>
        <v>-9.4204806713827194E-2</v>
      </c>
      <c r="CQ18" s="143">
        <f t="shared" ca="1" si="21"/>
        <v>0.29074565128265994</v>
      </c>
      <c r="CR18" s="143">
        <f t="shared" ca="1" si="21"/>
        <v>-0.10529458569744751</v>
      </c>
      <c r="CS18" s="143">
        <f t="shared" ca="1" si="21"/>
        <v>5.6337638418387237E-3</v>
      </c>
      <c r="CT18" s="143">
        <f t="shared" ca="1" si="21"/>
        <v>-0.10878646667152209</v>
      </c>
      <c r="CU18" s="143">
        <f t="shared" ca="1" si="21"/>
        <v>0.29206740060783998</v>
      </c>
      <c r="CV18" s="143">
        <f t="shared" ca="1" si="21"/>
        <v>-0.14136945211839747</v>
      </c>
      <c r="CW18" s="143">
        <f t="shared" ca="1" si="21"/>
        <v>0.4422451922708569</v>
      </c>
      <c r="CX18" s="143">
        <f t="shared" ca="1" si="21"/>
        <v>0.33703138964632962</v>
      </c>
      <c r="CY18" s="143">
        <f t="shared" ca="1" si="21"/>
        <v>-0.12376903430183148</v>
      </c>
      <c r="CZ18" s="143">
        <f t="shared" ca="1" si="21"/>
        <v>1.3892791732143542E-2</v>
      </c>
      <c r="DA18" s="143">
        <f t="shared" ca="1" si="21"/>
        <v>0.46156016508960696</v>
      </c>
      <c r="DB18" s="143">
        <f t="shared" ca="1" si="21"/>
        <v>0.29256499514663725</v>
      </c>
      <c r="DC18" s="143">
        <f t="shared" ca="1" si="21"/>
        <v>0.30718366408794173</v>
      </c>
      <c r="DD18" s="143">
        <f t="shared" ca="1" si="21"/>
        <v>-0.21109596833042485</v>
      </c>
      <c r="DE18" s="143">
        <f t="shared" ca="1" si="21"/>
        <v>-0.12319165329954213</v>
      </c>
      <c r="DF18" s="143">
        <f t="shared" ca="1" si="21"/>
        <v>0.3605516683455442</v>
      </c>
      <c r="DG18" s="143">
        <f t="shared" ca="1" si="21"/>
        <v>-8.4782179081033388E-2</v>
      </c>
      <c r="DH18" s="143">
        <f t="shared" ca="1" si="21"/>
        <v>3.0143648597803982E-2</v>
      </c>
      <c r="DI18" s="143">
        <f t="shared" ca="1" si="21"/>
        <v>-1.6930827140240384E-2</v>
      </c>
      <c r="DK18" s="115">
        <f t="shared" si="8"/>
        <v>67</v>
      </c>
      <c r="DL18" s="143">
        <f t="shared" ca="1" si="6"/>
        <v>0.14826446353197084</v>
      </c>
      <c r="DM18" s="143">
        <f t="shared" ref="DM18:FX21" ca="1" si="24">_xlfn.NORM.INV(RAND(),$B$116,$B$117)</f>
        <v>0.28632539598877893</v>
      </c>
      <c r="DN18" s="143">
        <f t="shared" ca="1" si="24"/>
        <v>5.3254463011008737E-2</v>
      </c>
      <c r="DO18" s="143">
        <f t="shared" ca="1" si="24"/>
        <v>0.10817019717081944</v>
      </c>
      <c r="DP18" s="143">
        <f t="shared" ca="1" si="24"/>
        <v>-2.1859623996949636E-2</v>
      </c>
      <c r="DQ18" s="143">
        <f t="shared" ca="1" si="24"/>
        <v>-0.12398968675648214</v>
      </c>
      <c r="DR18" s="143">
        <f t="shared" ca="1" si="24"/>
        <v>0.10369960576787374</v>
      </c>
      <c r="DS18" s="143">
        <f t="shared" ca="1" si="24"/>
        <v>0.12544426742519388</v>
      </c>
      <c r="DT18" s="143">
        <f t="shared" ca="1" si="24"/>
        <v>5.7363541638105975E-2</v>
      </c>
      <c r="DU18" s="143">
        <f t="shared" ca="1" si="24"/>
        <v>9.3516856356190087E-2</v>
      </c>
      <c r="DV18" s="143">
        <f t="shared" ca="1" si="24"/>
        <v>0.13376453650154627</v>
      </c>
      <c r="DW18" s="143">
        <f t="shared" ca="1" si="24"/>
        <v>0.11260691530885036</v>
      </c>
      <c r="DX18" s="143">
        <f t="shared" ca="1" si="24"/>
        <v>6.8811126712693127E-3</v>
      </c>
      <c r="DY18" s="143">
        <f t="shared" ca="1" si="24"/>
        <v>-4.1840914371582431E-2</v>
      </c>
      <c r="DZ18" s="143">
        <f t="shared" ca="1" si="24"/>
        <v>9.1627408162327548E-2</v>
      </c>
      <c r="EA18" s="143">
        <f t="shared" ca="1" si="24"/>
        <v>-4.5920965586913866E-2</v>
      </c>
      <c r="EB18" s="143">
        <f t="shared" ca="1" si="24"/>
        <v>7.5552383985232063E-2</v>
      </c>
      <c r="EC18" s="143">
        <f t="shared" ca="1" si="24"/>
        <v>0.1338506807273688</v>
      </c>
      <c r="ED18" s="143">
        <f t="shared" ca="1" si="24"/>
        <v>-1.9328524920606487E-2</v>
      </c>
      <c r="EE18" s="143">
        <f t="shared" ca="1" si="24"/>
        <v>-2.631915735123571E-2</v>
      </c>
      <c r="EF18" s="143">
        <f t="shared" ca="1" si="24"/>
        <v>0.17735203184305917</v>
      </c>
      <c r="EG18" s="143">
        <f t="shared" ca="1" si="24"/>
        <v>6.0080790449937804E-2</v>
      </c>
      <c r="EH18" s="143">
        <f t="shared" ca="1" si="24"/>
        <v>6.6863633311293913E-2</v>
      </c>
      <c r="EI18" s="143">
        <f t="shared" ca="1" si="24"/>
        <v>0.14078712277972849</v>
      </c>
      <c r="EJ18" s="143">
        <f t="shared" ca="1" si="24"/>
        <v>0.16230934316820153</v>
      </c>
      <c r="EK18" s="143">
        <f t="shared" ca="1" si="24"/>
        <v>-7.9896820909216848E-3</v>
      </c>
      <c r="EL18" s="143">
        <f t="shared" ca="1" si="24"/>
        <v>-8.1714639949304863E-2</v>
      </c>
      <c r="EM18" s="143">
        <f t="shared" ca="1" si="24"/>
        <v>-7.3793861284360524E-2</v>
      </c>
      <c r="EN18" s="143">
        <f t="shared" ca="1" si="24"/>
        <v>0.16895790918266729</v>
      </c>
      <c r="EO18" s="143">
        <f t="shared" ca="1" si="24"/>
        <v>5.5883332703285368E-2</v>
      </c>
      <c r="EP18" s="143">
        <f t="shared" ca="1" si="24"/>
        <v>6.9037777887070412E-2</v>
      </c>
      <c r="EQ18" s="143">
        <f t="shared" ca="1" si="24"/>
        <v>-0.13964316487396919</v>
      </c>
      <c r="ER18" s="143">
        <f t="shared" ca="1" si="24"/>
        <v>-2.4463638483015797E-2</v>
      </c>
      <c r="ES18" s="143">
        <f t="shared" ca="1" si="24"/>
        <v>0.13379044415540162</v>
      </c>
      <c r="ET18" s="143">
        <f t="shared" ca="1" si="24"/>
        <v>3.6249834658339468E-2</v>
      </c>
      <c r="EU18" s="143">
        <f t="shared" ca="1" si="24"/>
        <v>-5.9636717731563628E-2</v>
      </c>
      <c r="EV18" s="143">
        <f t="shared" ca="1" si="24"/>
        <v>4.5430003683757471E-2</v>
      </c>
      <c r="EW18" s="143">
        <f t="shared" ca="1" si="24"/>
        <v>5.5863121563791043E-2</v>
      </c>
      <c r="EX18" s="143">
        <f t="shared" ca="1" si="24"/>
        <v>0.15622236448933469</v>
      </c>
      <c r="EY18" s="143">
        <f t="shared" ca="1" si="24"/>
        <v>-0.12744765874373951</v>
      </c>
      <c r="EZ18" s="143">
        <f t="shared" ca="1" si="24"/>
        <v>-7.6716810975138439E-2</v>
      </c>
      <c r="FA18" s="143">
        <f t="shared" ca="1" si="24"/>
        <v>-8.439496418801487E-2</v>
      </c>
      <c r="FB18" s="143">
        <f t="shared" ca="1" si="24"/>
        <v>1.9901175780997926E-2</v>
      </c>
      <c r="FC18" s="143">
        <f t="shared" ca="1" si="24"/>
        <v>2.815607200482205E-2</v>
      </c>
      <c r="FD18" s="143">
        <f t="shared" ca="1" si="24"/>
        <v>4.6140456056136564E-2</v>
      </c>
      <c r="FE18" s="143">
        <f t="shared" ca="1" si="24"/>
        <v>6.4496688115002518E-2</v>
      </c>
      <c r="FF18" s="143">
        <f t="shared" ca="1" si="24"/>
        <v>-7.3146212102805974E-2</v>
      </c>
      <c r="FG18" s="143">
        <f t="shared" ca="1" si="24"/>
        <v>-2.3476210553121941E-2</v>
      </c>
      <c r="FH18" s="143">
        <f t="shared" ca="1" si="24"/>
        <v>-4.8504571153825761E-2</v>
      </c>
      <c r="FI18" s="143">
        <f t="shared" ca="1" si="24"/>
        <v>1.8425102643669717E-2</v>
      </c>
      <c r="FJ18" s="143">
        <f t="shared" ca="1" si="24"/>
        <v>5.4558913615378929E-2</v>
      </c>
      <c r="FK18" s="143">
        <f t="shared" ca="1" si="24"/>
        <v>0.24803252761073161</v>
      </c>
      <c r="FL18" s="143">
        <f t="shared" ca="1" si="24"/>
        <v>8.7800455881724332E-2</v>
      </c>
      <c r="FM18" s="143">
        <f t="shared" ca="1" si="24"/>
        <v>4.6519784387623192E-2</v>
      </c>
      <c r="FN18" s="143">
        <f t="shared" ca="1" si="24"/>
        <v>1.8497636620280682E-2</v>
      </c>
      <c r="FO18" s="143">
        <f t="shared" ca="1" si="24"/>
        <v>8.1163251480320178E-2</v>
      </c>
      <c r="FP18" s="143">
        <f t="shared" ca="1" si="24"/>
        <v>7.7128252395900834E-2</v>
      </c>
      <c r="FQ18" s="143">
        <f t="shared" ca="1" si="24"/>
        <v>0.10158060382545929</v>
      </c>
      <c r="FR18" s="143">
        <f t="shared" ca="1" si="24"/>
        <v>8.0862481142779316E-3</v>
      </c>
      <c r="FS18" s="143">
        <f t="shared" ca="1" si="24"/>
        <v>-6.5725144346568953E-2</v>
      </c>
      <c r="FT18" s="143">
        <f t="shared" ca="1" si="24"/>
        <v>0.12789023809805614</v>
      </c>
      <c r="FU18" s="143">
        <f t="shared" ca="1" si="24"/>
        <v>3.9379721464192281E-2</v>
      </c>
      <c r="FV18" s="143">
        <f t="shared" ca="1" si="24"/>
        <v>-5.4128818092896297E-3</v>
      </c>
      <c r="FW18" s="143">
        <f t="shared" ca="1" si="24"/>
        <v>-3.3051633514798888E-2</v>
      </c>
      <c r="FX18" s="143">
        <f t="shared" ca="1" si="24"/>
        <v>7.4370512836812661E-3</v>
      </c>
      <c r="FY18" s="143">
        <f t="shared" ca="1" si="22"/>
        <v>6.0531441277406943E-2</v>
      </c>
      <c r="FZ18" s="143">
        <f t="shared" ca="1" si="22"/>
        <v>-7.8409701531259243E-3</v>
      </c>
      <c r="GA18" s="143">
        <f t="shared" ca="1" si="22"/>
        <v>-9.6091150594185881E-2</v>
      </c>
      <c r="GB18" s="143">
        <f t="shared" ca="1" si="22"/>
        <v>8.315359296254142E-2</v>
      </c>
      <c r="GC18" s="143">
        <f t="shared" ca="1" si="22"/>
        <v>-3.3990584555759991E-2</v>
      </c>
      <c r="GD18" s="143">
        <f t="shared" ca="1" si="22"/>
        <v>-5.8891715385668196E-2</v>
      </c>
      <c r="GE18" s="143">
        <f t="shared" ca="1" si="22"/>
        <v>1.1342471276444485E-2</v>
      </c>
      <c r="GF18" s="143">
        <f t="shared" ca="1" si="22"/>
        <v>1.7845072742162068E-2</v>
      </c>
      <c r="GG18" s="143">
        <f t="shared" ca="1" si="22"/>
        <v>-9.9506535173522065E-4</v>
      </c>
      <c r="GH18" s="143">
        <f t="shared" ca="1" si="22"/>
        <v>-3.6334175161806155E-2</v>
      </c>
      <c r="GI18" s="143">
        <f t="shared" ca="1" si="22"/>
        <v>2.8317374069542142E-3</v>
      </c>
      <c r="GJ18" s="143">
        <f t="shared" ca="1" si="22"/>
        <v>9.0018040347911776E-2</v>
      </c>
      <c r="GK18" s="143">
        <f t="shared" ca="1" si="22"/>
        <v>-1.8360195465318856E-2</v>
      </c>
      <c r="GL18" s="143">
        <f t="shared" ca="1" si="22"/>
        <v>1.0353890503871969E-2</v>
      </c>
      <c r="GM18" s="143">
        <f t="shared" ca="1" si="22"/>
        <v>3.0659913466837926E-2</v>
      </c>
      <c r="GN18" s="143">
        <f t="shared" ca="1" si="22"/>
        <v>0.17414865192436227</v>
      </c>
      <c r="GO18" s="143">
        <f t="shared" ca="1" si="22"/>
        <v>0.13036099144465185</v>
      </c>
      <c r="GP18" s="143">
        <f t="shared" ca="1" si="22"/>
        <v>1.8825185993283311E-2</v>
      </c>
      <c r="GQ18" s="143">
        <f t="shared" ca="1" si="22"/>
        <v>7.7020222405997374E-3</v>
      </c>
      <c r="GR18" s="143">
        <f t="shared" ca="1" si="22"/>
        <v>-0.12455322372017921</v>
      </c>
      <c r="GS18" s="143">
        <f t="shared" ca="1" si="22"/>
        <v>-9.2191249943980508E-2</v>
      </c>
      <c r="GT18" s="143">
        <f t="shared" ca="1" si="22"/>
        <v>-2.2604310796114351E-2</v>
      </c>
      <c r="GU18" s="143">
        <f t="shared" ca="1" si="22"/>
        <v>2.8114848518675642E-2</v>
      </c>
      <c r="GV18" s="143">
        <f t="shared" ca="1" si="22"/>
        <v>9.9065984300272247E-2</v>
      </c>
      <c r="GW18" s="143">
        <f t="shared" ca="1" si="22"/>
        <v>9.3745728967848052E-2</v>
      </c>
      <c r="GX18" s="143">
        <f t="shared" ca="1" si="22"/>
        <v>0.20775247396809365</v>
      </c>
      <c r="GY18" s="143">
        <f t="shared" ca="1" si="22"/>
        <v>3.2913310791372934E-2</v>
      </c>
      <c r="GZ18" s="143">
        <f t="shared" ca="1" si="22"/>
        <v>-8.3296595104933896E-2</v>
      </c>
      <c r="HA18" s="143">
        <f t="shared" ca="1" si="22"/>
        <v>0.10151045324069854</v>
      </c>
      <c r="HB18" s="143">
        <f t="shared" ca="1" si="22"/>
        <v>-9.7027565016776118E-2</v>
      </c>
      <c r="HC18" s="143">
        <f t="shared" ca="1" si="22"/>
        <v>9.4979943922599397E-2</v>
      </c>
      <c r="HD18" s="143">
        <f t="shared" ca="1" si="22"/>
        <v>0.15773569015814271</v>
      </c>
      <c r="HE18" s="143">
        <f t="shared" ca="1" si="22"/>
        <v>1.2553429486560713E-2</v>
      </c>
      <c r="HF18" s="143">
        <f t="shared" ca="1" si="22"/>
        <v>0.12410310010666786</v>
      </c>
      <c r="HG18" s="143">
        <f t="shared" ca="1" si="22"/>
        <v>-0.14867624440002417</v>
      </c>
    </row>
    <row r="19" spans="1:215">
      <c r="A19" s="90">
        <v>1945</v>
      </c>
      <c r="B19" s="84">
        <v>0.35821084337349401</v>
      </c>
      <c r="C19" s="85">
        <v>0.91090000000000004</v>
      </c>
      <c r="D19" s="83">
        <f t="shared" si="4"/>
        <v>0.46874867469879522</v>
      </c>
      <c r="E19" s="85"/>
      <c r="F19" s="85"/>
      <c r="G19" s="85">
        <v>3.8E-3</v>
      </c>
      <c r="H19" s="85">
        <v>3.8044173419237229E-2</v>
      </c>
      <c r="I19" s="85">
        <v>6.799865477817886E-2</v>
      </c>
      <c r="J19" s="85">
        <v>2.5406203840472763E-2</v>
      </c>
      <c r="M19" s="115">
        <f t="shared" si="7"/>
        <v>68</v>
      </c>
      <c r="N19" s="143">
        <f t="shared" ca="1" si="5"/>
        <v>3.3873833404379966E-2</v>
      </c>
      <c r="O19" s="143">
        <f t="shared" ca="1" si="23"/>
        <v>3.9510847346885793E-2</v>
      </c>
      <c r="P19" s="143">
        <f t="shared" ca="1" si="23"/>
        <v>0.35979108414471961</v>
      </c>
      <c r="Q19" s="143">
        <f t="shared" ca="1" si="23"/>
        <v>-5.939779203555498E-2</v>
      </c>
      <c r="R19" s="143">
        <f t="shared" ca="1" si="23"/>
        <v>-7.3652399866619894E-2</v>
      </c>
      <c r="S19" s="143">
        <f t="shared" ca="1" si="23"/>
        <v>0.21959933485482799</v>
      </c>
      <c r="T19" s="143">
        <f t="shared" ca="1" si="23"/>
        <v>0.25698292964804104</v>
      </c>
      <c r="U19" s="143">
        <f t="shared" ca="1" si="23"/>
        <v>-2.0432327608276624E-2</v>
      </c>
      <c r="V19" s="143">
        <f t="shared" ca="1" si="23"/>
        <v>-0.10559207485378516</v>
      </c>
      <c r="W19" s="143">
        <f t="shared" ca="1" si="23"/>
        <v>1.8312270547616041E-2</v>
      </c>
      <c r="X19" s="143">
        <f t="shared" ca="1" si="23"/>
        <v>4.5274601097053564E-2</v>
      </c>
      <c r="Y19" s="143">
        <f t="shared" ca="1" si="23"/>
        <v>0.16522615193329049</v>
      </c>
      <c r="Z19" s="143">
        <f t="shared" ca="1" si="23"/>
        <v>-4.4262662898916921E-2</v>
      </c>
      <c r="AA19" s="143">
        <f t="shared" ca="1" si="23"/>
        <v>-0.12962779857572762</v>
      </c>
      <c r="AB19" s="143">
        <f t="shared" ca="1" si="23"/>
        <v>-6.2818441453076246E-2</v>
      </c>
      <c r="AC19" s="143">
        <f t="shared" ca="1" si="23"/>
        <v>-0.22592042364465673</v>
      </c>
      <c r="AD19" s="143">
        <f t="shared" ca="1" si="23"/>
        <v>5.7805911997710339E-2</v>
      </c>
      <c r="AE19" s="143">
        <f t="shared" ca="1" si="23"/>
        <v>0.41736361652557297</v>
      </c>
      <c r="AF19" s="143">
        <f t="shared" ca="1" si="23"/>
        <v>0.16467208014516083</v>
      </c>
      <c r="AG19" s="143">
        <f t="shared" ca="1" si="23"/>
        <v>5.3364213654947777E-2</v>
      </c>
      <c r="AH19" s="143">
        <f t="shared" ca="1" si="23"/>
        <v>0.17504405534996315</v>
      </c>
      <c r="AI19" s="143">
        <f t="shared" ca="1" si="23"/>
        <v>-0.24598872330255842</v>
      </c>
      <c r="AJ19" s="143">
        <f t="shared" ca="1" si="23"/>
        <v>3.8597406006813384E-3</v>
      </c>
      <c r="AK19" s="143">
        <f t="shared" ca="1" si="23"/>
        <v>-4.5564636210721765E-2</v>
      </c>
      <c r="AL19" s="143">
        <f t="shared" ca="1" si="23"/>
        <v>-0.14212978605061852</v>
      </c>
      <c r="AM19" s="143">
        <f t="shared" ca="1" si="23"/>
        <v>0.10685972248508438</v>
      </c>
      <c r="AN19" s="143">
        <f t="shared" ca="1" si="23"/>
        <v>2.550173136072699E-2</v>
      </c>
      <c r="AO19" s="143">
        <f t="shared" ca="1" si="23"/>
        <v>0.19011811471103557</v>
      </c>
      <c r="AP19" s="143">
        <f t="shared" ca="1" si="23"/>
        <v>2.3414292188862415E-2</v>
      </c>
      <c r="AQ19" s="143">
        <f t="shared" ca="1" si="23"/>
        <v>0.22053718423414609</v>
      </c>
      <c r="AR19" s="143">
        <f t="shared" ca="1" si="23"/>
        <v>6.3697548134725196E-2</v>
      </c>
      <c r="AS19" s="143">
        <f t="shared" ca="1" si="23"/>
        <v>-0.1770388410581836</v>
      </c>
      <c r="AT19" s="143">
        <f t="shared" ca="1" si="23"/>
        <v>8.2000536505553695E-2</v>
      </c>
      <c r="AU19" s="143">
        <f t="shared" ca="1" si="23"/>
        <v>0.29239981371416607</v>
      </c>
      <c r="AV19" s="143">
        <f t="shared" ca="1" si="23"/>
        <v>1.5452611375524755E-3</v>
      </c>
      <c r="AW19" s="143">
        <f t="shared" ca="1" si="23"/>
        <v>0.15720799140736957</v>
      </c>
      <c r="AX19" s="143">
        <f t="shared" ca="1" si="23"/>
        <v>0.17028443824479667</v>
      </c>
      <c r="AY19" s="143">
        <f t="shared" ca="1" si="23"/>
        <v>-0.13829920230923637</v>
      </c>
      <c r="AZ19" s="143">
        <f t="shared" ca="1" si="23"/>
        <v>0.16322116579510609</v>
      </c>
      <c r="BA19" s="143">
        <f t="shared" ca="1" si="23"/>
        <v>-0.18413194949001119</v>
      </c>
      <c r="BB19" s="143">
        <f t="shared" ca="1" si="23"/>
        <v>8.2168484664235625E-2</v>
      </c>
      <c r="BC19" s="143">
        <f t="shared" ca="1" si="23"/>
        <v>-8.0206811857666344E-2</v>
      </c>
      <c r="BD19" s="143">
        <f t="shared" ca="1" si="23"/>
        <v>0.46488963663371241</v>
      </c>
      <c r="BE19" s="143">
        <f t="shared" ca="1" si="23"/>
        <v>-0.14608810417503534</v>
      </c>
      <c r="BF19" s="143">
        <f t="shared" ca="1" si="23"/>
        <v>0.54962938726169974</v>
      </c>
      <c r="BG19" s="143">
        <f t="shared" ca="1" si="23"/>
        <v>-0.19312360388624014</v>
      </c>
      <c r="BH19" s="143">
        <f t="shared" ca="1" si="23"/>
        <v>0.23547457509571496</v>
      </c>
      <c r="BI19" s="143">
        <f t="shared" ca="1" si="23"/>
        <v>8.9542532952137377E-2</v>
      </c>
      <c r="BJ19" s="143">
        <f t="shared" ca="1" si="23"/>
        <v>0.19537427204913027</v>
      </c>
      <c r="BK19" s="143">
        <f t="shared" ca="1" si="23"/>
        <v>0.25951415077003803</v>
      </c>
      <c r="BL19" s="143">
        <f t="shared" ca="1" si="23"/>
        <v>0.38531051040616171</v>
      </c>
      <c r="BM19" s="143">
        <f t="shared" ca="1" si="23"/>
        <v>0.19164006066088649</v>
      </c>
      <c r="BN19" s="143">
        <f t="shared" ca="1" si="23"/>
        <v>0.57810281088956372</v>
      </c>
      <c r="BO19" s="143">
        <f t="shared" ca="1" si="23"/>
        <v>0.48929382266450627</v>
      </c>
      <c r="BP19" s="143">
        <f t="shared" ca="1" si="23"/>
        <v>0.33745520327238121</v>
      </c>
      <c r="BQ19" s="143">
        <f t="shared" ca="1" si="23"/>
        <v>0.21429713859441041</v>
      </c>
      <c r="BR19" s="143">
        <f t="shared" ca="1" si="23"/>
        <v>0.27370078871822434</v>
      </c>
      <c r="BS19" s="143">
        <f t="shared" ca="1" si="23"/>
        <v>4.8396547219197728E-3</v>
      </c>
      <c r="BT19" s="143">
        <f t="shared" ca="1" si="23"/>
        <v>-2.2857655295206988E-2</v>
      </c>
      <c r="BU19" s="143">
        <f t="shared" ca="1" si="23"/>
        <v>0.36446599225517295</v>
      </c>
      <c r="BV19" s="143">
        <f t="shared" ca="1" si="23"/>
        <v>0.13334524402523146</v>
      </c>
      <c r="BW19" s="143">
        <f t="shared" ca="1" si="23"/>
        <v>8.2648913228428628E-2</v>
      </c>
      <c r="BX19" s="143">
        <f t="shared" ca="1" si="23"/>
        <v>-0.16145529153891117</v>
      </c>
      <c r="BY19" s="143">
        <f t="shared" ca="1" si="23"/>
        <v>-1.3028869191892972E-3</v>
      </c>
      <c r="BZ19" s="143">
        <f t="shared" ca="1" si="23"/>
        <v>-4.3048974818573088E-2</v>
      </c>
      <c r="CA19" s="143">
        <f t="shared" ca="1" si="21"/>
        <v>-0.10684018984564664</v>
      </c>
      <c r="CB19" s="143">
        <f t="shared" ca="1" si="21"/>
        <v>0.10268402761317465</v>
      </c>
      <c r="CC19" s="143">
        <f t="shared" ca="1" si="21"/>
        <v>-0.18581910838356322</v>
      </c>
      <c r="CD19" s="143">
        <f t="shared" ca="1" si="21"/>
        <v>0.36038280742869833</v>
      </c>
      <c r="CE19" s="143">
        <f t="shared" ca="1" si="21"/>
        <v>5.5276502006182837E-2</v>
      </c>
      <c r="CF19" s="143">
        <f t="shared" ca="1" si="21"/>
        <v>0.14848700393080805</v>
      </c>
      <c r="CG19" s="143">
        <f t="shared" ca="1" si="21"/>
        <v>-0.11342506050311932</v>
      </c>
      <c r="CH19" s="143">
        <f t="shared" ca="1" si="21"/>
        <v>6.9333694904456886E-2</v>
      </c>
      <c r="CI19" s="143">
        <f t="shared" ca="1" si="21"/>
        <v>0.23983961314651159</v>
      </c>
      <c r="CJ19" s="143">
        <f t="shared" ca="1" si="21"/>
        <v>-9.0725750960634871E-2</v>
      </c>
      <c r="CK19" s="143">
        <f t="shared" ca="1" si="21"/>
        <v>-0.35364830094694422</v>
      </c>
      <c r="CL19" s="143">
        <f t="shared" ca="1" si="21"/>
        <v>-7.7743119759660251E-2</v>
      </c>
      <c r="CM19" s="143">
        <f t="shared" ca="1" si="21"/>
        <v>8.8184693849366447E-2</v>
      </c>
      <c r="CN19" s="143">
        <f t="shared" ca="1" si="21"/>
        <v>7.5678996035152282E-2</v>
      </c>
      <c r="CO19" s="143">
        <f t="shared" ca="1" si="21"/>
        <v>0.15321076670245681</v>
      </c>
      <c r="CP19" s="143">
        <f t="shared" ca="1" si="21"/>
        <v>0.25320302614955303</v>
      </c>
      <c r="CQ19" s="143">
        <f t="shared" ca="1" si="21"/>
        <v>0.4870240794907682</v>
      </c>
      <c r="CR19" s="143">
        <f t="shared" ca="1" si="21"/>
        <v>8.4381758054126316E-2</v>
      </c>
      <c r="CS19" s="143">
        <f t="shared" ca="1" si="21"/>
        <v>0.17265419709851657</v>
      </c>
      <c r="CT19" s="143">
        <f t="shared" ca="1" si="21"/>
        <v>0.3441073746723845</v>
      </c>
      <c r="CU19" s="143">
        <f t="shared" ca="1" si="21"/>
        <v>0.14021565857796919</v>
      </c>
      <c r="CV19" s="143">
        <f t="shared" ca="1" si="21"/>
        <v>1.9822181127858635E-2</v>
      </c>
      <c r="CW19" s="143">
        <f t="shared" ca="1" si="21"/>
        <v>0.16633542296165435</v>
      </c>
      <c r="CX19" s="143">
        <f t="shared" ca="1" si="21"/>
        <v>-0.17927692527600206</v>
      </c>
      <c r="CY19" s="143">
        <f t="shared" ca="1" si="21"/>
        <v>-0.13766391138907519</v>
      </c>
      <c r="CZ19" s="143">
        <f t="shared" ca="1" si="21"/>
        <v>-0.12197584727919356</v>
      </c>
      <c r="DA19" s="143">
        <f t="shared" ca="1" si="21"/>
        <v>-0.4652424333668933</v>
      </c>
      <c r="DB19" s="143">
        <f t="shared" ca="1" si="21"/>
        <v>-0.15896416575151537</v>
      </c>
      <c r="DC19" s="143">
        <f t="shared" ca="1" si="21"/>
        <v>7.6781932657828636E-2</v>
      </c>
      <c r="DD19" s="143">
        <f t="shared" ca="1" si="21"/>
        <v>-0.16837129724115221</v>
      </c>
      <c r="DE19" s="143">
        <f t="shared" ca="1" si="21"/>
        <v>0.28225622945331347</v>
      </c>
      <c r="DF19" s="143">
        <f t="shared" ca="1" si="21"/>
        <v>-0.25531727024315298</v>
      </c>
      <c r="DG19" s="143">
        <f t="shared" ca="1" si="21"/>
        <v>0.34905874067342946</v>
      </c>
      <c r="DH19" s="143">
        <f t="shared" ca="1" si="21"/>
        <v>0.16192958601751115</v>
      </c>
      <c r="DI19" s="143">
        <f t="shared" ca="1" si="21"/>
        <v>7.3703507936159554E-2</v>
      </c>
      <c r="DK19" s="115">
        <f t="shared" si="8"/>
        <v>68</v>
      </c>
      <c r="DL19" s="143">
        <f t="shared" ca="1" si="6"/>
        <v>1.2789384083888425E-2</v>
      </c>
      <c r="DM19" s="143">
        <f t="shared" ca="1" si="24"/>
        <v>0.14089122970297124</v>
      </c>
      <c r="DN19" s="143">
        <f t="shared" ca="1" si="24"/>
        <v>-2.5071609385380174E-2</v>
      </c>
      <c r="DO19" s="143">
        <f t="shared" ca="1" si="24"/>
        <v>4.4019212031564253E-3</v>
      </c>
      <c r="DP19" s="143">
        <f t="shared" ca="1" si="24"/>
        <v>-1.0334400070882335E-2</v>
      </c>
      <c r="DQ19" s="143">
        <f t="shared" ca="1" si="24"/>
        <v>-8.419012180474103E-2</v>
      </c>
      <c r="DR19" s="143">
        <f t="shared" ca="1" si="24"/>
        <v>-0.14070482373980217</v>
      </c>
      <c r="DS19" s="143">
        <f t="shared" ca="1" si="24"/>
        <v>2.5022509204723702E-2</v>
      </c>
      <c r="DT19" s="143">
        <f t="shared" ca="1" si="24"/>
        <v>0.10799629456891735</v>
      </c>
      <c r="DU19" s="143">
        <f t="shared" ca="1" si="24"/>
        <v>-2.5833849477795524E-2</v>
      </c>
      <c r="DV19" s="143">
        <f t="shared" ca="1" si="24"/>
        <v>-3.0036855036199607E-2</v>
      </c>
      <c r="DW19" s="143">
        <f t="shared" ca="1" si="24"/>
        <v>1.1673518826853267E-2</v>
      </c>
      <c r="DX19" s="143">
        <f t="shared" ca="1" si="24"/>
        <v>5.8630745557637046E-2</v>
      </c>
      <c r="DY19" s="143">
        <f t="shared" ca="1" si="24"/>
        <v>-1.0605115637512583E-2</v>
      </c>
      <c r="DZ19" s="143">
        <f t="shared" ca="1" si="24"/>
        <v>2.2034701649821332E-2</v>
      </c>
      <c r="EA19" s="143">
        <f t="shared" ca="1" si="24"/>
        <v>8.5158705892249942E-2</v>
      </c>
      <c r="EB19" s="143">
        <f t="shared" ca="1" si="24"/>
        <v>0.21060417059218117</v>
      </c>
      <c r="EC19" s="143">
        <f t="shared" ca="1" si="24"/>
        <v>0.14782934965900993</v>
      </c>
      <c r="ED19" s="143">
        <f t="shared" ca="1" si="24"/>
        <v>0.10347945907079101</v>
      </c>
      <c r="EE19" s="143">
        <f t="shared" ca="1" si="24"/>
        <v>7.8719610174132731E-2</v>
      </c>
      <c r="EF19" s="143">
        <f t="shared" ca="1" si="24"/>
        <v>5.9659896603400722E-3</v>
      </c>
      <c r="EG19" s="143">
        <f t="shared" ca="1" si="24"/>
        <v>-0.14026536650716273</v>
      </c>
      <c r="EH19" s="143">
        <f t="shared" ca="1" si="24"/>
        <v>0.23536817672794516</v>
      </c>
      <c r="EI19" s="143">
        <f t="shared" ca="1" si="24"/>
        <v>0.18274680113752056</v>
      </c>
      <c r="EJ19" s="143">
        <f t="shared" ca="1" si="24"/>
        <v>0.17380220994488099</v>
      </c>
      <c r="EK19" s="143">
        <f t="shared" ca="1" si="24"/>
        <v>0.12772669168223424</v>
      </c>
      <c r="EL19" s="143">
        <f t="shared" ca="1" si="24"/>
        <v>4.9578677845375549E-2</v>
      </c>
      <c r="EM19" s="143">
        <f t="shared" ca="1" si="24"/>
        <v>8.2544793454486953E-2</v>
      </c>
      <c r="EN19" s="143">
        <f t="shared" ca="1" si="24"/>
        <v>-6.8271141509912842E-3</v>
      </c>
      <c r="EO19" s="143">
        <f t="shared" ca="1" si="24"/>
        <v>7.1343170821793964E-2</v>
      </c>
      <c r="EP19" s="143">
        <f t="shared" ca="1" si="24"/>
        <v>0.1094479881543836</v>
      </c>
      <c r="EQ19" s="143">
        <f t="shared" ca="1" si="24"/>
        <v>2.5530353269699459E-2</v>
      </c>
      <c r="ER19" s="143">
        <f t="shared" ca="1" si="24"/>
        <v>0.13446131640825454</v>
      </c>
      <c r="ES19" s="143">
        <f t="shared" ca="1" si="24"/>
        <v>0.1704052945845855</v>
      </c>
      <c r="ET19" s="143">
        <f t="shared" ca="1" si="24"/>
        <v>9.9130866290664477E-2</v>
      </c>
      <c r="EU19" s="143">
        <f t="shared" ca="1" si="24"/>
        <v>0.12294188802028988</v>
      </c>
      <c r="EV19" s="143">
        <f t="shared" ca="1" si="24"/>
        <v>-3.2931609550486206E-2</v>
      </c>
      <c r="EW19" s="143">
        <f t="shared" ca="1" si="24"/>
        <v>0.18826379704447208</v>
      </c>
      <c r="EX19" s="143">
        <f t="shared" ca="1" si="24"/>
        <v>8.2568589236484996E-2</v>
      </c>
      <c r="EY19" s="143">
        <f t="shared" ca="1" si="24"/>
        <v>0.12777298978265425</v>
      </c>
      <c r="EZ19" s="143">
        <f t="shared" ca="1" si="24"/>
        <v>8.1804790518084397E-2</v>
      </c>
      <c r="FA19" s="143">
        <f t="shared" ca="1" si="24"/>
        <v>-3.7578998633665824E-2</v>
      </c>
      <c r="FB19" s="143">
        <f t="shared" ca="1" si="24"/>
        <v>8.9606124477539767E-2</v>
      </c>
      <c r="FC19" s="143">
        <f t="shared" ca="1" si="24"/>
        <v>0.17083128261700944</v>
      </c>
      <c r="FD19" s="143">
        <f t="shared" ca="1" si="24"/>
        <v>9.0224963480558432E-2</v>
      </c>
      <c r="FE19" s="143">
        <f t="shared" ca="1" si="24"/>
        <v>3.3287912420691686E-2</v>
      </c>
      <c r="FF19" s="143">
        <f t="shared" ca="1" si="24"/>
        <v>5.1847413554780224E-2</v>
      </c>
      <c r="FG19" s="143">
        <f t="shared" ca="1" si="24"/>
        <v>-3.3272189930223788E-2</v>
      </c>
      <c r="FH19" s="143">
        <f t="shared" ca="1" si="24"/>
        <v>1.2961838343746222E-2</v>
      </c>
      <c r="FI19" s="143">
        <f t="shared" ca="1" si="24"/>
        <v>0.21143977217702967</v>
      </c>
      <c r="FJ19" s="143">
        <f t="shared" ca="1" si="24"/>
        <v>5.38705238916838E-2</v>
      </c>
      <c r="FK19" s="143">
        <f t="shared" ca="1" si="24"/>
        <v>0.16058199538431375</v>
      </c>
      <c r="FL19" s="143">
        <f t="shared" ca="1" si="24"/>
        <v>0.12030509540276138</v>
      </c>
      <c r="FM19" s="143">
        <f t="shared" ca="1" si="24"/>
        <v>6.441284748661999E-3</v>
      </c>
      <c r="FN19" s="143">
        <f t="shared" ca="1" si="24"/>
        <v>0.14640649534895184</v>
      </c>
      <c r="FO19" s="143">
        <f t="shared" ca="1" si="24"/>
        <v>0.10464044699422212</v>
      </c>
      <c r="FP19" s="143">
        <f t="shared" ca="1" si="24"/>
        <v>4.9295285508599629E-2</v>
      </c>
      <c r="FQ19" s="143">
        <f t="shared" ca="1" si="24"/>
        <v>3.9351477923136945E-2</v>
      </c>
      <c r="FR19" s="143">
        <f t="shared" ca="1" si="24"/>
        <v>2.1574109949357941E-2</v>
      </c>
      <c r="FS19" s="143">
        <f t="shared" ca="1" si="24"/>
        <v>6.1757096395977644E-2</v>
      </c>
      <c r="FT19" s="143">
        <f t="shared" ca="1" si="24"/>
        <v>6.8948381686167487E-2</v>
      </c>
      <c r="FU19" s="143">
        <f t="shared" ca="1" si="24"/>
        <v>-6.9039405657503189E-2</v>
      </c>
      <c r="FV19" s="143">
        <f t="shared" ca="1" si="24"/>
        <v>6.3037475106253404E-2</v>
      </c>
      <c r="FW19" s="143">
        <f t="shared" ca="1" si="24"/>
        <v>0.12783263922187157</v>
      </c>
      <c r="FX19" s="143">
        <f t="shared" ca="1" si="24"/>
        <v>9.5333082673409328E-2</v>
      </c>
      <c r="FY19" s="143">
        <f t="shared" ca="1" si="22"/>
        <v>0.14891132235816154</v>
      </c>
      <c r="FZ19" s="143">
        <f t="shared" ca="1" si="22"/>
        <v>-4.1515628802833222E-2</v>
      </c>
      <c r="GA19" s="143">
        <f t="shared" ca="1" si="22"/>
        <v>8.068975440478654E-2</v>
      </c>
      <c r="GB19" s="143">
        <f t="shared" ca="1" si="22"/>
        <v>9.6155366641730522E-2</v>
      </c>
      <c r="GC19" s="143">
        <f t="shared" ca="1" si="22"/>
        <v>-0.12883760274875325</v>
      </c>
      <c r="GD19" s="143">
        <f t="shared" ca="1" si="22"/>
        <v>9.2063591258470648E-2</v>
      </c>
      <c r="GE19" s="143">
        <f t="shared" ca="1" si="22"/>
        <v>-8.7455650416956965E-2</v>
      </c>
      <c r="GF19" s="143">
        <f t="shared" ca="1" si="22"/>
        <v>8.1739129791927573E-2</v>
      </c>
      <c r="GG19" s="143">
        <f t="shared" ca="1" si="22"/>
        <v>0.16361690661298237</v>
      </c>
      <c r="GH19" s="143">
        <f t="shared" ca="1" si="22"/>
        <v>-1.8934287445284963E-2</v>
      </c>
      <c r="GI19" s="143">
        <f t="shared" ca="1" si="22"/>
        <v>9.8289146959389784E-2</v>
      </c>
      <c r="GJ19" s="143">
        <f t="shared" ca="1" si="22"/>
        <v>5.0372625533334082E-2</v>
      </c>
      <c r="GK19" s="143">
        <f t="shared" ca="1" si="22"/>
        <v>2.3383237678355238E-2</v>
      </c>
      <c r="GL19" s="143">
        <f t="shared" ca="1" si="22"/>
        <v>-4.5843202216761088E-2</v>
      </c>
      <c r="GM19" s="143">
        <f t="shared" ca="1" si="22"/>
        <v>7.3367095641858893E-2</v>
      </c>
      <c r="GN19" s="143">
        <f t="shared" ca="1" si="22"/>
        <v>5.3003261984528233E-2</v>
      </c>
      <c r="GO19" s="143">
        <f t="shared" ca="1" si="22"/>
        <v>3.4144943055956528E-2</v>
      </c>
      <c r="GP19" s="143">
        <f t="shared" ca="1" si="22"/>
        <v>-4.6840052627560337E-2</v>
      </c>
      <c r="GQ19" s="143">
        <f t="shared" ca="1" si="22"/>
        <v>0.18006374435273376</v>
      </c>
      <c r="GR19" s="143">
        <f t="shared" ca="1" si="22"/>
        <v>-8.3780808015970515E-2</v>
      </c>
      <c r="GS19" s="143">
        <f t="shared" ca="1" si="22"/>
        <v>3.9455607325479924E-2</v>
      </c>
      <c r="GT19" s="143">
        <f t="shared" ca="1" si="22"/>
        <v>6.9619587020463974E-2</v>
      </c>
      <c r="GU19" s="143">
        <f t="shared" ca="1" si="22"/>
        <v>2.240296248900888E-2</v>
      </c>
      <c r="GV19" s="143">
        <f t="shared" ca="1" si="22"/>
        <v>7.9744750870712755E-2</v>
      </c>
      <c r="GW19" s="143">
        <f t="shared" ca="1" si="22"/>
        <v>2.6212272799624337E-2</v>
      </c>
      <c r="GX19" s="143">
        <f t="shared" ca="1" si="22"/>
        <v>-3.1638681569663436E-2</v>
      </c>
      <c r="GY19" s="143">
        <f t="shared" ca="1" si="22"/>
        <v>0.10308451198673482</v>
      </c>
      <c r="GZ19" s="143">
        <f t="shared" ca="1" si="22"/>
        <v>4.1103345693112012E-2</v>
      </c>
      <c r="HA19" s="143">
        <f t="shared" ca="1" si="22"/>
        <v>0.15735033770563389</v>
      </c>
      <c r="HB19" s="143">
        <f t="shared" ca="1" si="22"/>
        <v>-8.8797749690919608E-2</v>
      </c>
      <c r="HC19" s="143">
        <f t="shared" ca="1" si="22"/>
        <v>0.15163735236880746</v>
      </c>
      <c r="HD19" s="143">
        <f t="shared" ca="1" si="22"/>
        <v>-0.11371641621034609</v>
      </c>
      <c r="HE19" s="143">
        <f t="shared" ca="1" si="22"/>
        <v>0.11081013817596794</v>
      </c>
      <c r="HF19" s="143">
        <f t="shared" ca="1" si="22"/>
        <v>-2.3927203137321523E-3</v>
      </c>
      <c r="HG19" s="143">
        <f t="shared" ca="1" si="22"/>
        <v>2.0841913938273952E-2</v>
      </c>
    </row>
    <row r="20" spans="1:215">
      <c r="A20" s="90">
        <v>1946</v>
      </c>
      <c r="B20" s="84">
        <v>-8.4291474654377807E-2</v>
      </c>
      <c r="C20" s="85">
        <v>-0.1532</v>
      </c>
      <c r="D20" s="83">
        <f t="shared" si="4"/>
        <v>-9.8073179723502241E-2</v>
      </c>
      <c r="E20" s="85"/>
      <c r="F20" s="85"/>
      <c r="G20" s="85">
        <v>3.8E-3</v>
      </c>
      <c r="H20" s="85">
        <v>3.1283745375695685E-2</v>
      </c>
      <c r="I20" s="85">
        <v>2.5080329773195936E-2</v>
      </c>
      <c r="J20" s="85">
        <v>0</v>
      </c>
      <c r="M20" s="115">
        <f t="shared" si="7"/>
        <v>69</v>
      </c>
      <c r="N20" s="143">
        <f t="shared" ca="1" si="5"/>
        <v>0.15836331860662611</v>
      </c>
      <c r="O20" s="143">
        <f t="shared" ca="1" si="23"/>
        <v>7.8101185629634973E-2</v>
      </c>
      <c r="P20" s="143">
        <f t="shared" ca="1" si="23"/>
        <v>0.23736427805399407</v>
      </c>
      <c r="Q20" s="143">
        <f t="shared" ca="1" si="23"/>
        <v>0.44912482227531669</v>
      </c>
      <c r="R20" s="143">
        <f t="shared" ca="1" si="23"/>
        <v>-0.20267996458851187</v>
      </c>
      <c r="S20" s="143">
        <f t="shared" ca="1" si="23"/>
        <v>5.8590659547603903E-2</v>
      </c>
      <c r="T20" s="143">
        <f t="shared" ca="1" si="23"/>
        <v>5.7437035282484068E-2</v>
      </c>
      <c r="U20" s="143">
        <f t="shared" ca="1" si="23"/>
        <v>0.36747304780407242</v>
      </c>
      <c r="V20" s="143">
        <f t="shared" ca="1" si="23"/>
        <v>2.4276130411883506E-2</v>
      </c>
      <c r="W20" s="143">
        <f t="shared" ca="1" si="23"/>
        <v>0.2395484536365147</v>
      </c>
      <c r="X20" s="143">
        <f t="shared" ca="1" si="23"/>
        <v>0.21988643576184252</v>
      </c>
      <c r="Y20" s="143">
        <f t="shared" ca="1" si="23"/>
        <v>0.18685974395083105</v>
      </c>
      <c r="Z20" s="143">
        <f t="shared" ca="1" si="23"/>
        <v>0.26076914498915105</v>
      </c>
      <c r="AA20" s="143">
        <f t="shared" ca="1" si="23"/>
        <v>0.25791638067599099</v>
      </c>
      <c r="AB20" s="143">
        <f t="shared" ca="1" si="23"/>
        <v>0.3066479664004102</v>
      </c>
      <c r="AC20" s="143">
        <f t="shared" ca="1" si="23"/>
        <v>8.9040703705041746E-2</v>
      </c>
      <c r="AD20" s="143">
        <f t="shared" ca="1" si="23"/>
        <v>7.4267270452070933E-2</v>
      </c>
      <c r="AE20" s="143">
        <f t="shared" ca="1" si="23"/>
        <v>0.3154471100485996</v>
      </c>
      <c r="AF20" s="143">
        <f t="shared" ca="1" si="23"/>
        <v>-0.1724426303373561</v>
      </c>
      <c r="AG20" s="143">
        <f t="shared" ca="1" si="23"/>
        <v>8.9936737754537741E-2</v>
      </c>
      <c r="AH20" s="143">
        <f t="shared" ca="1" si="23"/>
        <v>0.11438370069184288</v>
      </c>
      <c r="AI20" s="143">
        <f t="shared" ca="1" si="23"/>
        <v>0.39052499937147578</v>
      </c>
      <c r="AJ20" s="143">
        <f t="shared" ca="1" si="23"/>
        <v>0.29688432073634974</v>
      </c>
      <c r="AK20" s="143">
        <f t="shared" ca="1" si="23"/>
        <v>7.6091438402765263E-2</v>
      </c>
      <c r="AL20" s="143">
        <f t="shared" ca="1" si="23"/>
        <v>6.8462482773263444E-2</v>
      </c>
      <c r="AM20" s="143">
        <f t="shared" ca="1" si="23"/>
        <v>-0.23667624253534739</v>
      </c>
      <c r="AN20" s="143">
        <f t="shared" ca="1" si="23"/>
        <v>-0.1076292630665254</v>
      </c>
      <c r="AO20" s="143">
        <f t="shared" ca="1" si="23"/>
        <v>0.42719736059592184</v>
      </c>
      <c r="AP20" s="143">
        <f t="shared" ca="1" si="23"/>
        <v>-5.7664237139057051E-3</v>
      </c>
      <c r="AQ20" s="143">
        <f t="shared" ca="1" si="23"/>
        <v>-8.5879990693194325E-2</v>
      </c>
      <c r="AR20" s="143">
        <f t="shared" ca="1" si="23"/>
        <v>0.14159969753084736</v>
      </c>
      <c r="AS20" s="143">
        <f t="shared" ca="1" si="23"/>
        <v>8.17110580023582E-3</v>
      </c>
      <c r="AT20" s="143">
        <f t="shared" ca="1" si="23"/>
        <v>8.2701292050326614E-2</v>
      </c>
      <c r="AU20" s="143">
        <f t="shared" ca="1" si="23"/>
        <v>0.16943441368617809</v>
      </c>
      <c r="AV20" s="143">
        <f t="shared" ca="1" si="23"/>
        <v>0.58758025750708753</v>
      </c>
      <c r="AW20" s="143">
        <f t="shared" ca="1" si="23"/>
        <v>0.16557188871195258</v>
      </c>
      <c r="AX20" s="143">
        <f t="shared" ca="1" si="23"/>
        <v>0.23213486553522542</v>
      </c>
      <c r="AY20" s="143">
        <f t="shared" ca="1" si="23"/>
        <v>0.24538739373621382</v>
      </c>
      <c r="AZ20" s="143">
        <f t="shared" ca="1" si="23"/>
        <v>4.1526657692818575E-2</v>
      </c>
      <c r="BA20" s="143">
        <f t="shared" ca="1" si="23"/>
        <v>-0.18329430004123801</v>
      </c>
      <c r="BB20" s="143">
        <f t="shared" ca="1" si="23"/>
        <v>0.19483577588837278</v>
      </c>
      <c r="BC20" s="143">
        <f t="shared" ca="1" si="23"/>
        <v>4.0376911013115808E-2</v>
      </c>
      <c r="BD20" s="143">
        <f t="shared" ca="1" si="23"/>
        <v>0.18921131787748796</v>
      </c>
      <c r="BE20" s="143">
        <f t="shared" ca="1" si="23"/>
        <v>-0.27338475507243032</v>
      </c>
      <c r="BF20" s="143">
        <f t="shared" ca="1" si="23"/>
        <v>8.8401235658813054E-2</v>
      </c>
      <c r="BG20" s="143">
        <f t="shared" ca="1" si="23"/>
        <v>-7.8937103767326794E-2</v>
      </c>
      <c r="BH20" s="143">
        <f t="shared" ca="1" si="23"/>
        <v>5.5481507933851218E-2</v>
      </c>
      <c r="BI20" s="143">
        <f t="shared" ca="1" si="23"/>
        <v>-0.15014183724206123</v>
      </c>
      <c r="BJ20" s="143">
        <f t="shared" ca="1" si="23"/>
        <v>-0.34397355259670126</v>
      </c>
      <c r="BK20" s="143">
        <f t="shared" ca="1" si="23"/>
        <v>0.22247350438729674</v>
      </c>
      <c r="BL20" s="143">
        <f t="shared" ca="1" si="23"/>
        <v>4.436880921157603E-2</v>
      </c>
      <c r="BM20" s="143">
        <f t="shared" ca="1" si="23"/>
        <v>-5.2179510572421456E-2</v>
      </c>
      <c r="BN20" s="143">
        <f t="shared" ca="1" si="23"/>
        <v>6.7502578119599588E-2</v>
      </c>
      <c r="BO20" s="143">
        <f t="shared" ca="1" si="23"/>
        <v>3.4708262255315328E-2</v>
      </c>
      <c r="BP20" s="143">
        <f t="shared" ca="1" si="23"/>
        <v>0.26452034882972197</v>
      </c>
      <c r="BQ20" s="143">
        <f t="shared" ca="1" si="23"/>
        <v>-0.14056375556646961</v>
      </c>
      <c r="BR20" s="143">
        <f t="shared" ca="1" si="23"/>
        <v>-4.1513540279335709E-2</v>
      </c>
      <c r="BS20" s="143">
        <f t="shared" ca="1" si="23"/>
        <v>0.15913819104480814</v>
      </c>
      <c r="BT20" s="143">
        <f t="shared" ca="1" si="23"/>
        <v>0.1463399770557704</v>
      </c>
      <c r="BU20" s="143">
        <f t="shared" ca="1" si="23"/>
        <v>0.16845970011123262</v>
      </c>
      <c r="BV20" s="143">
        <f t="shared" ca="1" si="23"/>
        <v>5.0892223037066156E-2</v>
      </c>
      <c r="BW20" s="143">
        <f t="shared" ca="1" si="23"/>
        <v>0.36580070076844884</v>
      </c>
      <c r="BX20" s="143">
        <f t="shared" ca="1" si="23"/>
        <v>-3.1876146204985134E-2</v>
      </c>
      <c r="BY20" s="143">
        <f t="shared" ca="1" si="23"/>
        <v>3.3768807241049442E-2</v>
      </c>
      <c r="BZ20" s="143">
        <f t="shared" ca="1" si="23"/>
        <v>5.4955867219986521E-3</v>
      </c>
      <c r="CA20" s="143">
        <f t="shared" ca="1" si="21"/>
        <v>0.24638178921321316</v>
      </c>
      <c r="CB20" s="143">
        <f t="shared" ca="1" si="21"/>
        <v>-0.2742811315064293</v>
      </c>
      <c r="CC20" s="143">
        <f t="shared" ca="1" si="21"/>
        <v>0.39921500691838152</v>
      </c>
      <c r="CD20" s="143">
        <f t="shared" ca="1" si="21"/>
        <v>-4.9802295053160556E-2</v>
      </c>
      <c r="CE20" s="143">
        <f t="shared" ca="1" si="21"/>
        <v>0.30300633465195259</v>
      </c>
      <c r="CF20" s="143">
        <f t="shared" ca="1" si="21"/>
        <v>0.20297032007341059</v>
      </c>
      <c r="CG20" s="143">
        <f t="shared" ca="1" si="21"/>
        <v>0.31112723840145806</v>
      </c>
      <c r="CH20" s="143">
        <f t="shared" ca="1" si="21"/>
        <v>0.49132129652586964</v>
      </c>
      <c r="CI20" s="143">
        <f t="shared" ca="1" si="21"/>
        <v>-6.8669896420210264E-2</v>
      </c>
      <c r="CJ20" s="143">
        <f t="shared" ca="1" si="21"/>
        <v>-0.19409201297710385</v>
      </c>
      <c r="CK20" s="143">
        <f t="shared" ca="1" si="21"/>
        <v>5.5954794785298863E-2</v>
      </c>
      <c r="CL20" s="143">
        <f t="shared" ca="1" si="21"/>
        <v>0.28891896983358051</v>
      </c>
      <c r="CM20" s="143">
        <f t="shared" ca="1" si="21"/>
        <v>0.16920435580129461</v>
      </c>
      <c r="CN20" s="143">
        <f t="shared" ca="1" si="21"/>
        <v>-0.16203007334981914</v>
      </c>
      <c r="CO20" s="143">
        <f t="shared" ca="1" si="21"/>
        <v>0.44016497580300074</v>
      </c>
      <c r="CP20" s="143">
        <f t="shared" ca="1" si="21"/>
        <v>-0.19950837800029605</v>
      </c>
      <c r="CQ20" s="143">
        <f t="shared" ca="1" si="21"/>
        <v>0.10654737658154974</v>
      </c>
      <c r="CR20" s="143">
        <f t="shared" ca="1" si="21"/>
        <v>-1.6185818055426515E-2</v>
      </c>
      <c r="CS20" s="143">
        <f t="shared" ca="1" si="21"/>
        <v>-3.681156916638692E-2</v>
      </c>
      <c r="CT20" s="143">
        <f t="shared" ca="1" si="21"/>
        <v>0.54450083304595043</v>
      </c>
      <c r="CU20" s="143">
        <f t="shared" ca="1" si="21"/>
        <v>0.36032187159374984</v>
      </c>
      <c r="CV20" s="143">
        <f t="shared" ca="1" si="21"/>
        <v>0.16692504621885701</v>
      </c>
      <c r="CW20" s="143">
        <f t="shared" ca="1" si="21"/>
        <v>7.4108695655886028E-2</v>
      </c>
      <c r="CX20" s="143">
        <f t="shared" ca="1" si="21"/>
        <v>0.23969448840933316</v>
      </c>
      <c r="CY20" s="143">
        <f t="shared" ca="1" si="21"/>
        <v>-0.13012709009670759</v>
      </c>
      <c r="CZ20" s="143">
        <f t="shared" ca="1" si="21"/>
        <v>-0.51595103717034385</v>
      </c>
      <c r="DA20" s="143">
        <f t="shared" ca="1" si="21"/>
        <v>0.12970929537404843</v>
      </c>
      <c r="DB20" s="143">
        <f t="shared" ca="1" si="21"/>
        <v>0.12931738190810338</v>
      </c>
      <c r="DC20" s="143">
        <f t="shared" ca="1" si="21"/>
        <v>-4.2843112249153242E-2</v>
      </c>
      <c r="DD20" s="143">
        <f t="shared" ca="1" si="21"/>
        <v>0.24524311296808218</v>
      </c>
      <c r="DE20" s="143">
        <f t="shared" ca="1" si="21"/>
        <v>-7.4743849615776015E-2</v>
      </c>
      <c r="DF20" s="143">
        <f t="shared" ca="1" si="21"/>
        <v>-0.12429217986064214</v>
      </c>
      <c r="DG20" s="143">
        <f t="shared" ca="1" si="21"/>
        <v>0.31402842441638801</v>
      </c>
      <c r="DH20" s="143">
        <f t="shared" ca="1" si="21"/>
        <v>0.29801003998775338</v>
      </c>
      <c r="DI20" s="143">
        <f t="shared" ca="1" si="21"/>
        <v>0.1822518847669965</v>
      </c>
      <c r="DK20" s="115">
        <f t="shared" si="8"/>
        <v>69</v>
      </c>
      <c r="DL20" s="143">
        <f t="shared" ca="1" si="6"/>
        <v>8.9605198560721314E-2</v>
      </c>
      <c r="DM20" s="143">
        <f t="shared" ca="1" si="24"/>
        <v>0.13788516030453252</v>
      </c>
      <c r="DN20" s="143">
        <f t="shared" ca="1" si="24"/>
        <v>-8.5377140123869155E-2</v>
      </c>
      <c r="DO20" s="143">
        <f t="shared" ca="1" si="24"/>
        <v>4.8881493952070587E-2</v>
      </c>
      <c r="DP20" s="143">
        <f t="shared" ca="1" si="24"/>
        <v>2.7958128314717962E-2</v>
      </c>
      <c r="DQ20" s="143">
        <f t="shared" ca="1" si="24"/>
        <v>0.16222388722444386</v>
      </c>
      <c r="DR20" s="143">
        <f t="shared" ca="1" si="24"/>
        <v>-1.2536707788841639E-3</v>
      </c>
      <c r="DS20" s="143">
        <f t="shared" ca="1" si="24"/>
        <v>4.1595145392407655E-2</v>
      </c>
      <c r="DT20" s="143">
        <f t="shared" ca="1" si="24"/>
        <v>-5.9792317773112981E-2</v>
      </c>
      <c r="DU20" s="143">
        <f t="shared" ca="1" si="24"/>
        <v>3.190020247812772E-3</v>
      </c>
      <c r="DV20" s="143">
        <f t="shared" ca="1" si="24"/>
        <v>-0.11438309008630562</v>
      </c>
      <c r="DW20" s="143">
        <f t="shared" ca="1" si="24"/>
        <v>1.8483953990350965E-2</v>
      </c>
      <c r="DX20" s="143">
        <f t="shared" ca="1" si="24"/>
        <v>0.19293073540949221</v>
      </c>
      <c r="DY20" s="143">
        <f t="shared" ca="1" si="24"/>
        <v>-1.4862623489149192E-2</v>
      </c>
      <c r="DZ20" s="143">
        <f t="shared" ca="1" si="24"/>
        <v>-4.0984351569230554E-3</v>
      </c>
      <c r="EA20" s="143">
        <f t="shared" ca="1" si="24"/>
        <v>-5.7153644787859906E-3</v>
      </c>
      <c r="EB20" s="143">
        <f t="shared" ca="1" si="24"/>
        <v>3.793247531203834E-2</v>
      </c>
      <c r="EC20" s="143">
        <f t="shared" ca="1" si="24"/>
        <v>7.6968764133789128E-2</v>
      </c>
      <c r="ED20" s="143">
        <f t="shared" ca="1" si="24"/>
        <v>-4.2152255286073172E-2</v>
      </c>
      <c r="EE20" s="143">
        <f t="shared" ca="1" si="24"/>
        <v>0.1186536232374239</v>
      </c>
      <c r="EF20" s="143">
        <f t="shared" ca="1" si="24"/>
        <v>4.9045240634858205E-2</v>
      </c>
      <c r="EG20" s="143">
        <f t="shared" ca="1" si="24"/>
        <v>7.2489866666186342E-2</v>
      </c>
      <c r="EH20" s="143">
        <f t="shared" ca="1" si="24"/>
        <v>4.6400877041261321E-2</v>
      </c>
      <c r="EI20" s="143">
        <f t="shared" ca="1" si="24"/>
        <v>5.4739746020072449E-2</v>
      </c>
      <c r="EJ20" s="143">
        <f t="shared" ca="1" si="24"/>
        <v>0.17389576034361567</v>
      </c>
      <c r="EK20" s="143">
        <f t="shared" ca="1" si="24"/>
        <v>6.4885702925364566E-2</v>
      </c>
      <c r="EL20" s="143">
        <f t="shared" ca="1" si="24"/>
        <v>5.9453910072369609E-2</v>
      </c>
      <c r="EM20" s="143">
        <f t="shared" ca="1" si="24"/>
        <v>0.22353132762740713</v>
      </c>
      <c r="EN20" s="143">
        <f t="shared" ca="1" si="24"/>
        <v>2.898561594932253E-2</v>
      </c>
      <c r="EO20" s="143">
        <f t="shared" ca="1" si="24"/>
        <v>-3.1649458033190241E-2</v>
      </c>
      <c r="EP20" s="143">
        <f t="shared" ca="1" si="24"/>
        <v>3.6992752184968891E-2</v>
      </c>
      <c r="EQ20" s="143">
        <f t="shared" ca="1" si="24"/>
        <v>-3.5910884060370137E-2</v>
      </c>
      <c r="ER20" s="143">
        <f t="shared" ca="1" si="24"/>
        <v>2.1196786010267143E-3</v>
      </c>
      <c r="ES20" s="143">
        <f t="shared" ca="1" si="24"/>
        <v>9.8551113650142241E-2</v>
      </c>
      <c r="ET20" s="143">
        <f t="shared" ca="1" si="24"/>
        <v>5.7272159399419438E-2</v>
      </c>
      <c r="EU20" s="143">
        <f t="shared" ca="1" si="24"/>
        <v>8.684701749771695E-2</v>
      </c>
      <c r="EV20" s="143">
        <f t="shared" ca="1" si="24"/>
        <v>3.4940117207556895E-3</v>
      </c>
      <c r="EW20" s="143">
        <f t="shared" ca="1" si="24"/>
        <v>3.4623810925745152E-2</v>
      </c>
      <c r="EX20" s="143">
        <f t="shared" ca="1" si="24"/>
        <v>6.2327843691385026E-3</v>
      </c>
      <c r="EY20" s="143">
        <f t="shared" ca="1" si="24"/>
        <v>1.0725695523085693E-3</v>
      </c>
      <c r="EZ20" s="143">
        <f t="shared" ca="1" si="24"/>
        <v>6.3102567379205929E-2</v>
      </c>
      <c r="FA20" s="143">
        <f t="shared" ca="1" si="24"/>
        <v>8.4426960094348094E-2</v>
      </c>
      <c r="FB20" s="143">
        <f t="shared" ca="1" si="24"/>
        <v>2.2218443851973208E-2</v>
      </c>
      <c r="FC20" s="143">
        <f t="shared" ca="1" si="24"/>
        <v>-0.11453198028048697</v>
      </c>
      <c r="FD20" s="143">
        <f t="shared" ca="1" si="24"/>
        <v>5.4216932106502157E-2</v>
      </c>
      <c r="FE20" s="143">
        <f t="shared" ca="1" si="24"/>
        <v>4.5153789535962302E-3</v>
      </c>
      <c r="FF20" s="143">
        <f t="shared" ca="1" si="24"/>
        <v>1.359041594960142E-2</v>
      </c>
      <c r="FG20" s="143">
        <f t="shared" ca="1" si="24"/>
        <v>0.18653017296946559</v>
      </c>
      <c r="FH20" s="143">
        <f t="shared" ca="1" si="24"/>
        <v>2.1284327831310478E-2</v>
      </c>
      <c r="FI20" s="143">
        <f t="shared" ca="1" si="24"/>
        <v>0.11668579017812197</v>
      </c>
      <c r="FJ20" s="143">
        <f t="shared" ca="1" si="24"/>
        <v>8.3201371629366833E-2</v>
      </c>
      <c r="FK20" s="143">
        <f t="shared" ca="1" si="24"/>
        <v>6.3752006896805588E-2</v>
      </c>
      <c r="FL20" s="143">
        <f t="shared" ca="1" si="24"/>
        <v>4.9169113030172705E-2</v>
      </c>
      <c r="FM20" s="143">
        <f t="shared" ca="1" si="24"/>
        <v>3.6815871742043649E-2</v>
      </c>
      <c r="FN20" s="143">
        <f t="shared" ca="1" si="24"/>
        <v>0.18883131541931325</v>
      </c>
      <c r="FO20" s="143">
        <f t="shared" ca="1" si="24"/>
        <v>2.2112117843016279E-2</v>
      </c>
      <c r="FP20" s="143">
        <f t="shared" ca="1" si="24"/>
        <v>0.10407614459558398</v>
      </c>
      <c r="FQ20" s="143">
        <f t="shared" ca="1" si="24"/>
        <v>8.2605657219658665E-2</v>
      </c>
      <c r="FR20" s="143">
        <f t="shared" ca="1" si="24"/>
        <v>0.15182054001374848</v>
      </c>
      <c r="FS20" s="143">
        <f t="shared" ca="1" si="24"/>
        <v>-1.3461400118253038E-2</v>
      </c>
      <c r="FT20" s="143">
        <f t="shared" ca="1" si="24"/>
        <v>-1.8531944540288309E-3</v>
      </c>
      <c r="FU20" s="143">
        <f t="shared" ca="1" si="24"/>
        <v>6.6936948829547455E-2</v>
      </c>
      <c r="FV20" s="143">
        <f t="shared" ca="1" si="24"/>
        <v>0.29239351876928038</v>
      </c>
      <c r="FW20" s="143">
        <f t="shared" ca="1" si="24"/>
        <v>3.3360846739377226E-2</v>
      </c>
      <c r="FX20" s="143">
        <f t="shared" ca="1" si="24"/>
        <v>-8.381397920317793E-3</v>
      </c>
      <c r="FY20" s="143">
        <f t="shared" ca="1" si="22"/>
        <v>-2.0569979321093938E-2</v>
      </c>
      <c r="FZ20" s="143">
        <f t="shared" ca="1" si="22"/>
        <v>7.8864511685772215E-2</v>
      </c>
      <c r="GA20" s="143">
        <f t="shared" ca="1" si="22"/>
        <v>0.12374717873394711</v>
      </c>
      <c r="GB20" s="143">
        <f t="shared" ca="1" si="22"/>
        <v>8.9622608881833488E-2</v>
      </c>
      <c r="GC20" s="143">
        <f t="shared" ca="1" si="22"/>
        <v>-0.13527871381783346</v>
      </c>
      <c r="GD20" s="143">
        <f t="shared" ca="1" si="22"/>
        <v>-1.5016432948434015E-2</v>
      </c>
      <c r="GE20" s="143">
        <f t="shared" ca="1" si="22"/>
        <v>0.18813969654755763</v>
      </c>
      <c r="GF20" s="143">
        <f t="shared" ca="1" si="22"/>
        <v>-7.4493292634363967E-2</v>
      </c>
      <c r="GG20" s="143">
        <f t="shared" ca="1" si="22"/>
        <v>0.13540628190186024</v>
      </c>
      <c r="GH20" s="143">
        <f t="shared" ca="1" si="22"/>
        <v>9.4958558251596256E-2</v>
      </c>
      <c r="GI20" s="143">
        <f t="shared" ca="1" si="22"/>
        <v>-4.1264299060912162E-2</v>
      </c>
      <c r="GJ20" s="143">
        <f t="shared" ca="1" si="22"/>
        <v>3.5874878171764039E-2</v>
      </c>
      <c r="GK20" s="143">
        <f t="shared" ca="1" si="22"/>
        <v>-2.8730421290379178E-2</v>
      </c>
      <c r="GL20" s="143">
        <f t="shared" ca="1" si="22"/>
        <v>-8.8559146113764781E-2</v>
      </c>
      <c r="GM20" s="143">
        <f t="shared" ca="1" si="22"/>
        <v>-6.6250760011141649E-3</v>
      </c>
      <c r="GN20" s="143">
        <f t="shared" ca="1" si="22"/>
        <v>8.8110880851851661E-3</v>
      </c>
      <c r="GO20" s="143">
        <f t="shared" ca="1" si="22"/>
        <v>5.8022239711167559E-2</v>
      </c>
      <c r="GP20" s="143">
        <f t="shared" ca="1" si="22"/>
        <v>4.2095870194222909E-2</v>
      </c>
      <c r="GQ20" s="143">
        <f t="shared" ca="1" si="22"/>
        <v>5.1283239486644761E-2</v>
      </c>
      <c r="GR20" s="143">
        <f t="shared" ca="1" si="22"/>
        <v>9.9961576832018062E-3</v>
      </c>
      <c r="GS20" s="143">
        <f t="shared" ca="1" si="22"/>
        <v>7.8675941576111574E-2</v>
      </c>
      <c r="GT20" s="143">
        <f t="shared" ca="1" si="22"/>
        <v>-1.0169733931944473E-2</v>
      </c>
      <c r="GU20" s="143">
        <f t="shared" ca="1" si="22"/>
        <v>6.9603940269263323E-2</v>
      </c>
      <c r="GV20" s="143">
        <f t="shared" ca="1" si="22"/>
        <v>0.18640248809376914</v>
      </c>
      <c r="GW20" s="143">
        <f t="shared" ca="1" si="22"/>
        <v>2.0223377137953399E-2</v>
      </c>
      <c r="GX20" s="143">
        <f t="shared" ca="1" si="22"/>
        <v>0.20807452177666202</v>
      </c>
      <c r="GY20" s="143">
        <f t="shared" ca="1" si="22"/>
        <v>6.0750944839095836E-2</v>
      </c>
      <c r="GZ20" s="143">
        <f t="shared" ca="1" si="22"/>
        <v>9.5016465822106294E-2</v>
      </c>
      <c r="HA20" s="143">
        <f t="shared" ca="1" si="22"/>
        <v>-1.1139895512745419E-2</v>
      </c>
      <c r="HB20" s="143">
        <f t="shared" ca="1" si="22"/>
        <v>-5.9877532643631486E-2</v>
      </c>
      <c r="HC20" s="143">
        <f t="shared" ca="1" si="22"/>
        <v>-1.4867609065554475E-2</v>
      </c>
      <c r="HD20" s="143">
        <f t="shared" ca="1" si="22"/>
        <v>8.9419783740860348E-2</v>
      </c>
      <c r="HE20" s="143">
        <f t="shared" ca="1" si="22"/>
        <v>0.18485947009174386</v>
      </c>
      <c r="HF20" s="143">
        <f t="shared" ca="1" si="22"/>
        <v>-7.6843239058609791E-2</v>
      </c>
      <c r="HG20" s="143">
        <f t="shared" ca="1" si="22"/>
        <v>-3.2426593696856403E-2</v>
      </c>
    </row>
    <row r="21" spans="1:215">
      <c r="A21" s="90">
        <v>1947</v>
      </c>
      <c r="B21" s="84">
        <v>5.1999999999999998E-2</v>
      </c>
      <c r="C21" s="85">
        <v>-9.5999999999999992E-3</v>
      </c>
      <c r="D21" s="83">
        <f t="shared" si="4"/>
        <v>3.968E-2</v>
      </c>
      <c r="E21" s="85"/>
      <c r="F21" s="85"/>
      <c r="G21" s="85">
        <v>6.0083333333333334E-3</v>
      </c>
      <c r="H21" s="85">
        <v>9.1969680628322358E-3</v>
      </c>
      <c r="I21" s="85">
        <v>2.6212022665691934E-3</v>
      </c>
      <c r="J21" s="85">
        <v>0</v>
      </c>
      <c r="M21" s="115">
        <f t="shared" si="7"/>
        <v>70</v>
      </c>
      <c r="N21" s="143">
        <f t="shared" ca="1" si="5"/>
        <v>-1.7219425485267406E-2</v>
      </c>
      <c r="O21" s="143">
        <f t="shared" ca="1" si="23"/>
        <v>3.7550749611109435E-2</v>
      </c>
      <c r="P21" s="143">
        <f t="shared" ca="1" si="23"/>
        <v>-2.313971092927597E-2</v>
      </c>
      <c r="Q21" s="143">
        <f t="shared" ca="1" si="23"/>
        <v>0.25108215223987196</v>
      </c>
      <c r="R21" s="143">
        <f t="shared" ca="1" si="23"/>
        <v>2.7503996415700963E-2</v>
      </c>
      <c r="S21" s="143">
        <f t="shared" ca="1" si="23"/>
        <v>7.344004959092143E-2</v>
      </c>
      <c r="T21" s="143">
        <f t="shared" ca="1" si="23"/>
        <v>-3.0522783822080263E-2</v>
      </c>
      <c r="U21" s="143">
        <f t="shared" ca="1" si="23"/>
        <v>0.50047668665669121</v>
      </c>
      <c r="V21" s="143">
        <f t="shared" ca="1" si="23"/>
        <v>0.15605319822131156</v>
      </c>
      <c r="W21" s="143">
        <f t="shared" ca="1" si="23"/>
        <v>0.34537404148823903</v>
      </c>
      <c r="X21" s="143">
        <f t="shared" ca="1" si="23"/>
        <v>0.43519115667153774</v>
      </c>
      <c r="Y21" s="143">
        <f t="shared" ca="1" si="23"/>
        <v>-0.39424836450930278</v>
      </c>
      <c r="Z21" s="143">
        <f t="shared" ca="1" si="23"/>
        <v>0.25378925347728937</v>
      </c>
      <c r="AA21" s="143">
        <f t="shared" ca="1" si="23"/>
        <v>8.21912661491256E-2</v>
      </c>
      <c r="AB21" s="143">
        <f t="shared" ca="1" si="23"/>
        <v>0.24141580866529072</v>
      </c>
      <c r="AC21" s="143">
        <f t="shared" ca="1" si="23"/>
        <v>0.18714464028016281</v>
      </c>
      <c r="AD21" s="143">
        <f t="shared" ca="1" si="23"/>
        <v>0.24568465478340107</v>
      </c>
      <c r="AE21" s="143">
        <f t="shared" ca="1" si="23"/>
        <v>0.43561766538081936</v>
      </c>
      <c r="AF21" s="143">
        <f t="shared" ca="1" si="23"/>
        <v>0.21965865203968693</v>
      </c>
      <c r="AG21" s="143">
        <f t="shared" ca="1" si="23"/>
        <v>9.586564364081808E-2</v>
      </c>
      <c r="AH21" s="143">
        <f t="shared" ca="1" si="23"/>
        <v>0.23586759370104549</v>
      </c>
      <c r="AI21" s="143">
        <f t="shared" ca="1" si="23"/>
        <v>0.11613688749202733</v>
      </c>
      <c r="AJ21" s="143">
        <f t="shared" ca="1" si="23"/>
        <v>2.6981587260131654E-2</v>
      </c>
      <c r="AK21" s="143">
        <f t="shared" ca="1" si="23"/>
        <v>1.2655404178916335E-3</v>
      </c>
      <c r="AL21" s="143">
        <f t="shared" ca="1" si="23"/>
        <v>-0.1479345827684081</v>
      </c>
      <c r="AM21" s="143">
        <f t="shared" ca="1" si="23"/>
        <v>0.20359764501757521</v>
      </c>
      <c r="AN21" s="143">
        <f t="shared" ca="1" si="23"/>
        <v>4.8954128826654848E-2</v>
      </c>
      <c r="AO21" s="143">
        <f t="shared" ca="1" si="23"/>
        <v>1.138083426601072E-2</v>
      </c>
      <c r="AP21" s="143">
        <f t="shared" ca="1" si="23"/>
        <v>-0.10098327000981869</v>
      </c>
      <c r="AQ21" s="143">
        <f t="shared" ca="1" si="23"/>
        <v>-4.5053985138951508E-2</v>
      </c>
      <c r="AR21" s="143">
        <f t="shared" ca="1" si="23"/>
        <v>0.10826637224885274</v>
      </c>
      <c r="AS21" s="143">
        <f t="shared" ca="1" si="23"/>
        <v>1.3419442836950596E-2</v>
      </c>
      <c r="AT21" s="143">
        <f t="shared" ca="1" si="23"/>
        <v>4.7347714498580967E-2</v>
      </c>
      <c r="AU21" s="143">
        <f t="shared" ca="1" si="23"/>
        <v>0.26393500906843509</v>
      </c>
      <c r="AV21" s="143">
        <f t="shared" ca="1" si="23"/>
        <v>-0.23341007631551616</v>
      </c>
      <c r="AW21" s="143">
        <f t="shared" ca="1" si="23"/>
        <v>-0.22018866859681055</v>
      </c>
      <c r="AX21" s="143">
        <f t="shared" ca="1" si="23"/>
        <v>0.33909734201084074</v>
      </c>
      <c r="AY21" s="143">
        <f t="shared" ca="1" si="23"/>
        <v>0.11756322419100411</v>
      </c>
      <c r="AZ21" s="143">
        <f t="shared" ca="1" si="23"/>
        <v>0.12126410049477929</v>
      </c>
      <c r="BA21" s="143">
        <f t="shared" ca="1" si="23"/>
        <v>0.11953705287228047</v>
      </c>
      <c r="BB21" s="143">
        <f t="shared" ca="1" si="23"/>
        <v>1.141429200408596E-2</v>
      </c>
      <c r="BC21" s="143">
        <f t="shared" ca="1" si="23"/>
        <v>2.0647376648852467E-2</v>
      </c>
      <c r="BD21" s="143">
        <f t="shared" ca="1" si="23"/>
        <v>0.23456093692604124</v>
      </c>
      <c r="BE21" s="143">
        <f t="shared" ca="1" si="23"/>
        <v>0.1569135205835992</v>
      </c>
      <c r="BF21" s="143">
        <f t="shared" ca="1" si="23"/>
        <v>0.36792876068745428</v>
      </c>
      <c r="BG21" s="143">
        <f t="shared" ca="1" si="23"/>
        <v>0.22376986357625789</v>
      </c>
      <c r="BH21" s="143">
        <f t="shared" ca="1" si="23"/>
        <v>-0.25593002780980689</v>
      </c>
      <c r="BI21" s="143">
        <f t="shared" ca="1" si="23"/>
        <v>9.8424622280704741E-2</v>
      </c>
      <c r="BJ21" s="143">
        <f t="shared" ca="1" si="23"/>
        <v>-0.14841249702080186</v>
      </c>
      <c r="BK21" s="143">
        <f t="shared" ca="1" si="23"/>
        <v>8.2029536995800012E-2</v>
      </c>
      <c r="BL21" s="143">
        <f t="shared" ca="1" si="23"/>
        <v>7.3570105396024849E-3</v>
      </c>
      <c r="BM21" s="143">
        <f t="shared" ca="1" si="23"/>
        <v>0.10679461657793826</v>
      </c>
      <c r="BN21" s="143">
        <f t="shared" ca="1" si="23"/>
        <v>0.23598518109816197</v>
      </c>
      <c r="BO21" s="143">
        <f t="shared" ca="1" si="23"/>
        <v>0.13518105606892317</v>
      </c>
      <c r="BP21" s="143">
        <f t="shared" ca="1" si="23"/>
        <v>0.24769234754070454</v>
      </c>
      <c r="BQ21" s="143">
        <f t="shared" ca="1" si="23"/>
        <v>0.11977147807539698</v>
      </c>
      <c r="BR21" s="143">
        <f t="shared" ca="1" si="23"/>
        <v>0.33188860337980475</v>
      </c>
      <c r="BS21" s="143">
        <f t="shared" ca="1" si="23"/>
        <v>0.46484914405794009</v>
      </c>
      <c r="BT21" s="143">
        <f t="shared" ca="1" si="23"/>
        <v>0.15366160702429732</v>
      </c>
      <c r="BU21" s="143">
        <f t="shared" ca="1" si="23"/>
        <v>0.14335527114725047</v>
      </c>
      <c r="BV21" s="143">
        <f t="shared" ca="1" si="23"/>
        <v>-0.1093249178377117</v>
      </c>
      <c r="BW21" s="143">
        <f t="shared" ca="1" si="23"/>
        <v>-4.9623305711783472E-2</v>
      </c>
      <c r="BX21" s="143">
        <f t="shared" ca="1" si="23"/>
        <v>0.31890671296491657</v>
      </c>
      <c r="BY21" s="143">
        <f t="shared" ca="1" si="23"/>
        <v>0.3135842901016469</v>
      </c>
      <c r="BZ21" s="143">
        <f t="shared" ref="BZ21:DI24" ca="1" si="25">_xlfn.NORM.INV(RAND(),$B$112,$B$113)</f>
        <v>-2.8428429524314569E-2</v>
      </c>
      <c r="CA21" s="143">
        <f t="shared" ca="1" si="25"/>
        <v>-0.192191099267953</v>
      </c>
      <c r="CB21" s="143">
        <f t="shared" ca="1" si="25"/>
        <v>0.23760723622353674</v>
      </c>
      <c r="CC21" s="143">
        <f t="shared" ca="1" si="25"/>
        <v>0.18613519232955975</v>
      </c>
      <c r="CD21" s="143">
        <f t="shared" ca="1" si="25"/>
        <v>-0.15051103281991454</v>
      </c>
      <c r="CE21" s="143">
        <f t="shared" ca="1" si="25"/>
        <v>-9.5081009963072005E-2</v>
      </c>
      <c r="CF21" s="143">
        <f t="shared" ca="1" si="25"/>
        <v>7.3038278647575269E-2</v>
      </c>
      <c r="CG21" s="143">
        <f t="shared" ca="1" si="25"/>
        <v>0.15768717021878231</v>
      </c>
      <c r="CH21" s="143">
        <f t="shared" ca="1" si="25"/>
        <v>-0.35967009903736491</v>
      </c>
      <c r="CI21" s="143">
        <f t="shared" ca="1" si="25"/>
        <v>0.25300806531306663</v>
      </c>
      <c r="CJ21" s="143">
        <f t="shared" ca="1" si="25"/>
        <v>-0.22944516846288174</v>
      </c>
      <c r="CK21" s="143">
        <f t="shared" ca="1" si="25"/>
        <v>-6.4814469818051446E-2</v>
      </c>
      <c r="CL21" s="143">
        <f t="shared" ca="1" si="25"/>
        <v>3.8922603160964214E-3</v>
      </c>
      <c r="CM21" s="143">
        <f t="shared" ca="1" si="25"/>
        <v>0.10546664546213665</v>
      </c>
      <c r="CN21" s="143">
        <f t="shared" ca="1" si="25"/>
        <v>3.7935060481713086E-2</v>
      </c>
      <c r="CO21" s="143">
        <f t="shared" ca="1" si="25"/>
        <v>-0.21629427484771849</v>
      </c>
      <c r="CP21" s="143">
        <f t="shared" ca="1" si="25"/>
        <v>8.457106521364971E-3</v>
      </c>
      <c r="CQ21" s="143">
        <f t="shared" ca="1" si="25"/>
        <v>0.11495956853538533</v>
      </c>
      <c r="CR21" s="143">
        <f t="shared" ca="1" si="25"/>
        <v>-0.10840858376666918</v>
      </c>
      <c r="CS21" s="143">
        <f t="shared" ca="1" si="25"/>
        <v>-6.830911362298539E-2</v>
      </c>
      <c r="CT21" s="143">
        <f t="shared" ca="1" si="25"/>
        <v>0.10446622927267621</v>
      </c>
      <c r="CU21" s="143">
        <f t="shared" ca="1" si="25"/>
        <v>-0.10192877897067143</v>
      </c>
      <c r="CV21" s="143">
        <f t="shared" ca="1" si="25"/>
        <v>0.19622015597268444</v>
      </c>
      <c r="CW21" s="143">
        <f t="shared" ca="1" si="25"/>
        <v>3.7291623984568874E-2</v>
      </c>
      <c r="CX21" s="143">
        <f t="shared" ca="1" si="25"/>
        <v>0.23671843621006436</v>
      </c>
      <c r="CY21" s="143">
        <f t="shared" ca="1" si="25"/>
        <v>-0.15639891132758874</v>
      </c>
      <c r="CZ21" s="143">
        <f t="shared" ca="1" si="25"/>
        <v>0.24799847469841249</v>
      </c>
      <c r="DA21" s="143">
        <f t="shared" ca="1" si="25"/>
        <v>-9.824073459332236E-2</v>
      </c>
      <c r="DB21" s="143">
        <f t="shared" ca="1" si="25"/>
        <v>0.19383391482485743</v>
      </c>
      <c r="DC21" s="143">
        <f t="shared" ca="1" si="25"/>
        <v>7.7419943693959242E-2</v>
      </c>
      <c r="DD21" s="143">
        <f t="shared" ca="1" si="25"/>
        <v>0.21384708314672737</v>
      </c>
      <c r="DE21" s="143">
        <f t="shared" ca="1" si="25"/>
        <v>0.10222379241199153</v>
      </c>
      <c r="DF21" s="143">
        <f t="shared" ca="1" si="25"/>
        <v>-7.8506126858355119E-2</v>
      </c>
      <c r="DG21" s="143">
        <f t="shared" ca="1" si="25"/>
        <v>0.43711749836405811</v>
      </c>
      <c r="DH21" s="143">
        <f t="shared" ca="1" si="25"/>
        <v>0.10689071637251758</v>
      </c>
      <c r="DI21" s="143">
        <f t="shared" ca="1" si="25"/>
        <v>7.456890994631625E-2</v>
      </c>
      <c r="DK21" s="115">
        <f t="shared" si="8"/>
        <v>70</v>
      </c>
      <c r="DL21" s="143">
        <f t="shared" ca="1" si="6"/>
        <v>-9.8458937397701507E-2</v>
      </c>
      <c r="DM21" s="143">
        <f t="shared" ca="1" si="24"/>
        <v>0.13157649759017978</v>
      </c>
      <c r="DN21" s="143">
        <f t="shared" ca="1" si="24"/>
        <v>8.208618919567176E-2</v>
      </c>
      <c r="DO21" s="143">
        <f t="shared" ca="1" si="24"/>
        <v>-2.4269247144612559E-2</v>
      </c>
      <c r="DP21" s="143">
        <f t="shared" ca="1" si="24"/>
        <v>9.8962913965108923E-2</v>
      </c>
      <c r="DQ21" s="143">
        <f t="shared" ca="1" si="24"/>
        <v>8.7965022870978099E-2</v>
      </c>
      <c r="DR21" s="143">
        <f t="shared" ca="1" si="24"/>
        <v>3.6490460908637556E-2</v>
      </c>
      <c r="DS21" s="143">
        <f t="shared" ca="1" si="24"/>
        <v>8.8431891594523165E-2</v>
      </c>
      <c r="DT21" s="143">
        <f t="shared" ca="1" si="24"/>
        <v>-6.7341876462040262E-2</v>
      </c>
      <c r="DU21" s="143">
        <f t="shared" ca="1" si="24"/>
        <v>-1.4492840888673905E-2</v>
      </c>
      <c r="DV21" s="143">
        <f t="shared" ca="1" si="24"/>
        <v>5.6006425824856473E-2</v>
      </c>
      <c r="DW21" s="143">
        <f t="shared" ca="1" si="24"/>
        <v>6.4155861191170879E-2</v>
      </c>
      <c r="DX21" s="143">
        <f t="shared" ca="1" si="24"/>
        <v>0.17874538636888318</v>
      </c>
      <c r="DY21" s="143">
        <f t="shared" ca="1" si="24"/>
        <v>0.15655249900711649</v>
      </c>
      <c r="DZ21" s="143">
        <f t="shared" ca="1" si="24"/>
        <v>2.2231054488395744E-2</v>
      </c>
      <c r="EA21" s="143">
        <f t="shared" ca="1" si="24"/>
        <v>7.164158710649797E-2</v>
      </c>
      <c r="EB21" s="143">
        <f t="shared" ca="1" si="24"/>
        <v>0.1632066381056384</v>
      </c>
      <c r="EC21" s="143">
        <f t="shared" ca="1" si="24"/>
        <v>0.10210958955415517</v>
      </c>
      <c r="ED21" s="143">
        <f t="shared" ca="1" si="24"/>
        <v>0.11770268587907831</v>
      </c>
      <c r="EE21" s="143">
        <f t="shared" ca="1" si="24"/>
        <v>-2.7526969567364272E-2</v>
      </c>
      <c r="EF21" s="143">
        <f t="shared" ca="1" si="24"/>
        <v>8.0494407999844891E-2</v>
      </c>
      <c r="EG21" s="143">
        <f t="shared" ca="1" si="24"/>
        <v>0.16262991350608766</v>
      </c>
      <c r="EH21" s="143">
        <f t="shared" ca="1" si="24"/>
        <v>0.20796657444283356</v>
      </c>
      <c r="EI21" s="143">
        <f t="shared" ca="1" si="24"/>
        <v>0.1486277044604736</v>
      </c>
      <c r="EJ21" s="143">
        <f t="shared" ca="1" si="24"/>
        <v>-1.4978641201135519E-2</v>
      </c>
      <c r="EK21" s="143">
        <f t="shared" ca="1" si="24"/>
        <v>2.969586372827885E-2</v>
      </c>
      <c r="EL21" s="143">
        <f t="shared" ca="1" si="24"/>
        <v>0.10485539362287305</v>
      </c>
      <c r="EM21" s="143">
        <f t="shared" ca="1" si="24"/>
        <v>0.14062822131122601</v>
      </c>
      <c r="EN21" s="143">
        <f t="shared" ca="1" si="24"/>
        <v>0.11344057659221027</v>
      </c>
      <c r="EO21" s="143">
        <f t="shared" ca="1" si="24"/>
        <v>8.4905235640877832E-2</v>
      </c>
      <c r="EP21" s="143">
        <f t="shared" ca="1" si="24"/>
        <v>0.15013047516951283</v>
      </c>
      <c r="EQ21" s="143">
        <f t="shared" ca="1" si="24"/>
        <v>-3.8503394101482409E-2</v>
      </c>
      <c r="ER21" s="143">
        <f t="shared" ca="1" si="24"/>
        <v>5.7564680718390202E-2</v>
      </c>
      <c r="ES21" s="143">
        <f t="shared" ca="1" si="24"/>
        <v>4.0591740937130673E-2</v>
      </c>
      <c r="ET21" s="143">
        <f t="shared" ca="1" si="24"/>
        <v>0.14197356931608399</v>
      </c>
      <c r="EU21" s="143">
        <f t="shared" ca="1" si="24"/>
        <v>2.4686649305820436E-2</v>
      </c>
      <c r="EV21" s="143">
        <f t="shared" ca="1" si="24"/>
        <v>4.4264863034117058E-2</v>
      </c>
      <c r="EW21" s="143">
        <f t="shared" ca="1" si="24"/>
        <v>0.16651495614768247</v>
      </c>
      <c r="EX21" s="143">
        <f t="shared" ca="1" si="24"/>
        <v>8.7422578345704133E-2</v>
      </c>
      <c r="EY21" s="143">
        <f t="shared" ca="1" si="24"/>
        <v>0.23747982761222972</v>
      </c>
      <c r="EZ21" s="143">
        <f t="shared" ca="1" si="24"/>
        <v>0.19386746388798842</v>
      </c>
      <c r="FA21" s="143">
        <f t="shared" ca="1" si="24"/>
        <v>-0.11561883766298153</v>
      </c>
      <c r="FB21" s="143">
        <f t="shared" ca="1" si="24"/>
        <v>3.2190129419686478E-2</v>
      </c>
      <c r="FC21" s="143">
        <f t="shared" ca="1" si="24"/>
        <v>0.17084988453717095</v>
      </c>
      <c r="FD21" s="143">
        <f t="shared" ca="1" si="24"/>
        <v>-8.6535570591565192E-2</v>
      </c>
      <c r="FE21" s="143">
        <f t="shared" ca="1" si="24"/>
        <v>0.10216612078513929</v>
      </c>
      <c r="FF21" s="143">
        <f t="shared" ca="1" si="24"/>
        <v>0.12028520860871303</v>
      </c>
      <c r="FG21" s="143">
        <f t="shared" ca="1" si="24"/>
        <v>1.1488375625861046E-2</v>
      </c>
      <c r="FH21" s="143">
        <f t="shared" ca="1" si="24"/>
        <v>5.4434909670822013E-2</v>
      </c>
      <c r="FI21" s="143">
        <f t="shared" ca="1" si="24"/>
        <v>0.24058270929014769</v>
      </c>
      <c r="FJ21" s="143">
        <f t="shared" ca="1" si="24"/>
        <v>8.6279591870551897E-2</v>
      </c>
      <c r="FK21" s="143">
        <f t="shared" ca="1" si="24"/>
        <v>4.0504348562568342E-2</v>
      </c>
      <c r="FL21" s="143">
        <f t="shared" ca="1" si="24"/>
        <v>3.4235086333870277E-2</v>
      </c>
      <c r="FM21" s="143">
        <f t="shared" ca="1" si="24"/>
        <v>6.3707831979137652E-2</v>
      </c>
      <c r="FN21" s="143">
        <f t="shared" ca="1" si="24"/>
        <v>5.643764694271771E-2</v>
      </c>
      <c r="FO21" s="143">
        <f t="shared" ca="1" si="24"/>
        <v>9.9673948042850957E-2</v>
      </c>
      <c r="FP21" s="143">
        <f t="shared" ca="1" si="24"/>
        <v>5.6702755785175377E-2</v>
      </c>
      <c r="FQ21" s="143">
        <f t="shared" ca="1" si="24"/>
        <v>-5.1583604614765313E-3</v>
      </c>
      <c r="FR21" s="143">
        <f t="shared" ca="1" si="24"/>
        <v>9.4890240642110518E-2</v>
      </c>
      <c r="FS21" s="143">
        <f t="shared" ca="1" si="24"/>
        <v>5.7309708507012475E-2</v>
      </c>
      <c r="FT21" s="143">
        <f t="shared" ca="1" si="24"/>
        <v>7.6396052481401397E-2</v>
      </c>
      <c r="FU21" s="143">
        <f t="shared" ca="1" si="24"/>
        <v>-6.0046022802658708E-3</v>
      </c>
      <c r="FV21" s="143">
        <f t="shared" ca="1" si="24"/>
        <v>-1.8267139595713987E-2</v>
      </c>
      <c r="FW21" s="143">
        <f t="shared" ca="1" si="24"/>
        <v>-2.4290746866912051E-2</v>
      </c>
      <c r="FX21" s="143">
        <f t="shared" ref="FX21:HG24" ca="1" si="26">_xlfn.NORM.INV(RAND(),$B$116,$B$117)</f>
        <v>1.8189437692255905E-2</v>
      </c>
      <c r="FY21" s="143">
        <f t="shared" ca="1" si="26"/>
        <v>6.7304038092402693E-2</v>
      </c>
      <c r="FZ21" s="143">
        <f t="shared" ca="1" si="26"/>
        <v>0.14100290374598196</v>
      </c>
      <c r="GA21" s="143">
        <f t="shared" ca="1" si="26"/>
        <v>0.14297125783965067</v>
      </c>
      <c r="GB21" s="143">
        <f t="shared" ca="1" si="26"/>
        <v>0.23185492390771373</v>
      </c>
      <c r="GC21" s="143">
        <f t="shared" ca="1" si="26"/>
        <v>9.3412158257249356E-2</v>
      </c>
      <c r="GD21" s="143">
        <f t="shared" ca="1" si="26"/>
        <v>-1.9013376215213269E-2</v>
      </c>
      <c r="GE21" s="143">
        <f t="shared" ca="1" si="26"/>
        <v>-0.10549100041198015</v>
      </c>
      <c r="GF21" s="143">
        <f t="shared" ca="1" si="26"/>
        <v>3.9478591739645782E-2</v>
      </c>
      <c r="GG21" s="143">
        <f t="shared" ca="1" si="26"/>
        <v>0.12043899510682682</v>
      </c>
      <c r="GH21" s="143">
        <f t="shared" ca="1" si="26"/>
        <v>5.5234752259495354E-2</v>
      </c>
      <c r="GI21" s="143">
        <f t="shared" ca="1" si="26"/>
        <v>0.19716727347895457</v>
      </c>
      <c r="GJ21" s="143">
        <f t="shared" ca="1" si="26"/>
        <v>-5.8529593182075207E-4</v>
      </c>
      <c r="GK21" s="143">
        <f t="shared" ca="1" si="26"/>
        <v>0.11423857739409049</v>
      </c>
      <c r="GL21" s="143">
        <f t="shared" ca="1" si="26"/>
        <v>4.7890446460682912E-2</v>
      </c>
      <c r="GM21" s="143">
        <f t="shared" ca="1" si="26"/>
        <v>-4.8779138307513147E-2</v>
      </c>
      <c r="GN21" s="143">
        <f t="shared" ca="1" si="26"/>
        <v>8.7559514784872575E-2</v>
      </c>
      <c r="GO21" s="143">
        <f t="shared" ca="1" si="26"/>
        <v>5.7674239359173089E-2</v>
      </c>
      <c r="GP21" s="143">
        <f t="shared" ca="1" si="26"/>
        <v>0.17671433806101744</v>
      </c>
      <c r="GQ21" s="143">
        <f t="shared" ca="1" si="26"/>
        <v>-7.2151015319168246E-3</v>
      </c>
      <c r="GR21" s="143">
        <f t="shared" ca="1" si="26"/>
        <v>0.1368223256147027</v>
      </c>
      <c r="GS21" s="143">
        <f t="shared" ca="1" si="26"/>
        <v>2.9262455927905676E-3</v>
      </c>
      <c r="GT21" s="143">
        <f t="shared" ca="1" si="26"/>
        <v>0.1759526029568593</v>
      </c>
      <c r="GU21" s="143">
        <f t="shared" ca="1" si="26"/>
        <v>-3.7488236996406347E-2</v>
      </c>
      <c r="GV21" s="143">
        <f t="shared" ca="1" si="26"/>
        <v>0.11013807787860326</v>
      </c>
      <c r="GW21" s="143">
        <f t="shared" ca="1" si="26"/>
        <v>-3.0595926044617743E-2</v>
      </c>
      <c r="GX21" s="143">
        <f t="shared" ca="1" si="26"/>
        <v>7.2794411146372889E-2</v>
      </c>
      <c r="GY21" s="143">
        <f t="shared" ca="1" si="26"/>
        <v>-6.3083785249120505E-2</v>
      </c>
      <c r="GZ21" s="143">
        <f t="shared" ca="1" si="26"/>
        <v>0.15515064372594189</v>
      </c>
      <c r="HA21" s="143">
        <f t="shared" ca="1" si="26"/>
        <v>5.246956346712122E-2</v>
      </c>
      <c r="HB21" s="143">
        <f t="shared" ca="1" si="26"/>
        <v>-5.1694121931536788E-3</v>
      </c>
      <c r="HC21" s="143">
        <f t="shared" ca="1" si="26"/>
        <v>0.11440546931862572</v>
      </c>
      <c r="HD21" s="143">
        <f t="shared" ca="1" si="26"/>
        <v>0.15051470630799355</v>
      </c>
      <c r="HE21" s="143">
        <f t="shared" ca="1" si="26"/>
        <v>0.11348147683898027</v>
      </c>
      <c r="HF21" s="143">
        <f t="shared" ca="1" si="26"/>
        <v>0.11853678268665835</v>
      </c>
      <c r="HG21" s="143">
        <f t="shared" ca="1" si="26"/>
        <v>8.2235155972810739E-2</v>
      </c>
    </row>
    <row r="22" spans="1:215">
      <c r="A22" s="90">
        <v>1948</v>
      </c>
      <c r="B22" s="84">
        <v>5.7045751633986834E-2</v>
      </c>
      <c r="C22" s="85">
        <v>-7.0999999999999995E-3</v>
      </c>
      <c r="D22" s="83">
        <f t="shared" si="4"/>
        <v>4.421660130718947E-2</v>
      </c>
      <c r="E22" s="85"/>
      <c r="F22" s="85"/>
      <c r="G22" s="85">
        <v>1.0449999999999999E-2</v>
      </c>
      <c r="H22" s="85">
        <v>1.9510369413175046E-2</v>
      </c>
      <c r="I22" s="85">
        <v>3.4369595605103213E-2</v>
      </c>
      <c r="J22" s="85">
        <v>0</v>
      </c>
      <c r="M22" s="115">
        <f t="shared" si="7"/>
        <v>71</v>
      </c>
      <c r="N22" s="143">
        <f t="shared" ca="1" si="5"/>
        <v>7.3939361848197258E-2</v>
      </c>
      <c r="O22" s="143">
        <f t="shared" ref="O22:BZ25" ca="1" si="27">_xlfn.NORM.INV(RAND(),$B$112,$B$113)</f>
        <v>1.1619511222236117E-2</v>
      </c>
      <c r="P22" s="143">
        <f t="shared" ca="1" si="27"/>
        <v>-6.7317769633616437E-2</v>
      </c>
      <c r="Q22" s="143">
        <f t="shared" ca="1" si="27"/>
        <v>6.5565051714618044E-2</v>
      </c>
      <c r="R22" s="143">
        <f t="shared" ca="1" si="27"/>
        <v>0.12820979355559792</v>
      </c>
      <c r="S22" s="143">
        <f t="shared" ca="1" si="27"/>
        <v>0.33727558581081318</v>
      </c>
      <c r="T22" s="143">
        <f t="shared" ca="1" si="27"/>
        <v>0.27395419505921875</v>
      </c>
      <c r="U22" s="143">
        <f t="shared" ca="1" si="27"/>
        <v>-0.20570812191861679</v>
      </c>
      <c r="V22" s="143">
        <f t="shared" ca="1" si="27"/>
        <v>0.21209448910792725</v>
      </c>
      <c r="W22" s="143">
        <f t="shared" ca="1" si="27"/>
        <v>0.14950846983705113</v>
      </c>
      <c r="X22" s="143">
        <f t="shared" ca="1" si="27"/>
        <v>0.22529102074567497</v>
      </c>
      <c r="Y22" s="143">
        <f t="shared" ca="1" si="27"/>
        <v>8.5114633789580563E-2</v>
      </c>
      <c r="Z22" s="143">
        <f t="shared" ca="1" si="27"/>
        <v>-6.7688955990144434E-2</v>
      </c>
      <c r="AA22" s="143">
        <f t="shared" ca="1" si="27"/>
        <v>0.4827360682401961</v>
      </c>
      <c r="AB22" s="143">
        <f t="shared" ca="1" si="27"/>
        <v>-0.10134031309215544</v>
      </c>
      <c r="AC22" s="143">
        <f t="shared" ca="1" si="27"/>
        <v>-0.41182179219740789</v>
      </c>
      <c r="AD22" s="143">
        <f t="shared" ca="1" si="27"/>
        <v>0.41338307168989474</v>
      </c>
      <c r="AE22" s="143">
        <f t="shared" ca="1" si="27"/>
        <v>0.15842119328113424</v>
      </c>
      <c r="AF22" s="143">
        <f t="shared" ca="1" si="27"/>
        <v>0.19341338757721166</v>
      </c>
      <c r="AG22" s="143">
        <f t="shared" ca="1" si="27"/>
        <v>-6.2143760750572125E-2</v>
      </c>
      <c r="AH22" s="143">
        <f t="shared" ca="1" si="27"/>
        <v>-0.15182193259586807</v>
      </c>
      <c r="AI22" s="143">
        <f t="shared" ca="1" si="27"/>
        <v>0.14856476110787739</v>
      </c>
      <c r="AJ22" s="143">
        <f t="shared" ca="1" si="27"/>
        <v>-6.3578425265709476E-2</v>
      </c>
      <c r="AK22" s="143">
        <f t="shared" ca="1" si="27"/>
        <v>-1.6550765063377548E-3</v>
      </c>
      <c r="AL22" s="143">
        <f t="shared" ca="1" si="27"/>
        <v>1.2891486968605453E-2</v>
      </c>
      <c r="AM22" s="143">
        <f t="shared" ca="1" si="27"/>
        <v>0.50418744076269251</v>
      </c>
      <c r="AN22" s="143">
        <f t="shared" ca="1" si="27"/>
        <v>8.6144867328873401E-2</v>
      </c>
      <c r="AO22" s="143">
        <f t="shared" ca="1" si="27"/>
        <v>0.11529455760335955</v>
      </c>
      <c r="AP22" s="143">
        <f t="shared" ca="1" si="27"/>
        <v>2.8245577524086934E-2</v>
      </c>
      <c r="AQ22" s="143">
        <f t="shared" ca="1" si="27"/>
        <v>-0.33654027793826313</v>
      </c>
      <c r="AR22" s="143">
        <f t="shared" ca="1" si="27"/>
        <v>0.20817749984791395</v>
      </c>
      <c r="AS22" s="143">
        <f t="shared" ca="1" si="27"/>
        <v>9.5660007038760389E-2</v>
      </c>
      <c r="AT22" s="143">
        <f t="shared" ca="1" si="27"/>
        <v>6.0596237918625458E-2</v>
      </c>
      <c r="AU22" s="143">
        <f t="shared" ca="1" si="27"/>
        <v>-1.7374019720856185E-2</v>
      </c>
      <c r="AV22" s="143">
        <f t="shared" ca="1" si="27"/>
        <v>-0.29239083460320314</v>
      </c>
      <c r="AW22" s="143">
        <f t="shared" ca="1" si="27"/>
        <v>8.4777042995759777E-2</v>
      </c>
      <c r="AX22" s="143">
        <f t="shared" ca="1" si="27"/>
        <v>2.9845522627912E-2</v>
      </c>
      <c r="AY22" s="143">
        <f t="shared" ca="1" si="27"/>
        <v>0.13925626675069763</v>
      </c>
      <c r="AZ22" s="143">
        <f t="shared" ca="1" si="27"/>
        <v>0.53039080223471879</v>
      </c>
      <c r="BA22" s="143">
        <f t="shared" ca="1" si="27"/>
        <v>0.41179028628572167</v>
      </c>
      <c r="BB22" s="143">
        <f t="shared" ca="1" si="27"/>
        <v>-5.9632977319557384E-2</v>
      </c>
      <c r="BC22" s="143">
        <f t="shared" ca="1" si="27"/>
        <v>-0.16483145624510773</v>
      </c>
      <c r="BD22" s="143">
        <f t="shared" ca="1" si="27"/>
        <v>-0.28610752485899815</v>
      </c>
      <c r="BE22" s="143">
        <f t="shared" ca="1" si="27"/>
        <v>3.7769571229634973E-2</v>
      </c>
      <c r="BF22" s="143">
        <f t="shared" ca="1" si="27"/>
        <v>-2.1381632495579991E-2</v>
      </c>
      <c r="BG22" s="143">
        <f t="shared" ca="1" si="27"/>
        <v>9.5279347097155936E-3</v>
      </c>
      <c r="BH22" s="143">
        <f t="shared" ca="1" si="27"/>
        <v>6.3982682059807172E-4</v>
      </c>
      <c r="BI22" s="143">
        <f t="shared" ca="1" si="27"/>
        <v>2.8016346339255482E-3</v>
      </c>
      <c r="BJ22" s="143">
        <f t="shared" ca="1" si="27"/>
        <v>0.1157844979052344</v>
      </c>
      <c r="BK22" s="143">
        <f t="shared" ca="1" si="27"/>
        <v>9.0526883898237889E-2</v>
      </c>
      <c r="BL22" s="143">
        <f t="shared" ca="1" si="27"/>
        <v>8.2529477718492963E-2</v>
      </c>
      <c r="BM22" s="143">
        <f t="shared" ca="1" si="27"/>
        <v>0.28626495290087817</v>
      </c>
      <c r="BN22" s="143">
        <f t="shared" ca="1" si="27"/>
        <v>0.18985609113900842</v>
      </c>
      <c r="BO22" s="143">
        <f t="shared" ca="1" si="27"/>
        <v>0.23642200603603597</v>
      </c>
      <c r="BP22" s="143">
        <f t="shared" ca="1" si="27"/>
        <v>6.963473003908302E-2</v>
      </c>
      <c r="BQ22" s="143">
        <f t="shared" ca="1" si="27"/>
        <v>0.19133211397342384</v>
      </c>
      <c r="BR22" s="143">
        <f t="shared" ca="1" si="27"/>
        <v>3.5467228386829863E-2</v>
      </c>
      <c r="BS22" s="143">
        <f t="shared" ca="1" si="27"/>
        <v>0.22452828599774213</v>
      </c>
      <c r="BT22" s="143">
        <f t="shared" ca="1" si="27"/>
        <v>0.43430877405283008</v>
      </c>
      <c r="BU22" s="143">
        <f t="shared" ca="1" si="27"/>
        <v>0.36246365178691931</v>
      </c>
      <c r="BV22" s="143">
        <f t="shared" ca="1" si="27"/>
        <v>0.20941433872576368</v>
      </c>
      <c r="BW22" s="143">
        <f t="shared" ca="1" si="27"/>
        <v>0.45034921622796609</v>
      </c>
      <c r="BX22" s="143">
        <f t="shared" ca="1" si="27"/>
        <v>0.15307792284760977</v>
      </c>
      <c r="BY22" s="143">
        <f t="shared" ca="1" si="27"/>
        <v>2.829843293973372E-3</v>
      </c>
      <c r="BZ22" s="143">
        <f t="shared" ca="1" si="27"/>
        <v>7.3157703707401642E-2</v>
      </c>
      <c r="CA22" s="143">
        <f t="shared" ca="1" si="25"/>
        <v>0.28462394679998021</v>
      </c>
      <c r="CB22" s="143">
        <f t="shared" ca="1" si="25"/>
        <v>0.32485654224617255</v>
      </c>
      <c r="CC22" s="143">
        <f t="shared" ca="1" si="25"/>
        <v>-1.0228755231055639E-2</v>
      </c>
      <c r="CD22" s="143">
        <f t="shared" ca="1" si="25"/>
        <v>0.27778797530812593</v>
      </c>
      <c r="CE22" s="143">
        <f t="shared" ca="1" si="25"/>
        <v>0.30999244070383175</v>
      </c>
      <c r="CF22" s="143">
        <f t="shared" ca="1" si="25"/>
        <v>-0.17950594437853831</v>
      </c>
      <c r="CG22" s="143">
        <f t="shared" ca="1" si="25"/>
        <v>-0.20026101246604686</v>
      </c>
      <c r="CH22" s="143">
        <f t="shared" ca="1" si="25"/>
        <v>-9.5495165822259864E-2</v>
      </c>
      <c r="CI22" s="143">
        <f t="shared" ca="1" si="25"/>
        <v>-0.1252911646788761</v>
      </c>
      <c r="CJ22" s="143">
        <f t="shared" ca="1" si="25"/>
        <v>-2.3962584582408158E-2</v>
      </c>
      <c r="CK22" s="143">
        <f t="shared" ca="1" si="25"/>
        <v>0.10935540707001576</v>
      </c>
      <c r="CL22" s="143">
        <f t="shared" ca="1" si="25"/>
        <v>7.8069644351249495E-2</v>
      </c>
      <c r="CM22" s="143">
        <f t="shared" ca="1" si="25"/>
        <v>4.364531481831635E-4</v>
      </c>
      <c r="CN22" s="143">
        <f t="shared" ca="1" si="25"/>
        <v>0.39144166268084846</v>
      </c>
      <c r="CO22" s="143">
        <f t="shared" ca="1" si="25"/>
        <v>7.2463636924804217E-2</v>
      </c>
      <c r="CP22" s="143">
        <f t="shared" ca="1" si="25"/>
        <v>0.21268579139249189</v>
      </c>
      <c r="CQ22" s="143">
        <f t="shared" ca="1" si="25"/>
        <v>0.20282465557258253</v>
      </c>
      <c r="CR22" s="143">
        <f t="shared" ca="1" si="25"/>
        <v>0.26394596918790758</v>
      </c>
      <c r="CS22" s="143">
        <f t="shared" ca="1" si="25"/>
        <v>-0.2825064936678533</v>
      </c>
      <c r="CT22" s="143">
        <f t="shared" ca="1" si="25"/>
        <v>-2.0154530773966825E-2</v>
      </c>
      <c r="CU22" s="143">
        <f t="shared" ca="1" si="25"/>
        <v>-4.8236841097837935E-2</v>
      </c>
      <c r="CV22" s="143">
        <f t="shared" ca="1" si="25"/>
        <v>8.9722113314254698E-2</v>
      </c>
      <c r="CW22" s="143">
        <f t="shared" ca="1" si="25"/>
        <v>-1.8286062693776556E-2</v>
      </c>
      <c r="CX22" s="143">
        <f t="shared" ca="1" si="25"/>
        <v>-2.5174972813264668E-2</v>
      </c>
      <c r="CY22" s="143">
        <f t="shared" ca="1" si="25"/>
        <v>0.36072248413266017</v>
      </c>
      <c r="CZ22" s="143">
        <f t="shared" ca="1" si="25"/>
        <v>-0.25093980989810827</v>
      </c>
      <c r="DA22" s="143">
        <f t="shared" ca="1" si="25"/>
        <v>0.18711078005680531</v>
      </c>
      <c r="DB22" s="143">
        <f t="shared" ca="1" si="25"/>
        <v>-0.16527035253448283</v>
      </c>
      <c r="DC22" s="143">
        <f t="shared" ca="1" si="25"/>
        <v>4.6946217442581435E-2</v>
      </c>
      <c r="DD22" s="143">
        <f t="shared" ca="1" si="25"/>
        <v>9.2318989115042563E-2</v>
      </c>
      <c r="DE22" s="143">
        <f t="shared" ca="1" si="25"/>
        <v>0.11170264498678803</v>
      </c>
      <c r="DF22" s="143">
        <f t="shared" ca="1" si="25"/>
        <v>-1.4210705248977412E-2</v>
      </c>
      <c r="DG22" s="143">
        <f t="shared" ca="1" si="25"/>
        <v>7.3676205162692576E-2</v>
      </c>
      <c r="DH22" s="143">
        <f t="shared" ca="1" si="25"/>
        <v>0.32156778501791822</v>
      </c>
      <c r="DI22" s="143">
        <f t="shared" ca="1" si="25"/>
        <v>-8.5649760739274133E-2</v>
      </c>
      <c r="DK22" s="115">
        <f t="shared" si="8"/>
        <v>71</v>
      </c>
      <c r="DL22" s="143">
        <f t="shared" ca="1" si="6"/>
        <v>0.36358719891097147</v>
      </c>
      <c r="DM22" s="143">
        <f t="shared" ref="DM22:FX25" ca="1" si="28">_xlfn.NORM.INV(RAND(),$B$116,$B$117)</f>
        <v>7.6175722890627018E-2</v>
      </c>
      <c r="DN22" s="143">
        <f t="shared" ca="1" si="28"/>
        <v>4.1350995526541152E-2</v>
      </c>
      <c r="DO22" s="143">
        <f t="shared" ca="1" si="28"/>
        <v>0.14655184321145664</v>
      </c>
      <c r="DP22" s="143">
        <f t="shared" ca="1" si="28"/>
        <v>6.6039103438388327E-2</v>
      </c>
      <c r="DQ22" s="143">
        <f t="shared" ca="1" si="28"/>
        <v>7.8317628674247339E-2</v>
      </c>
      <c r="DR22" s="143">
        <f t="shared" ca="1" si="28"/>
        <v>-6.0255199934140503E-2</v>
      </c>
      <c r="DS22" s="143">
        <f t="shared" ca="1" si="28"/>
        <v>8.146433535591302E-2</v>
      </c>
      <c r="DT22" s="143">
        <f t="shared" ca="1" si="28"/>
        <v>-6.6352234791473313E-2</v>
      </c>
      <c r="DU22" s="143">
        <f t="shared" ca="1" si="28"/>
        <v>4.042690187819109E-2</v>
      </c>
      <c r="DV22" s="143">
        <f t="shared" ca="1" si="28"/>
        <v>-0.14131475114527417</v>
      </c>
      <c r="DW22" s="143">
        <f t="shared" ca="1" si="28"/>
        <v>5.1832890933400801E-2</v>
      </c>
      <c r="DX22" s="143">
        <f t="shared" ca="1" si="28"/>
        <v>2.3001619327601319E-2</v>
      </c>
      <c r="DY22" s="143">
        <f t="shared" ca="1" si="28"/>
        <v>4.8457702456152107E-2</v>
      </c>
      <c r="DZ22" s="143">
        <f t="shared" ca="1" si="28"/>
        <v>-5.278663082850743E-3</v>
      </c>
      <c r="EA22" s="143">
        <f t="shared" ca="1" si="28"/>
        <v>2.1565547225204949E-2</v>
      </c>
      <c r="EB22" s="143">
        <f t="shared" ca="1" si="28"/>
        <v>-6.2053000200699794E-2</v>
      </c>
      <c r="EC22" s="143">
        <f t="shared" ca="1" si="28"/>
        <v>-2.1138362414229388E-2</v>
      </c>
      <c r="ED22" s="143">
        <f t="shared" ca="1" si="28"/>
        <v>-5.0569388377154495E-3</v>
      </c>
      <c r="EE22" s="143">
        <f t="shared" ca="1" si="28"/>
        <v>5.8277703123395079E-2</v>
      </c>
      <c r="EF22" s="143">
        <f t="shared" ca="1" si="28"/>
        <v>0.13842584707546002</v>
      </c>
      <c r="EG22" s="143">
        <f t="shared" ca="1" si="28"/>
        <v>0.14532766669473904</v>
      </c>
      <c r="EH22" s="143">
        <f t="shared" ca="1" si="28"/>
        <v>0.13741260644513223</v>
      </c>
      <c r="EI22" s="143">
        <f t="shared" ca="1" si="28"/>
        <v>0.14937624183116108</v>
      </c>
      <c r="EJ22" s="143">
        <f t="shared" ca="1" si="28"/>
        <v>0.11165323438029237</v>
      </c>
      <c r="EK22" s="143">
        <f t="shared" ca="1" si="28"/>
        <v>2.5401889896431138E-2</v>
      </c>
      <c r="EL22" s="143">
        <f t="shared" ca="1" si="28"/>
        <v>1.2382235884032942E-2</v>
      </c>
      <c r="EM22" s="143">
        <f t="shared" ca="1" si="28"/>
        <v>-3.6163001269836202E-2</v>
      </c>
      <c r="EN22" s="143">
        <f t="shared" ca="1" si="28"/>
        <v>8.0946392134360945E-2</v>
      </c>
      <c r="EO22" s="143">
        <f t="shared" ca="1" si="28"/>
        <v>-4.224948217247719E-3</v>
      </c>
      <c r="EP22" s="143">
        <f t="shared" ca="1" si="28"/>
        <v>-4.9105056184708742E-3</v>
      </c>
      <c r="EQ22" s="143">
        <f t="shared" ca="1" si="28"/>
        <v>2.6502731399700961E-2</v>
      </c>
      <c r="ER22" s="143">
        <f t="shared" ca="1" si="28"/>
        <v>-2.4764940840052881E-2</v>
      </c>
      <c r="ES22" s="143">
        <f t="shared" ca="1" si="28"/>
        <v>-3.978041457977969E-2</v>
      </c>
      <c r="ET22" s="143">
        <f t="shared" ca="1" si="28"/>
        <v>-1.7831716113102546E-2</v>
      </c>
      <c r="EU22" s="143">
        <f t="shared" ca="1" si="28"/>
        <v>8.4891342406427983E-2</v>
      </c>
      <c r="EV22" s="143">
        <f t="shared" ca="1" si="28"/>
        <v>5.7155550848000336E-2</v>
      </c>
      <c r="EW22" s="143">
        <f t="shared" ca="1" si="28"/>
        <v>2.3683190479039898E-2</v>
      </c>
      <c r="EX22" s="143">
        <f t="shared" ca="1" si="28"/>
        <v>5.7191079305076255E-2</v>
      </c>
      <c r="EY22" s="143">
        <f t="shared" ca="1" si="28"/>
        <v>0.14794495944649855</v>
      </c>
      <c r="EZ22" s="143">
        <f t="shared" ca="1" si="28"/>
        <v>0.20742511907854833</v>
      </c>
      <c r="FA22" s="143">
        <f t="shared" ca="1" si="28"/>
        <v>8.7037687114923462E-2</v>
      </c>
      <c r="FB22" s="143">
        <f t="shared" ca="1" si="28"/>
        <v>-2.7093225064439917E-2</v>
      </c>
      <c r="FC22" s="143">
        <f t="shared" ca="1" si="28"/>
        <v>-9.0930210062359101E-2</v>
      </c>
      <c r="FD22" s="143">
        <f t="shared" ca="1" si="28"/>
        <v>0.11803533404417946</v>
      </c>
      <c r="FE22" s="143">
        <f t="shared" ca="1" si="28"/>
        <v>5.1185289860413222E-3</v>
      </c>
      <c r="FF22" s="143">
        <f t="shared" ca="1" si="28"/>
        <v>9.2808243559371756E-4</v>
      </c>
      <c r="FG22" s="143">
        <f t="shared" ca="1" si="28"/>
        <v>2.2601070984940352E-2</v>
      </c>
      <c r="FH22" s="143">
        <f t="shared" ca="1" si="28"/>
        <v>1.44387157239452E-2</v>
      </c>
      <c r="FI22" s="143">
        <f t="shared" ca="1" si="28"/>
        <v>3.1602814958015535E-3</v>
      </c>
      <c r="FJ22" s="143">
        <f t="shared" ca="1" si="28"/>
        <v>5.4658097675095441E-2</v>
      </c>
      <c r="FK22" s="143">
        <f t="shared" ca="1" si="28"/>
        <v>-7.6935496549102728E-4</v>
      </c>
      <c r="FL22" s="143">
        <f t="shared" ca="1" si="28"/>
        <v>-6.3334196796014403E-2</v>
      </c>
      <c r="FM22" s="143">
        <f t="shared" ca="1" si="28"/>
        <v>6.684720321955373E-2</v>
      </c>
      <c r="FN22" s="143">
        <f t="shared" ca="1" si="28"/>
        <v>4.2272734243696486E-2</v>
      </c>
      <c r="FO22" s="143">
        <f t="shared" ca="1" si="28"/>
        <v>4.2367304884940525E-2</v>
      </c>
      <c r="FP22" s="143">
        <f t="shared" ca="1" si="28"/>
        <v>7.8473880726515163E-2</v>
      </c>
      <c r="FQ22" s="143">
        <f t="shared" ca="1" si="28"/>
        <v>5.4474648384016368E-2</v>
      </c>
      <c r="FR22" s="143">
        <f t="shared" ca="1" si="28"/>
        <v>0.21367723507897898</v>
      </c>
      <c r="FS22" s="143">
        <f t="shared" ca="1" si="28"/>
        <v>8.5637207342054572E-3</v>
      </c>
      <c r="FT22" s="143">
        <f t="shared" ca="1" si="28"/>
        <v>3.349372191025838E-2</v>
      </c>
      <c r="FU22" s="143">
        <f t="shared" ca="1" si="28"/>
        <v>7.3543203039386704E-2</v>
      </c>
      <c r="FV22" s="143">
        <f t="shared" ca="1" si="28"/>
        <v>-4.0738881201699668E-2</v>
      </c>
      <c r="FW22" s="143">
        <f t="shared" ca="1" si="28"/>
        <v>0.14550593807116652</v>
      </c>
      <c r="FX22" s="143">
        <f t="shared" ca="1" si="28"/>
        <v>2.2194358362237071E-3</v>
      </c>
      <c r="FY22" s="143">
        <f t="shared" ca="1" si="26"/>
        <v>-7.9135109733042414E-2</v>
      </c>
      <c r="FZ22" s="143">
        <f t="shared" ca="1" si="26"/>
        <v>3.3674016163055917E-2</v>
      </c>
      <c r="GA22" s="143">
        <f t="shared" ca="1" si="26"/>
        <v>0.15875364631746128</v>
      </c>
      <c r="GB22" s="143">
        <f t="shared" ca="1" si="26"/>
        <v>7.1564183482561883E-2</v>
      </c>
      <c r="GC22" s="143">
        <f t="shared" ca="1" si="26"/>
        <v>0.10961915676635273</v>
      </c>
      <c r="GD22" s="143">
        <f t="shared" ca="1" si="26"/>
        <v>-4.2357043298812881E-2</v>
      </c>
      <c r="GE22" s="143">
        <f t="shared" ca="1" si="26"/>
        <v>-5.688887895013877E-2</v>
      </c>
      <c r="GF22" s="143">
        <f t="shared" ca="1" si="26"/>
        <v>9.33053651234238E-2</v>
      </c>
      <c r="GG22" s="143">
        <f t="shared" ca="1" si="26"/>
        <v>0.15139081954424785</v>
      </c>
      <c r="GH22" s="143">
        <f t="shared" ca="1" si="26"/>
        <v>-4.5157582944115933E-2</v>
      </c>
      <c r="GI22" s="143">
        <f t="shared" ca="1" si="26"/>
        <v>8.2755999453616474E-2</v>
      </c>
      <c r="GJ22" s="143">
        <f t="shared" ca="1" si="26"/>
        <v>5.9740789086956687E-2</v>
      </c>
      <c r="GK22" s="143">
        <f t="shared" ca="1" si="26"/>
        <v>5.9138545973598383E-2</v>
      </c>
      <c r="GL22" s="143">
        <f t="shared" ca="1" si="26"/>
        <v>3.0892601799649273E-2</v>
      </c>
      <c r="GM22" s="143">
        <f t="shared" ca="1" si="26"/>
        <v>-3.2243641278028153E-2</v>
      </c>
      <c r="GN22" s="143">
        <f t="shared" ca="1" si="26"/>
        <v>0.11695776279206621</v>
      </c>
      <c r="GO22" s="143">
        <f t="shared" ca="1" si="26"/>
        <v>4.1474530279781957E-2</v>
      </c>
      <c r="GP22" s="143">
        <f t="shared" ca="1" si="26"/>
        <v>8.8942159389008207E-2</v>
      </c>
      <c r="GQ22" s="143">
        <f t="shared" ca="1" si="26"/>
        <v>0.13809968630348421</v>
      </c>
      <c r="GR22" s="143">
        <f t="shared" ca="1" si="26"/>
        <v>7.2221334840036122E-2</v>
      </c>
      <c r="GS22" s="143">
        <f t="shared" ca="1" si="26"/>
        <v>5.4220541398841873E-2</v>
      </c>
      <c r="GT22" s="143">
        <f t="shared" ca="1" si="26"/>
        <v>5.2454689370087237E-3</v>
      </c>
      <c r="GU22" s="143">
        <f t="shared" ca="1" si="26"/>
        <v>0.1001819958735386</v>
      </c>
      <c r="GV22" s="143">
        <f t="shared" ca="1" si="26"/>
        <v>8.4464719894060403E-2</v>
      </c>
      <c r="GW22" s="143">
        <f t="shared" ca="1" si="26"/>
        <v>-0.13132990868057542</v>
      </c>
      <c r="GX22" s="143">
        <f t="shared" ca="1" si="26"/>
        <v>0.18524483132868366</v>
      </c>
      <c r="GY22" s="143">
        <f t="shared" ca="1" si="26"/>
        <v>-5.9756686914551847E-2</v>
      </c>
      <c r="GZ22" s="143">
        <f t="shared" ca="1" si="26"/>
        <v>0.10751864399410652</v>
      </c>
      <c r="HA22" s="143">
        <f t="shared" ca="1" si="26"/>
        <v>7.9267856070979859E-2</v>
      </c>
      <c r="HB22" s="143">
        <f t="shared" ca="1" si="26"/>
        <v>5.4713979387441845E-2</v>
      </c>
      <c r="HC22" s="143">
        <f t="shared" ca="1" si="26"/>
        <v>7.4148136944279477E-2</v>
      </c>
      <c r="HD22" s="143">
        <f t="shared" ca="1" si="26"/>
        <v>9.7032923870042531E-2</v>
      </c>
      <c r="HE22" s="143">
        <f t="shared" ca="1" si="26"/>
        <v>9.8055069145264462E-2</v>
      </c>
      <c r="HF22" s="143">
        <f t="shared" ca="1" si="26"/>
        <v>0.17934032329390892</v>
      </c>
      <c r="HG22" s="143">
        <f t="shared" ca="1" si="26"/>
        <v>5.0470476913097848E-2</v>
      </c>
    </row>
    <row r="23" spans="1:215">
      <c r="A23" s="90">
        <v>1949</v>
      </c>
      <c r="B23" s="84">
        <v>0.18303223684210526</v>
      </c>
      <c r="C23" s="85">
        <v>0.2722</v>
      </c>
      <c r="D23" s="83">
        <f t="shared" si="4"/>
        <v>0.20086578947368419</v>
      </c>
      <c r="E23" s="85"/>
      <c r="F23" s="85"/>
      <c r="G23" s="85">
        <v>1.115E-2</v>
      </c>
      <c r="H23" s="85">
        <v>4.6634851827973139E-2</v>
      </c>
      <c r="I23" s="85">
        <v>5.3773011179658936E-2</v>
      </c>
      <c r="J23" s="85">
        <v>-8.7006626332469028E-2</v>
      </c>
      <c r="M23" s="115">
        <f t="shared" si="7"/>
        <v>72</v>
      </c>
      <c r="N23" s="143">
        <f t="shared" ca="1" si="5"/>
        <v>0.29481247438984781</v>
      </c>
      <c r="O23" s="143">
        <f t="shared" ca="1" si="27"/>
        <v>-7.0707843553609179E-2</v>
      </c>
      <c r="P23" s="143">
        <f t="shared" ca="1" si="27"/>
        <v>-0.25717313490127591</v>
      </c>
      <c r="Q23" s="143">
        <f t="shared" ca="1" si="27"/>
        <v>-2.5155668419285196E-2</v>
      </c>
      <c r="R23" s="143">
        <f t="shared" ca="1" si="27"/>
        <v>0.1676037354905974</v>
      </c>
      <c r="S23" s="143">
        <f t="shared" ca="1" si="27"/>
        <v>0.53086426376394746</v>
      </c>
      <c r="T23" s="143">
        <f t="shared" ca="1" si="27"/>
        <v>0.23591034643413247</v>
      </c>
      <c r="U23" s="143">
        <f t="shared" ca="1" si="27"/>
        <v>0.29399108018080855</v>
      </c>
      <c r="V23" s="143">
        <f t="shared" ca="1" si="27"/>
        <v>0.43620910637065269</v>
      </c>
      <c r="W23" s="143">
        <f t="shared" ca="1" si="27"/>
        <v>-8.7998067033086297E-2</v>
      </c>
      <c r="X23" s="143">
        <f t="shared" ca="1" si="27"/>
        <v>0.14744928621405382</v>
      </c>
      <c r="Y23" s="143">
        <f t="shared" ca="1" si="27"/>
        <v>-0.10552909174079644</v>
      </c>
      <c r="Z23" s="143">
        <f t="shared" ca="1" si="27"/>
        <v>0.3324241603469712</v>
      </c>
      <c r="AA23" s="143">
        <f t="shared" ca="1" si="27"/>
        <v>0.27103595069937159</v>
      </c>
      <c r="AB23" s="143">
        <f t="shared" ca="1" si="27"/>
        <v>1.8566839728405435E-2</v>
      </c>
      <c r="AC23" s="143">
        <f t="shared" ca="1" si="27"/>
        <v>8.7304618371094739E-3</v>
      </c>
      <c r="AD23" s="143">
        <f t="shared" ca="1" si="27"/>
        <v>0.24012849763139332</v>
      </c>
      <c r="AE23" s="143">
        <f t="shared" ca="1" si="27"/>
        <v>1.7518463103298632E-2</v>
      </c>
      <c r="AF23" s="143">
        <f t="shared" ca="1" si="27"/>
        <v>-2.8470233751103996E-2</v>
      </c>
      <c r="AG23" s="143">
        <f t="shared" ca="1" si="27"/>
        <v>6.5911796659160721E-2</v>
      </c>
      <c r="AH23" s="143">
        <f t="shared" ca="1" si="27"/>
        <v>0.24239184958574092</v>
      </c>
      <c r="AI23" s="143">
        <f t="shared" ca="1" si="27"/>
        <v>0.40404937125137841</v>
      </c>
      <c r="AJ23" s="143">
        <f t="shared" ca="1" si="27"/>
        <v>0.13520128279206947</v>
      </c>
      <c r="AK23" s="143">
        <f t="shared" ca="1" si="27"/>
        <v>0.24963323482712402</v>
      </c>
      <c r="AL23" s="143">
        <f t="shared" ca="1" si="27"/>
        <v>4.0436412750039473E-2</v>
      </c>
      <c r="AM23" s="143">
        <f t="shared" ca="1" si="27"/>
        <v>0.24376164149622234</v>
      </c>
      <c r="AN23" s="143">
        <f t="shared" ca="1" si="27"/>
        <v>0.16958595316887765</v>
      </c>
      <c r="AO23" s="143">
        <f t="shared" ca="1" si="27"/>
        <v>-0.1993033377209287</v>
      </c>
      <c r="AP23" s="143">
        <f t="shared" ca="1" si="27"/>
        <v>-8.9992890907039047E-2</v>
      </c>
      <c r="AQ23" s="143">
        <f t="shared" ca="1" si="27"/>
        <v>7.6997949047374656E-2</v>
      </c>
      <c r="AR23" s="143">
        <f t="shared" ca="1" si="27"/>
        <v>-9.7952129632487561E-3</v>
      </c>
      <c r="AS23" s="143">
        <f t="shared" ca="1" si="27"/>
        <v>4.0001489107382875E-2</v>
      </c>
      <c r="AT23" s="143">
        <f t="shared" ca="1" si="27"/>
        <v>-0.22056572208258177</v>
      </c>
      <c r="AU23" s="143">
        <f t="shared" ca="1" si="27"/>
        <v>-6.1838731627691906E-2</v>
      </c>
      <c r="AV23" s="143">
        <f t="shared" ca="1" si="27"/>
        <v>-0.14337132498934735</v>
      </c>
      <c r="AW23" s="143">
        <f t="shared" ca="1" si="27"/>
        <v>0.33216086248753601</v>
      </c>
      <c r="AX23" s="143">
        <f t="shared" ca="1" si="27"/>
        <v>0.35143461878424587</v>
      </c>
      <c r="AY23" s="143">
        <f t="shared" ca="1" si="27"/>
        <v>0.20564669579315148</v>
      </c>
      <c r="AZ23" s="143">
        <f t="shared" ca="1" si="27"/>
        <v>0.23702643892216291</v>
      </c>
      <c r="BA23" s="143">
        <f t="shared" ca="1" si="27"/>
        <v>-0.19512996384823675</v>
      </c>
      <c r="BB23" s="143">
        <f t="shared" ca="1" si="27"/>
        <v>-6.0759562054567978E-2</v>
      </c>
      <c r="BC23" s="143">
        <f t="shared" ca="1" si="27"/>
        <v>6.2737360816473908E-2</v>
      </c>
      <c r="BD23" s="143">
        <f t="shared" ca="1" si="27"/>
        <v>0.26926506750171941</v>
      </c>
      <c r="BE23" s="143">
        <f t="shared" ca="1" si="27"/>
        <v>-0.15779679230809443</v>
      </c>
      <c r="BF23" s="143">
        <f t="shared" ca="1" si="27"/>
        <v>0.11593999524965276</v>
      </c>
      <c r="BG23" s="143">
        <f t="shared" ca="1" si="27"/>
        <v>0.33215354785073065</v>
      </c>
      <c r="BH23" s="143">
        <f t="shared" ca="1" si="27"/>
        <v>-0.18958700433440631</v>
      </c>
      <c r="BI23" s="143">
        <f t="shared" ca="1" si="27"/>
        <v>0.16844440043597536</v>
      </c>
      <c r="BJ23" s="143">
        <f t="shared" ca="1" si="27"/>
        <v>7.6262905244442389E-2</v>
      </c>
      <c r="BK23" s="143">
        <f t="shared" ca="1" si="27"/>
        <v>-2.948398892610285E-2</v>
      </c>
      <c r="BL23" s="143">
        <f t="shared" ca="1" si="27"/>
        <v>-0.20236938947150837</v>
      </c>
      <c r="BM23" s="143">
        <f t="shared" ca="1" si="27"/>
        <v>-3.8776944346593178E-2</v>
      </c>
      <c r="BN23" s="143">
        <f t="shared" ca="1" si="27"/>
        <v>0.30145031104254516</v>
      </c>
      <c r="BO23" s="143">
        <f t="shared" ca="1" si="27"/>
        <v>0.19956994099925768</v>
      </c>
      <c r="BP23" s="143">
        <f t="shared" ca="1" si="27"/>
        <v>8.3558826444873904E-2</v>
      </c>
      <c r="BQ23" s="143">
        <f t="shared" ca="1" si="27"/>
        <v>0.27137870358523841</v>
      </c>
      <c r="BR23" s="143">
        <f t="shared" ca="1" si="27"/>
        <v>0.47559451085929205</v>
      </c>
      <c r="BS23" s="143">
        <f t="shared" ca="1" si="27"/>
        <v>-0.15466818790118306</v>
      </c>
      <c r="BT23" s="143">
        <f t="shared" ca="1" si="27"/>
        <v>-5.7557266647813465E-2</v>
      </c>
      <c r="BU23" s="143">
        <f t="shared" ca="1" si="27"/>
        <v>-0.10738577765774426</v>
      </c>
      <c r="BV23" s="143">
        <f t="shared" ca="1" si="27"/>
        <v>0.34418280437175697</v>
      </c>
      <c r="BW23" s="143">
        <f t="shared" ca="1" si="27"/>
        <v>9.3086854837397121E-3</v>
      </c>
      <c r="BX23" s="143">
        <f t="shared" ca="1" si="27"/>
        <v>0.27355447927023968</v>
      </c>
      <c r="BY23" s="143">
        <f t="shared" ca="1" si="27"/>
        <v>0.29937938535388964</v>
      </c>
      <c r="BZ23" s="143">
        <f t="shared" ca="1" si="27"/>
        <v>7.8957290624270482E-2</v>
      </c>
      <c r="CA23" s="143">
        <f t="shared" ca="1" si="25"/>
        <v>1.9669994925732487E-2</v>
      </c>
      <c r="CB23" s="143">
        <f t="shared" ca="1" si="25"/>
        <v>-0.12512786597997763</v>
      </c>
      <c r="CC23" s="143">
        <f t="shared" ca="1" si="25"/>
        <v>-4.3132019277527883E-2</v>
      </c>
      <c r="CD23" s="143">
        <f t="shared" ca="1" si="25"/>
        <v>-4.2196338375836612E-2</v>
      </c>
      <c r="CE23" s="143">
        <f t="shared" ca="1" si="25"/>
        <v>-0.17475485955836736</v>
      </c>
      <c r="CF23" s="143">
        <f t="shared" ca="1" si="25"/>
        <v>-0.39905954058460325</v>
      </c>
      <c r="CG23" s="143">
        <f t="shared" ca="1" si="25"/>
        <v>0.12348432717633215</v>
      </c>
      <c r="CH23" s="143">
        <f t="shared" ca="1" si="25"/>
        <v>0.16235360677737715</v>
      </c>
      <c r="CI23" s="143">
        <f t="shared" ca="1" si="25"/>
        <v>0.2239633326549324</v>
      </c>
      <c r="CJ23" s="143">
        <f t="shared" ca="1" si="25"/>
        <v>-3.1275429264065707E-2</v>
      </c>
      <c r="CK23" s="143">
        <f t="shared" ca="1" si="25"/>
        <v>2.9783685922310538E-2</v>
      </c>
      <c r="CL23" s="143">
        <f t="shared" ca="1" si="25"/>
        <v>5.760521752900391E-2</v>
      </c>
      <c r="CM23" s="143">
        <f t="shared" ca="1" si="25"/>
        <v>0.17566520276170072</v>
      </c>
      <c r="CN23" s="143">
        <f t="shared" ca="1" si="25"/>
        <v>9.6638433486210262E-2</v>
      </c>
      <c r="CO23" s="143">
        <f t="shared" ca="1" si="25"/>
        <v>-0.14477504496774593</v>
      </c>
      <c r="CP23" s="143">
        <f t="shared" ca="1" si="25"/>
        <v>0.14958189155964721</v>
      </c>
      <c r="CQ23" s="143">
        <f t="shared" ca="1" si="25"/>
        <v>6.5272304065337738E-2</v>
      </c>
      <c r="CR23" s="143">
        <f t="shared" ca="1" si="25"/>
        <v>5.1899831342214313E-2</v>
      </c>
      <c r="CS23" s="143">
        <f t="shared" ca="1" si="25"/>
        <v>0.12525602285223059</v>
      </c>
      <c r="CT23" s="143">
        <f t="shared" ca="1" si="25"/>
        <v>0.31926959949526462</v>
      </c>
      <c r="CU23" s="143">
        <f t="shared" ca="1" si="25"/>
        <v>0.47767889936443431</v>
      </c>
      <c r="CV23" s="143">
        <f t="shared" ca="1" si="25"/>
        <v>0.4166849754265427</v>
      </c>
      <c r="CW23" s="143">
        <f t="shared" ca="1" si="25"/>
        <v>0.40124839617072505</v>
      </c>
      <c r="CX23" s="143">
        <f t="shared" ca="1" si="25"/>
        <v>-9.9471902346227409E-2</v>
      </c>
      <c r="CY23" s="143">
        <f t="shared" ca="1" si="25"/>
        <v>0.1956981141486524</v>
      </c>
      <c r="CZ23" s="143">
        <f t="shared" ca="1" si="25"/>
        <v>0.46792492394131158</v>
      </c>
      <c r="DA23" s="143">
        <f t="shared" ca="1" si="25"/>
        <v>1.7615630358950723E-2</v>
      </c>
      <c r="DB23" s="143">
        <f t="shared" ca="1" si="25"/>
        <v>6.2574828716157091E-2</v>
      </c>
      <c r="DC23" s="143">
        <f t="shared" ca="1" si="25"/>
        <v>0.1193810478301203</v>
      </c>
      <c r="DD23" s="143">
        <f t="shared" ca="1" si="25"/>
        <v>-0.23934410988043756</v>
      </c>
      <c r="DE23" s="143">
        <f t="shared" ca="1" si="25"/>
        <v>0.29818910811966975</v>
      </c>
      <c r="DF23" s="143">
        <f t="shared" ca="1" si="25"/>
        <v>0.31646912790002724</v>
      </c>
      <c r="DG23" s="143">
        <f t="shared" ca="1" si="25"/>
        <v>0.30168613101448349</v>
      </c>
      <c r="DH23" s="143">
        <f t="shared" ca="1" si="25"/>
        <v>0.28083577994873926</v>
      </c>
      <c r="DI23" s="143">
        <f t="shared" ca="1" si="25"/>
        <v>0.34265446545947531</v>
      </c>
      <c r="DK23" s="115">
        <f t="shared" si="8"/>
        <v>72</v>
      </c>
      <c r="DL23" s="143">
        <f t="shared" ca="1" si="6"/>
        <v>-2.1803374192606299E-2</v>
      </c>
      <c r="DM23" s="143">
        <f t="shared" ca="1" si="28"/>
        <v>3.4266638718506437E-2</v>
      </c>
      <c r="DN23" s="143">
        <f t="shared" ca="1" si="28"/>
        <v>-1.5538013220855275E-2</v>
      </c>
      <c r="DO23" s="143">
        <f t="shared" ca="1" si="28"/>
        <v>-2.0414248489851065E-2</v>
      </c>
      <c r="DP23" s="143">
        <f t="shared" ca="1" si="28"/>
        <v>-3.1425830694225866E-2</v>
      </c>
      <c r="DQ23" s="143">
        <f t="shared" ca="1" si="28"/>
        <v>0.22296930991283634</v>
      </c>
      <c r="DR23" s="143">
        <f t="shared" ca="1" si="28"/>
        <v>5.226109733633539E-2</v>
      </c>
      <c r="DS23" s="143">
        <f t="shared" ca="1" si="28"/>
        <v>6.8160200635768275E-2</v>
      </c>
      <c r="DT23" s="143">
        <f t="shared" ca="1" si="28"/>
        <v>7.8867572565819222E-2</v>
      </c>
      <c r="DU23" s="143">
        <f t="shared" ca="1" si="28"/>
        <v>4.0808015001435466E-2</v>
      </c>
      <c r="DV23" s="143">
        <f t="shared" ca="1" si="28"/>
        <v>0.17904885678006524</v>
      </c>
      <c r="DW23" s="143">
        <f t="shared" ca="1" si="28"/>
        <v>5.2737285405370163E-3</v>
      </c>
      <c r="DX23" s="143">
        <f t="shared" ca="1" si="28"/>
        <v>-1.5014215685904907E-2</v>
      </c>
      <c r="DY23" s="143">
        <f t="shared" ca="1" si="28"/>
        <v>0.10608171363229799</v>
      </c>
      <c r="DZ23" s="143">
        <f t="shared" ca="1" si="28"/>
        <v>0.12903140362189028</v>
      </c>
      <c r="EA23" s="143">
        <f t="shared" ca="1" si="28"/>
        <v>-6.5480782379284452E-2</v>
      </c>
      <c r="EB23" s="143">
        <f t="shared" ca="1" si="28"/>
        <v>0.14689681124415416</v>
      </c>
      <c r="EC23" s="143">
        <f t="shared" ca="1" si="28"/>
        <v>2.0036326871186384E-2</v>
      </c>
      <c r="ED23" s="143">
        <f t="shared" ca="1" si="28"/>
        <v>4.7952100107380616E-2</v>
      </c>
      <c r="EE23" s="143">
        <f t="shared" ca="1" si="28"/>
        <v>5.712626359094844E-2</v>
      </c>
      <c r="EF23" s="143">
        <f t="shared" ca="1" si="28"/>
        <v>6.6218474115142423E-2</v>
      </c>
      <c r="EG23" s="143">
        <f t="shared" ca="1" si="28"/>
        <v>-2.4586491810717585E-2</v>
      </c>
      <c r="EH23" s="143">
        <f t="shared" ca="1" si="28"/>
        <v>8.2816602783510884E-2</v>
      </c>
      <c r="EI23" s="143">
        <f t="shared" ca="1" si="28"/>
        <v>6.7963045657349216E-2</v>
      </c>
      <c r="EJ23" s="143">
        <f t="shared" ca="1" si="28"/>
        <v>3.9368359615856371E-3</v>
      </c>
      <c r="EK23" s="143">
        <f t="shared" ca="1" si="28"/>
        <v>0.19100092943228641</v>
      </c>
      <c r="EL23" s="143">
        <f t="shared" ca="1" si="28"/>
        <v>-3.5570937348785116E-2</v>
      </c>
      <c r="EM23" s="143">
        <f t="shared" ca="1" si="28"/>
        <v>-4.5515264396324383E-2</v>
      </c>
      <c r="EN23" s="143">
        <f t="shared" ca="1" si="28"/>
        <v>-0.11389886610776517</v>
      </c>
      <c r="EO23" s="143">
        <f t="shared" ca="1" si="28"/>
        <v>-8.5244536791643982E-2</v>
      </c>
      <c r="EP23" s="143">
        <f t="shared" ca="1" si="28"/>
        <v>0.16053737132167065</v>
      </c>
      <c r="EQ23" s="143">
        <f t="shared" ca="1" si="28"/>
        <v>3.3231137921894638E-2</v>
      </c>
      <c r="ER23" s="143">
        <f t="shared" ca="1" si="28"/>
        <v>-4.8373617451453466E-3</v>
      </c>
      <c r="ES23" s="143">
        <f t="shared" ca="1" si="28"/>
        <v>5.1888390244362731E-3</v>
      </c>
      <c r="ET23" s="143">
        <f t="shared" ca="1" si="28"/>
        <v>6.2689151803066681E-2</v>
      </c>
      <c r="EU23" s="143">
        <f t="shared" ca="1" si="28"/>
        <v>0.1858457016126201</v>
      </c>
      <c r="EV23" s="143">
        <f t="shared" ca="1" si="28"/>
        <v>1.8355755417363177E-2</v>
      </c>
      <c r="EW23" s="143">
        <f t="shared" ca="1" si="28"/>
        <v>9.002298190608847E-3</v>
      </c>
      <c r="EX23" s="143">
        <f t="shared" ca="1" si="28"/>
        <v>0.16257215166055061</v>
      </c>
      <c r="EY23" s="143">
        <f t="shared" ca="1" si="28"/>
        <v>8.738120086626501E-2</v>
      </c>
      <c r="EZ23" s="143">
        <f t="shared" ca="1" si="28"/>
        <v>-5.4019281329002945E-2</v>
      </c>
      <c r="FA23" s="143">
        <f t="shared" ca="1" si="28"/>
        <v>7.7718748047489516E-2</v>
      </c>
      <c r="FB23" s="143">
        <f t="shared" ca="1" si="28"/>
        <v>-7.9238834465606311E-2</v>
      </c>
      <c r="FC23" s="143">
        <f t="shared" ca="1" si="28"/>
        <v>0.12127300842988056</v>
      </c>
      <c r="FD23" s="143">
        <f t="shared" ca="1" si="28"/>
        <v>-1.1307980696246979E-2</v>
      </c>
      <c r="FE23" s="143">
        <f t="shared" ca="1" si="28"/>
        <v>0.14486456268273445</v>
      </c>
      <c r="FF23" s="143">
        <f t="shared" ca="1" si="28"/>
        <v>2.5296526821610085E-2</v>
      </c>
      <c r="FG23" s="143">
        <f t="shared" ca="1" si="28"/>
        <v>7.5452901594751445E-2</v>
      </c>
      <c r="FH23" s="143">
        <f t="shared" ca="1" si="28"/>
        <v>8.3256201249610681E-3</v>
      </c>
      <c r="FI23" s="143">
        <f t="shared" ca="1" si="28"/>
        <v>6.3034338658415567E-2</v>
      </c>
      <c r="FJ23" s="143">
        <f t="shared" ca="1" si="28"/>
        <v>-4.1989172736639178E-2</v>
      </c>
      <c r="FK23" s="143">
        <f t="shared" ca="1" si="28"/>
        <v>-5.735445072022103E-2</v>
      </c>
      <c r="FL23" s="143">
        <f t="shared" ca="1" si="28"/>
        <v>2.422313171834781E-2</v>
      </c>
      <c r="FM23" s="143">
        <f t="shared" ca="1" si="28"/>
        <v>0.14615664179754653</v>
      </c>
      <c r="FN23" s="143">
        <f t="shared" ca="1" si="28"/>
        <v>5.277707874481178E-2</v>
      </c>
      <c r="FO23" s="143">
        <f t="shared" ca="1" si="28"/>
        <v>1.8265154254463227E-2</v>
      </c>
      <c r="FP23" s="143">
        <f t="shared" ca="1" si="28"/>
        <v>7.3920516024699942E-3</v>
      </c>
      <c r="FQ23" s="143">
        <f t="shared" ca="1" si="28"/>
        <v>0.17235913924333474</v>
      </c>
      <c r="FR23" s="143">
        <f t="shared" ca="1" si="28"/>
        <v>-6.8111149230003026E-2</v>
      </c>
      <c r="FS23" s="143">
        <f t="shared" ca="1" si="28"/>
        <v>3.9465934296465291E-2</v>
      </c>
      <c r="FT23" s="143">
        <f t="shared" ca="1" si="28"/>
        <v>-9.0282014871382238E-2</v>
      </c>
      <c r="FU23" s="143">
        <f t="shared" ca="1" si="28"/>
        <v>-5.6863451482705073E-2</v>
      </c>
      <c r="FV23" s="143">
        <f t="shared" ca="1" si="28"/>
        <v>5.3136890263076886E-3</v>
      </c>
      <c r="FW23" s="143">
        <f t="shared" ca="1" si="28"/>
        <v>0.11438299670637145</v>
      </c>
      <c r="FX23" s="143">
        <f t="shared" ca="1" si="28"/>
        <v>8.0666326100772651E-2</v>
      </c>
      <c r="FY23" s="143">
        <f t="shared" ca="1" si="26"/>
        <v>0.13020711910771487</v>
      </c>
      <c r="FZ23" s="143">
        <f t="shared" ca="1" si="26"/>
        <v>0.13290986269988578</v>
      </c>
      <c r="GA23" s="143">
        <f t="shared" ca="1" si="26"/>
        <v>8.2452370187133861E-2</v>
      </c>
      <c r="GB23" s="143">
        <f t="shared" ca="1" si="26"/>
        <v>9.2240112158752136E-2</v>
      </c>
      <c r="GC23" s="143">
        <f t="shared" ca="1" si="26"/>
        <v>9.0664758202804563E-2</v>
      </c>
      <c r="GD23" s="143">
        <f t="shared" ca="1" si="26"/>
        <v>0.12923980429970769</v>
      </c>
      <c r="GE23" s="143">
        <f t="shared" ca="1" si="26"/>
        <v>2.1196035821893802E-2</v>
      </c>
      <c r="GF23" s="143">
        <f t="shared" ca="1" si="26"/>
        <v>-7.9066463297880391E-2</v>
      </c>
      <c r="GG23" s="143">
        <f t="shared" ca="1" si="26"/>
        <v>6.8368415779548386E-2</v>
      </c>
      <c r="GH23" s="143">
        <f t="shared" ca="1" si="26"/>
        <v>-2.9111167485342808E-2</v>
      </c>
      <c r="GI23" s="143">
        <f t="shared" ca="1" si="26"/>
        <v>-3.3858589242478164E-2</v>
      </c>
      <c r="GJ23" s="143">
        <f t="shared" ca="1" si="26"/>
        <v>8.0500961772829963E-2</v>
      </c>
      <c r="GK23" s="143">
        <f t="shared" ca="1" si="26"/>
        <v>9.2452674428416953E-2</v>
      </c>
      <c r="GL23" s="143">
        <f t="shared" ca="1" si="26"/>
        <v>-3.5339847327197922E-2</v>
      </c>
      <c r="GM23" s="143">
        <f t="shared" ca="1" si="26"/>
        <v>6.5429439456829497E-2</v>
      </c>
      <c r="GN23" s="143">
        <f t="shared" ca="1" si="26"/>
        <v>7.7580189565611662E-2</v>
      </c>
      <c r="GO23" s="143">
        <f t="shared" ca="1" si="26"/>
        <v>3.9210860179455728E-3</v>
      </c>
      <c r="GP23" s="143">
        <f t="shared" ca="1" si="26"/>
        <v>1.9924282185217468E-2</v>
      </c>
      <c r="GQ23" s="143">
        <f t="shared" ca="1" si="26"/>
        <v>-8.3228403214345659E-2</v>
      </c>
      <c r="GR23" s="143">
        <f t="shared" ca="1" si="26"/>
        <v>9.9571825876566059E-3</v>
      </c>
      <c r="GS23" s="143">
        <f t="shared" ca="1" si="26"/>
        <v>1.410860569529257E-2</v>
      </c>
      <c r="GT23" s="143">
        <f t="shared" ca="1" si="26"/>
        <v>8.5079939483335157E-2</v>
      </c>
      <c r="GU23" s="143">
        <f t="shared" ca="1" si="26"/>
        <v>-1.0448158205977387E-2</v>
      </c>
      <c r="GV23" s="143">
        <f t="shared" ca="1" si="26"/>
        <v>3.269701349055848E-2</v>
      </c>
      <c r="GW23" s="143">
        <f t="shared" ca="1" si="26"/>
        <v>0.11885292216002022</v>
      </c>
      <c r="GX23" s="143">
        <f t="shared" ca="1" si="26"/>
        <v>1.8626518125679756E-2</v>
      </c>
      <c r="GY23" s="143">
        <f t="shared" ca="1" si="26"/>
        <v>0.1488636563521705</v>
      </c>
      <c r="GZ23" s="143">
        <f t="shared" ca="1" si="26"/>
        <v>0.24744391843334129</v>
      </c>
      <c r="HA23" s="143">
        <f t="shared" ca="1" si="26"/>
        <v>3.7969061746550944E-2</v>
      </c>
      <c r="HB23" s="143">
        <f t="shared" ca="1" si="26"/>
        <v>0.11406353836681377</v>
      </c>
      <c r="HC23" s="143">
        <f t="shared" ca="1" si="26"/>
        <v>7.6359880460598592E-2</v>
      </c>
      <c r="HD23" s="143">
        <f t="shared" ca="1" si="26"/>
        <v>-0.13297194991651004</v>
      </c>
      <c r="HE23" s="143">
        <f t="shared" ca="1" si="26"/>
        <v>3.5054277428908293E-2</v>
      </c>
      <c r="HF23" s="143">
        <f t="shared" ca="1" si="26"/>
        <v>2.6833135858343328E-2</v>
      </c>
      <c r="HG23" s="143">
        <f t="shared" ca="1" si="26"/>
        <v>-2.2290348884855184E-2</v>
      </c>
    </row>
    <row r="24" spans="1:215">
      <c r="A24" s="90">
        <v>1950</v>
      </c>
      <c r="B24" s="84">
        <v>0.30805539011316263</v>
      </c>
      <c r="C24" s="85">
        <v>0.52780000000000005</v>
      </c>
      <c r="D24" s="83">
        <f t="shared" si="4"/>
        <v>0.35200431209053007</v>
      </c>
      <c r="E24" s="85"/>
      <c r="F24" s="85"/>
      <c r="G24" s="85">
        <v>1.2033333333333333E-2</v>
      </c>
      <c r="H24" s="85">
        <v>4.2959574171096103E-3</v>
      </c>
      <c r="I24" s="85">
        <v>4.2388173056720914E-2</v>
      </c>
      <c r="J24" s="85">
        <v>9.5613758283370043E-2</v>
      </c>
      <c r="M24" s="115">
        <f t="shared" si="7"/>
        <v>73</v>
      </c>
      <c r="N24" s="143">
        <f t="shared" ca="1" si="5"/>
        <v>1.5543822691359621E-2</v>
      </c>
      <c r="O24" s="143">
        <f t="shared" ca="1" si="27"/>
        <v>0.49404278251309297</v>
      </c>
      <c r="P24" s="143">
        <f t="shared" ca="1" si="27"/>
        <v>9.9839290082865809E-2</v>
      </c>
      <c r="Q24" s="143">
        <f t="shared" ca="1" si="27"/>
        <v>-0.12510583112252763</v>
      </c>
      <c r="R24" s="143">
        <f t="shared" ca="1" si="27"/>
        <v>-7.2855879603592189E-2</v>
      </c>
      <c r="S24" s="143">
        <f t="shared" ca="1" si="27"/>
        <v>0.37768646798122729</v>
      </c>
      <c r="T24" s="143">
        <f t="shared" ca="1" si="27"/>
        <v>0.12116665155828774</v>
      </c>
      <c r="U24" s="143">
        <f t="shared" ca="1" si="27"/>
        <v>0.28376280920358599</v>
      </c>
      <c r="V24" s="143">
        <f t="shared" ca="1" si="27"/>
        <v>-0.13141296557143475</v>
      </c>
      <c r="W24" s="143">
        <f t="shared" ca="1" si="27"/>
        <v>0.12425657455429662</v>
      </c>
      <c r="X24" s="143">
        <f t="shared" ca="1" si="27"/>
        <v>0.47593484199511171</v>
      </c>
      <c r="Y24" s="143">
        <f t="shared" ca="1" si="27"/>
        <v>-9.334883909553357E-2</v>
      </c>
      <c r="Z24" s="143">
        <f t="shared" ca="1" si="27"/>
        <v>-3.9571668637933821E-3</v>
      </c>
      <c r="AA24" s="143">
        <f t="shared" ca="1" si="27"/>
        <v>-0.16510074420828105</v>
      </c>
      <c r="AB24" s="143">
        <f t="shared" ca="1" si="27"/>
        <v>0.17170492678904209</v>
      </c>
      <c r="AC24" s="143">
        <f t="shared" ca="1" si="27"/>
        <v>6.3694896342100737E-2</v>
      </c>
      <c r="AD24" s="143">
        <f t="shared" ca="1" si="27"/>
        <v>0.16839492185567242</v>
      </c>
      <c r="AE24" s="143">
        <f t="shared" ca="1" si="27"/>
        <v>0.16901484576288178</v>
      </c>
      <c r="AF24" s="143">
        <f t="shared" ca="1" si="27"/>
        <v>8.5441196722544077E-3</v>
      </c>
      <c r="AG24" s="143">
        <f t="shared" ca="1" si="27"/>
        <v>0.25576973148997573</v>
      </c>
      <c r="AH24" s="143">
        <f t="shared" ca="1" si="27"/>
        <v>0.10373758318780225</v>
      </c>
      <c r="AI24" s="143">
        <f t="shared" ca="1" si="27"/>
        <v>-2.5903218894755831E-4</v>
      </c>
      <c r="AJ24" s="143">
        <f t="shared" ca="1" si="27"/>
        <v>8.2290513737028725E-2</v>
      </c>
      <c r="AK24" s="143">
        <f t="shared" ca="1" si="27"/>
        <v>-7.8990347596177235E-2</v>
      </c>
      <c r="AL24" s="143">
        <f t="shared" ca="1" si="27"/>
        <v>-0.23383808878281312</v>
      </c>
      <c r="AM24" s="143">
        <f t="shared" ca="1" si="27"/>
        <v>0.26028982395276656</v>
      </c>
      <c r="AN24" s="143">
        <f t="shared" ca="1" si="27"/>
        <v>0.42682099553394193</v>
      </c>
      <c r="AO24" s="143">
        <f t="shared" ca="1" si="27"/>
        <v>6.935467462418124E-2</v>
      </c>
      <c r="AP24" s="143">
        <f t="shared" ca="1" si="27"/>
        <v>0.28881845091564751</v>
      </c>
      <c r="AQ24" s="143">
        <f t="shared" ca="1" si="27"/>
        <v>0.27749998193399472</v>
      </c>
      <c r="AR24" s="143">
        <f t="shared" ca="1" si="27"/>
        <v>0.14223830811534749</v>
      </c>
      <c r="AS24" s="143">
        <f t="shared" ca="1" si="27"/>
        <v>2.8222269203971237E-2</v>
      </c>
      <c r="AT24" s="143">
        <f t="shared" ca="1" si="27"/>
        <v>0.35045954226902243</v>
      </c>
      <c r="AU24" s="143">
        <f t="shared" ca="1" si="27"/>
        <v>-6.2046545790526791E-2</v>
      </c>
      <c r="AV24" s="143">
        <f t="shared" ca="1" si="27"/>
        <v>0.16561023372927491</v>
      </c>
      <c r="AW24" s="143">
        <f t="shared" ca="1" si="27"/>
        <v>6.2198260118726909E-2</v>
      </c>
      <c r="AX24" s="143">
        <f t="shared" ca="1" si="27"/>
        <v>-6.7000516544722805E-2</v>
      </c>
      <c r="AY24" s="143">
        <f t="shared" ca="1" si="27"/>
        <v>0.38262453292567422</v>
      </c>
      <c r="AZ24" s="143">
        <f t="shared" ca="1" si="27"/>
        <v>0.35765898233170801</v>
      </c>
      <c r="BA24" s="143">
        <f t="shared" ca="1" si="27"/>
        <v>0.32037234510118912</v>
      </c>
      <c r="BB24" s="143">
        <f t="shared" ca="1" si="27"/>
        <v>-0.19431121059984516</v>
      </c>
      <c r="BC24" s="143">
        <f t="shared" ca="1" si="27"/>
        <v>-1.6541196106937467E-2</v>
      </c>
      <c r="BD24" s="143">
        <f t="shared" ca="1" si="27"/>
        <v>3.3577272698945809E-2</v>
      </c>
      <c r="BE24" s="143">
        <f t="shared" ca="1" si="27"/>
        <v>0.25807270715374492</v>
      </c>
      <c r="BF24" s="143">
        <f t="shared" ca="1" si="27"/>
        <v>6.5947309241998722E-2</v>
      </c>
      <c r="BG24" s="143">
        <f t="shared" ca="1" si="27"/>
        <v>0.33060235257921577</v>
      </c>
      <c r="BH24" s="143">
        <f t="shared" ca="1" si="27"/>
        <v>-0.12552919695286002</v>
      </c>
      <c r="BI24" s="143">
        <f t="shared" ca="1" si="27"/>
        <v>0.19955133876359965</v>
      </c>
      <c r="BJ24" s="143">
        <f t="shared" ca="1" si="27"/>
        <v>-0.17761599561977562</v>
      </c>
      <c r="BK24" s="143">
        <f t="shared" ca="1" si="27"/>
        <v>3.4337530286740109E-2</v>
      </c>
      <c r="BL24" s="143">
        <f t="shared" ca="1" si="27"/>
        <v>0.34332461298290795</v>
      </c>
      <c r="BM24" s="143">
        <f t="shared" ca="1" si="27"/>
        <v>0.10475838368543425</v>
      </c>
      <c r="BN24" s="143">
        <f t="shared" ca="1" si="27"/>
        <v>0.1089317519659026</v>
      </c>
      <c r="BO24" s="143">
        <f t="shared" ca="1" si="27"/>
        <v>-0.23377378411311897</v>
      </c>
      <c r="BP24" s="143">
        <f t="shared" ca="1" si="27"/>
        <v>0.26182561924687225</v>
      </c>
      <c r="BQ24" s="143">
        <f t="shared" ca="1" si="27"/>
        <v>0.10268248877811618</v>
      </c>
      <c r="BR24" s="143">
        <f t="shared" ca="1" si="27"/>
        <v>0.10831335626506877</v>
      </c>
      <c r="BS24" s="143">
        <f t="shared" ca="1" si="27"/>
        <v>1.7475880550477677E-2</v>
      </c>
      <c r="BT24" s="143">
        <f t="shared" ca="1" si="27"/>
        <v>0.19087481621224914</v>
      </c>
      <c r="BU24" s="143">
        <f t="shared" ca="1" si="27"/>
        <v>-0.26727894640061223</v>
      </c>
      <c r="BV24" s="143">
        <f t="shared" ca="1" si="27"/>
        <v>-0.26750209511927991</v>
      </c>
      <c r="BW24" s="143">
        <f t="shared" ca="1" si="27"/>
        <v>0.12909909007362502</v>
      </c>
      <c r="BX24" s="143">
        <f t="shared" ca="1" si="27"/>
        <v>-6.9742949318196273E-3</v>
      </c>
      <c r="BY24" s="143">
        <f t="shared" ca="1" si="27"/>
        <v>0.15428025702900378</v>
      </c>
      <c r="BZ24" s="143">
        <f t="shared" ca="1" si="27"/>
        <v>4.8543871105209281E-2</v>
      </c>
      <c r="CA24" s="143">
        <f t="shared" ca="1" si="25"/>
        <v>0.23141382980485772</v>
      </c>
      <c r="CB24" s="143">
        <f t="shared" ca="1" si="25"/>
        <v>0.4537085730916145</v>
      </c>
      <c r="CC24" s="143">
        <f t="shared" ca="1" si="25"/>
        <v>0.5603136729439665</v>
      </c>
      <c r="CD24" s="143">
        <f t="shared" ca="1" si="25"/>
        <v>-0.31192080812758305</v>
      </c>
      <c r="CE24" s="143">
        <f t="shared" ca="1" si="25"/>
        <v>3.5969198130659748E-2</v>
      </c>
      <c r="CF24" s="143">
        <f t="shared" ca="1" si="25"/>
        <v>6.2542388385729425E-3</v>
      </c>
      <c r="CG24" s="143">
        <f t="shared" ca="1" si="25"/>
        <v>0.17895937516633936</v>
      </c>
      <c r="CH24" s="143">
        <f t="shared" ca="1" si="25"/>
        <v>-3.8422304338474239E-2</v>
      </c>
      <c r="CI24" s="143">
        <f t="shared" ca="1" si="25"/>
        <v>0.30542325956733674</v>
      </c>
      <c r="CJ24" s="143">
        <f t="shared" ca="1" si="25"/>
        <v>0.13455917908319692</v>
      </c>
      <c r="CK24" s="143">
        <f t="shared" ca="1" si="25"/>
        <v>6.3845626069448241E-2</v>
      </c>
      <c r="CL24" s="143">
        <f t="shared" ca="1" si="25"/>
        <v>0.46657574778182731</v>
      </c>
      <c r="CM24" s="143">
        <f t="shared" ca="1" si="25"/>
        <v>0.22089749112238402</v>
      </c>
      <c r="CN24" s="143">
        <f t="shared" ca="1" si="25"/>
        <v>0.27840699857336815</v>
      </c>
      <c r="CO24" s="143">
        <f t="shared" ca="1" si="25"/>
        <v>6.8514663463927941E-2</v>
      </c>
      <c r="CP24" s="143">
        <f t="shared" ca="1" si="25"/>
        <v>-6.7844323296865239E-2</v>
      </c>
      <c r="CQ24" s="143">
        <f t="shared" ca="1" si="25"/>
        <v>0.34823252732714138</v>
      </c>
      <c r="CR24" s="143">
        <f t="shared" ca="1" si="25"/>
        <v>5.0980854048224208E-2</v>
      </c>
      <c r="CS24" s="143">
        <f t="shared" ca="1" si="25"/>
        <v>6.8131501617647444E-2</v>
      </c>
      <c r="CT24" s="143">
        <f t="shared" ca="1" si="25"/>
        <v>-0.30962581768572162</v>
      </c>
      <c r="CU24" s="143">
        <f t="shared" ca="1" si="25"/>
        <v>-0.1537812962107046</v>
      </c>
      <c r="CV24" s="143">
        <f t="shared" ca="1" si="25"/>
        <v>0.24367936474371399</v>
      </c>
      <c r="CW24" s="143">
        <f t="shared" ca="1" si="25"/>
        <v>0.24304737762274739</v>
      </c>
      <c r="CX24" s="143">
        <f t="shared" ca="1" si="25"/>
        <v>9.1939888318449042E-2</v>
      </c>
      <c r="CY24" s="143">
        <f t="shared" ca="1" si="25"/>
        <v>0.17632843491696648</v>
      </c>
      <c r="CZ24" s="143">
        <f t="shared" ca="1" si="25"/>
        <v>6.8993107087222103E-2</v>
      </c>
      <c r="DA24" s="143">
        <f t="shared" ca="1" si="25"/>
        <v>0.10168557178690586</v>
      </c>
      <c r="DB24" s="143">
        <f t="shared" ca="1" si="25"/>
        <v>-0.16470783392871122</v>
      </c>
      <c r="DC24" s="143">
        <f t="shared" ca="1" si="25"/>
        <v>0.27249590844176524</v>
      </c>
      <c r="DD24" s="143">
        <f t="shared" ca="1" si="25"/>
        <v>-0.13067869759628958</v>
      </c>
      <c r="DE24" s="143">
        <f t="shared" ca="1" si="25"/>
        <v>-0.11963975455646383</v>
      </c>
      <c r="DF24" s="143">
        <f t="shared" ca="1" si="25"/>
        <v>0.16354222525550333</v>
      </c>
      <c r="DG24" s="143">
        <f t="shared" ca="1" si="25"/>
        <v>0.44529113459424818</v>
      </c>
      <c r="DH24" s="143">
        <f t="shared" ca="1" si="25"/>
        <v>3.0538907917496833E-3</v>
      </c>
      <c r="DI24" s="143">
        <f t="shared" ca="1" si="25"/>
        <v>0.17214686267103529</v>
      </c>
      <c r="DK24" s="115">
        <f t="shared" si="8"/>
        <v>73</v>
      </c>
      <c r="DL24" s="143">
        <f t="shared" ca="1" si="6"/>
        <v>-5.5396119351992214E-2</v>
      </c>
      <c r="DM24" s="143">
        <f t="shared" ca="1" si="28"/>
        <v>7.8929030973727624E-3</v>
      </c>
      <c r="DN24" s="143">
        <f t="shared" ca="1" si="28"/>
        <v>7.1470217314088896E-2</v>
      </c>
      <c r="DO24" s="143">
        <f t="shared" ca="1" si="28"/>
        <v>5.5385342443199072E-2</v>
      </c>
      <c r="DP24" s="143">
        <f t="shared" ca="1" si="28"/>
        <v>4.6389779381083643E-2</v>
      </c>
      <c r="DQ24" s="143">
        <f t="shared" ca="1" si="28"/>
        <v>0.16622248738887974</v>
      </c>
      <c r="DR24" s="143">
        <f t="shared" ca="1" si="28"/>
        <v>-0.18074361421280999</v>
      </c>
      <c r="DS24" s="143">
        <f t="shared" ca="1" si="28"/>
        <v>-2.3034916727242623E-2</v>
      </c>
      <c r="DT24" s="143">
        <f t="shared" ca="1" si="28"/>
        <v>1.8846675823064856E-2</v>
      </c>
      <c r="DU24" s="143">
        <f t="shared" ca="1" si="28"/>
        <v>-2.0067599262441942E-2</v>
      </c>
      <c r="DV24" s="143">
        <f t="shared" ca="1" si="28"/>
        <v>0.19853933550563022</v>
      </c>
      <c r="DW24" s="143">
        <f t="shared" ca="1" si="28"/>
        <v>0.13134526664803226</v>
      </c>
      <c r="DX24" s="143">
        <f t="shared" ca="1" si="28"/>
        <v>-4.6399476923200837E-2</v>
      </c>
      <c r="DY24" s="143">
        <f t="shared" ca="1" si="28"/>
        <v>0.20475258026952819</v>
      </c>
      <c r="DZ24" s="143">
        <f t="shared" ca="1" si="28"/>
        <v>4.1127064578934391E-3</v>
      </c>
      <c r="EA24" s="143">
        <f t="shared" ca="1" si="28"/>
        <v>6.6689661096413999E-2</v>
      </c>
      <c r="EB24" s="143">
        <f t="shared" ca="1" si="28"/>
        <v>0.14514130930543254</v>
      </c>
      <c r="EC24" s="143">
        <f t="shared" ca="1" si="28"/>
        <v>0.10466281870936248</v>
      </c>
      <c r="ED24" s="143">
        <f t="shared" ca="1" si="28"/>
        <v>-1.8487682795651363E-2</v>
      </c>
      <c r="EE24" s="143">
        <f t="shared" ca="1" si="28"/>
        <v>2.7811802323825244E-2</v>
      </c>
      <c r="EF24" s="143">
        <f t="shared" ca="1" si="28"/>
        <v>0.16623435993144769</v>
      </c>
      <c r="EG24" s="143">
        <f t="shared" ca="1" si="28"/>
        <v>0.18523055422105816</v>
      </c>
      <c r="EH24" s="143">
        <f t="shared" ca="1" si="28"/>
        <v>0.10003153840153908</v>
      </c>
      <c r="EI24" s="143">
        <f t="shared" ca="1" si="28"/>
        <v>0.12740565710612844</v>
      </c>
      <c r="EJ24" s="143">
        <f t="shared" ca="1" si="28"/>
        <v>3.7456644050050503E-2</v>
      </c>
      <c r="EK24" s="143">
        <f t="shared" ca="1" si="28"/>
        <v>-4.7451909565450479E-4</v>
      </c>
      <c r="EL24" s="143">
        <f t="shared" ca="1" si="28"/>
        <v>4.1645787179435664E-2</v>
      </c>
      <c r="EM24" s="143">
        <f t="shared" ca="1" si="28"/>
        <v>0.14320086000766927</v>
      </c>
      <c r="EN24" s="143">
        <f t="shared" ca="1" si="28"/>
        <v>7.7393757760607557E-2</v>
      </c>
      <c r="EO24" s="143">
        <f t="shared" ca="1" si="28"/>
        <v>-3.6111182838723339E-2</v>
      </c>
      <c r="EP24" s="143">
        <f t="shared" ca="1" si="28"/>
        <v>0.14060411829636627</v>
      </c>
      <c r="EQ24" s="143">
        <f t="shared" ca="1" si="28"/>
        <v>0.10801569810535827</v>
      </c>
      <c r="ER24" s="143">
        <f t="shared" ca="1" si="28"/>
        <v>-0.18679572210287904</v>
      </c>
      <c r="ES24" s="143">
        <f t="shared" ca="1" si="28"/>
        <v>9.4651876143260996E-2</v>
      </c>
      <c r="ET24" s="143">
        <f t="shared" ca="1" si="28"/>
        <v>0.21594680664629134</v>
      </c>
      <c r="EU24" s="143">
        <f t="shared" ca="1" si="28"/>
        <v>-1.4829107675103682E-2</v>
      </c>
      <c r="EV24" s="143">
        <f t="shared" ca="1" si="28"/>
        <v>-3.236564998745483E-2</v>
      </c>
      <c r="EW24" s="143">
        <f t="shared" ca="1" si="28"/>
        <v>-9.2043578502220835E-3</v>
      </c>
      <c r="EX24" s="143">
        <f t="shared" ca="1" si="28"/>
        <v>0.2187892975657928</v>
      </c>
      <c r="EY24" s="143">
        <f t="shared" ca="1" si="28"/>
        <v>0.11845544421725612</v>
      </c>
      <c r="EZ24" s="143">
        <f t="shared" ca="1" si="28"/>
        <v>-0.10552006011893589</v>
      </c>
      <c r="FA24" s="143">
        <f t="shared" ca="1" si="28"/>
        <v>-4.5692315509334676E-2</v>
      </c>
      <c r="FB24" s="143">
        <f t="shared" ca="1" si="28"/>
        <v>4.9468916512394871E-2</v>
      </c>
      <c r="FC24" s="143">
        <f t="shared" ca="1" si="28"/>
        <v>3.4585530672041988E-2</v>
      </c>
      <c r="FD24" s="143">
        <f t="shared" ca="1" si="28"/>
        <v>-3.6734791177924934E-2</v>
      </c>
      <c r="FE24" s="143">
        <f t="shared" ca="1" si="28"/>
        <v>0.27460851213844678</v>
      </c>
      <c r="FF24" s="143">
        <f t="shared" ca="1" si="28"/>
        <v>0.11993896796047043</v>
      </c>
      <c r="FG24" s="143">
        <f t="shared" ca="1" si="28"/>
        <v>-0.12807113919096016</v>
      </c>
      <c r="FH24" s="143">
        <f t="shared" ca="1" si="28"/>
        <v>0.10951315212256327</v>
      </c>
      <c r="FI24" s="143">
        <f t="shared" ca="1" si="28"/>
        <v>-4.9608071163130978E-2</v>
      </c>
      <c r="FJ24" s="143">
        <f t="shared" ca="1" si="28"/>
        <v>6.0695597031474244E-2</v>
      </c>
      <c r="FK24" s="143">
        <f t="shared" ca="1" si="28"/>
        <v>5.1159710693871069E-2</v>
      </c>
      <c r="FL24" s="143">
        <f t="shared" ca="1" si="28"/>
        <v>0.19387246284877241</v>
      </c>
      <c r="FM24" s="143">
        <f t="shared" ca="1" si="28"/>
        <v>-5.1711725107512978E-2</v>
      </c>
      <c r="FN24" s="143">
        <f t="shared" ca="1" si="28"/>
        <v>-0.13914455467634207</v>
      </c>
      <c r="FO24" s="143">
        <f t="shared" ca="1" si="28"/>
        <v>9.1457873641207554E-2</v>
      </c>
      <c r="FP24" s="143">
        <f t="shared" ca="1" si="28"/>
        <v>-1.3225729858099999E-2</v>
      </c>
      <c r="FQ24" s="143">
        <f t="shared" ca="1" si="28"/>
        <v>7.374787527439923E-2</v>
      </c>
      <c r="FR24" s="143">
        <f t="shared" ca="1" si="28"/>
        <v>0.19622109145087183</v>
      </c>
      <c r="FS24" s="143">
        <f t="shared" ca="1" si="28"/>
        <v>2.9270347243012661E-2</v>
      </c>
      <c r="FT24" s="143">
        <f t="shared" ca="1" si="28"/>
        <v>-1.2285288025836914E-2</v>
      </c>
      <c r="FU24" s="143">
        <f t="shared" ca="1" si="28"/>
        <v>5.8985699324093255E-2</v>
      </c>
      <c r="FV24" s="143">
        <f t="shared" ca="1" si="28"/>
        <v>8.8197393622136633E-2</v>
      </c>
      <c r="FW24" s="143">
        <f t="shared" ca="1" si="28"/>
        <v>-7.0190272302041334E-2</v>
      </c>
      <c r="FX24" s="143">
        <f t="shared" ca="1" si="28"/>
        <v>0.16789916936131072</v>
      </c>
      <c r="FY24" s="143">
        <f t="shared" ca="1" si="26"/>
        <v>0.11071914626090937</v>
      </c>
      <c r="FZ24" s="143">
        <f t="shared" ca="1" si="26"/>
        <v>-8.1009309018251485E-2</v>
      </c>
      <c r="GA24" s="143">
        <f t="shared" ca="1" si="26"/>
        <v>-4.7543941073266337E-2</v>
      </c>
      <c r="GB24" s="143">
        <f t="shared" ca="1" si="26"/>
        <v>0.2065054817618506</v>
      </c>
      <c r="GC24" s="143">
        <f t="shared" ca="1" si="26"/>
        <v>7.6819916473137018E-2</v>
      </c>
      <c r="GD24" s="143">
        <f t="shared" ca="1" si="26"/>
        <v>9.8802101765093284E-2</v>
      </c>
      <c r="GE24" s="143">
        <f t="shared" ca="1" si="26"/>
        <v>-3.5215494196845616E-2</v>
      </c>
      <c r="GF24" s="143">
        <f t="shared" ca="1" si="26"/>
        <v>0.13406604347570555</v>
      </c>
      <c r="GG24" s="143">
        <f t="shared" ca="1" si="26"/>
        <v>2.6414547355733897E-2</v>
      </c>
      <c r="GH24" s="143">
        <f t="shared" ca="1" si="26"/>
        <v>1.0245827897720085E-2</v>
      </c>
      <c r="GI24" s="143">
        <f t="shared" ca="1" si="26"/>
        <v>-8.7321218438820458E-2</v>
      </c>
      <c r="GJ24" s="143">
        <f t="shared" ca="1" si="26"/>
        <v>9.4696155871209969E-2</v>
      </c>
      <c r="GK24" s="143">
        <f t="shared" ca="1" si="26"/>
        <v>0.16120189753378453</v>
      </c>
      <c r="GL24" s="143">
        <f t="shared" ca="1" si="26"/>
        <v>4.9842036435011547E-3</v>
      </c>
      <c r="GM24" s="143">
        <f t="shared" ca="1" si="26"/>
        <v>3.3867710890404037E-2</v>
      </c>
      <c r="GN24" s="143">
        <f t="shared" ca="1" si="26"/>
        <v>-4.4985373659938897E-2</v>
      </c>
      <c r="GO24" s="143">
        <f t="shared" ca="1" si="26"/>
        <v>0.11115847513988292</v>
      </c>
      <c r="GP24" s="143">
        <f t="shared" ca="1" si="26"/>
        <v>0.20278497771584028</v>
      </c>
      <c r="GQ24" s="143">
        <f t="shared" ca="1" si="26"/>
        <v>5.1171062997234625E-2</v>
      </c>
      <c r="GR24" s="143">
        <f t="shared" ca="1" si="26"/>
        <v>0.14951124643913957</v>
      </c>
      <c r="GS24" s="143">
        <f t="shared" ca="1" si="26"/>
        <v>-5.4080835610177923E-2</v>
      </c>
      <c r="GT24" s="143">
        <f t="shared" ca="1" si="26"/>
        <v>-3.0865052844950593E-2</v>
      </c>
      <c r="GU24" s="143">
        <f t="shared" ca="1" si="26"/>
        <v>0.1243080930025825</v>
      </c>
      <c r="GV24" s="143">
        <f t="shared" ca="1" si="26"/>
        <v>-1.0221597302770211E-3</v>
      </c>
      <c r="GW24" s="143">
        <f t="shared" ca="1" si="26"/>
        <v>5.9159265572928291E-2</v>
      </c>
      <c r="GX24" s="143">
        <f t="shared" ca="1" si="26"/>
        <v>9.7064201677196454E-2</v>
      </c>
      <c r="GY24" s="143">
        <f t="shared" ca="1" si="26"/>
        <v>0.10734964373882752</v>
      </c>
      <c r="GZ24" s="143">
        <f t="shared" ca="1" si="26"/>
        <v>0.14008566010767218</v>
      </c>
      <c r="HA24" s="143">
        <f t="shared" ca="1" si="26"/>
        <v>0.24572564688797852</v>
      </c>
      <c r="HB24" s="143">
        <f t="shared" ca="1" si="26"/>
        <v>4.2359181505983681E-2</v>
      </c>
      <c r="HC24" s="143">
        <f t="shared" ca="1" si="26"/>
        <v>5.3558657167856738E-2</v>
      </c>
      <c r="HD24" s="143">
        <f t="shared" ca="1" si="26"/>
        <v>-0.12160636583372933</v>
      </c>
      <c r="HE24" s="143">
        <f t="shared" ca="1" si="26"/>
        <v>-8.6563607862253061E-2</v>
      </c>
      <c r="HF24" s="143">
        <f t="shared" ca="1" si="26"/>
        <v>9.0416830665289882E-2</v>
      </c>
      <c r="HG24" s="143">
        <f t="shared" ca="1" si="26"/>
        <v>0.11474999836119323</v>
      </c>
    </row>
    <row r="25" spans="1:215">
      <c r="A25" s="90">
        <v>1951</v>
      </c>
      <c r="B25" s="84">
        <v>0.23678463044542339</v>
      </c>
      <c r="C25" s="85">
        <v>3.9199999999999999E-2</v>
      </c>
      <c r="D25" s="83">
        <f t="shared" si="4"/>
        <v>0.1972677043563387</v>
      </c>
      <c r="E25" s="85"/>
      <c r="F25" s="85"/>
      <c r="G25" s="85">
        <v>1.5175000000000001E-2</v>
      </c>
      <c r="H25" s="85">
        <v>-2.9531392208319886E-3</v>
      </c>
      <c r="I25" s="85">
        <v>-1.9098091301369691E-3</v>
      </c>
      <c r="J25" s="85">
        <v>0</v>
      </c>
      <c r="M25" s="115">
        <f t="shared" si="7"/>
        <v>74</v>
      </c>
      <c r="N25" s="143">
        <f t="shared" ca="1" si="5"/>
        <v>5.6237204328991E-2</v>
      </c>
      <c r="O25" s="143">
        <f t="shared" ca="1" si="27"/>
        <v>1.525107176961385E-2</v>
      </c>
      <c r="P25" s="143">
        <f t="shared" ca="1" si="27"/>
        <v>0.32912965250035825</v>
      </c>
      <c r="Q25" s="143">
        <f t="shared" ca="1" si="27"/>
        <v>0.11063684764603897</v>
      </c>
      <c r="R25" s="143">
        <f t="shared" ca="1" si="27"/>
        <v>-3.8207165214831446E-2</v>
      </c>
      <c r="S25" s="143">
        <f t="shared" ca="1" si="27"/>
        <v>0.25945781039521693</v>
      </c>
      <c r="T25" s="143">
        <f t="shared" ca="1" si="27"/>
        <v>0.2618343887323028</v>
      </c>
      <c r="U25" s="143">
        <f t="shared" ca="1" si="27"/>
        <v>4.4280819724079372E-2</v>
      </c>
      <c r="V25" s="143">
        <f t="shared" ca="1" si="27"/>
        <v>-4.6251592611031206E-2</v>
      </c>
      <c r="W25" s="143">
        <f t="shared" ca="1" si="27"/>
        <v>0.20105004537110932</v>
      </c>
      <c r="X25" s="143">
        <f t="shared" ca="1" si="27"/>
        <v>-0.1008815947889817</v>
      </c>
      <c r="Y25" s="143">
        <f t="shared" ca="1" si="27"/>
        <v>0.17930853130635888</v>
      </c>
      <c r="Z25" s="143">
        <f t="shared" ca="1" si="27"/>
        <v>0.25731677852226253</v>
      </c>
      <c r="AA25" s="143">
        <f t="shared" ca="1" si="27"/>
        <v>-0.24427965134151128</v>
      </c>
      <c r="AB25" s="143">
        <f t="shared" ca="1" si="27"/>
        <v>8.7592300010454899E-3</v>
      </c>
      <c r="AC25" s="143">
        <f t="shared" ca="1" si="27"/>
        <v>-9.8523703605506996E-2</v>
      </c>
      <c r="AD25" s="143">
        <f t="shared" ca="1" si="27"/>
        <v>5.0167148119245289E-2</v>
      </c>
      <c r="AE25" s="143">
        <f t="shared" ca="1" si="27"/>
        <v>7.1431860945474879E-2</v>
      </c>
      <c r="AF25" s="143">
        <f t="shared" ca="1" si="27"/>
        <v>-0.13402848611584744</v>
      </c>
      <c r="AG25" s="143">
        <f t="shared" ca="1" si="27"/>
        <v>0.32874730282011877</v>
      </c>
      <c r="AH25" s="143">
        <f t="shared" ca="1" si="27"/>
        <v>0.2996351256496439</v>
      </c>
      <c r="AI25" s="143">
        <f t="shared" ca="1" si="27"/>
        <v>0.11110287574046168</v>
      </c>
      <c r="AJ25" s="143">
        <f t="shared" ca="1" si="27"/>
        <v>0.25788198807514179</v>
      </c>
      <c r="AK25" s="143">
        <f t="shared" ca="1" si="27"/>
        <v>0.26635847339267504</v>
      </c>
      <c r="AL25" s="143">
        <f t="shared" ca="1" si="27"/>
        <v>5.3274635172874812E-3</v>
      </c>
      <c r="AM25" s="143">
        <f t="shared" ca="1" si="27"/>
        <v>-0.20711886275369681</v>
      </c>
      <c r="AN25" s="143">
        <f t="shared" ca="1" si="27"/>
        <v>6.2548042853724936E-2</v>
      </c>
      <c r="AO25" s="143">
        <f t="shared" ca="1" si="27"/>
        <v>-3.4500069268701222E-2</v>
      </c>
      <c r="AP25" s="143">
        <f t="shared" ca="1" si="27"/>
        <v>-0.21973897387214966</v>
      </c>
      <c r="AQ25" s="143">
        <f t="shared" ca="1" si="27"/>
        <v>-0.11335316849822685</v>
      </c>
      <c r="AR25" s="143">
        <f t="shared" ca="1" si="27"/>
        <v>0.41123935264000888</v>
      </c>
      <c r="AS25" s="143">
        <f t="shared" ca="1" si="27"/>
        <v>0.12956934159358227</v>
      </c>
      <c r="AT25" s="143">
        <f t="shared" ca="1" si="27"/>
        <v>0.38250899402352623</v>
      </c>
      <c r="AU25" s="143">
        <f t="shared" ca="1" si="27"/>
        <v>5.9616099316818119E-2</v>
      </c>
      <c r="AV25" s="143">
        <f t="shared" ca="1" si="27"/>
        <v>0.27286572905157058</v>
      </c>
      <c r="AW25" s="143">
        <f t="shared" ca="1" si="27"/>
        <v>3.4701049171930134E-2</v>
      </c>
      <c r="AX25" s="143">
        <f t="shared" ca="1" si="27"/>
        <v>-0.17079914282170114</v>
      </c>
      <c r="AY25" s="143">
        <f t="shared" ca="1" si="27"/>
        <v>4.9117095218457613E-2</v>
      </c>
      <c r="AZ25" s="143">
        <f t="shared" ca="1" si="27"/>
        <v>9.2141822175593621E-2</v>
      </c>
      <c r="BA25" s="143">
        <f t="shared" ca="1" si="27"/>
        <v>-0.13615541633826519</v>
      </c>
      <c r="BB25" s="143">
        <f t="shared" ca="1" si="27"/>
        <v>-1.5691569871480987E-2</v>
      </c>
      <c r="BC25" s="143">
        <f t="shared" ca="1" si="27"/>
        <v>1.2308200695701169E-2</v>
      </c>
      <c r="BD25" s="143">
        <f t="shared" ca="1" si="27"/>
        <v>0.26410173342138427</v>
      </c>
      <c r="BE25" s="143">
        <f t="shared" ca="1" si="27"/>
        <v>-0.13135573708140635</v>
      </c>
      <c r="BF25" s="143">
        <f t="shared" ca="1" si="27"/>
        <v>0.19967245448133536</v>
      </c>
      <c r="BG25" s="143">
        <f t="shared" ca="1" si="27"/>
        <v>0.31074127909550475</v>
      </c>
      <c r="BH25" s="143">
        <f t="shared" ca="1" si="27"/>
        <v>9.5419358963623552E-2</v>
      </c>
      <c r="BI25" s="143">
        <f t="shared" ca="1" si="27"/>
        <v>0.25127741692076838</v>
      </c>
      <c r="BJ25" s="143">
        <f t="shared" ca="1" si="27"/>
        <v>-0.16002038995435106</v>
      </c>
      <c r="BK25" s="143">
        <f t="shared" ca="1" si="27"/>
        <v>-4.9861431897042896E-2</v>
      </c>
      <c r="BL25" s="143">
        <f t="shared" ca="1" si="27"/>
        <v>-3.0804766976852749E-2</v>
      </c>
      <c r="BM25" s="143">
        <f t="shared" ca="1" si="27"/>
        <v>-0.1761434730304027</v>
      </c>
      <c r="BN25" s="143">
        <f t="shared" ca="1" si="27"/>
        <v>-3.8532798026918197E-2</v>
      </c>
      <c r="BO25" s="143">
        <f t="shared" ca="1" si="27"/>
        <v>0.34010733208115673</v>
      </c>
      <c r="BP25" s="143">
        <f t="shared" ca="1" si="27"/>
        <v>0.10293322152261607</v>
      </c>
      <c r="BQ25" s="143">
        <f t="shared" ca="1" si="27"/>
        <v>0.19853597912526275</v>
      </c>
      <c r="BR25" s="143">
        <f t="shared" ca="1" si="27"/>
        <v>0.28675750073663464</v>
      </c>
      <c r="BS25" s="143">
        <f t="shared" ca="1" si="27"/>
        <v>-3.3081921137647546E-2</v>
      </c>
      <c r="BT25" s="143">
        <f t="shared" ca="1" si="27"/>
        <v>8.752303384351752E-2</v>
      </c>
      <c r="BU25" s="143">
        <f t="shared" ca="1" si="27"/>
        <v>-0.22699025132490977</v>
      </c>
      <c r="BV25" s="143">
        <f t="shared" ca="1" si="27"/>
        <v>0.26882327325442767</v>
      </c>
      <c r="BW25" s="143">
        <f t="shared" ca="1" si="27"/>
        <v>-1.7590376128166385E-2</v>
      </c>
      <c r="BX25" s="143">
        <f t="shared" ca="1" si="27"/>
        <v>-0.11555388843978981</v>
      </c>
      <c r="BY25" s="143">
        <f t="shared" ca="1" si="27"/>
        <v>0.11432473185434425</v>
      </c>
      <c r="BZ25" s="143">
        <f t="shared" ref="BZ25:DI28" ca="1" si="29">_xlfn.NORM.INV(RAND(),$B$112,$B$113)</f>
        <v>0.2387447487886967</v>
      </c>
      <c r="CA25" s="143">
        <f t="shared" ca="1" si="29"/>
        <v>8.2882903767325392E-2</v>
      </c>
      <c r="CB25" s="143">
        <f t="shared" ca="1" si="29"/>
        <v>9.9500178377137594E-2</v>
      </c>
      <c r="CC25" s="143">
        <f t="shared" ca="1" si="29"/>
        <v>0.14603354684144915</v>
      </c>
      <c r="CD25" s="143">
        <f t="shared" ca="1" si="29"/>
        <v>7.6298035481226628E-3</v>
      </c>
      <c r="CE25" s="143">
        <f t="shared" ca="1" si="29"/>
        <v>-0.16905599127933327</v>
      </c>
      <c r="CF25" s="143">
        <f t="shared" ca="1" si="29"/>
        <v>0.16543144944517885</v>
      </c>
      <c r="CG25" s="143">
        <f t="shared" ca="1" si="29"/>
        <v>4.3522776869041394E-2</v>
      </c>
      <c r="CH25" s="143">
        <f t="shared" ca="1" si="29"/>
        <v>0.20005933978574592</v>
      </c>
      <c r="CI25" s="143">
        <f t="shared" ca="1" si="29"/>
        <v>0.30182110195253681</v>
      </c>
      <c r="CJ25" s="143">
        <f t="shared" ca="1" si="29"/>
        <v>0.3642958891063508</v>
      </c>
      <c r="CK25" s="143">
        <f t="shared" ca="1" si="29"/>
        <v>6.0877460975850284E-2</v>
      </c>
      <c r="CL25" s="143">
        <f t="shared" ca="1" si="29"/>
        <v>-0.13146912727671034</v>
      </c>
      <c r="CM25" s="143">
        <f t="shared" ca="1" si="29"/>
        <v>-0.11547323150384198</v>
      </c>
      <c r="CN25" s="143">
        <f t="shared" ca="1" si="29"/>
        <v>0.4118703827524518</v>
      </c>
      <c r="CO25" s="143">
        <f t="shared" ca="1" si="29"/>
        <v>0.32839407603517834</v>
      </c>
      <c r="CP25" s="143">
        <f t="shared" ca="1" si="29"/>
        <v>9.6564683437607143E-2</v>
      </c>
      <c r="CQ25" s="143">
        <f t="shared" ca="1" si="29"/>
        <v>0.15062748669860959</v>
      </c>
      <c r="CR25" s="143">
        <f t="shared" ca="1" si="29"/>
        <v>0.11301768447492395</v>
      </c>
      <c r="CS25" s="143">
        <f t="shared" ca="1" si="29"/>
        <v>0.21770857241731917</v>
      </c>
      <c r="CT25" s="143">
        <f t="shared" ca="1" si="29"/>
        <v>4.6578441225127894E-2</v>
      </c>
      <c r="CU25" s="143">
        <f t="shared" ca="1" si="29"/>
        <v>4.9737492318808148E-2</v>
      </c>
      <c r="CV25" s="143">
        <f t="shared" ca="1" si="29"/>
        <v>0.18259577133523813</v>
      </c>
      <c r="CW25" s="143">
        <f t="shared" ca="1" si="29"/>
        <v>0.16935551103233223</v>
      </c>
      <c r="CX25" s="143">
        <f t="shared" ca="1" si="29"/>
        <v>-6.9227472341927138E-3</v>
      </c>
      <c r="CY25" s="143">
        <f t="shared" ca="1" si="29"/>
        <v>0.30678764079171394</v>
      </c>
      <c r="CZ25" s="143">
        <f t="shared" ca="1" si="29"/>
        <v>0.45765906075950791</v>
      </c>
      <c r="DA25" s="143">
        <f t="shared" ca="1" si="29"/>
        <v>8.3420890200190459E-2</v>
      </c>
      <c r="DB25" s="143">
        <f t="shared" ca="1" si="29"/>
        <v>5.2120315767552619E-2</v>
      </c>
      <c r="DC25" s="143">
        <f t="shared" ca="1" si="29"/>
        <v>0.27934117521123003</v>
      </c>
      <c r="DD25" s="143">
        <f t="shared" ca="1" si="29"/>
        <v>5.1854926025298141E-2</v>
      </c>
      <c r="DE25" s="143">
        <f t="shared" ca="1" si="29"/>
        <v>0.27682131776304131</v>
      </c>
      <c r="DF25" s="143">
        <f t="shared" ca="1" si="29"/>
        <v>-2.7530818044798622E-2</v>
      </c>
      <c r="DG25" s="143">
        <f t="shared" ca="1" si="29"/>
        <v>-0.10241864087401645</v>
      </c>
      <c r="DH25" s="143">
        <f t="shared" ca="1" si="29"/>
        <v>-6.6414380150304125E-2</v>
      </c>
      <c r="DI25" s="143">
        <f t="shared" ca="1" si="29"/>
        <v>0.23047030634457208</v>
      </c>
      <c r="DK25" s="115">
        <f t="shared" si="8"/>
        <v>74</v>
      </c>
      <c r="DL25" s="143">
        <f t="shared" ca="1" si="6"/>
        <v>5.6202614517231589E-2</v>
      </c>
      <c r="DM25" s="143">
        <f t="shared" ca="1" si="28"/>
        <v>-5.9840870429075689E-2</v>
      </c>
      <c r="DN25" s="143">
        <f t="shared" ca="1" si="28"/>
        <v>3.6471120480137814E-2</v>
      </c>
      <c r="DO25" s="143">
        <f t="shared" ca="1" si="28"/>
        <v>8.8033919161834465E-2</v>
      </c>
      <c r="DP25" s="143">
        <f t="shared" ca="1" si="28"/>
        <v>0.10536947791274248</v>
      </c>
      <c r="DQ25" s="143">
        <f t="shared" ca="1" si="28"/>
        <v>0.15676541853689557</v>
      </c>
      <c r="DR25" s="143">
        <f t="shared" ca="1" si="28"/>
        <v>-3.9479554742132723E-2</v>
      </c>
      <c r="DS25" s="143">
        <f t="shared" ca="1" si="28"/>
        <v>4.0858707697640773E-3</v>
      </c>
      <c r="DT25" s="143">
        <f t="shared" ca="1" si="28"/>
        <v>7.4207677780227549E-2</v>
      </c>
      <c r="DU25" s="143">
        <f t="shared" ca="1" si="28"/>
        <v>1.3037272304181384E-2</v>
      </c>
      <c r="DV25" s="143">
        <f t="shared" ca="1" si="28"/>
        <v>3.7777933934410084E-2</v>
      </c>
      <c r="DW25" s="143">
        <f t="shared" ca="1" si="28"/>
        <v>-9.9633557607762158E-2</v>
      </c>
      <c r="DX25" s="143">
        <f t="shared" ca="1" si="28"/>
        <v>7.8416256200027651E-2</v>
      </c>
      <c r="DY25" s="143">
        <f t="shared" ca="1" si="28"/>
        <v>-2.1039774982539172E-3</v>
      </c>
      <c r="DZ25" s="143">
        <f t="shared" ca="1" si="28"/>
        <v>0.10524547912779399</v>
      </c>
      <c r="EA25" s="143">
        <f t="shared" ca="1" si="28"/>
        <v>0.11087742136403367</v>
      </c>
      <c r="EB25" s="143">
        <f t="shared" ca="1" si="28"/>
        <v>6.5213167475191444E-2</v>
      </c>
      <c r="EC25" s="143">
        <f t="shared" ca="1" si="28"/>
        <v>8.8991575332649786E-3</v>
      </c>
      <c r="ED25" s="143">
        <f t="shared" ca="1" si="28"/>
        <v>-0.10361167833775523</v>
      </c>
      <c r="EE25" s="143">
        <f t="shared" ca="1" si="28"/>
        <v>8.3750974193697092E-2</v>
      </c>
      <c r="EF25" s="143">
        <f t="shared" ca="1" si="28"/>
        <v>7.8503500622940967E-2</v>
      </c>
      <c r="EG25" s="143">
        <f t="shared" ca="1" si="28"/>
        <v>1.6565544530430298E-2</v>
      </c>
      <c r="EH25" s="143">
        <f t="shared" ca="1" si="28"/>
        <v>9.2356952249042265E-2</v>
      </c>
      <c r="EI25" s="143">
        <f t="shared" ca="1" si="28"/>
        <v>6.9783472691518827E-2</v>
      </c>
      <c r="EJ25" s="143">
        <f t="shared" ca="1" si="28"/>
        <v>-9.0605299168493775E-2</v>
      </c>
      <c r="EK25" s="143">
        <f t="shared" ca="1" si="28"/>
        <v>4.0272296157345698E-2</v>
      </c>
      <c r="EL25" s="143">
        <f t="shared" ca="1" si="28"/>
        <v>0.16149857844326121</v>
      </c>
      <c r="EM25" s="143">
        <f t="shared" ca="1" si="28"/>
        <v>8.5343219278737031E-2</v>
      </c>
      <c r="EN25" s="143">
        <f t="shared" ca="1" si="28"/>
        <v>0.10076881834283832</v>
      </c>
      <c r="EO25" s="143">
        <f t="shared" ca="1" si="28"/>
        <v>5.9562568295943884E-2</v>
      </c>
      <c r="EP25" s="143">
        <f t="shared" ca="1" si="28"/>
        <v>-2.8672744561241643E-2</v>
      </c>
      <c r="EQ25" s="143">
        <f t="shared" ca="1" si="28"/>
        <v>-4.6266452209730795E-2</v>
      </c>
      <c r="ER25" s="143">
        <f t="shared" ca="1" si="28"/>
        <v>4.6718145763372854E-2</v>
      </c>
      <c r="ES25" s="143">
        <f t="shared" ca="1" si="28"/>
        <v>0.16746764787362872</v>
      </c>
      <c r="ET25" s="143">
        <f t="shared" ca="1" si="28"/>
        <v>-1.3351219001684816E-2</v>
      </c>
      <c r="EU25" s="143">
        <f t="shared" ca="1" si="28"/>
        <v>6.2317828852745505E-2</v>
      </c>
      <c r="EV25" s="143">
        <f t="shared" ca="1" si="28"/>
        <v>5.8692276497301681E-2</v>
      </c>
      <c r="EW25" s="143">
        <f t="shared" ca="1" si="28"/>
        <v>3.0381977733229468E-3</v>
      </c>
      <c r="EX25" s="143">
        <f t="shared" ca="1" si="28"/>
        <v>-1.25782120831716E-2</v>
      </c>
      <c r="EY25" s="143">
        <f t="shared" ca="1" si="28"/>
        <v>-8.1742834354760707E-2</v>
      </c>
      <c r="EZ25" s="143">
        <f t="shared" ca="1" si="28"/>
        <v>-6.2613340312003579E-2</v>
      </c>
      <c r="FA25" s="143">
        <f t="shared" ca="1" si="28"/>
        <v>3.2646737846990202E-2</v>
      </c>
      <c r="FB25" s="143">
        <f t="shared" ca="1" si="28"/>
        <v>8.913657907973159E-2</v>
      </c>
      <c r="FC25" s="143">
        <f t="shared" ca="1" si="28"/>
        <v>9.0187085447249071E-2</v>
      </c>
      <c r="FD25" s="143">
        <f t="shared" ca="1" si="28"/>
        <v>-2.787956056823624E-2</v>
      </c>
      <c r="FE25" s="143">
        <f t="shared" ca="1" si="28"/>
        <v>5.4925248328471926E-2</v>
      </c>
      <c r="FF25" s="143">
        <f t="shared" ca="1" si="28"/>
        <v>6.2677576580518923E-2</v>
      </c>
      <c r="FG25" s="143">
        <f t="shared" ca="1" si="28"/>
        <v>-4.6248454385238794E-3</v>
      </c>
      <c r="FH25" s="143">
        <f t="shared" ca="1" si="28"/>
        <v>3.7245700404675175E-2</v>
      </c>
      <c r="FI25" s="143">
        <f t="shared" ca="1" si="28"/>
        <v>2.9591995833812824E-2</v>
      </c>
      <c r="FJ25" s="143">
        <f t="shared" ca="1" si="28"/>
        <v>9.1201105127922191E-2</v>
      </c>
      <c r="FK25" s="143">
        <f t="shared" ca="1" si="28"/>
        <v>-3.6356229525504415E-2</v>
      </c>
      <c r="FL25" s="143">
        <f t="shared" ca="1" si="28"/>
        <v>-3.002537422112192E-3</v>
      </c>
      <c r="FM25" s="143">
        <f t="shared" ca="1" si="28"/>
        <v>1.0266342433041489E-2</v>
      </c>
      <c r="FN25" s="143">
        <f t="shared" ca="1" si="28"/>
        <v>3.7457231564657752E-2</v>
      </c>
      <c r="FO25" s="143">
        <f t="shared" ca="1" si="28"/>
        <v>-7.2246270786396921E-2</v>
      </c>
      <c r="FP25" s="143">
        <f t="shared" ca="1" si="28"/>
        <v>4.3923172147377579E-2</v>
      </c>
      <c r="FQ25" s="143">
        <f t="shared" ca="1" si="28"/>
        <v>-8.1267984650963604E-2</v>
      </c>
      <c r="FR25" s="143">
        <f t="shared" ca="1" si="28"/>
        <v>3.7792277696670901E-4</v>
      </c>
      <c r="FS25" s="143">
        <f t="shared" ca="1" si="28"/>
        <v>-2.0243551303406951E-3</v>
      </c>
      <c r="FT25" s="143">
        <f t="shared" ca="1" si="28"/>
        <v>0.10732234699486545</v>
      </c>
      <c r="FU25" s="143">
        <f t="shared" ca="1" si="28"/>
        <v>0.14366370788807906</v>
      </c>
      <c r="FV25" s="143">
        <f t="shared" ca="1" si="28"/>
        <v>0.1496725015348096</v>
      </c>
      <c r="FW25" s="143">
        <f t="shared" ca="1" si="28"/>
        <v>5.4680160187590456E-2</v>
      </c>
      <c r="FX25" s="143">
        <f t="shared" ref="FX25:HG28" ca="1" si="30">_xlfn.NORM.INV(RAND(),$B$116,$B$117)</f>
        <v>5.1171108337326375E-2</v>
      </c>
      <c r="FY25" s="143">
        <f t="shared" ca="1" si="30"/>
        <v>-0.10216802731755398</v>
      </c>
      <c r="FZ25" s="143">
        <f t="shared" ca="1" si="30"/>
        <v>3.3314537189580218E-2</v>
      </c>
      <c r="GA25" s="143">
        <f t="shared" ca="1" si="30"/>
        <v>7.2239068106797824E-2</v>
      </c>
      <c r="GB25" s="143">
        <f t="shared" ca="1" si="30"/>
        <v>6.8777755151743669E-2</v>
      </c>
      <c r="GC25" s="143">
        <f t="shared" ca="1" si="30"/>
        <v>3.5006042728597191E-2</v>
      </c>
      <c r="GD25" s="143">
        <f t="shared" ca="1" si="30"/>
        <v>-9.6126733657492497E-2</v>
      </c>
      <c r="GE25" s="143">
        <f t="shared" ca="1" si="30"/>
        <v>-7.457335703527268E-2</v>
      </c>
      <c r="GF25" s="143">
        <f t="shared" ca="1" si="30"/>
        <v>2.047015612582476E-2</v>
      </c>
      <c r="GG25" s="143">
        <f t="shared" ca="1" si="30"/>
        <v>0.16064303635949087</v>
      </c>
      <c r="GH25" s="143">
        <f t="shared" ca="1" si="30"/>
        <v>-1.5848422277365444E-2</v>
      </c>
      <c r="GI25" s="143">
        <f t="shared" ca="1" si="30"/>
        <v>6.8694824559892204E-2</v>
      </c>
      <c r="GJ25" s="143">
        <f t="shared" ca="1" si="30"/>
        <v>-3.6654051726030812E-3</v>
      </c>
      <c r="GK25" s="143">
        <f t="shared" ca="1" si="30"/>
        <v>-8.710157785631896E-3</v>
      </c>
      <c r="GL25" s="143">
        <f t="shared" ca="1" si="30"/>
        <v>0.11238607186726396</v>
      </c>
      <c r="GM25" s="143">
        <f t="shared" ca="1" si="30"/>
        <v>1.9362119717243151E-2</v>
      </c>
      <c r="GN25" s="143">
        <f t="shared" ca="1" si="30"/>
        <v>-5.7436393240937571E-2</v>
      </c>
      <c r="GO25" s="143">
        <f t="shared" ca="1" si="30"/>
        <v>0.1292474677657649</v>
      </c>
      <c r="GP25" s="143">
        <f t="shared" ca="1" si="30"/>
        <v>-1.7648294720516995E-2</v>
      </c>
      <c r="GQ25" s="143">
        <f t="shared" ca="1" si="30"/>
        <v>6.2873449537320422E-2</v>
      </c>
      <c r="GR25" s="143">
        <f t="shared" ca="1" si="30"/>
        <v>8.3395768806826476E-2</v>
      </c>
      <c r="GS25" s="143">
        <f t="shared" ca="1" si="30"/>
        <v>5.046360942184408E-2</v>
      </c>
      <c r="GT25" s="143">
        <f t="shared" ca="1" si="30"/>
        <v>0.11879395751015659</v>
      </c>
      <c r="GU25" s="143">
        <f t="shared" ca="1" si="30"/>
        <v>-5.1659159208224413E-2</v>
      </c>
      <c r="GV25" s="143">
        <f t="shared" ca="1" si="30"/>
        <v>1.2929589189057719E-2</v>
      </c>
      <c r="GW25" s="143">
        <f t="shared" ca="1" si="30"/>
        <v>9.4532387446432609E-2</v>
      </c>
      <c r="GX25" s="143">
        <f t="shared" ca="1" si="30"/>
        <v>2.5127365070094571E-2</v>
      </c>
      <c r="GY25" s="143">
        <f t="shared" ca="1" si="30"/>
        <v>8.405740992418298E-2</v>
      </c>
      <c r="GZ25" s="143">
        <f t="shared" ca="1" si="30"/>
        <v>9.185216913285893E-2</v>
      </c>
      <c r="HA25" s="143">
        <f t="shared" ca="1" si="30"/>
        <v>-3.8542142688318619E-2</v>
      </c>
      <c r="HB25" s="143">
        <f t="shared" ca="1" si="30"/>
        <v>-0.13265074581789263</v>
      </c>
      <c r="HC25" s="143">
        <f t="shared" ca="1" si="30"/>
        <v>-9.8021555664199039E-3</v>
      </c>
      <c r="HD25" s="143">
        <f t="shared" ca="1" si="30"/>
        <v>-1.1538111097357528E-3</v>
      </c>
      <c r="HE25" s="143">
        <f t="shared" ca="1" si="30"/>
        <v>5.7674213616876503E-2</v>
      </c>
      <c r="HF25" s="143">
        <f t="shared" ca="1" si="30"/>
        <v>1.8002822712760838E-2</v>
      </c>
      <c r="HG25" s="143">
        <f t="shared" ca="1" si="30"/>
        <v>-0.12322561610376392</v>
      </c>
    </row>
    <row r="26" spans="1:215">
      <c r="A26" s="90">
        <v>1952</v>
      </c>
      <c r="B26" s="84">
        <v>0.18150988641144306</v>
      </c>
      <c r="C26" s="85">
        <v>1.1899999999999999E-2</v>
      </c>
      <c r="D26" s="83">
        <f t="shared" si="4"/>
        <v>0.14758790912915445</v>
      </c>
      <c r="E26" s="85"/>
      <c r="F26" s="85"/>
      <c r="G26" s="85">
        <v>1.7225000000000001E-2</v>
      </c>
      <c r="H26" s="85">
        <v>2.2679961918305656E-2</v>
      </c>
      <c r="I26" s="85">
        <v>4.4412415047400768E-2</v>
      </c>
      <c r="J26" s="85">
        <v>-3.4562211981565838E-3</v>
      </c>
      <c r="M26" s="115">
        <f t="shared" si="7"/>
        <v>75</v>
      </c>
      <c r="N26" s="143">
        <f t="shared" ref="N26:N41" ca="1" si="31">_xlfn.NORM.INV(RAND(),$B$112,$B$113)</f>
        <v>7.0171196131082275E-2</v>
      </c>
      <c r="O26" s="143">
        <f t="shared" ref="O26:BZ29" ca="1" si="32">_xlfn.NORM.INV(RAND(),$B$112,$B$113)</f>
        <v>-7.7019718217883282E-2</v>
      </c>
      <c r="P26" s="143">
        <f t="shared" ca="1" si="32"/>
        <v>0.25129507521240518</v>
      </c>
      <c r="Q26" s="143">
        <f t="shared" ca="1" si="32"/>
        <v>0.34273990001249871</v>
      </c>
      <c r="R26" s="143">
        <f t="shared" ca="1" si="32"/>
        <v>0.41508898918913428</v>
      </c>
      <c r="S26" s="143">
        <f t="shared" ca="1" si="32"/>
        <v>3.7252052465895288E-2</v>
      </c>
      <c r="T26" s="143">
        <f t="shared" ca="1" si="32"/>
        <v>0.22129089613502495</v>
      </c>
      <c r="U26" s="143">
        <f t="shared" ca="1" si="32"/>
        <v>0.10861469931463782</v>
      </c>
      <c r="V26" s="143">
        <f t="shared" ca="1" si="32"/>
        <v>1.8180790790146034E-2</v>
      </c>
      <c r="W26" s="143">
        <f t="shared" ca="1" si="32"/>
        <v>0.14569716779185315</v>
      </c>
      <c r="X26" s="143">
        <f t="shared" ca="1" si="32"/>
        <v>0.24667148211492135</v>
      </c>
      <c r="Y26" s="143">
        <f t="shared" ca="1" si="32"/>
        <v>0.17452555388307955</v>
      </c>
      <c r="Z26" s="143">
        <f t="shared" ca="1" si="32"/>
        <v>0.113288314423847</v>
      </c>
      <c r="AA26" s="143">
        <f t="shared" ca="1" si="32"/>
        <v>0.20596408738842331</v>
      </c>
      <c r="AB26" s="143">
        <f t="shared" ca="1" si="32"/>
        <v>0.30757026185541841</v>
      </c>
      <c r="AC26" s="143">
        <f t="shared" ca="1" si="32"/>
        <v>-0.29193924191955956</v>
      </c>
      <c r="AD26" s="143">
        <f t="shared" ca="1" si="32"/>
        <v>0.1655308703327012</v>
      </c>
      <c r="AE26" s="143">
        <f t="shared" ca="1" si="32"/>
        <v>9.6695187961058471E-2</v>
      </c>
      <c r="AF26" s="143">
        <f t="shared" ca="1" si="32"/>
        <v>-4.3978770692623292E-2</v>
      </c>
      <c r="AG26" s="143">
        <f t="shared" ca="1" si="32"/>
        <v>0.11697645002947257</v>
      </c>
      <c r="AH26" s="143">
        <f t="shared" ca="1" si="32"/>
        <v>-0.10604183993098734</v>
      </c>
      <c r="AI26" s="143">
        <f t="shared" ca="1" si="32"/>
        <v>0.12402367872971125</v>
      </c>
      <c r="AJ26" s="143">
        <f t="shared" ca="1" si="32"/>
        <v>0.38021455513057179</v>
      </c>
      <c r="AK26" s="143">
        <f t="shared" ca="1" si="32"/>
        <v>0.20828827757587853</v>
      </c>
      <c r="AL26" s="143">
        <f t="shared" ca="1" si="32"/>
        <v>0.2242400882808093</v>
      </c>
      <c r="AM26" s="143">
        <f t="shared" ca="1" si="32"/>
        <v>-8.564194299265307E-2</v>
      </c>
      <c r="AN26" s="143">
        <f t="shared" ca="1" si="32"/>
        <v>1.4203367502444386E-2</v>
      </c>
      <c r="AO26" s="143">
        <f t="shared" ca="1" si="32"/>
        <v>0.15141837569932856</v>
      </c>
      <c r="AP26" s="143">
        <f t="shared" ca="1" si="32"/>
        <v>-0.19958587409988462</v>
      </c>
      <c r="AQ26" s="143">
        <f t="shared" ca="1" si="32"/>
        <v>-2.9410449752039824E-2</v>
      </c>
      <c r="AR26" s="143">
        <f t="shared" ca="1" si="32"/>
        <v>0.15147078277917014</v>
      </c>
      <c r="AS26" s="143">
        <f t="shared" ca="1" si="32"/>
        <v>-9.6804618984570628E-2</v>
      </c>
      <c r="AT26" s="143">
        <f t="shared" ca="1" si="32"/>
        <v>0.16366568737662862</v>
      </c>
      <c r="AU26" s="143">
        <f t="shared" ca="1" si="32"/>
        <v>0.30453500923594323</v>
      </c>
      <c r="AV26" s="143">
        <f t="shared" ca="1" si="32"/>
        <v>0.28343709598877564</v>
      </c>
      <c r="AW26" s="143">
        <f t="shared" ca="1" si="32"/>
        <v>-2.7065594537316551E-2</v>
      </c>
      <c r="AX26" s="143">
        <f t="shared" ca="1" si="32"/>
        <v>0.18010278545893182</v>
      </c>
      <c r="AY26" s="143">
        <f t="shared" ca="1" si="32"/>
        <v>0.15019486848379213</v>
      </c>
      <c r="AZ26" s="143">
        <f t="shared" ca="1" si="32"/>
        <v>0.32270232622578976</v>
      </c>
      <c r="BA26" s="143">
        <f t="shared" ca="1" si="32"/>
        <v>0.29935680815713261</v>
      </c>
      <c r="BB26" s="143">
        <f t="shared" ca="1" si="32"/>
        <v>0.11313692091616723</v>
      </c>
      <c r="BC26" s="143">
        <f t="shared" ca="1" si="32"/>
        <v>0.23898479610068282</v>
      </c>
      <c r="BD26" s="143">
        <f t="shared" ca="1" si="32"/>
        <v>0.27138182097944713</v>
      </c>
      <c r="BE26" s="143">
        <f t="shared" ca="1" si="32"/>
        <v>0.43853370847877593</v>
      </c>
      <c r="BF26" s="143">
        <f t="shared" ca="1" si="32"/>
        <v>7.7692808441377062E-2</v>
      </c>
      <c r="BG26" s="143">
        <f t="shared" ca="1" si="32"/>
        <v>6.8893022492261952E-3</v>
      </c>
      <c r="BH26" s="143">
        <f t="shared" ca="1" si="32"/>
        <v>0.25924078714297927</v>
      </c>
      <c r="BI26" s="143">
        <f t="shared" ca="1" si="32"/>
        <v>0.42306170573223301</v>
      </c>
      <c r="BJ26" s="143">
        <f t="shared" ca="1" si="32"/>
        <v>-2.000191294489824E-2</v>
      </c>
      <c r="BK26" s="143">
        <f t="shared" ca="1" si="32"/>
        <v>-7.607763565449091E-2</v>
      </c>
      <c r="BL26" s="143">
        <f t="shared" ca="1" si="32"/>
        <v>0.33890571553445648</v>
      </c>
      <c r="BM26" s="143">
        <f t="shared" ca="1" si="32"/>
        <v>0.29291856692528118</v>
      </c>
      <c r="BN26" s="143">
        <f t="shared" ca="1" si="32"/>
        <v>9.1221446897048197E-3</v>
      </c>
      <c r="BO26" s="143">
        <f t="shared" ca="1" si="32"/>
        <v>0.13071583491270233</v>
      </c>
      <c r="BP26" s="143">
        <f t="shared" ca="1" si="32"/>
        <v>6.5682793013858418E-2</v>
      </c>
      <c r="BQ26" s="143">
        <f t="shared" ca="1" si="32"/>
        <v>0.22814735247810031</v>
      </c>
      <c r="BR26" s="143">
        <f t="shared" ca="1" si="32"/>
        <v>0.18831295005537707</v>
      </c>
      <c r="BS26" s="143">
        <f t="shared" ca="1" si="32"/>
        <v>-0.13338253478332332</v>
      </c>
      <c r="BT26" s="143">
        <f t="shared" ca="1" si="32"/>
        <v>0.21520821999147244</v>
      </c>
      <c r="BU26" s="143">
        <f t="shared" ca="1" si="32"/>
        <v>-1.3271838933963276E-2</v>
      </c>
      <c r="BV26" s="143">
        <f t="shared" ca="1" si="32"/>
        <v>0.20842472451068883</v>
      </c>
      <c r="BW26" s="143">
        <f t="shared" ca="1" si="32"/>
        <v>3.7617752682694579E-2</v>
      </c>
      <c r="BX26" s="143">
        <f t="shared" ca="1" si="32"/>
        <v>0.30874389894059795</v>
      </c>
      <c r="BY26" s="143">
        <f t="shared" ca="1" si="32"/>
        <v>-0.15004003020056542</v>
      </c>
      <c r="BZ26" s="143">
        <f t="shared" ca="1" si="32"/>
        <v>0.16247291053423157</v>
      </c>
      <c r="CA26" s="143">
        <f t="shared" ca="1" si="29"/>
        <v>-3.5051543117635087E-2</v>
      </c>
      <c r="CB26" s="143">
        <f t="shared" ca="1" si="29"/>
        <v>0.24198392165004176</v>
      </c>
      <c r="CC26" s="143">
        <f t="shared" ca="1" si="29"/>
        <v>-0.16067235295078039</v>
      </c>
      <c r="CD26" s="143">
        <f t="shared" ca="1" si="29"/>
        <v>0.24820411781838742</v>
      </c>
      <c r="CE26" s="143">
        <f t="shared" ca="1" si="29"/>
        <v>0.35405947473069588</v>
      </c>
      <c r="CF26" s="143">
        <f t="shared" ca="1" si="29"/>
        <v>-0.1232154702771977</v>
      </c>
      <c r="CG26" s="143">
        <f t="shared" ca="1" si="29"/>
        <v>0.24784751240224068</v>
      </c>
      <c r="CH26" s="143">
        <f t="shared" ca="1" si="29"/>
        <v>3.507342097919447E-3</v>
      </c>
      <c r="CI26" s="143">
        <f t="shared" ca="1" si="29"/>
        <v>0.26342086196565651</v>
      </c>
      <c r="CJ26" s="143">
        <f t="shared" ca="1" si="29"/>
        <v>0.30900138017872625</v>
      </c>
      <c r="CK26" s="143">
        <f t="shared" ca="1" si="29"/>
        <v>-0.26636065588176894</v>
      </c>
      <c r="CL26" s="143">
        <f t="shared" ca="1" si="29"/>
        <v>0.27763926999802813</v>
      </c>
      <c r="CM26" s="143">
        <f t="shared" ca="1" si="29"/>
        <v>8.5316452186392139E-2</v>
      </c>
      <c r="CN26" s="143">
        <f t="shared" ca="1" si="29"/>
        <v>-0.10401779530382363</v>
      </c>
      <c r="CO26" s="143">
        <f t="shared" ca="1" si="29"/>
        <v>0.38281567625412227</v>
      </c>
      <c r="CP26" s="143">
        <f t="shared" ca="1" si="29"/>
        <v>-8.9003505124824939E-2</v>
      </c>
      <c r="CQ26" s="143">
        <f t="shared" ca="1" si="29"/>
        <v>0.18366240887898141</v>
      </c>
      <c r="CR26" s="143">
        <f t="shared" ca="1" si="29"/>
        <v>0.28426172933260252</v>
      </c>
      <c r="CS26" s="143">
        <f t="shared" ca="1" si="29"/>
        <v>0.18714838488342081</v>
      </c>
      <c r="CT26" s="143">
        <f t="shared" ca="1" si="29"/>
        <v>-4.8885089800383835E-2</v>
      </c>
      <c r="CU26" s="143">
        <f t="shared" ca="1" si="29"/>
        <v>-1.3244912263801756E-2</v>
      </c>
      <c r="CV26" s="143">
        <f t="shared" ca="1" si="29"/>
        <v>0.49864505856791053</v>
      </c>
      <c r="CW26" s="143">
        <f t="shared" ca="1" si="29"/>
        <v>9.9200131689670262E-2</v>
      </c>
      <c r="CX26" s="143">
        <f t="shared" ca="1" si="29"/>
        <v>-8.8665059657034945E-2</v>
      </c>
      <c r="CY26" s="143">
        <f t="shared" ca="1" si="29"/>
        <v>4.1330409287028982E-2</v>
      </c>
      <c r="CZ26" s="143">
        <f t="shared" ca="1" si="29"/>
        <v>-0.24792301435529088</v>
      </c>
      <c r="DA26" s="143">
        <f t="shared" ca="1" si="29"/>
        <v>-5.3057748655205655E-2</v>
      </c>
      <c r="DB26" s="143">
        <f t="shared" ca="1" si="29"/>
        <v>0.25080321815269574</v>
      </c>
      <c r="DC26" s="143">
        <f t="shared" ca="1" si="29"/>
        <v>4.9208049159593141E-2</v>
      </c>
      <c r="DD26" s="143">
        <f t="shared" ca="1" si="29"/>
        <v>0.46359731230165313</v>
      </c>
      <c r="DE26" s="143">
        <f t="shared" ca="1" si="29"/>
        <v>1.6946156361135334E-2</v>
      </c>
      <c r="DF26" s="143">
        <f t="shared" ca="1" si="29"/>
        <v>0.18862149140533221</v>
      </c>
      <c r="DG26" s="143">
        <f t="shared" ca="1" si="29"/>
        <v>0.47449795246764503</v>
      </c>
      <c r="DH26" s="143">
        <f t="shared" ca="1" si="29"/>
        <v>9.7140697373610946E-3</v>
      </c>
      <c r="DI26" s="143">
        <f t="shared" ca="1" si="29"/>
        <v>0.4917915080152121</v>
      </c>
      <c r="DK26" s="115">
        <f t="shared" si="8"/>
        <v>75</v>
      </c>
      <c r="DL26" s="143">
        <f t="shared" ref="DL26:DL41" ca="1" si="33">_xlfn.NORM.INV(RAND(),$B$116,$B$117)</f>
        <v>0.13258613477296227</v>
      </c>
      <c r="DM26" s="143">
        <f t="shared" ref="DM26:FX29" ca="1" si="34">_xlfn.NORM.INV(RAND(),$B$116,$B$117)</f>
        <v>-9.5827970216182334E-2</v>
      </c>
      <c r="DN26" s="143">
        <f t="shared" ca="1" si="34"/>
        <v>9.7970589743387182E-2</v>
      </c>
      <c r="DO26" s="143">
        <f t="shared" ca="1" si="34"/>
        <v>7.1265977671828948E-2</v>
      </c>
      <c r="DP26" s="143">
        <f t="shared" ca="1" si="34"/>
        <v>5.3051557049378514E-2</v>
      </c>
      <c r="DQ26" s="143">
        <f t="shared" ca="1" si="34"/>
        <v>0.20751041257748926</v>
      </c>
      <c r="DR26" s="143">
        <f t="shared" ca="1" si="34"/>
        <v>1.4332256733412881E-2</v>
      </c>
      <c r="DS26" s="143">
        <f t="shared" ca="1" si="34"/>
        <v>0.12187091041028045</v>
      </c>
      <c r="DT26" s="143">
        <f t="shared" ca="1" si="34"/>
        <v>8.5808541365283431E-3</v>
      </c>
      <c r="DU26" s="143">
        <f t="shared" ca="1" si="34"/>
        <v>-6.5035479544266028E-2</v>
      </c>
      <c r="DV26" s="143">
        <f t="shared" ca="1" si="34"/>
        <v>8.8883787573612677E-2</v>
      </c>
      <c r="DW26" s="143">
        <f t="shared" ca="1" si="34"/>
        <v>0.11510750620296253</v>
      </c>
      <c r="DX26" s="143">
        <f t="shared" ca="1" si="34"/>
        <v>4.8911939353133226E-2</v>
      </c>
      <c r="DY26" s="143">
        <f t="shared" ca="1" si="34"/>
        <v>1.2279036144291745E-2</v>
      </c>
      <c r="DZ26" s="143">
        <f t="shared" ca="1" si="34"/>
        <v>-0.15428347105280041</v>
      </c>
      <c r="EA26" s="143">
        <f t="shared" ca="1" si="34"/>
        <v>-2.2241958778791683E-2</v>
      </c>
      <c r="EB26" s="143">
        <f t="shared" ca="1" si="34"/>
        <v>3.8032562213023452E-2</v>
      </c>
      <c r="EC26" s="143">
        <f t="shared" ca="1" si="34"/>
        <v>-5.9805270019935693E-2</v>
      </c>
      <c r="ED26" s="143">
        <f t="shared" ca="1" si="34"/>
        <v>-1.512077648680734E-2</v>
      </c>
      <c r="EE26" s="143">
        <f t="shared" ca="1" si="34"/>
        <v>1.6225647033545586E-2</v>
      </c>
      <c r="EF26" s="143">
        <f t="shared" ca="1" si="34"/>
        <v>-2.8367839285810166E-2</v>
      </c>
      <c r="EG26" s="143">
        <f t="shared" ca="1" si="34"/>
        <v>-3.2071645507476217E-2</v>
      </c>
      <c r="EH26" s="143">
        <f t="shared" ca="1" si="34"/>
        <v>0.14807241479214814</v>
      </c>
      <c r="EI26" s="143">
        <f t="shared" ca="1" si="34"/>
        <v>-5.9797855770627427E-2</v>
      </c>
      <c r="EJ26" s="143">
        <f t="shared" ca="1" si="34"/>
        <v>2.6760239879622779E-2</v>
      </c>
      <c r="EK26" s="143">
        <f t="shared" ca="1" si="34"/>
        <v>0.1561872038020706</v>
      </c>
      <c r="EL26" s="143">
        <f t="shared" ca="1" si="34"/>
        <v>0.1185742079531536</v>
      </c>
      <c r="EM26" s="143">
        <f t="shared" ca="1" si="34"/>
        <v>3.0223331094727503E-2</v>
      </c>
      <c r="EN26" s="143">
        <f t="shared" ca="1" si="34"/>
        <v>-2.0040096511388848E-2</v>
      </c>
      <c r="EO26" s="143">
        <f t="shared" ca="1" si="34"/>
        <v>0.11035354831350871</v>
      </c>
      <c r="EP26" s="143">
        <f t="shared" ca="1" si="34"/>
        <v>-1.5620321257063231E-2</v>
      </c>
      <c r="EQ26" s="143">
        <f t="shared" ca="1" si="34"/>
        <v>0.18631118354987622</v>
      </c>
      <c r="ER26" s="143">
        <f t="shared" ca="1" si="34"/>
        <v>9.7443883238985896E-2</v>
      </c>
      <c r="ES26" s="143">
        <f t="shared" ca="1" si="34"/>
        <v>-4.2406439754956692E-2</v>
      </c>
      <c r="ET26" s="143">
        <f t="shared" ca="1" si="34"/>
        <v>2.1151142998670117E-2</v>
      </c>
      <c r="EU26" s="143">
        <f t="shared" ca="1" si="34"/>
        <v>8.1414088209266211E-2</v>
      </c>
      <c r="EV26" s="143">
        <f t="shared" ca="1" si="34"/>
        <v>0.10776545362501602</v>
      </c>
      <c r="EW26" s="143">
        <f t="shared" ca="1" si="34"/>
        <v>7.6279099370671649E-2</v>
      </c>
      <c r="EX26" s="143">
        <f t="shared" ca="1" si="34"/>
        <v>-8.8035776169721608E-3</v>
      </c>
      <c r="EY26" s="143">
        <f t="shared" ca="1" si="34"/>
        <v>0.14231454614617911</v>
      </c>
      <c r="EZ26" s="143">
        <f t="shared" ca="1" si="34"/>
        <v>0.11294002773971992</v>
      </c>
      <c r="FA26" s="143">
        <f t="shared" ca="1" si="34"/>
        <v>8.0864478839044962E-2</v>
      </c>
      <c r="FB26" s="143">
        <f t="shared" ca="1" si="34"/>
        <v>-2.4937956977292682E-2</v>
      </c>
      <c r="FC26" s="143">
        <f t="shared" ca="1" si="34"/>
        <v>8.4650338604202804E-3</v>
      </c>
      <c r="FD26" s="143">
        <f t="shared" ca="1" si="34"/>
        <v>0.23415396897675597</v>
      </c>
      <c r="FE26" s="143">
        <f t="shared" ca="1" si="34"/>
        <v>3.9941335464354966E-2</v>
      </c>
      <c r="FF26" s="143">
        <f t="shared" ca="1" si="34"/>
        <v>-4.3005791846180148E-2</v>
      </c>
      <c r="FG26" s="143">
        <f t="shared" ca="1" si="34"/>
        <v>9.2207511864892983E-2</v>
      </c>
      <c r="FH26" s="143">
        <f t="shared" ca="1" si="34"/>
        <v>0.16856966966308407</v>
      </c>
      <c r="FI26" s="143">
        <f t="shared" ca="1" si="34"/>
        <v>4.7076283963685933E-2</v>
      </c>
      <c r="FJ26" s="143">
        <f t="shared" ca="1" si="34"/>
        <v>5.1263689911100314E-2</v>
      </c>
      <c r="FK26" s="143">
        <f t="shared" ca="1" si="34"/>
        <v>0.11371649507053416</v>
      </c>
      <c r="FL26" s="143">
        <f t="shared" ca="1" si="34"/>
        <v>6.5294084296889376E-2</v>
      </c>
      <c r="FM26" s="143">
        <f t="shared" ca="1" si="34"/>
        <v>0.10654348755399456</v>
      </c>
      <c r="FN26" s="143">
        <f t="shared" ca="1" si="34"/>
        <v>5.2503804448383873E-2</v>
      </c>
      <c r="FO26" s="143">
        <f t="shared" ca="1" si="34"/>
        <v>-1.7451223646603641E-2</v>
      </c>
      <c r="FP26" s="143">
        <f t="shared" ca="1" si="34"/>
        <v>5.0606085877505147E-2</v>
      </c>
      <c r="FQ26" s="143">
        <f t="shared" ca="1" si="34"/>
        <v>8.6111167446465881E-2</v>
      </c>
      <c r="FR26" s="143">
        <f t="shared" ca="1" si="34"/>
        <v>5.460984529091556E-2</v>
      </c>
      <c r="FS26" s="143">
        <f t="shared" ca="1" si="34"/>
        <v>2.9878720740486298E-2</v>
      </c>
      <c r="FT26" s="143">
        <f t="shared" ca="1" si="34"/>
        <v>5.3007481872233031E-2</v>
      </c>
      <c r="FU26" s="143">
        <f t="shared" ca="1" si="34"/>
        <v>-4.114061551680389E-2</v>
      </c>
      <c r="FV26" s="143">
        <f t="shared" ca="1" si="34"/>
        <v>0.12565384835791901</v>
      </c>
      <c r="FW26" s="143">
        <f t="shared" ca="1" si="34"/>
        <v>4.115877232991396E-2</v>
      </c>
      <c r="FX26" s="143">
        <f t="shared" ca="1" si="34"/>
        <v>0.10352771279111372</v>
      </c>
      <c r="FY26" s="143">
        <f t="shared" ca="1" si="30"/>
        <v>-9.106394427960629E-3</v>
      </c>
      <c r="FZ26" s="143">
        <f t="shared" ca="1" si="30"/>
        <v>-3.1220670669718092E-3</v>
      </c>
      <c r="GA26" s="143">
        <f t="shared" ca="1" si="30"/>
        <v>1.221968119298239E-2</v>
      </c>
      <c r="GB26" s="143">
        <f t="shared" ca="1" si="30"/>
        <v>8.9441567279930606E-2</v>
      </c>
      <c r="GC26" s="143">
        <f t="shared" ca="1" si="30"/>
        <v>7.8180683075994337E-2</v>
      </c>
      <c r="GD26" s="143">
        <f t="shared" ca="1" si="30"/>
        <v>5.308341432943646E-2</v>
      </c>
      <c r="GE26" s="143">
        <f t="shared" ca="1" si="30"/>
        <v>-7.7707980751046207E-2</v>
      </c>
      <c r="GF26" s="143">
        <f t="shared" ca="1" si="30"/>
        <v>0.11971443797052453</v>
      </c>
      <c r="GG26" s="143">
        <f t="shared" ca="1" si="30"/>
        <v>0.12421786167706733</v>
      </c>
      <c r="GH26" s="143">
        <f t="shared" ca="1" si="30"/>
        <v>9.2310509456088846E-2</v>
      </c>
      <c r="GI26" s="143">
        <f t="shared" ca="1" si="30"/>
        <v>0.15886011493021884</v>
      </c>
      <c r="GJ26" s="143">
        <f t="shared" ca="1" si="30"/>
        <v>2.4330386330455714E-2</v>
      </c>
      <c r="GK26" s="143">
        <f t="shared" ca="1" si="30"/>
        <v>7.1053474189180427E-2</v>
      </c>
      <c r="GL26" s="143">
        <f t="shared" ca="1" si="30"/>
        <v>1.7309093344950219E-2</v>
      </c>
      <c r="GM26" s="143">
        <f t="shared" ca="1" si="30"/>
        <v>2.386495178877757E-2</v>
      </c>
      <c r="GN26" s="143">
        <f t="shared" ca="1" si="30"/>
        <v>3.085741013668062E-2</v>
      </c>
      <c r="GO26" s="143">
        <f t="shared" ca="1" si="30"/>
        <v>0.25592211029096334</v>
      </c>
      <c r="GP26" s="143">
        <f t="shared" ca="1" si="30"/>
        <v>1.4715605858944616E-2</v>
      </c>
      <c r="GQ26" s="143">
        <f t="shared" ca="1" si="30"/>
        <v>1.6868927262230559E-2</v>
      </c>
      <c r="GR26" s="143">
        <f t="shared" ca="1" si="30"/>
        <v>3.6189186486375147E-2</v>
      </c>
      <c r="GS26" s="143">
        <f t="shared" ca="1" si="30"/>
        <v>8.6534412200040683E-3</v>
      </c>
      <c r="GT26" s="143">
        <f t="shared" ca="1" si="30"/>
        <v>9.1725121982901101E-2</v>
      </c>
      <c r="GU26" s="143">
        <f t="shared" ca="1" si="30"/>
        <v>0.125621697206661</v>
      </c>
      <c r="GV26" s="143">
        <f t="shared" ca="1" si="30"/>
        <v>6.6212769385382703E-2</v>
      </c>
      <c r="GW26" s="143">
        <f t="shared" ca="1" si="30"/>
        <v>3.5364584445108059E-2</v>
      </c>
      <c r="GX26" s="143">
        <f t="shared" ca="1" si="30"/>
        <v>0.14945430410806115</v>
      </c>
      <c r="GY26" s="143">
        <f t="shared" ca="1" si="30"/>
        <v>-2.0659729126712746E-2</v>
      </c>
      <c r="GZ26" s="143">
        <f t="shared" ca="1" si="30"/>
        <v>3.7834618582979131E-2</v>
      </c>
      <c r="HA26" s="143">
        <f t="shared" ca="1" si="30"/>
        <v>0.28256953531181817</v>
      </c>
      <c r="HB26" s="143">
        <f t="shared" ca="1" si="30"/>
        <v>2.3163711534444666E-2</v>
      </c>
      <c r="HC26" s="143">
        <f t="shared" ca="1" si="30"/>
        <v>-7.3596446154292505E-2</v>
      </c>
      <c r="HD26" s="143">
        <f t="shared" ca="1" si="30"/>
        <v>8.1975069253640231E-2</v>
      </c>
      <c r="HE26" s="143">
        <f t="shared" ca="1" si="30"/>
        <v>1.0815276546046103E-2</v>
      </c>
      <c r="HF26" s="143">
        <f t="shared" ca="1" si="30"/>
        <v>5.2737946365932688E-2</v>
      </c>
      <c r="HG26" s="143">
        <f t="shared" ca="1" si="30"/>
        <v>6.0634323207705579E-2</v>
      </c>
    </row>
    <row r="27" spans="1:215">
      <c r="A27" s="90">
        <v>1953</v>
      </c>
      <c r="B27" s="84">
        <v>-1.2082047421904465E-2</v>
      </c>
      <c r="C27" s="85">
        <v>-5.7999999999999996E-2</v>
      </c>
      <c r="D27" s="83">
        <f t="shared" si="4"/>
        <v>-2.126563793752357E-2</v>
      </c>
      <c r="E27" s="85"/>
      <c r="F27" s="85"/>
      <c r="G27" s="85">
        <v>1.8908333333333333E-2</v>
      </c>
      <c r="H27" s="85">
        <v>4.1438402589088513E-2</v>
      </c>
      <c r="I27" s="85">
        <v>1.6201123818443276E-2</v>
      </c>
      <c r="J27" s="85">
        <v>6.9364161849712058E-3</v>
      </c>
      <c r="M27" s="115">
        <f t="shared" si="7"/>
        <v>76</v>
      </c>
      <c r="N27" s="143">
        <f t="shared" ca="1" si="31"/>
        <v>0.55703610950878757</v>
      </c>
      <c r="O27" s="143">
        <f t="shared" ca="1" si="32"/>
        <v>-5.2659831471186691E-2</v>
      </c>
      <c r="P27" s="143">
        <f t="shared" ca="1" si="32"/>
        <v>0.23596473730044101</v>
      </c>
      <c r="Q27" s="143">
        <f t="shared" ca="1" si="32"/>
        <v>0.12448157431104401</v>
      </c>
      <c r="R27" s="143">
        <f t="shared" ca="1" si="32"/>
        <v>0.18441406984791497</v>
      </c>
      <c r="S27" s="143">
        <f t="shared" ca="1" si="32"/>
        <v>0.27340649217696844</v>
      </c>
      <c r="T27" s="143">
        <f t="shared" ca="1" si="32"/>
        <v>0.28793714294291717</v>
      </c>
      <c r="U27" s="143">
        <f t="shared" ca="1" si="32"/>
        <v>0.32423371890931135</v>
      </c>
      <c r="V27" s="143">
        <f t="shared" ca="1" si="32"/>
        <v>2.9401933349247386E-2</v>
      </c>
      <c r="W27" s="143">
        <f t="shared" ca="1" si="32"/>
        <v>0.16337325209573156</v>
      </c>
      <c r="X27" s="143">
        <f t="shared" ca="1" si="32"/>
        <v>3.443301325349761E-2</v>
      </c>
      <c r="Y27" s="143">
        <f t="shared" ca="1" si="32"/>
        <v>0.35506342245500144</v>
      </c>
      <c r="Z27" s="143">
        <f t="shared" ca="1" si="32"/>
        <v>0.21861966738691885</v>
      </c>
      <c r="AA27" s="143">
        <f t="shared" ca="1" si="32"/>
        <v>7.9773631331344255E-2</v>
      </c>
      <c r="AB27" s="143">
        <f t="shared" ca="1" si="32"/>
        <v>-0.29489465480962018</v>
      </c>
      <c r="AC27" s="143">
        <f t="shared" ca="1" si="32"/>
        <v>0.10739018568457438</v>
      </c>
      <c r="AD27" s="143">
        <f t="shared" ca="1" si="32"/>
        <v>2.868490649400332E-2</v>
      </c>
      <c r="AE27" s="143">
        <f t="shared" ca="1" si="32"/>
        <v>1.7492328223984305E-3</v>
      </c>
      <c r="AF27" s="143">
        <f t="shared" ca="1" si="32"/>
        <v>5.9074764340074942E-2</v>
      </c>
      <c r="AG27" s="143">
        <f t="shared" ca="1" si="32"/>
        <v>0.11551865131609154</v>
      </c>
      <c r="AH27" s="143">
        <f t="shared" ca="1" si="32"/>
        <v>-8.8562898394934225E-2</v>
      </c>
      <c r="AI27" s="143">
        <f t="shared" ca="1" si="32"/>
        <v>0.21807120911053926</v>
      </c>
      <c r="AJ27" s="143">
        <f t="shared" ca="1" si="32"/>
        <v>-0.13617886161332474</v>
      </c>
      <c r="AK27" s="143">
        <f t="shared" ca="1" si="32"/>
        <v>-8.6237350727842471E-2</v>
      </c>
      <c r="AL27" s="143">
        <f t="shared" ca="1" si="32"/>
        <v>0.37540204560388613</v>
      </c>
      <c r="AM27" s="143">
        <f t="shared" ca="1" si="32"/>
        <v>4.4575686743482661E-2</v>
      </c>
      <c r="AN27" s="143">
        <f t="shared" ca="1" si="32"/>
        <v>1.2504598385612103E-2</v>
      </c>
      <c r="AO27" s="143">
        <f t="shared" ca="1" si="32"/>
        <v>-0.2345932958398376</v>
      </c>
      <c r="AP27" s="143">
        <f t="shared" ca="1" si="32"/>
        <v>-3.1897502981244469E-3</v>
      </c>
      <c r="AQ27" s="143">
        <f t="shared" ca="1" si="32"/>
        <v>-0.14343098058306741</v>
      </c>
      <c r="AR27" s="143">
        <f t="shared" ca="1" si="32"/>
        <v>0.14162819599107793</v>
      </c>
      <c r="AS27" s="143">
        <f t="shared" ca="1" si="32"/>
        <v>9.2283544319305591E-2</v>
      </c>
      <c r="AT27" s="143">
        <f t="shared" ca="1" si="32"/>
        <v>-0.29229959499195479</v>
      </c>
      <c r="AU27" s="143">
        <f t="shared" ca="1" si="32"/>
        <v>0.11316999864895379</v>
      </c>
      <c r="AV27" s="143">
        <f t="shared" ca="1" si="32"/>
        <v>-7.9415296090906334E-2</v>
      </c>
      <c r="AW27" s="143">
        <f t="shared" ca="1" si="32"/>
        <v>0.21663250618338231</v>
      </c>
      <c r="AX27" s="143">
        <f t="shared" ca="1" si="32"/>
        <v>0.30802278675544159</v>
      </c>
      <c r="AY27" s="143">
        <f t="shared" ca="1" si="32"/>
        <v>5.6576475154013782E-2</v>
      </c>
      <c r="AZ27" s="143">
        <f t="shared" ca="1" si="32"/>
        <v>-0.10107634315965822</v>
      </c>
      <c r="BA27" s="143">
        <f t="shared" ca="1" si="32"/>
        <v>5.6464419528018166E-2</v>
      </c>
      <c r="BB27" s="143">
        <f t="shared" ca="1" si="32"/>
        <v>-6.7719681791890585E-2</v>
      </c>
      <c r="BC27" s="143">
        <f t="shared" ca="1" si="32"/>
        <v>1.4166927224428111E-2</v>
      </c>
      <c r="BD27" s="143">
        <f t="shared" ca="1" si="32"/>
        <v>-4.8844663612473027E-2</v>
      </c>
      <c r="BE27" s="143">
        <f t="shared" ca="1" si="32"/>
        <v>0.37943349267577287</v>
      </c>
      <c r="BF27" s="143">
        <f t="shared" ca="1" si="32"/>
        <v>0.12183141827687549</v>
      </c>
      <c r="BG27" s="143">
        <f t="shared" ca="1" si="32"/>
        <v>0.39345185406688954</v>
      </c>
      <c r="BH27" s="143">
        <f t="shared" ca="1" si="32"/>
        <v>0.11893898360793012</v>
      </c>
      <c r="BI27" s="143">
        <f t="shared" ca="1" si="32"/>
        <v>0.25930408918383552</v>
      </c>
      <c r="BJ27" s="143">
        <f t="shared" ca="1" si="32"/>
        <v>-2.8482255115755445E-2</v>
      </c>
      <c r="BK27" s="143">
        <f t="shared" ca="1" si="32"/>
        <v>0.15659843590486103</v>
      </c>
      <c r="BL27" s="143">
        <f t="shared" ca="1" si="32"/>
        <v>5.0565769317679005E-2</v>
      </c>
      <c r="BM27" s="143">
        <f t="shared" ca="1" si="32"/>
        <v>0.39813851033057479</v>
      </c>
      <c r="BN27" s="143">
        <f t="shared" ca="1" si="32"/>
        <v>3.6996435539863419E-2</v>
      </c>
      <c r="BO27" s="143">
        <f t="shared" ca="1" si="32"/>
        <v>6.3142570684014437E-2</v>
      </c>
      <c r="BP27" s="143">
        <f t="shared" ca="1" si="32"/>
        <v>-9.4642179747832345E-2</v>
      </c>
      <c r="BQ27" s="143">
        <f t="shared" ca="1" si="32"/>
        <v>-0.14734501149938303</v>
      </c>
      <c r="BR27" s="143">
        <f t="shared" ca="1" si="32"/>
        <v>0.25836260765422481</v>
      </c>
      <c r="BS27" s="143">
        <f t="shared" ca="1" si="32"/>
        <v>0.41618112145308894</v>
      </c>
      <c r="BT27" s="143">
        <f t="shared" ca="1" si="32"/>
        <v>-7.3925686340098606E-3</v>
      </c>
      <c r="BU27" s="143">
        <f t="shared" ca="1" si="32"/>
        <v>-4.5038718404025374E-2</v>
      </c>
      <c r="BV27" s="143">
        <f t="shared" ca="1" si="32"/>
        <v>1.9777160158312476E-2</v>
      </c>
      <c r="BW27" s="143">
        <f t="shared" ca="1" si="32"/>
        <v>0.40286811406182721</v>
      </c>
      <c r="BX27" s="143">
        <f t="shared" ca="1" si="32"/>
        <v>0.14941685890175904</v>
      </c>
      <c r="BY27" s="143">
        <f t="shared" ca="1" si="32"/>
        <v>-0.11114933294487975</v>
      </c>
      <c r="BZ27" s="143">
        <f t="shared" ca="1" si="32"/>
        <v>-0.10512233304114663</v>
      </c>
      <c r="CA27" s="143">
        <f t="shared" ca="1" si="29"/>
        <v>0.11278096036348184</v>
      </c>
      <c r="CB27" s="143">
        <f t="shared" ca="1" si="29"/>
        <v>2.0212970979933881E-2</v>
      </c>
      <c r="CC27" s="143">
        <f t="shared" ca="1" si="29"/>
        <v>0.14985628610114268</v>
      </c>
      <c r="CD27" s="143">
        <f t="shared" ca="1" si="29"/>
        <v>0.1181042372257618</v>
      </c>
      <c r="CE27" s="143">
        <f t="shared" ca="1" si="29"/>
        <v>0.29826089283538015</v>
      </c>
      <c r="CF27" s="143">
        <f t="shared" ca="1" si="29"/>
        <v>0.13882259382454176</v>
      </c>
      <c r="CG27" s="143">
        <f t="shared" ca="1" si="29"/>
        <v>0.21376002601537208</v>
      </c>
      <c r="CH27" s="143">
        <f t="shared" ca="1" si="29"/>
        <v>0.18566700173136441</v>
      </c>
      <c r="CI27" s="143">
        <f t="shared" ca="1" si="29"/>
        <v>-8.9701538537390657E-2</v>
      </c>
      <c r="CJ27" s="143">
        <f t="shared" ca="1" si="29"/>
        <v>-0.20601264351124862</v>
      </c>
      <c r="CK27" s="143">
        <f t="shared" ca="1" si="29"/>
        <v>-9.8952320386676007E-3</v>
      </c>
      <c r="CL27" s="143">
        <f t="shared" ca="1" si="29"/>
        <v>0.12670100991889768</v>
      </c>
      <c r="CM27" s="143">
        <f t="shared" ca="1" si="29"/>
        <v>0.19235163694270216</v>
      </c>
      <c r="CN27" s="143">
        <f t="shared" ca="1" si="29"/>
        <v>-4.7039427469788508E-2</v>
      </c>
      <c r="CO27" s="143">
        <f t="shared" ca="1" si="29"/>
        <v>6.5139704278397978E-2</v>
      </c>
      <c r="CP27" s="143">
        <f t="shared" ca="1" si="29"/>
        <v>-5.9058177369838344E-2</v>
      </c>
      <c r="CQ27" s="143">
        <f t="shared" ca="1" si="29"/>
        <v>0.22198950375129123</v>
      </c>
      <c r="CR27" s="143">
        <f t="shared" ca="1" si="29"/>
        <v>5.5027891400845526E-2</v>
      </c>
      <c r="CS27" s="143">
        <f t="shared" ca="1" si="29"/>
        <v>4.2011384945022989E-2</v>
      </c>
      <c r="CT27" s="143">
        <f t="shared" ca="1" si="29"/>
        <v>-5.1919551334234371E-3</v>
      </c>
      <c r="CU27" s="143">
        <f t="shared" ca="1" si="29"/>
        <v>1.3471971447928749E-2</v>
      </c>
      <c r="CV27" s="143">
        <f t="shared" ca="1" si="29"/>
        <v>0.14124226541155835</v>
      </c>
      <c r="CW27" s="143">
        <f t="shared" ca="1" si="29"/>
        <v>0.19942410744900593</v>
      </c>
      <c r="CX27" s="143">
        <f t="shared" ca="1" si="29"/>
        <v>-0.13312920160462136</v>
      </c>
      <c r="CY27" s="143">
        <f t="shared" ca="1" si="29"/>
        <v>0.46555696958637471</v>
      </c>
      <c r="CZ27" s="143">
        <f t="shared" ca="1" si="29"/>
        <v>-0.17236569045627212</v>
      </c>
      <c r="DA27" s="143">
        <f t="shared" ca="1" si="29"/>
        <v>0.19897898360656055</v>
      </c>
      <c r="DB27" s="143">
        <f t="shared" ca="1" si="29"/>
        <v>0.33879950035223999</v>
      </c>
      <c r="DC27" s="143">
        <f t="shared" ca="1" si="29"/>
        <v>0.2854021665451093</v>
      </c>
      <c r="DD27" s="143">
        <f t="shared" ca="1" si="29"/>
        <v>-9.8301447766090566E-2</v>
      </c>
      <c r="DE27" s="143">
        <f t="shared" ca="1" si="29"/>
        <v>0.14964516109079606</v>
      </c>
      <c r="DF27" s="143">
        <f t="shared" ca="1" si="29"/>
        <v>0.35628323664485806</v>
      </c>
      <c r="DG27" s="143">
        <f t="shared" ca="1" si="29"/>
        <v>-0.45346586187815519</v>
      </c>
      <c r="DH27" s="143">
        <f t="shared" ca="1" si="29"/>
        <v>0.18980724896549539</v>
      </c>
      <c r="DI27" s="143">
        <f t="shared" ca="1" si="29"/>
        <v>-8.2592021651870379E-2</v>
      </c>
      <c r="DK27" s="115">
        <f t="shared" si="8"/>
        <v>76</v>
      </c>
      <c r="DL27" s="143">
        <f t="shared" ca="1" si="33"/>
        <v>0.1315932113583109</v>
      </c>
      <c r="DM27" s="143">
        <f t="shared" ca="1" si="34"/>
        <v>6.2737116834598761E-2</v>
      </c>
      <c r="DN27" s="143">
        <f t="shared" ca="1" si="34"/>
        <v>-5.5413113704340301E-2</v>
      </c>
      <c r="DO27" s="143">
        <f t="shared" ca="1" si="34"/>
        <v>0.16939118653632645</v>
      </c>
      <c r="DP27" s="143">
        <f t="shared" ca="1" si="34"/>
        <v>-4.0825495648042158E-2</v>
      </c>
      <c r="DQ27" s="143">
        <f t="shared" ca="1" si="34"/>
        <v>0.16501300310387301</v>
      </c>
      <c r="DR27" s="143">
        <f t="shared" ca="1" si="34"/>
        <v>4.3277668720045084E-2</v>
      </c>
      <c r="DS27" s="143">
        <f t="shared" ca="1" si="34"/>
        <v>-1.6781605617336735E-2</v>
      </c>
      <c r="DT27" s="143">
        <f t="shared" ca="1" si="34"/>
        <v>5.8150481096646098E-2</v>
      </c>
      <c r="DU27" s="143">
        <f t="shared" ca="1" si="34"/>
        <v>0.14518528418671214</v>
      </c>
      <c r="DV27" s="143">
        <f t="shared" ca="1" si="34"/>
        <v>8.6460284597914203E-2</v>
      </c>
      <c r="DW27" s="143">
        <f t="shared" ca="1" si="34"/>
        <v>-0.15359309499017837</v>
      </c>
      <c r="DX27" s="143">
        <f t="shared" ca="1" si="34"/>
        <v>9.0652203460045377E-2</v>
      </c>
      <c r="DY27" s="143">
        <f t="shared" ca="1" si="34"/>
        <v>-3.8933245679193866E-2</v>
      </c>
      <c r="DZ27" s="143">
        <f t="shared" ca="1" si="34"/>
        <v>8.5317075592750174E-2</v>
      </c>
      <c r="EA27" s="143">
        <f t="shared" ca="1" si="34"/>
        <v>5.3985048802028798E-2</v>
      </c>
      <c r="EB27" s="143">
        <f t="shared" ca="1" si="34"/>
        <v>2.3378907016646022E-2</v>
      </c>
      <c r="EC27" s="143">
        <f t="shared" ca="1" si="34"/>
        <v>0.16201909438974035</v>
      </c>
      <c r="ED27" s="143">
        <f t="shared" ca="1" si="34"/>
        <v>8.2927327884969093E-2</v>
      </c>
      <c r="EE27" s="143">
        <f t="shared" ca="1" si="34"/>
        <v>7.0697161192786878E-2</v>
      </c>
      <c r="EF27" s="143">
        <f t="shared" ca="1" si="34"/>
        <v>0.23887521843990059</v>
      </c>
      <c r="EG27" s="143">
        <f t="shared" ca="1" si="34"/>
        <v>6.3673388899319394E-2</v>
      </c>
      <c r="EH27" s="143">
        <f t="shared" ca="1" si="34"/>
        <v>-4.1695077212377842E-2</v>
      </c>
      <c r="EI27" s="143">
        <f t="shared" ca="1" si="34"/>
        <v>-5.5264687338246153E-2</v>
      </c>
      <c r="EJ27" s="143">
        <f t="shared" ca="1" si="34"/>
        <v>0.1439858137087866</v>
      </c>
      <c r="EK27" s="143">
        <f t="shared" ca="1" si="34"/>
        <v>2.2488403440091349E-2</v>
      </c>
      <c r="EL27" s="143">
        <f t="shared" ca="1" si="34"/>
        <v>-3.1763195493976E-2</v>
      </c>
      <c r="EM27" s="143">
        <f t="shared" ca="1" si="34"/>
        <v>3.8872139202031336E-2</v>
      </c>
      <c r="EN27" s="143">
        <f t="shared" ca="1" si="34"/>
        <v>3.3581329887617757E-2</v>
      </c>
      <c r="EO27" s="143">
        <f t="shared" ca="1" si="34"/>
        <v>-2.2434998516893505E-2</v>
      </c>
      <c r="EP27" s="143">
        <f t="shared" ca="1" si="34"/>
        <v>0.17495234599492318</v>
      </c>
      <c r="EQ27" s="143">
        <f t="shared" ca="1" si="34"/>
        <v>3.0980978559113897E-2</v>
      </c>
      <c r="ER27" s="143">
        <f t="shared" ca="1" si="34"/>
        <v>5.6217602393732732E-2</v>
      </c>
      <c r="ES27" s="143">
        <f t="shared" ca="1" si="34"/>
        <v>-4.2565848141582978E-2</v>
      </c>
      <c r="ET27" s="143">
        <f t="shared" ca="1" si="34"/>
        <v>0.18093984673390978</v>
      </c>
      <c r="EU27" s="143">
        <f t="shared" ca="1" si="34"/>
        <v>0.1416351336643181</v>
      </c>
      <c r="EV27" s="143">
        <f t="shared" ca="1" si="34"/>
        <v>-4.7832179766593548E-2</v>
      </c>
      <c r="EW27" s="143">
        <f t="shared" ca="1" si="34"/>
        <v>4.4202047426670846E-2</v>
      </c>
      <c r="EX27" s="143">
        <f t="shared" ca="1" si="34"/>
        <v>1.2356909252994479E-2</v>
      </c>
      <c r="EY27" s="143">
        <f t="shared" ca="1" si="34"/>
        <v>0.14999988921734542</v>
      </c>
      <c r="EZ27" s="143">
        <f t="shared" ca="1" si="34"/>
        <v>-7.0936215671345448E-2</v>
      </c>
      <c r="FA27" s="143">
        <f t="shared" ca="1" si="34"/>
        <v>-3.4540671532584312E-2</v>
      </c>
      <c r="FB27" s="143">
        <f t="shared" ca="1" si="34"/>
        <v>4.4345395187231067E-2</v>
      </c>
      <c r="FC27" s="143">
        <f t="shared" ca="1" si="34"/>
        <v>-2.6189142969941244E-2</v>
      </c>
      <c r="FD27" s="143">
        <f t="shared" ca="1" si="34"/>
        <v>0.112080057144473</v>
      </c>
      <c r="FE27" s="143">
        <f t="shared" ca="1" si="34"/>
        <v>-2.9267708641437608E-2</v>
      </c>
      <c r="FF27" s="143">
        <f t="shared" ca="1" si="34"/>
        <v>3.8887650445454003E-2</v>
      </c>
      <c r="FG27" s="143">
        <f t="shared" ca="1" si="34"/>
        <v>7.6959943765365954E-2</v>
      </c>
      <c r="FH27" s="143">
        <f t="shared" ca="1" si="34"/>
        <v>0.11684983125804677</v>
      </c>
      <c r="FI27" s="143">
        <f t="shared" ca="1" si="34"/>
        <v>1.1143059907194032E-2</v>
      </c>
      <c r="FJ27" s="143">
        <f t="shared" ca="1" si="34"/>
        <v>5.0580979538344624E-2</v>
      </c>
      <c r="FK27" s="143">
        <f t="shared" ca="1" si="34"/>
        <v>6.1533985003177485E-2</v>
      </c>
      <c r="FL27" s="143">
        <f t="shared" ca="1" si="34"/>
        <v>0.14154969431599226</v>
      </c>
      <c r="FM27" s="143">
        <f t="shared" ca="1" si="34"/>
        <v>9.7345317572299084E-4</v>
      </c>
      <c r="FN27" s="143">
        <f t="shared" ca="1" si="34"/>
        <v>-3.2389636044518187E-2</v>
      </c>
      <c r="FO27" s="143">
        <f t="shared" ca="1" si="34"/>
        <v>2.9509149409691675E-2</v>
      </c>
      <c r="FP27" s="143">
        <f t="shared" ca="1" si="34"/>
        <v>8.1126973605789035E-2</v>
      </c>
      <c r="FQ27" s="143">
        <f t="shared" ca="1" si="34"/>
        <v>6.0072339108483502E-2</v>
      </c>
      <c r="FR27" s="143">
        <f t="shared" ca="1" si="34"/>
        <v>0.10081909872732331</v>
      </c>
      <c r="FS27" s="143">
        <f t="shared" ca="1" si="34"/>
        <v>6.4688576746465817E-2</v>
      </c>
      <c r="FT27" s="143">
        <f t="shared" ca="1" si="34"/>
        <v>8.8297103188506254E-2</v>
      </c>
      <c r="FU27" s="143">
        <f t="shared" ca="1" si="34"/>
        <v>8.1892810270814381E-2</v>
      </c>
      <c r="FV27" s="143">
        <f t="shared" ca="1" si="34"/>
        <v>3.4332436994545606E-2</v>
      </c>
      <c r="FW27" s="143">
        <f t="shared" ca="1" si="34"/>
        <v>0.19032371456642896</v>
      </c>
      <c r="FX27" s="143">
        <f t="shared" ca="1" si="34"/>
        <v>4.824128514657923E-2</v>
      </c>
      <c r="FY27" s="143">
        <f t="shared" ca="1" si="30"/>
        <v>2.4430768616237178E-2</v>
      </c>
      <c r="FZ27" s="143">
        <f t="shared" ca="1" si="30"/>
        <v>2.2464759761872635E-2</v>
      </c>
      <c r="GA27" s="143">
        <f t="shared" ca="1" si="30"/>
        <v>-7.9271266000216112E-2</v>
      </c>
      <c r="GB27" s="143">
        <f t="shared" ca="1" si="30"/>
        <v>3.5512813264936605E-2</v>
      </c>
      <c r="GC27" s="143">
        <f t="shared" ca="1" si="30"/>
        <v>-3.848530054069605E-2</v>
      </c>
      <c r="GD27" s="143">
        <f t="shared" ca="1" si="30"/>
        <v>4.301794775278478E-2</v>
      </c>
      <c r="GE27" s="143">
        <f t="shared" ca="1" si="30"/>
        <v>4.0570736614629982E-2</v>
      </c>
      <c r="GF27" s="143">
        <f t="shared" ca="1" si="30"/>
        <v>5.2384830793176462E-2</v>
      </c>
      <c r="GG27" s="143">
        <f t="shared" ca="1" si="30"/>
        <v>-2.7326205959211751E-2</v>
      </c>
      <c r="GH27" s="143">
        <f t="shared" ca="1" si="30"/>
        <v>0.10334480770525883</v>
      </c>
      <c r="GI27" s="143">
        <f t="shared" ca="1" si="30"/>
        <v>-9.502976080691608E-2</v>
      </c>
      <c r="GJ27" s="143">
        <f t="shared" ca="1" si="30"/>
        <v>3.1647909584188977E-2</v>
      </c>
      <c r="GK27" s="143">
        <f t="shared" ca="1" si="30"/>
        <v>-1.2743420849746979E-2</v>
      </c>
      <c r="GL27" s="143">
        <f t="shared" ca="1" si="30"/>
        <v>4.374584947903732E-2</v>
      </c>
      <c r="GM27" s="143">
        <f t="shared" ca="1" si="30"/>
        <v>7.2993973642770243E-3</v>
      </c>
      <c r="GN27" s="143">
        <f t="shared" ca="1" si="30"/>
        <v>7.0899719857641666E-2</v>
      </c>
      <c r="GO27" s="143">
        <f t="shared" ca="1" si="30"/>
        <v>0.10088898438147174</v>
      </c>
      <c r="GP27" s="143">
        <f t="shared" ca="1" si="30"/>
        <v>5.9328340471323723E-2</v>
      </c>
      <c r="GQ27" s="143">
        <f t="shared" ca="1" si="30"/>
        <v>1.7819523108952639E-2</v>
      </c>
      <c r="GR27" s="143">
        <f t="shared" ca="1" si="30"/>
        <v>0.11287668061874268</v>
      </c>
      <c r="GS27" s="143">
        <f t="shared" ca="1" si="30"/>
        <v>-4.352280355933754E-2</v>
      </c>
      <c r="GT27" s="143">
        <f t="shared" ca="1" si="30"/>
        <v>0.23488325305089777</v>
      </c>
      <c r="GU27" s="143">
        <f t="shared" ca="1" si="30"/>
        <v>-1.7760025124963406E-2</v>
      </c>
      <c r="GV27" s="143">
        <f t="shared" ca="1" si="30"/>
        <v>-5.2953525401414486E-3</v>
      </c>
      <c r="GW27" s="143">
        <f t="shared" ca="1" si="30"/>
        <v>1.9421229232259606E-2</v>
      </c>
      <c r="GX27" s="143">
        <f t="shared" ca="1" si="30"/>
        <v>0.10263261804268452</v>
      </c>
      <c r="GY27" s="143">
        <f t="shared" ca="1" si="30"/>
        <v>0.16899581031546407</v>
      </c>
      <c r="GZ27" s="143">
        <f t="shared" ca="1" si="30"/>
        <v>5.7494168441369238E-2</v>
      </c>
      <c r="HA27" s="143">
        <f t="shared" ca="1" si="30"/>
        <v>-3.0438583274867793E-2</v>
      </c>
      <c r="HB27" s="143">
        <f t="shared" ca="1" si="30"/>
        <v>-3.3131407699822528E-2</v>
      </c>
      <c r="HC27" s="143">
        <f t="shared" ca="1" si="30"/>
        <v>9.3112375843585726E-2</v>
      </c>
      <c r="HD27" s="143">
        <f t="shared" ca="1" si="30"/>
        <v>8.7658618473920771E-2</v>
      </c>
      <c r="HE27" s="143">
        <f t="shared" ca="1" si="30"/>
        <v>3.2895665091340016E-2</v>
      </c>
      <c r="HF27" s="143">
        <f t="shared" ca="1" si="30"/>
        <v>0.13423074733999532</v>
      </c>
      <c r="HG27" s="143">
        <f t="shared" ca="1" si="30"/>
        <v>-2.6415326140233918E-2</v>
      </c>
    </row>
    <row r="28" spans="1:215">
      <c r="A28" s="90">
        <v>1954</v>
      </c>
      <c r="B28" s="84">
        <v>0.52563321241434902</v>
      </c>
      <c r="C28" s="85">
        <v>0.63900000000000001</v>
      </c>
      <c r="D28" s="83">
        <f t="shared" si="4"/>
        <v>0.54830656993147919</v>
      </c>
      <c r="E28" s="85"/>
      <c r="F28" s="85"/>
      <c r="G28" s="85">
        <v>9.3752000000000002E-3</v>
      </c>
      <c r="H28" s="85">
        <v>3.2898034558095555E-2</v>
      </c>
      <c r="I28" s="85">
        <v>6.1579051817707856E-2</v>
      </c>
      <c r="J28" s="85">
        <v>5.7405281285876075E-3</v>
      </c>
      <c r="M28" s="115">
        <f t="shared" si="7"/>
        <v>77</v>
      </c>
      <c r="N28" s="143">
        <f t="shared" ca="1" si="31"/>
        <v>0.11573738522154418</v>
      </c>
      <c r="O28" s="143">
        <f t="shared" ca="1" si="32"/>
        <v>-2.0142909584390731E-2</v>
      </c>
      <c r="P28" s="143">
        <f t="shared" ca="1" si="32"/>
        <v>-0.14115237499315586</v>
      </c>
      <c r="Q28" s="143">
        <f t="shared" ca="1" si="32"/>
        <v>0.35403620705107308</v>
      </c>
      <c r="R28" s="143">
        <f t="shared" ca="1" si="32"/>
        <v>-2.5066416477197401E-2</v>
      </c>
      <c r="S28" s="143">
        <f t="shared" ca="1" si="32"/>
        <v>-0.20391308949793843</v>
      </c>
      <c r="T28" s="143">
        <f t="shared" ca="1" si="32"/>
        <v>0.29593441097372153</v>
      </c>
      <c r="U28" s="143">
        <f t="shared" ca="1" si="32"/>
        <v>5.1184023541890979E-2</v>
      </c>
      <c r="V28" s="143">
        <f t="shared" ca="1" si="32"/>
        <v>0.23093828285765061</v>
      </c>
      <c r="W28" s="143">
        <f t="shared" ca="1" si="32"/>
        <v>0.14932443194819608</v>
      </c>
      <c r="X28" s="143">
        <f t="shared" ca="1" si="32"/>
        <v>2.4617088322210059E-2</v>
      </c>
      <c r="Y28" s="143">
        <f t="shared" ca="1" si="32"/>
        <v>0.30266770308654278</v>
      </c>
      <c r="Z28" s="143">
        <f t="shared" ca="1" si="32"/>
        <v>0.38987981723031495</v>
      </c>
      <c r="AA28" s="143">
        <f t="shared" ca="1" si="32"/>
        <v>3.3022637251855794E-2</v>
      </c>
      <c r="AB28" s="143">
        <f t="shared" ca="1" si="32"/>
        <v>0.10248239279164068</v>
      </c>
      <c r="AC28" s="143">
        <f t="shared" ca="1" si="32"/>
        <v>0.3779117069169452</v>
      </c>
      <c r="AD28" s="143">
        <f t="shared" ca="1" si="32"/>
        <v>-9.0608125633535597E-2</v>
      </c>
      <c r="AE28" s="143">
        <f t="shared" ca="1" si="32"/>
        <v>0.1082587629698851</v>
      </c>
      <c r="AF28" s="143">
        <f t="shared" ca="1" si="32"/>
        <v>-0.27808123899003556</v>
      </c>
      <c r="AG28" s="143">
        <f t="shared" ca="1" si="32"/>
        <v>0.30855341937072667</v>
      </c>
      <c r="AH28" s="143">
        <f t="shared" ca="1" si="32"/>
        <v>0.19680808655229259</v>
      </c>
      <c r="AI28" s="143">
        <f t="shared" ca="1" si="32"/>
        <v>-0.35081135880861247</v>
      </c>
      <c r="AJ28" s="143">
        <f t="shared" ca="1" si="32"/>
        <v>8.3661728683134068E-2</v>
      </c>
      <c r="AK28" s="143">
        <f t="shared" ca="1" si="32"/>
        <v>9.6124498816464385E-2</v>
      </c>
      <c r="AL28" s="143">
        <f t="shared" ca="1" si="32"/>
        <v>9.6712206123146946E-2</v>
      </c>
      <c r="AM28" s="143">
        <f t="shared" ca="1" si="32"/>
        <v>0.12073421218555452</v>
      </c>
      <c r="AN28" s="143">
        <f t="shared" ca="1" si="32"/>
        <v>0.12482548080296788</v>
      </c>
      <c r="AO28" s="143">
        <f t="shared" ca="1" si="32"/>
        <v>0.17392565349255046</v>
      </c>
      <c r="AP28" s="143">
        <f t="shared" ca="1" si="32"/>
        <v>0.11075481780034342</v>
      </c>
      <c r="AQ28" s="143">
        <f t="shared" ca="1" si="32"/>
        <v>0.23579307346082587</v>
      </c>
      <c r="AR28" s="143">
        <f t="shared" ca="1" si="32"/>
        <v>1.4070829768899937E-2</v>
      </c>
      <c r="AS28" s="143">
        <f t="shared" ca="1" si="32"/>
        <v>0.13725949322484951</v>
      </c>
      <c r="AT28" s="143">
        <f t="shared" ca="1" si="32"/>
        <v>9.682137132065631E-2</v>
      </c>
      <c r="AU28" s="143">
        <f t="shared" ca="1" si="32"/>
        <v>0.13067701457803416</v>
      </c>
      <c r="AV28" s="143">
        <f t="shared" ca="1" si="32"/>
        <v>0.27920560682527767</v>
      </c>
      <c r="AW28" s="143">
        <f t="shared" ca="1" si="32"/>
        <v>-9.8143549154004167E-2</v>
      </c>
      <c r="AX28" s="143">
        <f t="shared" ca="1" si="32"/>
        <v>0.38101142636525542</v>
      </c>
      <c r="AY28" s="143">
        <f t="shared" ca="1" si="32"/>
        <v>-0.21180496065825796</v>
      </c>
      <c r="AZ28" s="143">
        <f t="shared" ca="1" si="32"/>
        <v>0.20346066346200331</v>
      </c>
      <c r="BA28" s="143">
        <f t="shared" ca="1" si="32"/>
        <v>7.0064108306495884E-2</v>
      </c>
      <c r="BB28" s="143">
        <f t="shared" ca="1" si="32"/>
        <v>-0.10474886615044524</v>
      </c>
      <c r="BC28" s="143">
        <f t="shared" ca="1" si="32"/>
        <v>0.13420983030832573</v>
      </c>
      <c r="BD28" s="143">
        <f t="shared" ca="1" si="32"/>
        <v>0.11569049008418221</v>
      </c>
      <c r="BE28" s="143">
        <f t="shared" ca="1" si="32"/>
        <v>0.56491446536192957</v>
      </c>
      <c r="BF28" s="143">
        <f t="shared" ca="1" si="32"/>
        <v>6.9055393565932321E-2</v>
      </c>
      <c r="BG28" s="143">
        <f t="shared" ca="1" si="32"/>
        <v>0.31677813926282622</v>
      </c>
      <c r="BH28" s="143">
        <f t="shared" ca="1" si="32"/>
        <v>-3.4147962620892675E-2</v>
      </c>
      <c r="BI28" s="143">
        <f t="shared" ca="1" si="32"/>
        <v>0.32679010787157814</v>
      </c>
      <c r="BJ28" s="143">
        <f t="shared" ca="1" si="32"/>
        <v>8.4086875395952415E-2</v>
      </c>
      <c r="BK28" s="143">
        <f t="shared" ca="1" si="32"/>
        <v>0.28315500637433366</v>
      </c>
      <c r="BL28" s="143">
        <f t="shared" ca="1" si="32"/>
        <v>0.43717854041824844</v>
      </c>
      <c r="BM28" s="143">
        <f t="shared" ca="1" si="32"/>
        <v>-5.0499164089929077E-2</v>
      </c>
      <c r="BN28" s="143">
        <f t="shared" ca="1" si="32"/>
        <v>5.9460856938629847E-3</v>
      </c>
      <c r="BO28" s="143">
        <f t="shared" ca="1" si="32"/>
        <v>0.23175294282325692</v>
      </c>
      <c r="BP28" s="143">
        <f t="shared" ca="1" si="32"/>
        <v>0.15746930874165482</v>
      </c>
      <c r="BQ28" s="143">
        <f t="shared" ca="1" si="32"/>
        <v>-8.8134858671105792E-2</v>
      </c>
      <c r="BR28" s="143">
        <f t="shared" ca="1" si="32"/>
        <v>-0.2625274963608033</v>
      </c>
      <c r="BS28" s="143">
        <f t="shared" ca="1" si="32"/>
        <v>-0.37011599282567764</v>
      </c>
      <c r="BT28" s="143">
        <f t="shared" ca="1" si="32"/>
        <v>-0.19032689629283486</v>
      </c>
      <c r="BU28" s="143">
        <f t="shared" ca="1" si="32"/>
        <v>0.11487003226869318</v>
      </c>
      <c r="BV28" s="143">
        <f t="shared" ca="1" si="32"/>
        <v>-3.6270200704359407E-2</v>
      </c>
      <c r="BW28" s="143">
        <f t="shared" ca="1" si="32"/>
        <v>0.24707841829746188</v>
      </c>
      <c r="BX28" s="143">
        <f t="shared" ca="1" si="32"/>
        <v>0.28662633943585947</v>
      </c>
      <c r="BY28" s="143">
        <f t="shared" ca="1" si="32"/>
        <v>-2.2661880381682209E-3</v>
      </c>
      <c r="BZ28" s="143">
        <f t="shared" ca="1" si="32"/>
        <v>0.33145923758220497</v>
      </c>
      <c r="CA28" s="143">
        <f t="shared" ca="1" si="29"/>
        <v>9.8202188640587981E-2</v>
      </c>
      <c r="CB28" s="143">
        <f t="shared" ca="1" si="29"/>
        <v>0.16707129089839887</v>
      </c>
      <c r="CC28" s="143">
        <f t="shared" ca="1" si="29"/>
        <v>-1.1988798578913523E-2</v>
      </c>
      <c r="CD28" s="143">
        <f t="shared" ca="1" si="29"/>
        <v>8.3917065073908642E-3</v>
      </c>
      <c r="CE28" s="143">
        <f t="shared" ca="1" si="29"/>
        <v>-0.14318814030601579</v>
      </c>
      <c r="CF28" s="143">
        <f t="shared" ca="1" si="29"/>
        <v>6.1348395747627904E-2</v>
      </c>
      <c r="CG28" s="143">
        <f t="shared" ca="1" si="29"/>
        <v>-0.11951458040972929</v>
      </c>
      <c r="CH28" s="143">
        <f t="shared" ca="1" si="29"/>
        <v>5.9920896157010101E-3</v>
      </c>
      <c r="CI28" s="143">
        <f t="shared" ca="1" si="29"/>
        <v>0.49599124383656468</v>
      </c>
      <c r="CJ28" s="143">
        <f t="shared" ca="1" si="29"/>
        <v>0.15082169830825315</v>
      </c>
      <c r="CK28" s="143">
        <f t="shared" ca="1" si="29"/>
        <v>-6.6131233205796364E-2</v>
      </c>
      <c r="CL28" s="143">
        <f t="shared" ca="1" si="29"/>
        <v>0.38715476552401951</v>
      </c>
      <c r="CM28" s="143">
        <f t="shared" ca="1" si="29"/>
        <v>5.318192495567732E-2</v>
      </c>
      <c r="CN28" s="143">
        <f t="shared" ca="1" si="29"/>
        <v>0.14159772089092565</v>
      </c>
      <c r="CO28" s="143">
        <f t="shared" ca="1" si="29"/>
        <v>0.12488913739135614</v>
      </c>
      <c r="CP28" s="143">
        <f t="shared" ca="1" si="29"/>
        <v>0.300603579901289</v>
      </c>
      <c r="CQ28" s="143">
        <f t="shared" ca="1" si="29"/>
        <v>-7.2145402527088592E-2</v>
      </c>
      <c r="CR28" s="143">
        <f t="shared" ca="1" si="29"/>
        <v>0.17112680445402501</v>
      </c>
      <c r="CS28" s="143">
        <f t="shared" ca="1" si="29"/>
        <v>4.0927725889751243E-2</v>
      </c>
      <c r="CT28" s="143">
        <f t="shared" ca="1" si="29"/>
        <v>0.1684995095987899</v>
      </c>
      <c r="CU28" s="143">
        <f t="shared" ca="1" si="29"/>
        <v>0.19788924463231278</v>
      </c>
      <c r="CV28" s="143">
        <f t="shared" ca="1" si="29"/>
        <v>6.4590741085130424E-2</v>
      </c>
      <c r="CW28" s="143">
        <f t="shared" ca="1" si="29"/>
        <v>0.48565956908772123</v>
      </c>
      <c r="CX28" s="143">
        <f t="shared" ca="1" si="29"/>
        <v>0.32578231267283897</v>
      </c>
      <c r="CY28" s="143">
        <f t="shared" ca="1" si="29"/>
        <v>0.10811912183828908</v>
      </c>
      <c r="CZ28" s="143">
        <f t="shared" ca="1" si="29"/>
        <v>0.14841300044086861</v>
      </c>
      <c r="DA28" s="143">
        <f t="shared" ca="1" si="29"/>
        <v>-0.35161131278456481</v>
      </c>
      <c r="DB28" s="143">
        <f t="shared" ca="1" si="29"/>
        <v>0.31607640103876034</v>
      </c>
      <c r="DC28" s="143">
        <f t="shared" ca="1" si="29"/>
        <v>0.22795708458082412</v>
      </c>
      <c r="DD28" s="143">
        <f t="shared" ca="1" si="29"/>
        <v>4.9012634699892296E-2</v>
      </c>
      <c r="DE28" s="143">
        <f t="shared" ca="1" si="29"/>
        <v>0.44657568697326833</v>
      </c>
      <c r="DF28" s="143">
        <f t="shared" ca="1" si="29"/>
        <v>0.2404618584775664</v>
      </c>
      <c r="DG28" s="143">
        <f t="shared" ca="1" si="29"/>
        <v>-7.811782849022969E-2</v>
      </c>
      <c r="DH28" s="143">
        <f t="shared" ca="1" si="29"/>
        <v>0.13041129911922278</v>
      </c>
      <c r="DI28" s="143">
        <f t="shared" ca="1" si="29"/>
        <v>-0.15319063427361998</v>
      </c>
      <c r="DK28" s="115">
        <f t="shared" si="8"/>
        <v>77</v>
      </c>
      <c r="DL28" s="143">
        <f t="shared" ca="1" si="33"/>
        <v>-8.1879239691236921E-2</v>
      </c>
      <c r="DM28" s="143">
        <f t="shared" ca="1" si="34"/>
        <v>8.1683760873246636E-2</v>
      </c>
      <c r="DN28" s="143">
        <f t="shared" ca="1" si="34"/>
        <v>-0.11835442943776261</v>
      </c>
      <c r="DO28" s="143">
        <f t="shared" ca="1" si="34"/>
        <v>-7.9332560254839618E-3</v>
      </c>
      <c r="DP28" s="143">
        <f t="shared" ca="1" si="34"/>
        <v>9.1943684814283472E-2</v>
      </c>
      <c r="DQ28" s="143">
        <f t="shared" ca="1" si="34"/>
        <v>1.8710628874590865E-2</v>
      </c>
      <c r="DR28" s="143">
        <f t="shared" ca="1" si="34"/>
        <v>4.4564521295371674E-2</v>
      </c>
      <c r="DS28" s="143">
        <f t="shared" ca="1" si="34"/>
        <v>9.6905504815540805E-2</v>
      </c>
      <c r="DT28" s="143">
        <f t="shared" ca="1" si="34"/>
        <v>3.0142570919995667E-2</v>
      </c>
      <c r="DU28" s="143">
        <f t="shared" ca="1" si="34"/>
        <v>-3.399162263072051E-2</v>
      </c>
      <c r="DV28" s="143">
        <f t="shared" ca="1" si="34"/>
        <v>2.8733307256256505E-2</v>
      </c>
      <c r="DW28" s="143">
        <f t="shared" ca="1" si="34"/>
        <v>0.20059966626112505</v>
      </c>
      <c r="DX28" s="143">
        <f t="shared" ca="1" si="34"/>
        <v>5.7815325466450837E-2</v>
      </c>
      <c r="DY28" s="143">
        <f t="shared" ca="1" si="34"/>
        <v>7.7325819663782616E-2</v>
      </c>
      <c r="DZ28" s="143">
        <f t="shared" ca="1" si="34"/>
        <v>-2.4335188378390861E-2</v>
      </c>
      <c r="EA28" s="143">
        <f t="shared" ca="1" si="34"/>
        <v>0.12845378965130147</v>
      </c>
      <c r="EB28" s="143">
        <f t="shared" ca="1" si="34"/>
        <v>-5.6759193108203869E-2</v>
      </c>
      <c r="EC28" s="143">
        <f t="shared" ca="1" si="34"/>
        <v>8.5950213225092914E-3</v>
      </c>
      <c r="ED28" s="143">
        <f t="shared" ca="1" si="34"/>
        <v>4.1614463614689297E-2</v>
      </c>
      <c r="EE28" s="143">
        <f t="shared" ca="1" si="34"/>
        <v>2.9813369848416815E-2</v>
      </c>
      <c r="EF28" s="143">
        <f t="shared" ca="1" si="34"/>
        <v>4.6915134626232591E-2</v>
      </c>
      <c r="EG28" s="143">
        <f t="shared" ca="1" si="34"/>
        <v>6.9512509941174638E-2</v>
      </c>
      <c r="EH28" s="143">
        <f t="shared" ca="1" si="34"/>
        <v>4.562311703885906E-2</v>
      </c>
      <c r="EI28" s="143">
        <f t="shared" ca="1" si="34"/>
        <v>0.12541676945960589</v>
      </c>
      <c r="EJ28" s="143">
        <f t="shared" ca="1" si="34"/>
        <v>9.6145548942369152E-2</v>
      </c>
      <c r="EK28" s="143">
        <f t="shared" ca="1" si="34"/>
        <v>-0.11304181091784468</v>
      </c>
      <c r="EL28" s="143">
        <f t="shared" ca="1" si="34"/>
        <v>0.23384359907408966</v>
      </c>
      <c r="EM28" s="143">
        <f t="shared" ca="1" si="34"/>
        <v>4.1502952228935817E-2</v>
      </c>
      <c r="EN28" s="143">
        <f t="shared" ca="1" si="34"/>
        <v>3.0678295991428774E-2</v>
      </c>
      <c r="EO28" s="143">
        <f t="shared" ca="1" si="34"/>
        <v>9.1672668629355872E-2</v>
      </c>
      <c r="EP28" s="143">
        <f t="shared" ca="1" si="34"/>
        <v>-4.6894260267063025E-2</v>
      </c>
      <c r="EQ28" s="143">
        <f t="shared" ca="1" si="34"/>
        <v>-4.9817646605142964E-2</v>
      </c>
      <c r="ER28" s="143">
        <f t="shared" ca="1" si="34"/>
        <v>0.10460744843961803</v>
      </c>
      <c r="ES28" s="143">
        <f t="shared" ca="1" si="34"/>
        <v>6.9392063689186032E-2</v>
      </c>
      <c r="ET28" s="143">
        <f t="shared" ca="1" si="34"/>
        <v>0.17659558778975612</v>
      </c>
      <c r="EU28" s="143">
        <f t="shared" ca="1" si="34"/>
        <v>3.9816232014335193E-3</v>
      </c>
      <c r="EV28" s="143">
        <f t="shared" ca="1" si="34"/>
        <v>9.4760158306873565E-2</v>
      </c>
      <c r="EW28" s="143">
        <f t="shared" ca="1" si="34"/>
        <v>2.9541415303049271E-2</v>
      </c>
      <c r="EX28" s="143">
        <f t="shared" ca="1" si="34"/>
        <v>-1.7539671501427247E-2</v>
      </c>
      <c r="EY28" s="143">
        <f t="shared" ca="1" si="34"/>
        <v>0.11419839437854312</v>
      </c>
      <c r="EZ28" s="143">
        <f t="shared" ca="1" si="34"/>
        <v>-2.0642604139505229E-2</v>
      </c>
      <c r="FA28" s="143">
        <f t="shared" ca="1" si="34"/>
        <v>2.1127786813320251E-2</v>
      </c>
      <c r="FB28" s="143">
        <f t="shared" ca="1" si="34"/>
        <v>0.11661131611338607</v>
      </c>
      <c r="FC28" s="143">
        <f t="shared" ca="1" si="34"/>
        <v>6.6581716355056622E-2</v>
      </c>
      <c r="FD28" s="143">
        <f t="shared" ca="1" si="34"/>
        <v>6.3337791205866856E-2</v>
      </c>
      <c r="FE28" s="143">
        <f t="shared" ca="1" si="34"/>
        <v>-5.3204588902750795E-2</v>
      </c>
      <c r="FF28" s="143">
        <f t="shared" ca="1" si="34"/>
        <v>7.5171322215951547E-2</v>
      </c>
      <c r="FG28" s="143">
        <f t="shared" ca="1" si="34"/>
        <v>9.1634385411774433E-2</v>
      </c>
      <c r="FH28" s="143">
        <f t="shared" ca="1" si="34"/>
        <v>0.12309547699070725</v>
      </c>
      <c r="FI28" s="143">
        <f t="shared" ca="1" si="34"/>
        <v>1.7609453280202792E-2</v>
      </c>
      <c r="FJ28" s="143">
        <f t="shared" ca="1" si="34"/>
        <v>0.14761339716145869</v>
      </c>
      <c r="FK28" s="143">
        <f t="shared" ca="1" si="34"/>
        <v>0.10132820640621842</v>
      </c>
      <c r="FL28" s="143">
        <f t="shared" ca="1" si="34"/>
        <v>0.14324400887212588</v>
      </c>
      <c r="FM28" s="143">
        <f t="shared" ca="1" si="34"/>
        <v>7.4156711754136143E-2</v>
      </c>
      <c r="FN28" s="143">
        <f t="shared" ca="1" si="34"/>
        <v>4.1227380387863936E-2</v>
      </c>
      <c r="FO28" s="143">
        <f t="shared" ca="1" si="34"/>
        <v>6.424814066050237E-2</v>
      </c>
      <c r="FP28" s="143">
        <f t="shared" ca="1" si="34"/>
        <v>9.9011803526739495E-2</v>
      </c>
      <c r="FQ28" s="143">
        <f t="shared" ca="1" si="34"/>
        <v>0.17379912226260283</v>
      </c>
      <c r="FR28" s="143">
        <f t="shared" ca="1" si="34"/>
        <v>0.12576163824024539</v>
      </c>
      <c r="FS28" s="143">
        <f t="shared" ca="1" si="34"/>
        <v>5.9404820593959122E-2</v>
      </c>
      <c r="FT28" s="143">
        <f t="shared" ca="1" si="34"/>
        <v>9.2799020278926336E-2</v>
      </c>
      <c r="FU28" s="143">
        <f t="shared" ca="1" si="34"/>
        <v>0.11917917321908186</v>
      </c>
      <c r="FV28" s="143">
        <f t="shared" ca="1" si="34"/>
        <v>3.2495922109071172E-2</v>
      </c>
      <c r="FW28" s="143">
        <f t="shared" ca="1" si="34"/>
        <v>-1.5953441635406934E-3</v>
      </c>
      <c r="FX28" s="143">
        <f t="shared" ca="1" si="34"/>
        <v>0.15015053869668887</v>
      </c>
      <c r="FY28" s="143">
        <f t="shared" ca="1" si="30"/>
        <v>-1.1130791937994725E-2</v>
      </c>
      <c r="FZ28" s="143">
        <f t="shared" ca="1" si="30"/>
        <v>-3.7341502839365166E-2</v>
      </c>
      <c r="GA28" s="143">
        <f t="shared" ca="1" si="30"/>
        <v>-5.5168194639814726E-2</v>
      </c>
      <c r="GB28" s="143">
        <f t="shared" ca="1" si="30"/>
        <v>0.10447037239838594</v>
      </c>
      <c r="GC28" s="143">
        <f t="shared" ca="1" si="30"/>
        <v>-2.876680572200252E-5</v>
      </c>
      <c r="GD28" s="143">
        <f t="shared" ca="1" si="30"/>
        <v>-3.3920337519572491E-3</v>
      </c>
      <c r="GE28" s="143">
        <f t="shared" ca="1" si="30"/>
        <v>6.7040716781521542E-2</v>
      </c>
      <c r="GF28" s="143">
        <f t="shared" ca="1" si="30"/>
        <v>1.8104028257892511E-2</v>
      </c>
      <c r="GG28" s="143">
        <f t="shared" ca="1" si="30"/>
        <v>-2.9844092704793067E-2</v>
      </c>
      <c r="GH28" s="143">
        <f t="shared" ca="1" si="30"/>
        <v>0.2234265730029808</v>
      </c>
      <c r="GI28" s="143">
        <f t="shared" ca="1" si="30"/>
        <v>0.13452093014995339</v>
      </c>
      <c r="GJ28" s="143">
        <f t="shared" ca="1" si="30"/>
        <v>6.8622341165339301E-3</v>
      </c>
      <c r="GK28" s="143">
        <f t="shared" ca="1" si="30"/>
        <v>4.1525370239826033E-2</v>
      </c>
      <c r="GL28" s="143">
        <f t="shared" ca="1" si="30"/>
        <v>-5.4371293348701936E-2</v>
      </c>
      <c r="GM28" s="143">
        <f t="shared" ca="1" si="30"/>
        <v>9.056358428239189E-2</v>
      </c>
      <c r="GN28" s="143">
        <f t="shared" ca="1" si="30"/>
        <v>0.1924552409310826</v>
      </c>
      <c r="GO28" s="143">
        <f t="shared" ca="1" si="30"/>
        <v>6.7053007169045817E-2</v>
      </c>
      <c r="GP28" s="143">
        <f t="shared" ca="1" si="30"/>
        <v>-3.8869500192413024E-2</v>
      </c>
      <c r="GQ28" s="143">
        <f t="shared" ca="1" si="30"/>
        <v>-4.1248037235441785E-2</v>
      </c>
      <c r="GR28" s="143">
        <f t="shared" ca="1" si="30"/>
        <v>2.2325460807871733E-2</v>
      </c>
      <c r="GS28" s="143">
        <f t="shared" ca="1" si="30"/>
        <v>0.16697306996882705</v>
      </c>
      <c r="GT28" s="143">
        <f t="shared" ca="1" si="30"/>
        <v>-8.4802171089960493E-2</v>
      </c>
      <c r="GU28" s="143">
        <f t="shared" ca="1" si="30"/>
        <v>0.17744406298768356</v>
      </c>
      <c r="GV28" s="143">
        <f t="shared" ca="1" si="30"/>
        <v>6.6322003604735641E-2</v>
      </c>
      <c r="GW28" s="143">
        <f t="shared" ca="1" si="30"/>
        <v>1.0105754932893514E-2</v>
      </c>
      <c r="GX28" s="143">
        <f t="shared" ca="1" si="30"/>
        <v>-8.248451096581226E-3</v>
      </c>
      <c r="GY28" s="143">
        <f t="shared" ca="1" si="30"/>
        <v>-5.9348128532914698E-3</v>
      </c>
      <c r="GZ28" s="143">
        <f t="shared" ca="1" si="30"/>
        <v>4.5319986601859021E-2</v>
      </c>
      <c r="HA28" s="143">
        <f t="shared" ca="1" si="30"/>
        <v>0.18321773018013446</v>
      </c>
      <c r="HB28" s="143">
        <f t="shared" ca="1" si="30"/>
        <v>0.14829366066819669</v>
      </c>
      <c r="HC28" s="143">
        <f t="shared" ca="1" si="30"/>
        <v>0.16556857621831994</v>
      </c>
      <c r="HD28" s="143">
        <f t="shared" ca="1" si="30"/>
        <v>0.10166035587055039</v>
      </c>
      <c r="HE28" s="143">
        <f t="shared" ca="1" si="30"/>
        <v>0.18365077764131049</v>
      </c>
      <c r="HF28" s="143">
        <f t="shared" ca="1" si="30"/>
        <v>0.21055338017581873</v>
      </c>
      <c r="HG28" s="143">
        <f t="shared" ca="1" si="30"/>
        <v>0.14826217642419925</v>
      </c>
    </row>
    <row r="29" spans="1:215">
      <c r="A29" s="90">
        <v>1955</v>
      </c>
      <c r="B29" s="84">
        <v>0.32597331851028349</v>
      </c>
      <c r="C29" s="85">
        <v>0.27089999999999997</v>
      </c>
      <c r="D29" s="83">
        <f t="shared" si="4"/>
        <v>0.31495865480822682</v>
      </c>
      <c r="E29" s="85"/>
      <c r="F29" s="85"/>
      <c r="G29" s="85">
        <v>1.7243426294820716E-2</v>
      </c>
      <c r="H29" s="85">
        <v>-1.3364391288618781E-2</v>
      </c>
      <c r="I29" s="85">
        <v>2.044690004344954E-2</v>
      </c>
      <c r="J29" s="85">
        <v>-2.8538812785383616E-4</v>
      </c>
      <c r="M29" s="115">
        <f t="shared" si="7"/>
        <v>78</v>
      </c>
      <c r="N29" s="143">
        <f t="shared" ca="1" si="31"/>
        <v>0.41747479554368327</v>
      </c>
      <c r="O29" s="143">
        <f t="shared" ca="1" si="32"/>
        <v>-0.14168645950651587</v>
      </c>
      <c r="P29" s="143">
        <f t="shared" ca="1" si="32"/>
        <v>-0.13817500204354408</v>
      </c>
      <c r="Q29" s="143">
        <f t="shared" ca="1" si="32"/>
        <v>0.20798373281859894</v>
      </c>
      <c r="R29" s="143">
        <f t="shared" ca="1" si="32"/>
        <v>0.38867572120382898</v>
      </c>
      <c r="S29" s="143">
        <f t="shared" ca="1" si="32"/>
        <v>6.7258889317567239E-2</v>
      </c>
      <c r="T29" s="143">
        <f t="shared" ca="1" si="32"/>
        <v>9.9143564674042756E-2</v>
      </c>
      <c r="U29" s="143">
        <f t="shared" ca="1" si="32"/>
        <v>-2.5971916230140016E-2</v>
      </c>
      <c r="V29" s="143">
        <f t="shared" ca="1" si="32"/>
        <v>0.29272185574051779</v>
      </c>
      <c r="W29" s="143">
        <f t="shared" ca="1" si="32"/>
        <v>0.24662014086555142</v>
      </c>
      <c r="X29" s="143">
        <f t="shared" ca="1" si="32"/>
        <v>-5.2254782985096865E-2</v>
      </c>
      <c r="Y29" s="143">
        <f t="shared" ca="1" si="32"/>
        <v>-5.0345393342287881E-2</v>
      </c>
      <c r="Z29" s="143">
        <f t="shared" ca="1" si="32"/>
        <v>-5.8013114945200256E-2</v>
      </c>
      <c r="AA29" s="143">
        <f t="shared" ca="1" si="32"/>
        <v>-3.1635293988593854E-2</v>
      </c>
      <c r="AB29" s="143">
        <f t="shared" ca="1" si="32"/>
        <v>2.4169372041871653E-2</v>
      </c>
      <c r="AC29" s="143">
        <f t="shared" ca="1" si="32"/>
        <v>0.39036376475157908</v>
      </c>
      <c r="AD29" s="143">
        <f t="shared" ca="1" si="32"/>
        <v>0.25313690785236387</v>
      </c>
      <c r="AE29" s="143">
        <f t="shared" ca="1" si="32"/>
        <v>2.8912780187246731E-2</v>
      </c>
      <c r="AF29" s="143">
        <f t="shared" ca="1" si="32"/>
        <v>0.31909556808048478</v>
      </c>
      <c r="AG29" s="143">
        <f t="shared" ca="1" si="32"/>
        <v>7.9583736171797606E-2</v>
      </c>
      <c r="AH29" s="143">
        <f t="shared" ca="1" si="32"/>
        <v>0.31418688977679787</v>
      </c>
      <c r="AI29" s="143">
        <f t="shared" ca="1" si="32"/>
        <v>0.52818734963200631</v>
      </c>
      <c r="AJ29" s="143">
        <f t="shared" ca="1" si="32"/>
        <v>0.35241465501432889</v>
      </c>
      <c r="AK29" s="143">
        <f t="shared" ca="1" si="32"/>
        <v>1.5855847006609761E-2</v>
      </c>
      <c r="AL29" s="143">
        <f t="shared" ca="1" si="32"/>
        <v>0.12576661055383198</v>
      </c>
      <c r="AM29" s="143">
        <f t="shared" ca="1" si="32"/>
        <v>-0.14799517738485959</v>
      </c>
      <c r="AN29" s="143">
        <f t="shared" ca="1" si="32"/>
        <v>-7.1962287540162317E-2</v>
      </c>
      <c r="AO29" s="143">
        <f t="shared" ca="1" si="32"/>
        <v>5.6068307044384466E-2</v>
      </c>
      <c r="AP29" s="143">
        <f t="shared" ca="1" si="32"/>
        <v>0.19686392016923304</v>
      </c>
      <c r="AQ29" s="143">
        <f t="shared" ca="1" si="32"/>
        <v>0.41654939905466082</v>
      </c>
      <c r="AR29" s="143">
        <f t="shared" ca="1" si="32"/>
        <v>0.24920604481337538</v>
      </c>
      <c r="AS29" s="143">
        <f t="shared" ca="1" si="32"/>
        <v>2.5029044875866699E-2</v>
      </c>
      <c r="AT29" s="143">
        <f t="shared" ca="1" si="32"/>
        <v>0.17192202889743774</v>
      </c>
      <c r="AU29" s="143">
        <f t="shared" ca="1" si="32"/>
        <v>0.49384197119612239</v>
      </c>
      <c r="AV29" s="143">
        <f t="shared" ca="1" si="32"/>
        <v>-0.11614143863287918</v>
      </c>
      <c r="AW29" s="143">
        <f t="shared" ca="1" si="32"/>
        <v>0.52290922354675651</v>
      </c>
      <c r="AX29" s="143">
        <f t="shared" ca="1" si="32"/>
        <v>1.1298324961030226E-2</v>
      </c>
      <c r="AY29" s="143">
        <f t="shared" ca="1" si="32"/>
        <v>-5.6794000142230905E-2</v>
      </c>
      <c r="AZ29" s="143">
        <f t="shared" ca="1" si="32"/>
        <v>0.43429065099772568</v>
      </c>
      <c r="BA29" s="143">
        <f t="shared" ca="1" si="32"/>
        <v>3.9685647278970677E-2</v>
      </c>
      <c r="BB29" s="143">
        <f t="shared" ca="1" si="32"/>
        <v>-0.19337832068968433</v>
      </c>
      <c r="BC29" s="143">
        <f t="shared" ca="1" si="32"/>
        <v>0.35318839128605262</v>
      </c>
      <c r="BD29" s="143">
        <f t="shared" ca="1" si="32"/>
        <v>0.10739048396687564</v>
      </c>
      <c r="BE29" s="143">
        <f t="shared" ca="1" si="32"/>
        <v>-8.2736697870038844E-2</v>
      </c>
      <c r="BF29" s="143">
        <f t="shared" ca="1" si="32"/>
        <v>0.27418221532154707</v>
      </c>
      <c r="BG29" s="143">
        <f t="shared" ca="1" si="32"/>
        <v>3.3663834403982004E-2</v>
      </c>
      <c r="BH29" s="143">
        <f t="shared" ca="1" si="32"/>
        <v>-0.16867274964567322</v>
      </c>
      <c r="BI29" s="143">
        <f t="shared" ca="1" si="32"/>
        <v>0.25354177515147114</v>
      </c>
      <c r="BJ29" s="143">
        <f t="shared" ca="1" si="32"/>
        <v>-0.1652069398963755</v>
      </c>
      <c r="BK29" s="143">
        <f t="shared" ca="1" si="32"/>
        <v>0.15790122420650399</v>
      </c>
      <c r="BL29" s="143">
        <f t="shared" ca="1" si="32"/>
        <v>0.257553765684706</v>
      </c>
      <c r="BM29" s="143">
        <f t="shared" ca="1" si="32"/>
        <v>0.10987628117094911</v>
      </c>
      <c r="BN29" s="143">
        <f t="shared" ca="1" si="32"/>
        <v>-3.428235785988154E-2</v>
      </c>
      <c r="BO29" s="143">
        <f t="shared" ca="1" si="32"/>
        <v>0.11616223941249654</v>
      </c>
      <c r="BP29" s="143">
        <f t="shared" ca="1" si="32"/>
        <v>0.6426702698572283</v>
      </c>
      <c r="BQ29" s="143">
        <f t="shared" ca="1" si="32"/>
        <v>0.38813751713038913</v>
      </c>
      <c r="BR29" s="143">
        <f t="shared" ca="1" si="32"/>
        <v>0.25698434971964967</v>
      </c>
      <c r="BS29" s="143">
        <f t="shared" ca="1" si="32"/>
        <v>0.34799028751923622</v>
      </c>
      <c r="BT29" s="143">
        <f t="shared" ca="1" si="32"/>
        <v>5.013872758028648E-2</v>
      </c>
      <c r="BU29" s="143">
        <f t="shared" ca="1" si="32"/>
        <v>4.5444186513113084E-2</v>
      </c>
      <c r="BV29" s="143">
        <f t="shared" ca="1" si="32"/>
        <v>9.0162643198788167E-2</v>
      </c>
      <c r="BW29" s="143">
        <f t="shared" ca="1" si="32"/>
        <v>0.20408413218959948</v>
      </c>
      <c r="BX29" s="143">
        <f t="shared" ca="1" si="32"/>
        <v>-2.6305179164894221E-2</v>
      </c>
      <c r="BY29" s="143">
        <f t="shared" ca="1" si="32"/>
        <v>9.541307981313045E-2</v>
      </c>
      <c r="BZ29" s="143">
        <f t="shared" ref="BZ29:DI32" ca="1" si="35">_xlfn.NORM.INV(RAND(),$B$112,$B$113)</f>
        <v>0.18849938771094804</v>
      </c>
      <c r="CA29" s="143">
        <f t="shared" ca="1" si="35"/>
        <v>-1.9101465025562508E-2</v>
      </c>
      <c r="CB29" s="143">
        <f t="shared" ca="1" si="35"/>
        <v>4.9298827792623054E-2</v>
      </c>
      <c r="CC29" s="143">
        <f t="shared" ca="1" si="35"/>
        <v>9.4697109084924042E-2</v>
      </c>
      <c r="CD29" s="143">
        <f t="shared" ca="1" si="35"/>
        <v>-0.10756266035898451</v>
      </c>
      <c r="CE29" s="143">
        <f t="shared" ca="1" si="35"/>
        <v>1.7183951675948633E-2</v>
      </c>
      <c r="CF29" s="143">
        <f t="shared" ca="1" si="35"/>
        <v>6.3290427023397475E-2</v>
      </c>
      <c r="CG29" s="143">
        <f t="shared" ca="1" si="35"/>
        <v>-0.12223369215609661</v>
      </c>
      <c r="CH29" s="143">
        <f t="shared" ca="1" si="35"/>
        <v>-0.14870762402720439</v>
      </c>
      <c r="CI29" s="143">
        <f t="shared" ca="1" si="35"/>
        <v>0.29666930657301349</v>
      </c>
      <c r="CJ29" s="143">
        <f t="shared" ca="1" si="35"/>
        <v>0.13778733852821623</v>
      </c>
      <c r="CK29" s="143">
        <f t="shared" ca="1" si="35"/>
        <v>-0.10991371127983129</v>
      </c>
      <c r="CL29" s="143">
        <f t="shared" ca="1" si="35"/>
        <v>-0.25403738993280978</v>
      </c>
      <c r="CM29" s="143">
        <f t="shared" ca="1" si="35"/>
        <v>0.31085648765145624</v>
      </c>
      <c r="CN29" s="143">
        <f t="shared" ca="1" si="35"/>
        <v>0.10473932089905995</v>
      </c>
      <c r="CO29" s="143">
        <f t="shared" ca="1" si="35"/>
        <v>6.6935847165039974E-3</v>
      </c>
      <c r="CP29" s="143">
        <f t="shared" ca="1" si="35"/>
        <v>0.2008741543120357</v>
      </c>
      <c r="CQ29" s="143">
        <f t="shared" ca="1" si="35"/>
        <v>0.25494083643065091</v>
      </c>
      <c r="CR29" s="143">
        <f t="shared" ca="1" si="35"/>
        <v>0.13472708390095053</v>
      </c>
      <c r="CS29" s="143">
        <f t="shared" ca="1" si="35"/>
        <v>-0.26499094226569919</v>
      </c>
      <c r="CT29" s="143">
        <f t="shared" ca="1" si="35"/>
        <v>0.39976643055722971</v>
      </c>
      <c r="CU29" s="143">
        <f t="shared" ca="1" si="35"/>
        <v>0.16884459621709225</v>
      </c>
      <c r="CV29" s="143">
        <f t="shared" ca="1" si="35"/>
        <v>0.10083974947748935</v>
      </c>
      <c r="CW29" s="143">
        <f t="shared" ca="1" si="35"/>
        <v>0.40690806129874002</v>
      </c>
      <c r="CX29" s="143">
        <f t="shared" ca="1" si="35"/>
        <v>-9.4988924484172343E-2</v>
      </c>
      <c r="CY29" s="143">
        <f t="shared" ca="1" si="35"/>
        <v>-5.6539454176613491E-2</v>
      </c>
      <c r="CZ29" s="143">
        <f t="shared" ca="1" si="35"/>
        <v>-6.8284273193819744E-2</v>
      </c>
      <c r="DA29" s="143">
        <f t="shared" ca="1" si="35"/>
        <v>7.8433099045775001E-2</v>
      </c>
      <c r="DB29" s="143">
        <f t="shared" ca="1" si="35"/>
        <v>0.26873675482167014</v>
      </c>
      <c r="DC29" s="143">
        <f t="shared" ca="1" si="35"/>
        <v>0.18721115412261247</v>
      </c>
      <c r="DD29" s="143">
        <f t="shared" ca="1" si="35"/>
        <v>2.3342499226438662E-2</v>
      </c>
      <c r="DE29" s="143">
        <f t="shared" ca="1" si="35"/>
        <v>0.53804067820715729</v>
      </c>
      <c r="DF29" s="143">
        <f t="shared" ca="1" si="35"/>
        <v>0.18039440566169385</v>
      </c>
      <c r="DG29" s="143">
        <f t="shared" ca="1" si="35"/>
        <v>0.18915537461974952</v>
      </c>
      <c r="DH29" s="143">
        <f t="shared" ca="1" si="35"/>
        <v>0.29168619975512838</v>
      </c>
      <c r="DI29" s="143">
        <f t="shared" ca="1" si="35"/>
        <v>-0.21812099316609676</v>
      </c>
      <c r="DK29" s="115">
        <f t="shared" si="8"/>
        <v>78</v>
      </c>
      <c r="DL29" s="143">
        <f t="shared" ca="1" si="33"/>
        <v>7.8587235115864462E-2</v>
      </c>
      <c r="DM29" s="143">
        <f t="shared" ca="1" si="34"/>
        <v>4.6084363594242519E-2</v>
      </c>
      <c r="DN29" s="143">
        <f t="shared" ca="1" si="34"/>
        <v>5.4442343542105934E-2</v>
      </c>
      <c r="DO29" s="143">
        <f t="shared" ca="1" si="34"/>
        <v>3.572736979253454E-2</v>
      </c>
      <c r="DP29" s="143">
        <f t="shared" ca="1" si="34"/>
        <v>6.6724770703118594E-2</v>
      </c>
      <c r="DQ29" s="143">
        <f t="shared" ca="1" si="34"/>
        <v>-2.2229202233478011E-2</v>
      </c>
      <c r="DR29" s="143">
        <f t="shared" ca="1" si="34"/>
        <v>4.3556323463806015E-2</v>
      </c>
      <c r="DS29" s="143">
        <f t="shared" ca="1" si="34"/>
        <v>8.3519160626277039E-2</v>
      </c>
      <c r="DT29" s="143">
        <f t="shared" ca="1" si="34"/>
        <v>-1.3419620294058632E-2</v>
      </c>
      <c r="DU29" s="143">
        <f t="shared" ca="1" si="34"/>
        <v>-0.1005203803128206</v>
      </c>
      <c r="DV29" s="143">
        <f t="shared" ca="1" si="34"/>
        <v>-2.5038445499375152E-2</v>
      </c>
      <c r="DW29" s="143">
        <f t="shared" ca="1" si="34"/>
        <v>8.7300730769241663E-3</v>
      </c>
      <c r="DX29" s="143">
        <f t="shared" ca="1" si="34"/>
        <v>-3.6680168206721514E-3</v>
      </c>
      <c r="DY29" s="143">
        <f t="shared" ca="1" si="34"/>
        <v>-8.7222233548022443E-3</v>
      </c>
      <c r="DZ29" s="143">
        <f t="shared" ca="1" si="34"/>
        <v>8.6988373210918873E-2</v>
      </c>
      <c r="EA29" s="143">
        <f t="shared" ca="1" si="34"/>
        <v>4.0023964115758065E-2</v>
      </c>
      <c r="EB29" s="143">
        <f t="shared" ca="1" si="34"/>
        <v>6.3490511423060322E-2</v>
      </c>
      <c r="EC29" s="143">
        <f t="shared" ca="1" si="34"/>
        <v>1.0174178126432266E-2</v>
      </c>
      <c r="ED29" s="143">
        <f t="shared" ca="1" si="34"/>
        <v>3.4818365661176721E-2</v>
      </c>
      <c r="EE29" s="143">
        <f t="shared" ca="1" si="34"/>
        <v>6.6264004638557111E-2</v>
      </c>
      <c r="EF29" s="143">
        <f t="shared" ca="1" si="34"/>
        <v>-9.8178387060022743E-2</v>
      </c>
      <c r="EG29" s="143">
        <f t="shared" ca="1" si="34"/>
        <v>5.6610363900661036E-2</v>
      </c>
      <c r="EH29" s="143">
        <f t="shared" ca="1" si="34"/>
        <v>0.14614890933857067</v>
      </c>
      <c r="EI29" s="143">
        <f t="shared" ca="1" si="34"/>
        <v>5.3180992938852881E-2</v>
      </c>
      <c r="EJ29" s="143">
        <f t="shared" ca="1" si="34"/>
        <v>0.1709475701301976</v>
      </c>
      <c r="EK29" s="143">
        <f t="shared" ca="1" si="34"/>
        <v>0.10339590225483339</v>
      </c>
      <c r="EL29" s="143">
        <f t="shared" ca="1" si="34"/>
        <v>-1.0059156701765729E-2</v>
      </c>
      <c r="EM29" s="143">
        <f t="shared" ca="1" si="34"/>
        <v>8.4749753823831833E-3</v>
      </c>
      <c r="EN29" s="143">
        <f t="shared" ca="1" si="34"/>
        <v>-2.7606202341133125E-2</v>
      </c>
      <c r="EO29" s="143">
        <f t="shared" ca="1" si="34"/>
        <v>6.2015436627951503E-2</v>
      </c>
      <c r="EP29" s="143">
        <f t="shared" ca="1" si="34"/>
        <v>4.1927937902180121E-2</v>
      </c>
      <c r="EQ29" s="143">
        <f t="shared" ca="1" si="34"/>
        <v>0.14642879073653625</v>
      </c>
      <c r="ER29" s="143">
        <f t="shared" ca="1" si="34"/>
        <v>-2.4884847762965644E-2</v>
      </c>
      <c r="ES29" s="143">
        <f t="shared" ca="1" si="34"/>
        <v>5.6509643624606705E-2</v>
      </c>
      <c r="ET29" s="143">
        <f t="shared" ca="1" si="34"/>
        <v>-7.1918871994496286E-2</v>
      </c>
      <c r="EU29" s="143">
        <f t="shared" ca="1" si="34"/>
        <v>9.2021083674728055E-2</v>
      </c>
      <c r="EV29" s="143">
        <f t="shared" ca="1" si="34"/>
        <v>5.7156316915010899E-2</v>
      </c>
      <c r="EW29" s="143">
        <f t="shared" ca="1" si="34"/>
        <v>1.3380909088918251E-2</v>
      </c>
      <c r="EX29" s="143">
        <f t="shared" ca="1" si="34"/>
        <v>2.7332530119527517E-2</v>
      </c>
      <c r="EY29" s="143">
        <f t="shared" ca="1" si="34"/>
        <v>-9.8108690158047324E-3</v>
      </c>
      <c r="EZ29" s="143">
        <f t="shared" ca="1" si="34"/>
        <v>4.6770936220052531E-3</v>
      </c>
      <c r="FA29" s="143">
        <f t="shared" ca="1" si="34"/>
        <v>3.6179868717193184E-2</v>
      </c>
      <c r="FB29" s="143">
        <f t="shared" ca="1" si="34"/>
        <v>8.1103982670081981E-2</v>
      </c>
      <c r="FC29" s="143">
        <f t="shared" ca="1" si="34"/>
        <v>0.12521588716919091</v>
      </c>
      <c r="FD29" s="143">
        <f t="shared" ca="1" si="34"/>
        <v>-2.6536895420460373E-2</v>
      </c>
      <c r="FE29" s="143">
        <f t="shared" ca="1" si="34"/>
        <v>0.13555584756550193</v>
      </c>
      <c r="FF29" s="143">
        <f t="shared" ca="1" si="34"/>
        <v>0.26452782348589571</v>
      </c>
      <c r="FG29" s="143">
        <f t="shared" ca="1" si="34"/>
        <v>0.10447205500659965</v>
      </c>
      <c r="FH29" s="143">
        <f t="shared" ca="1" si="34"/>
        <v>-5.6370327888849367E-3</v>
      </c>
      <c r="FI29" s="143">
        <f t="shared" ca="1" si="34"/>
        <v>0.12172356422654551</v>
      </c>
      <c r="FJ29" s="143">
        <f t="shared" ca="1" si="34"/>
        <v>0.23418600990963548</v>
      </c>
      <c r="FK29" s="143">
        <f t="shared" ca="1" si="34"/>
        <v>-4.7712759624061442E-2</v>
      </c>
      <c r="FL29" s="143">
        <f t="shared" ca="1" si="34"/>
        <v>-5.0594427004932392E-2</v>
      </c>
      <c r="FM29" s="143">
        <f t="shared" ca="1" si="34"/>
        <v>-3.2150074502892374E-2</v>
      </c>
      <c r="FN29" s="143">
        <f t="shared" ca="1" si="34"/>
        <v>0.12098972089951121</v>
      </c>
      <c r="FO29" s="143">
        <f t="shared" ca="1" si="34"/>
        <v>3.485658685684459E-2</v>
      </c>
      <c r="FP29" s="143">
        <f t="shared" ca="1" si="34"/>
        <v>8.7628592339528341E-3</v>
      </c>
      <c r="FQ29" s="143">
        <f t="shared" ca="1" si="34"/>
        <v>0.14534879274866166</v>
      </c>
      <c r="FR29" s="143">
        <f t="shared" ca="1" si="34"/>
        <v>-4.800086149449808E-2</v>
      </c>
      <c r="FS29" s="143">
        <f t="shared" ca="1" si="34"/>
        <v>6.9042318600730831E-2</v>
      </c>
      <c r="FT29" s="143">
        <f t="shared" ca="1" si="34"/>
        <v>-1.5360185839908204E-2</v>
      </c>
      <c r="FU29" s="143">
        <f t="shared" ca="1" si="34"/>
        <v>0.27284421995848024</v>
      </c>
      <c r="FV29" s="143">
        <f t="shared" ca="1" si="34"/>
        <v>0.14705334289612015</v>
      </c>
      <c r="FW29" s="143">
        <f t="shared" ca="1" si="34"/>
        <v>0.1133045685759084</v>
      </c>
      <c r="FX29" s="143">
        <f t="shared" ref="FX29:HG32" ca="1" si="36">_xlfn.NORM.INV(RAND(),$B$116,$B$117)</f>
        <v>0.18643867256232785</v>
      </c>
      <c r="FY29" s="143">
        <f t="shared" ca="1" si="36"/>
        <v>2.3691485834535047E-2</v>
      </c>
      <c r="FZ29" s="143">
        <f t="shared" ca="1" si="36"/>
        <v>0.15859409584680023</v>
      </c>
      <c r="GA29" s="143">
        <f t="shared" ca="1" si="36"/>
        <v>2.3370341282503843E-2</v>
      </c>
      <c r="GB29" s="143">
        <f t="shared" ca="1" si="36"/>
        <v>-4.065183929887712E-2</v>
      </c>
      <c r="GC29" s="143">
        <f t="shared" ca="1" si="36"/>
        <v>5.6113299413506464E-2</v>
      </c>
      <c r="GD29" s="143">
        <f t="shared" ca="1" si="36"/>
        <v>9.6230370065772189E-2</v>
      </c>
      <c r="GE29" s="143">
        <f t="shared" ca="1" si="36"/>
        <v>4.0733463280572139E-2</v>
      </c>
      <c r="GF29" s="143">
        <f t="shared" ca="1" si="36"/>
        <v>5.7643049812795229E-2</v>
      </c>
      <c r="GG29" s="143">
        <f t="shared" ca="1" si="36"/>
        <v>3.2787451501933421E-2</v>
      </c>
      <c r="GH29" s="143">
        <f t="shared" ca="1" si="36"/>
        <v>-2.3682954268357474E-2</v>
      </c>
      <c r="GI29" s="143">
        <f t="shared" ca="1" si="36"/>
        <v>0.17942574688957</v>
      </c>
      <c r="GJ29" s="143">
        <f t="shared" ca="1" si="36"/>
        <v>0.12772948412905902</v>
      </c>
      <c r="GK29" s="143">
        <f t="shared" ca="1" si="36"/>
        <v>0.21309293948227187</v>
      </c>
      <c r="GL29" s="143">
        <f t="shared" ca="1" si="36"/>
        <v>7.2595196833040582E-2</v>
      </c>
      <c r="GM29" s="143">
        <f t="shared" ca="1" si="36"/>
        <v>1.1637856235775672E-2</v>
      </c>
      <c r="GN29" s="143">
        <f t="shared" ca="1" si="36"/>
        <v>0.11914580411473738</v>
      </c>
      <c r="GO29" s="143">
        <f t="shared" ca="1" si="36"/>
        <v>9.2093751120432762E-2</v>
      </c>
      <c r="GP29" s="143">
        <f t="shared" ca="1" si="36"/>
        <v>-1.9392447345230525E-2</v>
      </c>
      <c r="GQ29" s="143">
        <f t="shared" ca="1" si="36"/>
        <v>5.5053496453862504E-2</v>
      </c>
      <c r="GR29" s="143">
        <f t="shared" ca="1" si="36"/>
        <v>-4.2613647156613053E-2</v>
      </c>
      <c r="GS29" s="143">
        <f t="shared" ca="1" si="36"/>
        <v>0.19151818790497302</v>
      </c>
      <c r="GT29" s="143">
        <f t="shared" ca="1" si="36"/>
        <v>1.3297538834848292E-2</v>
      </c>
      <c r="GU29" s="143">
        <f t="shared" ca="1" si="36"/>
        <v>0.16593558069333544</v>
      </c>
      <c r="GV29" s="143">
        <f t="shared" ca="1" si="36"/>
        <v>0.10470408926566468</v>
      </c>
      <c r="GW29" s="143">
        <f t="shared" ca="1" si="36"/>
        <v>1.1182419903651618E-2</v>
      </c>
      <c r="GX29" s="143">
        <f t="shared" ca="1" si="36"/>
        <v>3.8283534805798672E-2</v>
      </c>
      <c r="GY29" s="143">
        <f t="shared" ca="1" si="36"/>
        <v>0.18457728422132769</v>
      </c>
      <c r="GZ29" s="143">
        <f t="shared" ca="1" si="36"/>
        <v>8.2281048861005845E-2</v>
      </c>
      <c r="HA29" s="143">
        <f t="shared" ca="1" si="36"/>
        <v>4.8812361467883841E-2</v>
      </c>
      <c r="HB29" s="143">
        <f t="shared" ca="1" si="36"/>
        <v>9.5748457852407681E-2</v>
      </c>
      <c r="HC29" s="143">
        <f t="shared" ca="1" si="36"/>
        <v>0.13329002272419935</v>
      </c>
      <c r="HD29" s="143">
        <f t="shared" ca="1" si="36"/>
        <v>-4.334048573988767E-2</v>
      </c>
      <c r="HE29" s="143">
        <f t="shared" ca="1" si="36"/>
        <v>9.1075978619209241E-2</v>
      </c>
      <c r="HF29" s="143">
        <f t="shared" ca="1" si="36"/>
        <v>0.10156267017220053</v>
      </c>
      <c r="HG29" s="143">
        <f t="shared" ca="1" si="36"/>
        <v>5.6264433890318502E-2</v>
      </c>
    </row>
    <row r="30" spans="1:215">
      <c r="A30" s="90">
        <v>1956</v>
      </c>
      <c r="B30" s="84">
        <v>7.4395118733509347E-2</v>
      </c>
      <c r="C30" s="85">
        <v>-9.8999999999999991E-3</v>
      </c>
      <c r="D30" s="83">
        <f t="shared" si="4"/>
        <v>5.7536094986807479E-2</v>
      </c>
      <c r="E30" s="85"/>
      <c r="F30" s="85"/>
      <c r="G30" s="85">
        <v>2.6213888888888887E-2</v>
      </c>
      <c r="H30" s="85">
        <v>-2.2557738173154165E-2</v>
      </c>
      <c r="I30" s="85">
        <v>-2.3526541979620903E-2</v>
      </c>
      <c r="J30" s="85">
        <v>-1.1418783899515006E-3</v>
      </c>
      <c r="M30" s="115">
        <f t="shared" si="7"/>
        <v>79</v>
      </c>
      <c r="N30" s="143">
        <f t="shared" ca="1" si="31"/>
        <v>-0.20316850727588684</v>
      </c>
      <c r="O30" s="143">
        <f t="shared" ref="O30:BZ33" ca="1" si="37">_xlfn.NORM.INV(RAND(),$B$112,$B$113)</f>
        <v>0.25887378506145742</v>
      </c>
      <c r="P30" s="143">
        <f t="shared" ca="1" si="37"/>
        <v>9.5952664411152092E-2</v>
      </c>
      <c r="Q30" s="143">
        <f t="shared" ca="1" si="37"/>
        <v>0.14848678271711596</v>
      </c>
      <c r="R30" s="143">
        <f t="shared" ca="1" si="37"/>
        <v>0.11362054301039876</v>
      </c>
      <c r="S30" s="143">
        <f t="shared" ca="1" si="37"/>
        <v>-0.13037138919689861</v>
      </c>
      <c r="T30" s="143">
        <f t="shared" ca="1" si="37"/>
        <v>-0.13145147642359578</v>
      </c>
      <c r="U30" s="143">
        <f t="shared" ca="1" si="37"/>
        <v>-1.0808804716339881E-2</v>
      </c>
      <c r="V30" s="143">
        <f t="shared" ca="1" si="37"/>
        <v>0.2762321596140348</v>
      </c>
      <c r="W30" s="143">
        <f t="shared" ca="1" si="37"/>
        <v>0.1794496064680505</v>
      </c>
      <c r="X30" s="143">
        <f t="shared" ca="1" si="37"/>
        <v>7.4101078881608926E-2</v>
      </c>
      <c r="Y30" s="143">
        <f t="shared" ca="1" si="37"/>
        <v>-2.2438340502854592E-2</v>
      </c>
      <c r="Z30" s="143">
        <f t="shared" ca="1" si="37"/>
        <v>2.6975563303728536E-2</v>
      </c>
      <c r="AA30" s="143">
        <f t="shared" ca="1" si="37"/>
        <v>0.30323621028971448</v>
      </c>
      <c r="AB30" s="143">
        <f t="shared" ca="1" si="37"/>
        <v>7.0469458730812035E-2</v>
      </c>
      <c r="AC30" s="143">
        <f t="shared" ca="1" si="37"/>
        <v>-0.15683738243627607</v>
      </c>
      <c r="AD30" s="143">
        <f t="shared" ca="1" si="37"/>
        <v>-1.6330265650041823E-2</v>
      </c>
      <c r="AE30" s="143">
        <f t="shared" ca="1" si="37"/>
        <v>0.18754023145596876</v>
      </c>
      <c r="AF30" s="143">
        <f t="shared" ca="1" si="37"/>
        <v>0.25156649500626971</v>
      </c>
      <c r="AG30" s="143">
        <f t="shared" ca="1" si="37"/>
        <v>2.8026413087889224E-2</v>
      </c>
      <c r="AH30" s="143">
        <f t="shared" ca="1" si="37"/>
        <v>-0.34067542673120177</v>
      </c>
      <c r="AI30" s="143">
        <f t="shared" ca="1" si="37"/>
        <v>0.14763871882637314</v>
      </c>
      <c r="AJ30" s="143">
        <f t="shared" ca="1" si="37"/>
        <v>0.19206470643167078</v>
      </c>
      <c r="AK30" s="143">
        <f t="shared" ca="1" si="37"/>
        <v>9.5900286548867494E-2</v>
      </c>
      <c r="AL30" s="143">
        <f t="shared" ca="1" si="37"/>
        <v>0.20189079824330508</v>
      </c>
      <c r="AM30" s="143">
        <f t="shared" ca="1" si="37"/>
        <v>0.64149685654892585</v>
      </c>
      <c r="AN30" s="143">
        <f t="shared" ca="1" si="37"/>
        <v>0.28300157386377772</v>
      </c>
      <c r="AO30" s="143">
        <f t="shared" ca="1" si="37"/>
        <v>0.12221312691893271</v>
      </c>
      <c r="AP30" s="143">
        <f t="shared" ca="1" si="37"/>
        <v>-9.4127138494731755E-2</v>
      </c>
      <c r="AQ30" s="143">
        <f t="shared" ca="1" si="37"/>
        <v>0.10841555186176524</v>
      </c>
      <c r="AR30" s="143">
        <f t="shared" ca="1" si="37"/>
        <v>0.12202511115466252</v>
      </c>
      <c r="AS30" s="143">
        <f t="shared" ca="1" si="37"/>
        <v>2.1035690184651928E-2</v>
      </c>
      <c r="AT30" s="143">
        <f t="shared" ca="1" si="37"/>
        <v>0.12030879069737252</v>
      </c>
      <c r="AU30" s="143">
        <f t="shared" ca="1" si="37"/>
        <v>0.43977672905826148</v>
      </c>
      <c r="AV30" s="143">
        <f t="shared" ca="1" si="37"/>
        <v>-0.1977643818245067</v>
      </c>
      <c r="AW30" s="143">
        <f t="shared" ca="1" si="37"/>
        <v>0.5143984673988431</v>
      </c>
      <c r="AX30" s="143">
        <f t="shared" ca="1" si="37"/>
        <v>-0.11997937760278954</v>
      </c>
      <c r="AY30" s="143">
        <f t="shared" ca="1" si="37"/>
        <v>0.22441157679355184</v>
      </c>
      <c r="AZ30" s="143">
        <f t="shared" ca="1" si="37"/>
        <v>0.15067796880537024</v>
      </c>
      <c r="BA30" s="143">
        <f t="shared" ca="1" si="37"/>
        <v>-0.36864825276760538</v>
      </c>
      <c r="BB30" s="143">
        <f t="shared" ca="1" si="37"/>
        <v>0.27613254903253026</v>
      </c>
      <c r="BC30" s="143">
        <f t="shared" ca="1" si="37"/>
        <v>0.21903913319402879</v>
      </c>
      <c r="BD30" s="143">
        <f t="shared" ca="1" si="37"/>
        <v>3.5719019395557543E-2</v>
      </c>
      <c r="BE30" s="143">
        <f t="shared" ca="1" si="37"/>
        <v>-0.1558950666644803</v>
      </c>
      <c r="BF30" s="143">
        <f t="shared" ca="1" si="37"/>
        <v>-6.0602379030378656E-2</v>
      </c>
      <c r="BG30" s="143">
        <f t="shared" ca="1" si="37"/>
        <v>0.26041437625853947</v>
      </c>
      <c r="BH30" s="143">
        <f t="shared" ca="1" si="37"/>
        <v>0.27376574302976719</v>
      </c>
      <c r="BI30" s="143">
        <f t="shared" ca="1" si="37"/>
        <v>0.17225969538329511</v>
      </c>
      <c r="BJ30" s="143">
        <f t="shared" ca="1" si="37"/>
        <v>-0.14841629774326529</v>
      </c>
      <c r="BK30" s="143">
        <f t="shared" ca="1" si="37"/>
        <v>0.30889729722950987</v>
      </c>
      <c r="BL30" s="143">
        <f t="shared" ca="1" si="37"/>
        <v>0.15186823455211929</v>
      </c>
      <c r="BM30" s="143">
        <f t="shared" ca="1" si="37"/>
        <v>0.26706797087355444</v>
      </c>
      <c r="BN30" s="143">
        <f t="shared" ca="1" si="37"/>
        <v>4.6306860506337345E-2</v>
      </c>
      <c r="BO30" s="143">
        <f t="shared" ca="1" si="37"/>
        <v>-0.30347723057786224</v>
      </c>
      <c r="BP30" s="143">
        <f t="shared" ca="1" si="37"/>
        <v>-5.9932179711781886E-3</v>
      </c>
      <c r="BQ30" s="143">
        <f t="shared" ca="1" si="37"/>
        <v>0.13034209474474145</v>
      </c>
      <c r="BR30" s="143">
        <f t="shared" ca="1" si="37"/>
        <v>0.2181458623631998</v>
      </c>
      <c r="BS30" s="143">
        <f t="shared" ca="1" si="37"/>
        <v>0.28724050181752736</v>
      </c>
      <c r="BT30" s="143">
        <f t="shared" ca="1" si="37"/>
        <v>0.41040108159364974</v>
      </c>
      <c r="BU30" s="143">
        <f t="shared" ca="1" si="37"/>
        <v>0.303333458718825</v>
      </c>
      <c r="BV30" s="143">
        <f t="shared" ca="1" si="37"/>
        <v>0.24073290552661006</v>
      </c>
      <c r="BW30" s="143">
        <f t="shared" ca="1" si="37"/>
        <v>-0.27531318113558612</v>
      </c>
      <c r="BX30" s="143">
        <f t="shared" ca="1" si="37"/>
        <v>-0.19722628263256306</v>
      </c>
      <c r="BY30" s="143">
        <f t="shared" ca="1" si="37"/>
        <v>8.3724426791871032E-2</v>
      </c>
      <c r="BZ30" s="143">
        <f t="shared" ca="1" si="37"/>
        <v>1.6663895358564509E-2</v>
      </c>
      <c r="CA30" s="143">
        <f t="shared" ca="1" si="35"/>
        <v>-0.27922394120555905</v>
      </c>
      <c r="CB30" s="143">
        <f t="shared" ca="1" si="35"/>
        <v>0.19870224124531971</v>
      </c>
      <c r="CC30" s="143">
        <f t="shared" ca="1" si="35"/>
        <v>9.2644908160021675E-2</v>
      </c>
      <c r="CD30" s="143">
        <f t="shared" ca="1" si="35"/>
        <v>0.23571540449632264</v>
      </c>
      <c r="CE30" s="143">
        <f t="shared" ca="1" si="35"/>
        <v>0.12699094031647618</v>
      </c>
      <c r="CF30" s="143">
        <f t="shared" ca="1" si="35"/>
        <v>0.3221526612804716</v>
      </c>
      <c r="CG30" s="143">
        <f t="shared" ca="1" si="35"/>
        <v>-0.32392397112536186</v>
      </c>
      <c r="CH30" s="143">
        <f t="shared" ca="1" si="35"/>
        <v>0.13594287853902157</v>
      </c>
      <c r="CI30" s="143">
        <f t="shared" ca="1" si="35"/>
        <v>0.15183760961807294</v>
      </c>
      <c r="CJ30" s="143">
        <f t="shared" ca="1" si="35"/>
        <v>-7.0997245799830355E-2</v>
      </c>
      <c r="CK30" s="143">
        <f t="shared" ca="1" si="35"/>
        <v>0.15001848250522065</v>
      </c>
      <c r="CL30" s="143">
        <f t="shared" ca="1" si="35"/>
        <v>9.4623197568870734E-2</v>
      </c>
      <c r="CM30" s="143">
        <f t="shared" ca="1" si="35"/>
        <v>-0.10035398618807156</v>
      </c>
      <c r="CN30" s="143">
        <f t="shared" ca="1" si="35"/>
        <v>0.1087667914330035</v>
      </c>
      <c r="CO30" s="143">
        <f t="shared" ca="1" si="35"/>
        <v>0.42041220668871093</v>
      </c>
      <c r="CP30" s="143">
        <f t="shared" ca="1" si="35"/>
        <v>0.21950433120497759</v>
      </c>
      <c r="CQ30" s="143">
        <f t="shared" ca="1" si="35"/>
        <v>0.19316884031309614</v>
      </c>
      <c r="CR30" s="143">
        <f t="shared" ca="1" si="35"/>
        <v>0.14548948844265572</v>
      </c>
      <c r="CS30" s="143">
        <f t="shared" ca="1" si="35"/>
        <v>0.20372349389616209</v>
      </c>
      <c r="CT30" s="143">
        <f t="shared" ca="1" si="35"/>
        <v>0.47136786482705562</v>
      </c>
      <c r="CU30" s="143">
        <f t="shared" ca="1" si="35"/>
        <v>5.0100098151431072E-2</v>
      </c>
      <c r="CV30" s="143">
        <f t="shared" ca="1" si="35"/>
        <v>-8.4368619370439546E-2</v>
      </c>
      <c r="CW30" s="143">
        <f t="shared" ca="1" si="35"/>
        <v>0.11373908352554876</v>
      </c>
      <c r="CX30" s="143">
        <f t="shared" ca="1" si="35"/>
        <v>8.0777217797135065E-2</v>
      </c>
      <c r="CY30" s="143">
        <f t="shared" ca="1" si="35"/>
        <v>7.9314975639370455E-2</v>
      </c>
      <c r="CZ30" s="143">
        <f t="shared" ca="1" si="35"/>
        <v>0.3794606154560195</v>
      </c>
      <c r="DA30" s="143">
        <f t="shared" ca="1" si="35"/>
        <v>8.7263658957947451E-2</v>
      </c>
      <c r="DB30" s="143">
        <f t="shared" ca="1" si="35"/>
        <v>0.17388358583786656</v>
      </c>
      <c r="DC30" s="143">
        <f t="shared" ca="1" si="35"/>
        <v>0.4173123771923859</v>
      </c>
      <c r="DD30" s="143">
        <f t="shared" ca="1" si="35"/>
        <v>9.228770164349967E-2</v>
      </c>
      <c r="DE30" s="143">
        <f t="shared" ca="1" si="35"/>
        <v>0.21797689597023892</v>
      </c>
      <c r="DF30" s="143">
        <f t="shared" ca="1" si="35"/>
        <v>0.11532711762209688</v>
      </c>
      <c r="DG30" s="143">
        <f t="shared" ca="1" si="35"/>
        <v>0.37582882737138745</v>
      </c>
      <c r="DH30" s="143">
        <f t="shared" ca="1" si="35"/>
        <v>0.13291997554182727</v>
      </c>
      <c r="DI30" s="143">
        <f t="shared" ca="1" si="35"/>
        <v>0.28385680986743522</v>
      </c>
      <c r="DK30" s="115">
        <f t="shared" si="8"/>
        <v>79</v>
      </c>
      <c r="DL30" s="143">
        <f t="shared" ca="1" si="33"/>
        <v>9.4823566150274055E-2</v>
      </c>
      <c r="DM30" s="143">
        <f t="shared" ref="DM30:FX33" ca="1" si="38">_xlfn.NORM.INV(RAND(),$B$116,$B$117)</f>
        <v>0.13366214340460547</v>
      </c>
      <c r="DN30" s="143">
        <f t="shared" ca="1" si="38"/>
        <v>9.4441637414587817E-2</v>
      </c>
      <c r="DO30" s="143">
        <f t="shared" ca="1" si="38"/>
        <v>-4.818287278797679E-2</v>
      </c>
      <c r="DP30" s="143">
        <f t="shared" ca="1" si="38"/>
        <v>6.2816335502541509E-2</v>
      </c>
      <c r="DQ30" s="143">
        <f t="shared" ca="1" si="38"/>
        <v>-1.786236902333433E-2</v>
      </c>
      <c r="DR30" s="143">
        <f t="shared" ca="1" si="38"/>
        <v>7.4322241104845005E-2</v>
      </c>
      <c r="DS30" s="143">
        <f t="shared" ca="1" si="38"/>
        <v>3.5627045100541918E-2</v>
      </c>
      <c r="DT30" s="143">
        <f t="shared" ca="1" si="38"/>
        <v>-5.4836068199267292E-2</v>
      </c>
      <c r="DU30" s="143">
        <f t="shared" ca="1" si="38"/>
        <v>1.4549882095873663E-2</v>
      </c>
      <c r="DV30" s="143">
        <f t="shared" ca="1" si="38"/>
        <v>0.14423816608171816</v>
      </c>
      <c r="DW30" s="143">
        <f t="shared" ca="1" si="38"/>
        <v>0.10423512821749845</v>
      </c>
      <c r="DX30" s="143">
        <f t="shared" ca="1" si="38"/>
        <v>0.11007499718404939</v>
      </c>
      <c r="DY30" s="143">
        <f t="shared" ca="1" si="38"/>
        <v>9.7802247334955156E-2</v>
      </c>
      <c r="DZ30" s="143">
        <f t="shared" ca="1" si="38"/>
        <v>0.10528239000016085</v>
      </c>
      <c r="EA30" s="143">
        <f t="shared" ca="1" si="38"/>
        <v>0.12920643436398097</v>
      </c>
      <c r="EB30" s="143">
        <f t="shared" ca="1" si="38"/>
        <v>0.2802375666210114</v>
      </c>
      <c r="EC30" s="143">
        <f t="shared" ca="1" si="38"/>
        <v>6.0037037535995222E-3</v>
      </c>
      <c r="ED30" s="143">
        <f t="shared" ca="1" si="38"/>
        <v>1.1570344460343496E-2</v>
      </c>
      <c r="EE30" s="143">
        <f t="shared" ca="1" si="38"/>
        <v>1.8310542098521808E-2</v>
      </c>
      <c r="EF30" s="143">
        <f t="shared" ca="1" si="38"/>
        <v>0.1192325071084126</v>
      </c>
      <c r="EG30" s="143">
        <f t="shared" ca="1" si="38"/>
        <v>-4.8790783873848921E-2</v>
      </c>
      <c r="EH30" s="143">
        <f t="shared" ca="1" si="38"/>
        <v>-2.1957815104326754E-2</v>
      </c>
      <c r="EI30" s="143">
        <f t="shared" ca="1" si="38"/>
        <v>-5.0658239602994759E-3</v>
      </c>
      <c r="EJ30" s="143">
        <f t="shared" ca="1" si="38"/>
        <v>5.7357995189645794E-2</v>
      </c>
      <c r="EK30" s="143">
        <f t="shared" ca="1" si="38"/>
        <v>8.498975990198801E-2</v>
      </c>
      <c r="EL30" s="143">
        <f t="shared" ca="1" si="38"/>
        <v>0.1102791603361839</v>
      </c>
      <c r="EM30" s="143">
        <f t="shared" ca="1" si="38"/>
        <v>-2.4247367014837075E-2</v>
      </c>
      <c r="EN30" s="143">
        <f t="shared" ca="1" si="38"/>
        <v>-3.3313194116774796E-2</v>
      </c>
      <c r="EO30" s="143">
        <f t="shared" ca="1" si="38"/>
        <v>-3.9221388578021536E-2</v>
      </c>
      <c r="EP30" s="143">
        <f t="shared" ca="1" si="38"/>
        <v>2.6728346331914205E-2</v>
      </c>
      <c r="EQ30" s="143">
        <f t="shared" ca="1" si="38"/>
        <v>3.3063128679492945E-3</v>
      </c>
      <c r="ER30" s="143">
        <f t="shared" ca="1" si="38"/>
        <v>0.12806012411612319</v>
      </c>
      <c r="ES30" s="143">
        <f t="shared" ca="1" si="38"/>
        <v>1.9664845679425714E-2</v>
      </c>
      <c r="ET30" s="143">
        <f t="shared" ca="1" si="38"/>
        <v>0.10982066978719014</v>
      </c>
      <c r="EU30" s="143">
        <f t="shared" ca="1" si="38"/>
        <v>7.1024743294045442E-2</v>
      </c>
      <c r="EV30" s="143">
        <f t="shared" ca="1" si="38"/>
        <v>6.6323219486230434E-2</v>
      </c>
      <c r="EW30" s="143">
        <f t="shared" ca="1" si="38"/>
        <v>0.19645332088168627</v>
      </c>
      <c r="EX30" s="143">
        <f t="shared" ca="1" si="38"/>
        <v>-4.1237526005798213E-2</v>
      </c>
      <c r="EY30" s="143">
        <f t="shared" ca="1" si="38"/>
        <v>4.1748016322255534E-2</v>
      </c>
      <c r="EZ30" s="143">
        <f t="shared" ca="1" si="38"/>
        <v>-0.11304608039334615</v>
      </c>
      <c r="FA30" s="143">
        <f t="shared" ca="1" si="38"/>
        <v>0.1012052849005917</v>
      </c>
      <c r="FB30" s="143">
        <f t="shared" ca="1" si="38"/>
        <v>5.0176621438588365E-2</v>
      </c>
      <c r="FC30" s="143">
        <f t="shared" ca="1" si="38"/>
        <v>4.7941093648708182E-2</v>
      </c>
      <c r="FD30" s="143">
        <f t="shared" ca="1" si="38"/>
        <v>9.0693976882453564E-2</v>
      </c>
      <c r="FE30" s="143">
        <f t="shared" ca="1" si="38"/>
        <v>9.267053039869641E-2</v>
      </c>
      <c r="FF30" s="143">
        <f t="shared" ca="1" si="38"/>
        <v>-2.6132569348606555E-3</v>
      </c>
      <c r="FG30" s="143">
        <f t="shared" ca="1" si="38"/>
        <v>-4.047186777142938E-2</v>
      </c>
      <c r="FH30" s="143">
        <f t="shared" ca="1" si="38"/>
        <v>5.8225681828587082E-2</v>
      </c>
      <c r="FI30" s="143">
        <f t="shared" ca="1" si="38"/>
        <v>0.11375018323003194</v>
      </c>
      <c r="FJ30" s="143">
        <f t="shared" ca="1" si="38"/>
        <v>-7.685696455903078E-3</v>
      </c>
      <c r="FK30" s="143">
        <f t="shared" ca="1" si="38"/>
        <v>0.10168523040096021</v>
      </c>
      <c r="FL30" s="143">
        <f t="shared" ca="1" si="38"/>
        <v>2.3596813505677831E-2</v>
      </c>
      <c r="FM30" s="143">
        <f t="shared" ca="1" si="38"/>
        <v>-5.9972715114146528E-2</v>
      </c>
      <c r="FN30" s="143">
        <f t="shared" ca="1" si="38"/>
        <v>2.0514448309918235E-3</v>
      </c>
      <c r="FO30" s="143">
        <f t="shared" ca="1" si="38"/>
        <v>9.3169820374858436E-2</v>
      </c>
      <c r="FP30" s="143">
        <f t="shared" ca="1" si="38"/>
        <v>0.13516453629638539</v>
      </c>
      <c r="FQ30" s="143">
        <f t="shared" ca="1" si="38"/>
        <v>4.0410466159904013E-2</v>
      </c>
      <c r="FR30" s="143">
        <f t="shared" ca="1" si="38"/>
        <v>0.17982828217177929</v>
      </c>
      <c r="FS30" s="143">
        <f t="shared" ca="1" si="38"/>
        <v>0.13301235487898327</v>
      </c>
      <c r="FT30" s="143">
        <f t="shared" ca="1" si="38"/>
        <v>0.13622638310242235</v>
      </c>
      <c r="FU30" s="143">
        <f t="shared" ca="1" si="38"/>
        <v>2.8000425012361399E-2</v>
      </c>
      <c r="FV30" s="143">
        <f t="shared" ca="1" si="38"/>
        <v>2.2826129494721133E-2</v>
      </c>
      <c r="FW30" s="143">
        <f t="shared" ca="1" si="38"/>
        <v>0.10866076144355864</v>
      </c>
      <c r="FX30" s="143">
        <f t="shared" ca="1" si="38"/>
        <v>3.4181954909810297E-2</v>
      </c>
      <c r="FY30" s="143">
        <f t="shared" ca="1" si="36"/>
        <v>0.10448835497681373</v>
      </c>
      <c r="FZ30" s="143">
        <f t="shared" ca="1" si="36"/>
        <v>-9.714644315517329E-3</v>
      </c>
      <c r="GA30" s="143">
        <f t="shared" ca="1" si="36"/>
        <v>0.11830775224493617</v>
      </c>
      <c r="GB30" s="143">
        <f t="shared" ca="1" si="36"/>
        <v>4.3420258589644253E-2</v>
      </c>
      <c r="GC30" s="143">
        <f t="shared" ca="1" si="36"/>
        <v>0.11353846169843887</v>
      </c>
      <c r="GD30" s="143">
        <f t="shared" ca="1" si="36"/>
        <v>-1.118764959918532E-2</v>
      </c>
      <c r="GE30" s="143">
        <f t="shared" ca="1" si="36"/>
        <v>5.4011583907057119E-2</v>
      </c>
      <c r="GF30" s="143">
        <f t="shared" ca="1" si="36"/>
        <v>0.10522085170600615</v>
      </c>
      <c r="GG30" s="143">
        <f t="shared" ca="1" si="36"/>
        <v>-1.8948046533495209E-2</v>
      </c>
      <c r="GH30" s="143">
        <f t="shared" ca="1" si="36"/>
        <v>0.10357670865730176</v>
      </c>
      <c r="GI30" s="143">
        <f t="shared" ca="1" si="36"/>
        <v>0.13201472051589733</v>
      </c>
      <c r="GJ30" s="143">
        <f t="shared" ca="1" si="36"/>
        <v>0.28568405365554761</v>
      </c>
      <c r="GK30" s="143">
        <f t="shared" ca="1" si="36"/>
        <v>0.175991277877558</v>
      </c>
      <c r="GL30" s="143">
        <f t="shared" ca="1" si="36"/>
        <v>0.11729741759465012</v>
      </c>
      <c r="GM30" s="143">
        <f t="shared" ca="1" si="36"/>
        <v>7.9862723841674074E-2</v>
      </c>
      <c r="GN30" s="143">
        <f t="shared" ca="1" si="36"/>
        <v>9.6260821195270699E-3</v>
      </c>
      <c r="GO30" s="143">
        <f t="shared" ca="1" si="36"/>
        <v>-4.1777081786867967E-3</v>
      </c>
      <c r="GP30" s="143">
        <f t="shared" ca="1" si="36"/>
        <v>-1.5166766423832516E-2</v>
      </c>
      <c r="GQ30" s="143">
        <f t="shared" ca="1" si="36"/>
        <v>-1.9061765098564797E-2</v>
      </c>
      <c r="GR30" s="143">
        <f t="shared" ca="1" si="36"/>
        <v>3.4309477439094675E-2</v>
      </c>
      <c r="GS30" s="143">
        <f t="shared" ca="1" si="36"/>
        <v>0.188603063459616</v>
      </c>
      <c r="GT30" s="143">
        <f t="shared" ca="1" si="36"/>
        <v>9.8990675872504527E-2</v>
      </c>
      <c r="GU30" s="143">
        <f t="shared" ca="1" si="36"/>
        <v>1.8441198565201117E-2</v>
      </c>
      <c r="GV30" s="143">
        <f t="shared" ca="1" si="36"/>
        <v>2.9880127522649916E-3</v>
      </c>
      <c r="GW30" s="143">
        <f t="shared" ca="1" si="36"/>
        <v>-1.3871658003541489E-2</v>
      </c>
      <c r="GX30" s="143">
        <f t="shared" ca="1" si="36"/>
        <v>3.3572012557326641E-2</v>
      </c>
      <c r="GY30" s="143">
        <f t="shared" ca="1" si="36"/>
        <v>0.16889499117948767</v>
      </c>
      <c r="GZ30" s="143">
        <f t="shared" ca="1" si="36"/>
        <v>7.5727502866407281E-4</v>
      </c>
      <c r="HA30" s="143">
        <f t="shared" ca="1" si="36"/>
        <v>8.8504265228320431E-2</v>
      </c>
      <c r="HB30" s="143">
        <f t="shared" ca="1" si="36"/>
        <v>-8.8643608612720692E-3</v>
      </c>
      <c r="HC30" s="143">
        <f t="shared" ca="1" si="36"/>
        <v>7.2037611421080922E-2</v>
      </c>
      <c r="HD30" s="143">
        <f t="shared" ca="1" si="36"/>
        <v>0.10659705560076974</v>
      </c>
      <c r="HE30" s="143">
        <f t="shared" ca="1" si="36"/>
        <v>-8.356028789799233E-2</v>
      </c>
      <c r="HF30" s="143">
        <f t="shared" ca="1" si="36"/>
        <v>0.31982641104416026</v>
      </c>
      <c r="HG30" s="143">
        <f t="shared" ca="1" si="36"/>
        <v>5.2836294038813146E-2</v>
      </c>
    </row>
    <row r="31" spans="1:215">
      <c r="A31" s="90">
        <v>1957</v>
      </c>
      <c r="B31" s="84">
        <v>-0.1045736018855796</v>
      </c>
      <c r="C31" s="85">
        <v>-0.1525</v>
      </c>
      <c r="D31" s="83">
        <f t="shared" si="4"/>
        <v>-0.11415888150846368</v>
      </c>
      <c r="E31" s="85"/>
      <c r="F31" s="85"/>
      <c r="G31" s="85">
        <v>3.2245669291338583E-2</v>
      </c>
      <c r="H31" s="85">
        <v>6.7970128466249904E-2</v>
      </c>
      <c r="I31" s="85">
        <v>-7.1892844025423647E-3</v>
      </c>
      <c r="J31" s="85">
        <v>-1.1431837667904565E-3</v>
      </c>
      <c r="M31" s="115">
        <f t="shared" si="7"/>
        <v>80</v>
      </c>
      <c r="N31" s="143">
        <f t="shared" ca="1" si="31"/>
        <v>1.1627567493161725E-2</v>
      </c>
      <c r="O31" s="143">
        <f t="shared" ca="1" si="37"/>
        <v>-0.11120932250571122</v>
      </c>
      <c r="P31" s="143">
        <f t="shared" ca="1" si="37"/>
        <v>3.875703127316861E-2</v>
      </c>
      <c r="Q31" s="143">
        <f t="shared" ca="1" si="37"/>
        <v>0.16521539430282836</v>
      </c>
      <c r="R31" s="143">
        <f t="shared" ca="1" si="37"/>
        <v>3.2906608860428274E-2</v>
      </c>
      <c r="S31" s="143">
        <f t="shared" ca="1" si="37"/>
        <v>0.25570956059779232</v>
      </c>
      <c r="T31" s="143">
        <f t="shared" ca="1" si="37"/>
        <v>0.26137612086612283</v>
      </c>
      <c r="U31" s="143">
        <f t="shared" ca="1" si="37"/>
        <v>0.27422708709585275</v>
      </c>
      <c r="V31" s="143">
        <f t="shared" ca="1" si="37"/>
        <v>5.1740496177759374E-2</v>
      </c>
      <c r="W31" s="143">
        <f t="shared" ca="1" si="37"/>
        <v>-7.5673227743175558E-3</v>
      </c>
      <c r="X31" s="143">
        <f t="shared" ca="1" si="37"/>
        <v>0.19588957161536058</v>
      </c>
      <c r="Y31" s="143">
        <f t="shared" ca="1" si="37"/>
        <v>1.6576968534360206E-2</v>
      </c>
      <c r="Z31" s="143">
        <f t="shared" ca="1" si="37"/>
        <v>0.15188809686826402</v>
      </c>
      <c r="AA31" s="143">
        <f t="shared" ca="1" si="37"/>
        <v>-0.14303381128720005</v>
      </c>
      <c r="AB31" s="143">
        <f t="shared" ca="1" si="37"/>
        <v>9.1605669343300222E-2</v>
      </c>
      <c r="AC31" s="143">
        <f t="shared" ca="1" si="37"/>
        <v>0.23058752692860349</v>
      </c>
      <c r="AD31" s="143">
        <f t="shared" ca="1" si="37"/>
        <v>1.323007644156303E-2</v>
      </c>
      <c r="AE31" s="143">
        <f t="shared" ca="1" si="37"/>
        <v>2.3570211568183355E-2</v>
      </c>
      <c r="AF31" s="143">
        <f t="shared" ca="1" si="37"/>
        <v>0.22979736564674769</v>
      </c>
      <c r="AG31" s="143">
        <f t="shared" ca="1" si="37"/>
        <v>-0.11981195971487929</v>
      </c>
      <c r="AH31" s="143">
        <f t="shared" ca="1" si="37"/>
        <v>6.7435901583208932E-2</v>
      </c>
      <c r="AI31" s="143">
        <f t="shared" ca="1" si="37"/>
        <v>6.8377808582374189E-2</v>
      </c>
      <c r="AJ31" s="143">
        <f t="shared" ca="1" si="37"/>
        <v>1.664103145624124E-3</v>
      </c>
      <c r="AK31" s="143">
        <f t="shared" ca="1" si="37"/>
        <v>0.34978030620934231</v>
      </c>
      <c r="AL31" s="143">
        <f t="shared" ca="1" si="37"/>
        <v>-0.13350578738310201</v>
      </c>
      <c r="AM31" s="143">
        <f t="shared" ca="1" si="37"/>
        <v>3.1808266233396179E-2</v>
      </c>
      <c r="AN31" s="143">
        <f t="shared" ca="1" si="37"/>
        <v>6.566519574066064E-2</v>
      </c>
      <c r="AO31" s="143">
        <f t="shared" ca="1" si="37"/>
        <v>9.0668845139592683E-2</v>
      </c>
      <c r="AP31" s="143">
        <f t="shared" ca="1" si="37"/>
        <v>0.32403707869517212</v>
      </c>
      <c r="AQ31" s="143">
        <f t="shared" ca="1" si="37"/>
        <v>-0.11854923523260974</v>
      </c>
      <c r="AR31" s="143">
        <f t="shared" ca="1" si="37"/>
        <v>2.0013455272318292E-2</v>
      </c>
      <c r="AS31" s="143">
        <f t="shared" ca="1" si="37"/>
        <v>-0.24551341114825878</v>
      </c>
      <c r="AT31" s="143">
        <f t="shared" ca="1" si="37"/>
        <v>0.22523217013159721</v>
      </c>
      <c r="AU31" s="143">
        <f t="shared" ca="1" si="37"/>
        <v>0.34407826642138356</v>
      </c>
      <c r="AV31" s="143">
        <f t="shared" ca="1" si="37"/>
        <v>0.24197563104087536</v>
      </c>
      <c r="AW31" s="143">
        <f t="shared" ca="1" si="37"/>
        <v>9.0306674598550671E-2</v>
      </c>
      <c r="AX31" s="143">
        <f t="shared" ca="1" si="37"/>
        <v>-0.24907248462742879</v>
      </c>
      <c r="AY31" s="143">
        <f t="shared" ca="1" si="37"/>
        <v>0.2905962498020076</v>
      </c>
      <c r="AZ31" s="143">
        <f t="shared" ca="1" si="37"/>
        <v>0.18677514630985981</v>
      </c>
      <c r="BA31" s="143">
        <f t="shared" ca="1" si="37"/>
        <v>0.19955833717560661</v>
      </c>
      <c r="BB31" s="143">
        <f t="shared" ca="1" si="37"/>
        <v>0.51692554330107421</v>
      </c>
      <c r="BC31" s="143">
        <f t="shared" ca="1" si="37"/>
        <v>0.22521069461296461</v>
      </c>
      <c r="BD31" s="143">
        <f t="shared" ca="1" si="37"/>
        <v>0.13353973465732194</v>
      </c>
      <c r="BE31" s="143">
        <f t="shared" ca="1" si="37"/>
        <v>9.196964428579682E-2</v>
      </c>
      <c r="BF31" s="143">
        <f t="shared" ca="1" si="37"/>
        <v>0.10725112888677098</v>
      </c>
      <c r="BG31" s="143">
        <f t="shared" ca="1" si="37"/>
        <v>2.5404637270239783E-2</v>
      </c>
      <c r="BH31" s="143">
        <f t="shared" ca="1" si="37"/>
        <v>0.27638445140234336</v>
      </c>
      <c r="BI31" s="143">
        <f t="shared" ca="1" si="37"/>
        <v>0.33366916937656377</v>
      </c>
      <c r="BJ31" s="143">
        <f t="shared" ca="1" si="37"/>
        <v>9.3046393602189692E-3</v>
      </c>
      <c r="BK31" s="143">
        <f t="shared" ca="1" si="37"/>
        <v>5.9402028769236538E-2</v>
      </c>
      <c r="BL31" s="143">
        <f t="shared" ca="1" si="37"/>
        <v>-0.24749846100608877</v>
      </c>
      <c r="BM31" s="143">
        <f t="shared" ca="1" si="37"/>
        <v>0.14631220341384477</v>
      </c>
      <c r="BN31" s="143">
        <f t="shared" ca="1" si="37"/>
        <v>0.27838633987443573</v>
      </c>
      <c r="BO31" s="143">
        <f t="shared" ca="1" si="37"/>
        <v>0.23091878458063914</v>
      </c>
      <c r="BP31" s="143">
        <f t="shared" ca="1" si="37"/>
        <v>-0.28098092753725057</v>
      </c>
      <c r="BQ31" s="143">
        <f t="shared" ca="1" si="37"/>
        <v>5.817798897504449E-2</v>
      </c>
      <c r="BR31" s="143">
        <f t="shared" ca="1" si="37"/>
        <v>0.17715580526651548</v>
      </c>
      <c r="BS31" s="143">
        <f t="shared" ca="1" si="37"/>
        <v>4.2778035704488952E-2</v>
      </c>
      <c r="BT31" s="143">
        <f t="shared" ca="1" si="37"/>
        <v>-0.2529320419271559</v>
      </c>
      <c r="BU31" s="143">
        <f t="shared" ca="1" si="37"/>
        <v>7.482929875580098E-2</v>
      </c>
      <c r="BV31" s="143">
        <f t="shared" ca="1" si="37"/>
        <v>-3.5725081514041523E-2</v>
      </c>
      <c r="BW31" s="143">
        <f t="shared" ca="1" si="37"/>
        <v>0.15525462583542432</v>
      </c>
      <c r="BX31" s="143">
        <f t="shared" ca="1" si="37"/>
        <v>8.7957030530918606E-2</v>
      </c>
      <c r="BY31" s="143">
        <f t="shared" ca="1" si="37"/>
        <v>0.10081002854906866</v>
      </c>
      <c r="BZ31" s="143">
        <f t="shared" ca="1" si="37"/>
        <v>-0.14691443519060404</v>
      </c>
      <c r="CA31" s="143">
        <f t="shared" ca="1" si="35"/>
        <v>0.25361145048321398</v>
      </c>
      <c r="CB31" s="143">
        <f t="shared" ca="1" si="35"/>
        <v>7.4492666472821656E-2</v>
      </c>
      <c r="CC31" s="143">
        <f t="shared" ca="1" si="35"/>
        <v>-0.12887813105040122</v>
      </c>
      <c r="CD31" s="143">
        <f t="shared" ca="1" si="35"/>
        <v>0.11991710670355323</v>
      </c>
      <c r="CE31" s="143">
        <f t="shared" ca="1" si="35"/>
        <v>-9.2054867897550574E-2</v>
      </c>
      <c r="CF31" s="143">
        <f t="shared" ca="1" si="35"/>
        <v>-2.3948611443781576E-2</v>
      </c>
      <c r="CG31" s="143">
        <f t="shared" ca="1" si="35"/>
        <v>9.6357980282389857E-2</v>
      </c>
      <c r="CH31" s="143">
        <f t="shared" ca="1" si="35"/>
        <v>-0.12733324718791147</v>
      </c>
      <c r="CI31" s="143">
        <f t="shared" ca="1" si="35"/>
        <v>-4.5569099231702659E-2</v>
      </c>
      <c r="CJ31" s="143">
        <f t="shared" ca="1" si="35"/>
        <v>5.8635235069760261E-2</v>
      </c>
      <c r="CK31" s="143">
        <f t="shared" ca="1" si="35"/>
        <v>7.5155997597664198E-2</v>
      </c>
      <c r="CL31" s="143">
        <f t="shared" ca="1" si="35"/>
        <v>-0.19441607094709987</v>
      </c>
      <c r="CM31" s="143">
        <f t="shared" ca="1" si="35"/>
        <v>0.24161620794314262</v>
      </c>
      <c r="CN31" s="143">
        <f t="shared" ca="1" si="35"/>
        <v>2.6348517180539363E-2</v>
      </c>
      <c r="CO31" s="143">
        <f t="shared" ca="1" si="35"/>
        <v>9.3122000834313462E-2</v>
      </c>
      <c r="CP31" s="143">
        <f t="shared" ca="1" si="35"/>
        <v>-4.6246883490148466E-2</v>
      </c>
      <c r="CQ31" s="143">
        <f t="shared" ca="1" si="35"/>
        <v>0.14707264375333912</v>
      </c>
      <c r="CR31" s="143">
        <f t="shared" ca="1" si="35"/>
        <v>0.27180273545949774</v>
      </c>
      <c r="CS31" s="143">
        <f t="shared" ca="1" si="35"/>
        <v>-0.16431100354064174</v>
      </c>
      <c r="CT31" s="143">
        <f t="shared" ca="1" si="35"/>
        <v>-0.1640620641413065</v>
      </c>
      <c r="CU31" s="143">
        <f t="shared" ca="1" si="35"/>
        <v>0.15455620238023257</v>
      </c>
      <c r="CV31" s="143">
        <f t="shared" ca="1" si="35"/>
        <v>-0.11312049295391716</v>
      </c>
      <c r="CW31" s="143">
        <f t="shared" ca="1" si="35"/>
        <v>0.30891967911605256</v>
      </c>
      <c r="CX31" s="143">
        <f t="shared" ca="1" si="35"/>
        <v>-0.11848739969184446</v>
      </c>
      <c r="CY31" s="143">
        <f t="shared" ca="1" si="35"/>
        <v>-0.10404920121905734</v>
      </c>
      <c r="CZ31" s="143">
        <f t="shared" ca="1" si="35"/>
        <v>-3.4349436579271392E-2</v>
      </c>
      <c r="DA31" s="143">
        <f t="shared" ca="1" si="35"/>
        <v>-0.11453453441513139</v>
      </c>
      <c r="DB31" s="143">
        <f t="shared" ca="1" si="35"/>
        <v>0.3061907637210175</v>
      </c>
      <c r="DC31" s="143">
        <f t="shared" ca="1" si="35"/>
        <v>7.5024193706488815E-2</v>
      </c>
      <c r="DD31" s="143">
        <f t="shared" ca="1" si="35"/>
        <v>-0.13058804189477896</v>
      </c>
      <c r="DE31" s="143">
        <f t="shared" ca="1" si="35"/>
        <v>-0.10781869029448976</v>
      </c>
      <c r="DF31" s="143">
        <f t="shared" ca="1" si="35"/>
        <v>4.7429940395591202E-3</v>
      </c>
      <c r="DG31" s="143">
        <f t="shared" ca="1" si="35"/>
        <v>0.19814729315088334</v>
      </c>
      <c r="DH31" s="143">
        <f t="shared" ca="1" si="35"/>
        <v>-4.5709372441921053E-2</v>
      </c>
      <c r="DI31" s="143">
        <f t="shared" ca="1" si="35"/>
        <v>0.17958685888617196</v>
      </c>
      <c r="DK31" s="115">
        <f t="shared" si="8"/>
        <v>80</v>
      </c>
      <c r="DL31" s="143">
        <f t="shared" ca="1" si="33"/>
        <v>7.0547567404583705E-2</v>
      </c>
      <c r="DM31" s="143">
        <f t="shared" ca="1" si="38"/>
        <v>5.3020708541840406E-2</v>
      </c>
      <c r="DN31" s="143">
        <f t="shared" ca="1" si="38"/>
        <v>2.9808116397590928E-3</v>
      </c>
      <c r="DO31" s="143">
        <f t="shared" ca="1" si="38"/>
        <v>5.3973345305848547E-2</v>
      </c>
      <c r="DP31" s="143">
        <f t="shared" ca="1" si="38"/>
        <v>-1.4558097817569379E-2</v>
      </c>
      <c r="DQ31" s="143">
        <f t="shared" ca="1" si="38"/>
        <v>3.2173220351290555E-2</v>
      </c>
      <c r="DR31" s="143">
        <f t="shared" ca="1" si="38"/>
        <v>-6.1087466343265055E-2</v>
      </c>
      <c r="DS31" s="143">
        <f t="shared" ca="1" si="38"/>
        <v>-8.5887973933920309E-2</v>
      </c>
      <c r="DT31" s="143">
        <f t="shared" ca="1" si="38"/>
        <v>-1.274421437087938E-2</v>
      </c>
      <c r="DU31" s="143">
        <f t="shared" ca="1" si="38"/>
        <v>0.20205295735690229</v>
      </c>
      <c r="DV31" s="143">
        <f t="shared" ca="1" si="38"/>
        <v>-1.9794699738711612E-2</v>
      </c>
      <c r="DW31" s="143">
        <f t="shared" ca="1" si="38"/>
        <v>2.3933942175678909E-2</v>
      </c>
      <c r="DX31" s="143">
        <f t="shared" ca="1" si="38"/>
        <v>0.12708091973479993</v>
      </c>
      <c r="DY31" s="143">
        <f t="shared" ca="1" si="38"/>
        <v>0.14330291754649821</v>
      </c>
      <c r="DZ31" s="143">
        <f t="shared" ca="1" si="38"/>
        <v>1.071042629810335E-2</v>
      </c>
      <c r="EA31" s="143">
        <f t="shared" ca="1" si="38"/>
        <v>2.5002318639335278E-2</v>
      </c>
      <c r="EB31" s="143">
        <f t="shared" ca="1" si="38"/>
        <v>7.3536889094211008E-2</v>
      </c>
      <c r="EC31" s="143">
        <f t="shared" ca="1" si="38"/>
        <v>-8.309646267764062E-2</v>
      </c>
      <c r="ED31" s="143">
        <f t="shared" ca="1" si="38"/>
        <v>7.5763865560306773E-3</v>
      </c>
      <c r="EE31" s="143">
        <f t="shared" ca="1" si="38"/>
        <v>7.9290265674458849E-2</v>
      </c>
      <c r="EF31" s="143">
        <f t="shared" ca="1" si="38"/>
        <v>-0.13211788311359557</v>
      </c>
      <c r="EG31" s="143">
        <f t="shared" ca="1" si="38"/>
        <v>0.11751823409119649</v>
      </c>
      <c r="EH31" s="143">
        <f t="shared" ca="1" si="38"/>
        <v>5.8059437762579269E-2</v>
      </c>
      <c r="EI31" s="143">
        <f t="shared" ca="1" si="38"/>
        <v>3.7909059253412647E-2</v>
      </c>
      <c r="EJ31" s="143">
        <f t="shared" ca="1" si="38"/>
        <v>4.2118017955518505E-2</v>
      </c>
      <c r="EK31" s="143">
        <f t="shared" ca="1" si="38"/>
        <v>-1.7361031810053669E-2</v>
      </c>
      <c r="EL31" s="143">
        <f t="shared" ca="1" si="38"/>
        <v>-2.2890816854385161E-2</v>
      </c>
      <c r="EM31" s="143">
        <f t="shared" ca="1" si="38"/>
        <v>-5.3954979566970838E-2</v>
      </c>
      <c r="EN31" s="143">
        <f t="shared" ca="1" si="38"/>
        <v>8.4876940490604735E-2</v>
      </c>
      <c r="EO31" s="143">
        <f t="shared" ca="1" si="38"/>
        <v>0.15336717886969864</v>
      </c>
      <c r="EP31" s="143">
        <f t="shared" ca="1" si="38"/>
        <v>5.4316021182649263E-3</v>
      </c>
      <c r="EQ31" s="143">
        <f t="shared" ca="1" si="38"/>
        <v>0.14808272142806603</v>
      </c>
      <c r="ER31" s="143">
        <f t="shared" ca="1" si="38"/>
        <v>-8.9726064496303937E-2</v>
      </c>
      <c r="ES31" s="143">
        <f t="shared" ca="1" si="38"/>
        <v>2.9245679385833754E-2</v>
      </c>
      <c r="ET31" s="143">
        <f t="shared" ca="1" si="38"/>
        <v>1.5892752888513113E-2</v>
      </c>
      <c r="EU31" s="143">
        <f t="shared" ca="1" si="38"/>
        <v>-0.1471119511513318</v>
      </c>
      <c r="EV31" s="143">
        <f t="shared" ca="1" si="38"/>
        <v>-6.882902110743544E-2</v>
      </c>
      <c r="EW31" s="143">
        <f t="shared" ca="1" si="38"/>
        <v>1.7063009195998412E-2</v>
      </c>
      <c r="EX31" s="143">
        <f t="shared" ca="1" si="38"/>
        <v>6.9322427209163484E-2</v>
      </c>
      <c r="EY31" s="143">
        <f t="shared" ca="1" si="38"/>
        <v>8.6225931363070968E-2</v>
      </c>
      <c r="EZ31" s="143">
        <f t="shared" ca="1" si="38"/>
        <v>0.10938441791524806</v>
      </c>
      <c r="FA31" s="143">
        <f t="shared" ca="1" si="38"/>
        <v>0.22673100106865601</v>
      </c>
      <c r="FB31" s="143">
        <f t="shared" ca="1" si="38"/>
        <v>0.14209863521356228</v>
      </c>
      <c r="FC31" s="143">
        <f t="shared" ca="1" si="38"/>
        <v>0.11324293081258444</v>
      </c>
      <c r="FD31" s="143">
        <f t="shared" ca="1" si="38"/>
        <v>5.248664918183505E-2</v>
      </c>
      <c r="FE31" s="143">
        <f t="shared" ca="1" si="38"/>
        <v>2.0754285471968326E-2</v>
      </c>
      <c r="FF31" s="143">
        <f t="shared" ca="1" si="38"/>
        <v>1.8367911693750006E-2</v>
      </c>
      <c r="FG31" s="143">
        <f t="shared" ca="1" si="38"/>
        <v>6.1216592856602775E-2</v>
      </c>
      <c r="FH31" s="143">
        <f t="shared" ca="1" si="38"/>
        <v>0.10815134891912946</v>
      </c>
      <c r="FI31" s="143">
        <f t="shared" ca="1" si="38"/>
        <v>-4.878345021934171E-2</v>
      </c>
      <c r="FJ31" s="143">
        <f t="shared" ca="1" si="38"/>
        <v>3.5598860545139478E-2</v>
      </c>
      <c r="FK31" s="143">
        <f t="shared" ca="1" si="38"/>
        <v>0.14731547489175936</v>
      </c>
      <c r="FL31" s="143">
        <f t="shared" ca="1" si="38"/>
        <v>8.0741334107048562E-3</v>
      </c>
      <c r="FM31" s="143">
        <f t="shared" ca="1" si="38"/>
        <v>-1.0517275680556659E-2</v>
      </c>
      <c r="FN31" s="143">
        <f t="shared" ca="1" si="38"/>
        <v>5.158307709558143E-2</v>
      </c>
      <c r="FO31" s="143">
        <f t="shared" ca="1" si="38"/>
        <v>4.008225171853172E-2</v>
      </c>
      <c r="FP31" s="143">
        <f t="shared" ca="1" si="38"/>
        <v>8.4240517439113594E-2</v>
      </c>
      <c r="FQ31" s="143">
        <f t="shared" ca="1" si="38"/>
        <v>0.10420779220278406</v>
      </c>
      <c r="FR31" s="143">
        <f t="shared" ca="1" si="38"/>
        <v>0.11362716855114574</v>
      </c>
      <c r="FS31" s="143">
        <f t="shared" ca="1" si="38"/>
        <v>-2.9964301213571902E-2</v>
      </c>
      <c r="FT31" s="143">
        <f t="shared" ca="1" si="38"/>
        <v>0.21931563592530975</v>
      </c>
      <c r="FU31" s="143">
        <f t="shared" ca="1" si="38"/>
        <v>2.9246763664270682E-2</v>
      </c>
      <c r="FV31" s="143">
        <f t="shared" ca="1" si="38"/>
        <v>0.13438333349866244</v>
      </c>
      <c r="FW31" s="143">
        <f t="shared" ca="1" si="38"/>
        <v>-4.0591748054958153E-2</v>
      </c>
      <c r="FX31" s="143">
        <f t="shared" ca="1" si="38"/>
        <v>1.0283956161875732E-2</v>
      </c>
      <c r="FY31" s="143">
        <f t="shared" ca="1" si="36"/>
        <v>2.8071987341331647E-2</v>
      </c>
      <c r="FZ31" s="143">
        <f t="shared" ca="1" si="36"/>
        <v>8.3677321509643965E-2</v>
      </c>
      <c r="GA31" s="143">
        <f t="shared" ca="1" si="36"/>
        <v>6.7649937954437134E-2</v>
      </c>
      <c r="GB31" s="143">
        <f t="shared" ca="1" si="36"/>
        <v>3.7847171503215558E-2</v>
      </c>
      <c r="GC31" s="143">
        <f t="shared" ca="1" si="36"/>
        <v>3.7045437054957157E-2</v>
      </c>
      <c r="GD31" s="143">
        <f t="shared" ca="1" si="36"/>
        <v>2.3568459234020508E-2</v>
      </c>
      <c r="GE31" s="143">
        <f t="shared" ca="1" si="36"/>
        <v>3.6121787872086399E-2</v>
      </c>
      <c r="GF31" s="143">
        <f t="shared" ca="1" si="36"/>
        <v>-0.12510682082717475</v>
      </c>
      <c r="GG31" s="143">
        <f t="shared" ca="1" si="36"/>
        <v>-8.654091970087921E-2</v>
      </c>
      <c r="GH31" s="143">
        <f t="shared" ca="1" si="36"/>
        <v>-2.8344902780851146E-2</v>
      </c>
      <c r="GI31" s="143">
        <f t="shared" ca="1" si="36"/>
        <v>8.011522623517138E-2</v>
      </c>
      <c r="GJ31" s="143">
        <f t="shared" ca="1" si="36"/>
        <v>-4.3794885939199384E-2</v>
      </c>
      <c r="GK31" s="143">
        <f t="shared" ca="1" si="36"/>
        <v>7.7257093964119616E-2</v>
      </c>
      <c r="GL31" s="143">
        <f t="shared" ca="1" si="36"/>
        <v>-8.7646649705402174E-2</v>
      </c>
      <c r="GM31" s="143">
        <f t="shared" ca="1" si="36"/>
        <v>-2.6541854568378632E-2</v>
      </c>
      <c r="GN31" s="143">
        <f t="shared" ca="1" si="36"/>
        <v>-1.4495762584275929E-3</v>
      </c>
      <c r="GO31" s="143">
        <f t="shared" ca="1" si="36"/>
        <v>-0.1002454918428442</v>
      </c>
      <c r="GP31" s="143">
        <f t="shared" ca="1" si="36"/>
        <v>0.11002696389234488</v>
      </c>
      <c r="GQ31" s="143">
        <f t="shared" ca="1" si="36"/>
        <v>-4.9891869265154452E-2</v>
      </c>
      <c r="GR31" s="143">
        <f t="shared" ca="1" si="36"/>
        <v>1.8424231935618391E-2</v>
      </c>
      <c r="GS31" s="143">
        <f t="shared" ca="1" si="36"/>
        <v>-1.7921323983453689E-2</v>
      </c>
      <c r="GT31" s="143">
        <f t="shared" ca="1" si="36"/>
        <v>-1.9888978171385345E-2</v>
      </c>
      <c r="GU31" s="143">
        <f t="shared" ca="1" si="36"/>
        <v>0.19805122995851071</v>
      </c>
      <c r="GV31" s="143">
        <f t="shared" ca="1" si="36"/>
        <v>5.7879014005392498E-2</v>
      </c>
      <c r="GW31" s="143">
        <f t="shared" ca="1" si="36"/>
        <v>6.3756547130332283E-2</v>
      </c>
      <c r="GX31" s="143">
        <f t="shared" ca="1" si="36"/>
        <v>0.14739006020930798</v>
      </c>
      <c r="GY31" s="143">
        <f t="shared" ca="1" si="36"/>
        <v>8.4774578313939697E-2</v>
      </c>
      <c r="GZ31" s="143">
        <f t="shared" ca="1" si="36"/>
        <v>-8.2164417076068058E-2</v>
      </c>
      <c r="HA31" s="143">
        <f t="shared" ca="1" si="36"/>
        <v>9.8341550580987369E-2</v>
      </c>
      <c r="HB31" s="143">
        <f t="shared" ca="1" si="36"/>
        <v>8.7739118838754931E-2</v>
      </c>
      <c r="HC31" s="143">
        <f t="shared" ca="1" si="36"/>
        <v>0.1155499721890921</v>
      </c>
      <c r="HD31" s="143">
        <f t="shared" ca="1" si="36"/>
        <v>-7.7222295237848321E-2</v>
      </c>
      <c r="HE31" s="143">
        <f t="shared" ca="1" si="36"/>
        <v>-3.3124456608917073E-2</v>
      </c>
      <c r="HF31" s="143">
        <f t="shared" ca="1" si="36"/>
        <v>4.9302965887617275E-2</v>
      </c>
      <c r="HG31" s="143">
        <f t="shared" ca="1" si="36"/>
        <v>5.5753924060614586E-2</v>
      </c>
    </row>
    <row r="32" spans="1:215">
      <c r="A32" s="90">
        <v>1958</v>
      </c>
      <c r="B32" s="84">
        <v>0.43719954988747184</v>
      </c>
      <c r="C32" s="85">
        <v>0.69349999999999989</v>
      </c>
      <c r="D32" s="83">
        <f t="shared" si="4"/>
        <v>0.48845963990997743</v>
      </c>
      <c r="E32" s="85"/>
      <c r="F32" s="85"/>
      <c r="G32" s="85">
        <v>1.7665461847389558E-2</v>
      </c>
      <c r="H32" s="85">
        <v>-2.0990181755274694E-2</v>
      </c>
      <c r="I32" s="85">
        <v>6.4300928973360261E-2</v>
      </c>
      <c r="J32" s="85">
        <v>4.2918454935620964E-3</v>
      </c>
      <c r="M32" s="115">
        <f t="shared" si="7"/>
        <v>81</v>
      </c>
      <c r="N32" s="143">
        <f t="shared" ca="1" si="31"/>
        <v>0.13663095696111902</v>
      </c>
      <c r="O32" s="143">
        <f t="shared" ca="1" si="37"/>
        <v>0.43856863466485052</v>
      </c>
      <c r="P32" s="143">
        <f t="shared" ca="1" si="37"/>
        <v>0.17863861072397652</v>
      </c>
      <c r="Q32" s="143">
        <f t="shared" ca="1" si="37"/>
        <v>-7.1707627949401248E-2</v>
      </c>
      <c r="R32" s="143">
        <f t="shared" ca="1" si="37"/>
        <v>-0.17279088871753198</v>
      </c>
      <c r="S32" s="143">
        <f t="shared" ca="1" si="37"/>
        <v>9.0987675508516219E-2</v>
      </c>
      <c r="T32" s="143">
        <f t="shared" ca="1" si="37"/>
        <v>-0.13682705113086571</v>
      </c>
      <c r="U32" s="143">
        <f t="shared" ca="1" si="37"/>
        <v>8.2886133941066004E-2</v>
      </c>
      <c r="V32" s="143">
        <f t="shared" ca="1" si="37"/>
        <v>-5.3145274133725329E-2</v>
      </c>
      <c r="W32" s="143">
        <f t="shared" ca="1" si="37"/>
        <v>4.868134009976615E-2</v>
      </c>
      <c r="X32" s="143">
        <f t="shared" ca="1" si="37"/>
        <v>0.16812859136466918</v>
      </c>
      <c r="Y32" s="143">
        <f t="shared" ca="1" si="37"/>
        <v>-0.1796154145016203</v>
      </c>
      <c r="Z32" s="143">
        <f t="shared" ca="1" si="37"/>
        <v>0.18289366716719413</v>
      </c>
      <c r="AA32" s="143">
        <f t="shared" ca="1" si="37"/>
        <v>0.2278954759188106</v>
      </c>
      <c r="AB32" s="143">
        <f t="shared" ca="1" si="37"/>
        <v>0.11267780603348432</v>
      </c>
      <c r="AC32" s="143">
        <f t="shared" ca="1" si="37"/>
        <v>-0.12708910873539997</v>
      </c>
      <c r="AD32" s="143">
        <f t="shared" ca="1" si="37"/>
        <v>-3.0864166494744022E-2</v>
      </c>
      <c r="AE32" s="143">
        <f t="shared" ca="1" si="37"/>
        <v>1.9173172199206528E-2</v>
      </c>
      <c r="AF32" s="143">
        <f t="shared" ca="1" si="37"/>
        <v>0.17707421778463223</v>
      </c>
      <c r="AG32" s="143">
        <f t="shared" ca="1" si="37"/>
        <v>0.13444357136153895</v>
      </c>
      <c r="AH32" s="143">
        <f t="shared" ca="1" si="37"/>
        <v>0.23915780730122235</v>
      </c>
      <c r="AI32" s="143">
        <f t="shared" ca="1" si="37"/>
        <v>0.39424207395179212</v>
      </c>
      <c r="AJ32" s="143">
        <f t="shared" ca="1" si="37"/>
        <v>-9.7378368811305627E-2</v>
      </c>
      <c r="AK32" s="143">
        <f t="shared" ca="1" si="37"/>
        <v>-4.3900656126986626E-2</v>
      </c>
      <c r="AL32" s="143">
        <f t="shared" ca="1" si="37"/>
        <v>0.12605894339379245</v>
      </c>
      <c r="AM32" s="143">
        <f t="shared" ca="1" si="37"/>
        <v>0.39174483629759305</v>
      </c>
      <c r="AN32" s="143">
        <f t="shared" ca="1" si="37"/>
        <v>0.37222727333178518</v>
      </c>
      <c r="AO32" s="143">
        <f t="shared" ca="1" si="37"/>
        <v>0.14598508739469859</v>
      </c>
      <c r="AP32" s="143">
        <f t="shared" ca="1" si="37"/>
        <v>0.29959732180965859</v>
      </c>
      <c r="AQ32" s="143">
        <f t="shared" ca="1" si="37"/>
        <v>3.0368176229578991E-2</v>
      </c>
      <c r="AR32" s="143">
        <f t="shared" ca="1" si="37"/>
        <v>9.8550813896503511E-2</v>
      </c>
      <c r="AS32" s="143">
        <f t="shared" ca="1" si="37"/>
        <v>0.3550974307611775</v>
      </c>
      <c r="AT32" s="143">
        <f t="shared" ca="1" si="37"/>
        <v>0.11463767289232626</v>
      </c>
      <c r="AU32" s="143">
        <f t="shared" ca="1" si="37"/>
        <v>-4.453915515436685E-2</v>
      </c>
      <c r="AV32" s="143">
        <f t="shared" ca="1" si="37"/>
        <v>-9.099527383739861E-2</v>
      </c>
      <c r="AW32" s="143">
        <f t="shared" ca="1" si="37"/>
        <v>-6.2700105845461956E-2</v>
      </c>
      <c r="AX32" s="143">
        <f t="shared" ca="1" si="37"/>
        <v>0.27966359777917782</v>
      </c>
      <c r="AY32" s="143">
        <f t="shared" ca="1" si="37"/>
        <v>0.23329768788479741</v>
      </c>
      <c r="AZ32" s="143">
        <f t="shared" ca="1" si="37"/>
        <v>2.743162282747226E-2</v>
      </c>
      <c r="BA32" s="143">
        <f t="shared" ca="1" si="37"/>
        <v>6.4026010401972852E-2</v>
      </c>
      <c r="BB32" s="143">
        <f t="shared" ca="1" si="37"/>
        <v>0.16717435480556303</v>
      </c>
      <c r="BC32" s="143">
        <f t="shared" ca="1" si="37"/>
        <v>1.1472568827883736E-2</v>
      </c>
      <c r="BD32" s="143">
        <f t="shared" ca="1" si="37"/>
        <v>0.44778779068203711</v>
      </c>
      <c r="BE32" s="143">
        <f t="shared" ca="1" si="37"/>
        <v>0.10598811769724865</v>
      </c>
      <c r="BF32" s="143">
        <f t="shared" ca="1" si="37"/>
        <v>-0.18151346984269009</v>
      </c>
      <c r="BG32" s="143">
        <f t="shared" ca="1" si="37"/>
        <v>-0.14143419555896325</v>
      </c>
      <c r="BH32" s="143">
        <f t="shared" ca="1" si="37"/>
        <v>-0.11220263011326789</v>
      </c>
      <c r="BI32" s="143">
        <f t="shared" ca="1" si="37"/>
        <v>0.2375942751838041</v>
      </c>
      <c r="BJ32" s="143">
        <f t="shared" ca="1" si="37"/>
        <v>0.39529883570855495</v>
      </c>
      <c r="BK32" s="143">
        <f t="shared" ca="1" si="37"/>
        <v>5.2181883087632414E-2</v>
      </c>
      <c r="BL32" s="143">
        <f t="shared" ca="1" si="37"/>
        <v>0.23754536395649362</v>
      </c>
      <c r="BM32" s="143">
        <f t="shared" ca="1" si="37"/>
        <v>-5.8699273162279852E-5</v>
      </c>
      <c r="BN32" s="143">
        <f t="shared" ca="1" si="37"/>
        <v>0.16434885133923927</v>
      </c>
      <c r="BO32" s="143">
        <f t="shared" ca="1" si="37"/>
        <v>-0.27547078716146045</v>
      </c>
      <c r="BP32" s="143">
        <f t="shared" ca="1" si="37"/>
        <v>0.3166579453348678</v>
      </c>
      <c r="BQ32" s="143">
        <f t="shared" ca="1" si="37"/>
        <v>0.4222589027566529</v>
      </c>
      <c r="BR32" s="143">
        <f t="shared" ca="1" si="37"/>
        <v>0.5059533097129929</v>
      </c>
      <c r="BS32" s="143">
        <f t="shared" ca="1" si="37"/>
        <v>0.39795592428566862</v>
      </c>
      <c r="BT32" s="143">
        <f t="shared" ca="1" si="37"/>
        <v>-2.1276586174214865E-2</v>
      </c>
      <c r="BU32" s="143">
        <f t="shared" ca="1" si="37"/>
        <v>-8.1060574699654664E-2</v>
      </c>
      <c r="BV32" s="143">
        <f t="shared" ca="1" si="37"/>
        <v>3.91121650418709E-3</v>
      </c>
      <c r="BW32" s="143">
        <f t="shared" ca="1" si="37"/>
        <v>0.1177384612058949</v>
      </c>
      <c r="BX32" s="143">
        <f t="shared" ca="1" si="37"/>
        <v>1.4243810606432997E-2</v>
      </c>
      <c r="BY32" s="143">
        <f t="shared" ca="1" si="37"/>
        <v>-7.1109736139152002E-2</v>
      </c>
      <c r="BZ32" s="143">
        <f t="shared" ca="1" si="37"/>
        <v>-0.12629036984273531</v>
      </c>
      <c r="CA32" s="143">
        <f t="shared" ca="1" si="35"/>
        <v>0.12400998113287823</v>
      </c>
      <c r="CB32" s="143">
        <f t="shared" ca="1" si="35"/>
        <v>3.9630256755652501E-2</v>
      </c>
      <c r="CC32" s="143">
        <f t="shared" ca="1" si="35"/>
        <v>0.10142256367016016</v>
      </c>
      <c r="CD32" s="143">
        <f t="shared" ca="1" si="35"/>
        <v>-6.8046816994400516E-2</v>
      </c>
      <c r="CE32" s="143">
        <f t="shared" ca="1" si="35"/>
        <v>2.8022196619601203E-2</v>
      </c>
      <c r="CF32" s="143">
        <f t="shared" ca="1" si="35"/>
        <v>0.3107521710637059</v>
      </c>
      <c r="CG32" s="143">
        <f t="shared" ca="1" si="35"/>
        <v>0.17566948710140401</v>
      </c>
      <c r="CH32" s="143">
        <f t="shared" ca="1" si="35"/>
        <v>0.11891241743707037</v>
      </c>
      <c r="CI32" s="143">
        <f t="shared" ca="1" si="35"/>
        <v>-0.15366950289520445</v>
      </c>
      <c r="CJ32" s="143">
        <f t="shared" ca="1" si="35"/>
        <v>-2.9880865572207899E-2</v>
      </c>
      <c r="CK32" s="143">
        <f t="shared" ca="1" si="35"/>
        <v>0.15854596470792037</v>
      </c>
      <c r="CL32" s="143">
        <f t="shared" ca="1" si="35"/>
        <v>-3.2603694484872547E-2</v>
      </c>
      <c r="CM32" s="143">
        <f t="shared" ca="1" si="35"/>
        <v>1.0149861972015159E-2</v>
      </c>
      <c r="CN32" s="143">
        <f t="shared" ca="1" si="35"/>
        <v>3.9667485104869268E-2</v>
      </c>
      <c r="CO32" s="143">
        <f t="shared" ca="1" si="35"/>
        <v>0.1481677095153256</v>
      </c>
      <c r="CP32" s="143">
        <f t="shared" ca="1" si="35"/>
        <v>-0.10475000027450251</v>
      </c>
      <c r="CQ32" s="143">
        <f t="shared" ca="1" si="35"/>
        <v>-2.8291145172426813E-2</v>
      </c>
      <c r="CR32" s="143">
        <f t="shared" ca="1" si="35"/>
        <v>0.52717498157217968</v>
      </c>
      <c r="CS32" s="143">
        <f t="shared" ca="1" si="35"/>
        <v>0.10604893556594909</v>
      </c>
      <c r="CT32" s="143">
        <f t="shared" ca="1" si="35"/>
        <v>0.19704761548510658</v>
      </c>
      <c r="CU32" s="143">
        <f t="shared" ca="1" si="35"/>
        <v>-0.10550126170379692</v>
      </c>
      <c r="CV32" s="143">
        <f t="shared" ca="1" si="35"/>
        <v>0.23977699763600474</v>
      </c>
      <c r="CW32" s="143">
        <f t="shared" ca="1" si="35"/>
        <v>1.9462644700025206E-2</v>
      </c>
      <c r="CX32" s="143">
        <f t="shared" ca="1" si="35"/>
        <v>-5.8958691175928002E-2</v>
      </c>
      <c r="CY32" s="143">
        <f t="shared" ca="1" si="35"/>
        <v>8.4277577860284433E-2</v>
      </c>
      <c r="CZ32" s="143">
        <f t="shared" ca="1" si="35"/>
        <v>-0.18138672284282617</v>
      </c>
      <c r="DA32" s="143">
        <f t="shared" ca="1" si="35"/>
        <v>-0.15890316322544981</v>
      </c>
      <c r="DB32" s="143">
        <f t="shared" ca="1" si="35"/>
        <v>0.34146861131054096</v>
      </c>
      <c r="DC32" s="143">
        <f t="shared" ca="1" si="35"/>
        <v>0.71340979674200034</v>
      </c>
      <c r="DD32" s="143">
        <f t="shared" ca="1" si="35"/>
        <v>0.4895818219316459</v>
      </c>
      <c r="DE32" s="143">
        <f t="shared" ca="1" si="35"/>
        <v>6.0938128745863233E-2</v>
      </c>
      <c r="DF32" s="143">
        <f t="shared" ca="1" si="35"/>
        <v>0.16436020762728618</v>
      </c>
      <c r="DG32" s="143">
        <f t="shared" ca="1" si="35"/>
        <v>0.14420137336132105</v>
      </c>
      <c r="DH32" s="143">
        <f t="shared" ca="1" si="35"/>
        <v>0.24810104609616102</v>
      </c>
      <c r="DI32" s="143">
        <f t="shared" ca="1" si="35"/>
        <v>0.11950941923941867</v>
      </c>
      <c r="DK32" s="115">
        <f t="shared" si="8"/>
        <v>81</v>
      </c>
      <c r="DL32" s="143">
        <f t="shared" ca="1" si="33"/>
        <v>1.0026409261619539E-2</v>
      </c>
      <c r="DM32" s="143">
        <f t="shared" ca="1" si="38"/>
        <v>2.771025089464094E-2</v>
      </c>
      <c r="DN32" s="143">
        <f t="shared" ca="1" si="38"/>
        <v>7.8345690785748948E-2</v>
      </c>
      <c r="DO32" s="143">
        <f t="shared" ca="1" si="38"/>
        <v>5.7692673198980207E-2</v>
      </c>
      <c r="DP32" s="143">
        <f t="shared" ca="1" si="38"/>
        <v>5.9754147165288957E-2</v>
      </c>
      <c r="DQ32" s="143">
        <f t="shared" ca="1" si="38"/>
        <v>-5.7757354788803762E-2</v>
      </c>
      <c r="DR32" s="143">
        <f t="shared" ca="1" si="38"/>
        <v>7.0385736238536639E-2</v>
      </c>
      <c r="DS32" s="143">
        <f t="shared" ca="1" si="38"/>
        <v>7.9451586970313681E-2</v>
      </c>
      <c r="DT32" s="143">
        <f t="shared" ca="1" si="38"/>
        <v>3.5604733604720176E-2</v>
      </c>
      <c r="DU32" s="143">
        <f t="shared" ca="1" si="38"/>
        <v>5.0075463991397298E-2</v>
      </c>
      <c r="DV32" s="143">
        <f t="shared" ca="1" si="38"/>
        <v>2.25726672792987E-3</v>
      </c>
      <c r="DW32" s="143">
        <f t="shared" ca="1" si="38"/>
        <v>0.16340421040635331</v>
      </c>
      <c r="DX32" s="143">
        <f t="shared" ca="1" si="38"/>
        <v>3.3686936565822972E-2</v>
      </c>
      <c r="DY32" s="143">
        <f t="shared" ca="1" si="38"/>
        <v>4.8028075587235375E-2</v>
      </c>
      <c r="DZ32" s="143">
        <f t="shared" ca="1" si="38"/>
        <v>-1.7635089180140916E-2</v>
      </c>
      <c r="EA32" s="143">
        <f t="shared" ca="1" si="38"/>
        <v>0.1458880346537772</v>
      </c>
      <c r="EB32" s="143">
        <f t="shared" ca="1" si="38"/>
        <v>2.6952212098518148E-2</v>
      </c>
      <c r="EC32" s="143">
        <f t="shared" ca="1" si="38"/>
        <v>4.7236684598895684E-2</v>
      </c>
      <c r="ED32" s="143">
        <f t="shared" ca="1" si="38"/>
        <v>2.1935511684202231E-2</v>
      </c>
      <c r="EE32" s="143">
        <f t="shared" ca="1" si="38"/>
        <v>7.223351562486785E-2</v>
      </c>
      <c r="EF32" s="143">
        <f t="shared" ca="1" si="38"/>
        <v>-1.0074099177993505E-2</v>
      </c>
      <c r="EG32" s="143">
        <f t="shared" ca="1" si="38"/>
        <v>0.1745366080167976</v>
      </c>
      <c r="EH32" s="143">
        <f t="shared" ca="1" si="38"/>
        <v>5.7532461810642067E-2</v>
      </c>
      <c r="EI32" s="143">
        <f t="shared" ca="1" si="38"/>
        <v>6.6578626549837761E-2</v>
      </c>
      <c r="EJ32" s="143">
        <f t="shared" ca="1" si="38"/>
        <v>4.5695573067228365E-3</v>
      </c>
      <c r="EK32" s="143">
        <f t="shared" ca="1" si="38"/>
        <v>0.14015996068532424</v>
      </c>
      <c r="EL32" s="143">
        <f t="shared" ca="1" si="38"/>
        <v>-1.238279414612059E-2</v>
      </c>
      <c r="EM32" s="143">
        <f t="shared" ca="1" si="38"/>
        <v>-7.2174365688586553E-3</v>
      </c>
      <c r="EN32" s="143">
        <f t="shared" ca="1" si="38"/>
        <v>-3.3755394203825312E-3</v>
      </c>
      <c r="EO32" s="143">
        <f t="shared" ca="1" si="38"/>
        <v>-1.1125304741532546E-2</v>
      </c>
      <c r="EP32" s="143">
        <f t="shared" ca="1" si="38"/>
        <v>-4.5786392076323977E-2</v>
      </c>
      <c r="EQ32" s="143">
        <f t="shared" ca="1" si="38"/>
        <v>-1.5664823399498796E-2</v>
      </c>
      <c r="ER32" s="143">
        <f t="shared" ca="1" si="38"/>
        <v>1.1807372713872943E-2</v>
      </c>
      <c r="ES32" s="143">
        <f t="shared" ca="1" si="38"/>
        <v>0.19865165417908845</v>
      </c>
      <c r="ET32" s="143">
        <f t="shared" ca="1" si="38"/>
        <v>-0.12339636482446151</v>
      </c>
      <c r="EU32" s="143">
        <f t="shared" ca="1" si="38"/>
        <v>0.2223214460518729</v>
      </c>
      <c r="EV32" s="143">
        <f t="shared" ca="1" si="38"/>
        <v>6.7106058915518532E-2</v>
      </c>
      <c r="EW32" s="143">
        <f t="shared" ca="1" si="38"/>
        <v>9.5426222263100491E-2</v>
      </c>
      <c r="EX32" s="143">
        <f t="shared" ca="1" si="38"/>
        <v>3.1482066435338782E-2</v>
      </c>
      <c r="EY32" s="143">
        <f t="shared" ca="1" si="38"/>
        <v>0.13754027356638809</v>
      </c>
      <c r="EZ32" s="143">
        <f t="shared" ca="1" si="38"/>
        <v>0.11179389006943632</v>
      </c>
      <c r="FA32" s="143">
        <f t="shared" ca="1" si="38"/>
        <v>-0.12274252826656887</v>
      </c>
      <c r="FB32" s="143">
        <f t="shared" ca="1" si="38"/>
        <v>9.3946030140476866E-2</v>
      </c>
      <c r="FC32" s="143">
        <f t="shared" ca="1" si="38"/>
        <v>7.5270394681346914E-2</v>
      </c>
      <c r="FD32" s="143">
        <f t="shared" ca="1" si="38"/>
        <v>5.0688996356795107E-3</v>
      </c>
      <c r="FE32" s="143">
        <f t="shared" ca="1" si="38"/>
        <v>0.11612233376926054</v>
      </c>
      <c r="FF32" s="143">
        <f t="shared" ca="1" si="38"/>
        <v>-2.7212169294154466E-2</v>
      </c>
      <c r="FG32" s="143">
        <f t="shared" ca="1" si="38"/>
        <v>0.17622377412958681</v>
      </c>
      <c r="FH32" s="143">
        <f t="shared" ca="1" si="38"/>
        <v>3.6009875897807693E-2</v>
      </c>
      <c r="FI32" s="143">
        <f t="shared" ca="1" si="38"/>
        <v>0.10588465063051544</v>
      </c>
      <c r="FJ32" s="143">
        <f t="shared" ca="1" si="38"/>
        <v>5.1433841400460999E-2</v>
      </c>
      <c r="FK32" s="143">
        <f t="shared" ca="1" si="38"/>
        <v>-6.8111448820835752E-2</v>
      </c>
      <c r="FL32" s="143">
        <f t="shared" ca="1" si="38"/>
        <v>3.6979109358085474E-3</v>
      </c>
      <c r="FM32" s="143">
        <f t="shared" ca="1" si="38"/>
        <v>9.2559758570685158E-2</v>
      </c>
      <c r="FN32" s="143">
        <f t="shared" ca="1" si="38"/>
        <v>0.2579453757740508</v>
      </c>
      <c r="FO32" s="143">
        <f t="shared" ca="1" si="38"/>
        <v>2.8727762360159278E-2</v>
      </c>
      <c r="FP32" s="143">
        <f t="shared" ca="1" si="38"/>
        <v>-9.6204802359545066E-3</v>
      </c>
      <c r="FQ32" s="143">
        <f t="shared" ca="1" si="38"/>
        <v>8.2739179094235768E-2</v>
      </c>
      <c r="FR32" s="143">
        <f t="shared" ca="1" si="38"/>
        <v>-1.6690731554981346E-2</v>
      </c>
      <c r="FS32" s="143">
        <f t="shared" ca="1" si="38"/>
        <v>0.15651794485910209</v>
      </c>
      <c r="FT32" s="143">
        <f t="shared" ca="1" si="38"/>
        <v>2.8839325968725429E-2</v>
      </c>
      <c r="FU32" s="143">
        <f t="shared" ca="1" si="38"/>
        <v>-2.0335859050264297E-2</v>
      </c>
      <c r="FV32" s="143">
        <f t="shared" ca="1" si="38"/>
        <v>4.8640837067166404E-2</v>
      </c>
      <c r="FW32" s="143">
        <f t="shared" ca="1" si="38"/>
        <v>-2.7549016551435546E-3</v>
      </c>
      <c r="FX32" s="143">
        <f t="shared" ca="1" si="38"/>
        <v>-5.697107571921111E-2</v>
      </c>
      <c r="FY32" s="143">
        <f t="shared" ca="1" si="36"/>
        <v>0.12445740651652881</v>
      </c>
      <c r="FZ32" s="143">
        <f t="shared" ca="1" si="36"/>
        <v>-0.13829358208388587</v>
      </c>
      <c r="GA32" s="143">
        <f t="shared" ca="1" si="36"/>
        <v>1.8631276803019885E-2</v>
      </c>
      <c r="GB32" s="143">
        <f t="shared" ca="1" si="36"/>
        <v>-0.10738995479872529</v>
      </c>
      <c r="GC32" s="143">
        <f t="shared" ca="1" si="36"/>
        <v>2.2356618213980398E-3</v>
      </c>
      <c r="GD32" s="143">
        <f t="shared" ca="1" si="36"/>
        <v>0.23122916477469391</v>
      </c>
      <c r="GE32" s="143">
        <f t="shared" ca="1" si="36"/>
        <v>6.018573149564168E-2</v>
      </c>
      <c r="GF32" s="143">
        <f t="shared" ca="1" si="36"/>
        <v>1.913451244926602E-2</v>
      </c>
      <c r="GG32" s="143">
        <f t="shared" ca="1" si="36"/>
        <v>3.3896421352617015E-2</v>
      </c>
      <c r="GH32" s="143">
        <f t="shared" ca="1" si="36"/>
        <v>-3.7619270463749854E-3</v>
      </c>
      <c r="GI32" s="143">
        <f t="shared" ca="1" si="36"/>
        <v>-7.0453323467960627E-2</v>
      </c>
      <c r="GJ32" s="143">
        <f t="shared" ca="1" si="36"/>
        <v>2.0387402705914163E-2</v>
      </c>
      <c r="GK32" s="143">
        <f t="shared" ca="1" si="36"/>
        <v>0.1185018514926989</v>
      </c>
      <c r="GL32" s="143">
        <f t="shared" ca="1" si="36"/>
        <v>-0.1557657044567044</v>
      </c>
      <c r="GM32" s="143">
        <f t="shared" ca="1" si="36"/>
        <v>3.8917288282797106E-2</v>
      </c>
      <c r="GN32" s="143">
        <f t="shared" ca="1" si="36"/>
        <v>7.5000632200850209E-2</v>
      </c>
      <c r="GO32" s="143">
        <f t="shared" ca="1" si="36"/>
        <v>4.6385811450331167E-2</v>
      </c>
      <c r="GP32" s="143">
        <f t="shared" ca="1" si="36"/>
        <v>8.4359446169542412E-2</v>
      </c>
      <c r="GQ32" s="143">
        <f t="shared" ca="1" si="36"/>
        <v>4.5519407741512405E-3</v>
      </c>
      <c r="GR32" s="143">
        <f t="shared" ca="1" si="36"/>
        <v>1.7623960891796665E-2</v>
      </c>
      <c r="GS32" s="143">
        <f t="shared" ca="1" si="36"/>
        <v>-4.9243540491854747E-2</v>
      </c>
      <c r="GT32" s="143">
        <f t="shared" ca="1" si="36"/>
        <v>2.8509111165176196E-2</v>
      </c>
      <c r="GU32" s="143">
        <f t="shared" ca="1" si="36"/>
        <v>7.3704106089038518E-2</v>
      </c>
      <c r="GV32" s="143">
        <f t="shared" ca="1" si="36"/>
        <v>0.11345730180863023</v>
      </c>
      <c r="GW32" s="143">
        <f t="shared" ca="1" si="36"/>
        <v>0.10238181145393911</v>
      </c>
      <c r="GX32" s="143">
        <f t="shared" ca="1" si="36"/>
        <v>0.12414683759767015</v>
      </c>
      <c r="GY32" s="143">
        <f t="shared" ca="1" si="36"/>
        <v>8.8226059629071998E-2</v>
      </c>
      <c r="GZ32" s="143">
        <f t="shared" ca="1" si="36"/>
        <v>1.1898211699754982E-2</v>
      </c>
      <c r="HA32" s="143">
        <f t="shared" ca="1" si="36"/>
        <v>0.14667753150265395</v>
      </c>
      <c r="HB32" s="143">
        <f t="shared" ca="1" si="36"/>
        <v>-2.4039732102855496E-3</v>
      </c>
      <c r="HC32" s="143">
        <f t="shared" ca="1" si="36"/>
        <v>2.3254874971634303E-2</v>
      </c>
      <c r="HD32" s="143">
        <f t="shared" ca="1" si="36"/>
        <v>-6.0662414726956417E-2</v>
      </c>
      <c r="HE32" s="143">
        <f t="shared" ca="1" si="36"/>
        <v>8.1762193193839622E-2</v>
      </c>
      <c r="HF32" s="143">
        <f t="shared" ca="1" si="36"/>
        <v>0.13178004511925318</v>
      </c>
      <c r="HG32" s="143">
        <f t="shared" ca="1" si="36"/>
        <v>-1.7839362764821239E-2</v>
      </c>
    </row>
    <row r="33" spans="1:215">
      <c r="A33" s="90">
        <v>1959</v>
      </c>
      <c r="B33" s="84">
        <v>0.12056457163557326</v>
      </c>
      <c r="C33" s="85">
        <v>0.12740000000000001</v>
      </c>
      <c r="D33" s="83">
        <f t="shared" si="4"/>
        <v>0.12193165730845862</v>
      </c>
      <c r="E33" s="85"/>
      <c r="F33" s="85"/>
      <c r="G33" s="85">
        <v>3.3860159362549803E-2</v>
      </c>
      <c r="H33" s="85">
        <v>-2.6466312591385065E-2</v>
      </c>
      <c r="I33" s="85">
        <v>1.5743430895022732E-2</v>
      </c>
      <c r="J33" s="85">
        <v>0</v>
      </c>
      <c r="M33" s="115">
        <f t="shared" si="7"/>
        <v>82</v>
      </c>
      <c r="N33" s="143">
        <f t="shared" ca="1" si="31"/>
        <v>0.12815198121263133</v>
      </c>
      <c r="O33" s="143">
        <f t="shared" ca="1" si="37"/>
        <v>6.1443799576794855E-2</v>
      </c>
      <c r="P33" s="143">
        <f t="shared" ca="1" si="37"/>
        <v>0.19820678513757037</v>
      </c>
      <c r="Q33" s="143">
        <f t="shared" ca="1" si="37"/>
        <v>-0.17466731378164083</v>
      </c>
      <c r="R33" s="143">
        <f t="shared" ca="1" si="37"/>
        <v>-8.1418519656778543E-2</v>
      </c>
      <c r="S33" s="143">
        <f t="shared" ca="1" si="37"/>
        <v>-0.11059622302247635</v>
      </c>
      <c r="T33" s="143">
        <f t="shared" ca="1" si="37"/>
        <v>-0.30286108690732294</v>
      </c>
      <c r="U33" s="143">
        <f t="shared" ca="1" si="37"/>
        <v>8.4756728988390304E-2</v>
      </c>
      <c r="V33" s="143">
        <f t="shared" ca="1" si="37"/>
        <v>0.20665513935531338</v>
      </c>
      <c r="W33" s="143">
        <f t="shared" ca="1" si="37"/>
        <v>-5.1283022534154565E-2</v>
      </c>
      <c r="X33" s="143">
        <f t="shared" ca="1" si="37"/>
        <v>-0.10978571484947691</v>
      </c>
      <c r="Y33" s="143">
        <f t="shared" ca="1" si="37"/>
        <v>0.20021021395663757</v>
      </c>
      <c r="Z33" s="143">
        <f t="shared" ca="1" si="37"/>
        <v>-7.839401360529602E-2</v>
      </c>
      <c r="AA33" s="143">
        <f t="shared" ca="1" si="37"/>
        <v>0.13516691175839174</v>
      </c>
      <c r="AB33" s="143">
        <f t="shared" ca="1" si="37"/>
        <v>-7.7123920497925491E-2</v>
      </c>
      <c r="AC33" s="143">
        <f t="shared" ca="1" si="37"/>
        <v>-7.2929932976343315E-3</v>
      </c>
      <c r="AD33" s="143">
        <f t="shared" ca="1" si="37"/>
        <v>-7.7615776720087515E-2</v>
      </c>
      <c r="AE33" s="143">
        <f t="shared" ca="1" si="37"/>
        <v>0.10690117834249629</v>
      </c>
      <c r="AF33" s="143">
        <f t="shared" ca="1" si="37"/>
        <v>6.5923841214622372E-2</v>
      </c>
      <c r="AG33" s="143">
        <f t="shared" ca="1" si="37"/>
        <v>-0.48373339960888972</v>
      </c>
      <c r="AH33" s="143">
        <f t="shared" ca="1" si="37"/>
        <v>0.14399400309129656</v>
      </c>
      <c r="AI33" s="143">
        <f t="shared" ca="1" si="37"/>
        <v>0.33741935172202298</v>
      </c>
      <c r="AJ33" s="143">
        <f t="shared" ca="1" si="37"/>
        <v>-8.2201607711174934E-2</v>
      </c>
      <c r="AK33" s="143">
        <f t="shared" ca="1" si="37"/>
        <v>3.8686317347605977E-2</v>
      </c>
      <c r="AL33" s="143">
        <f t="shared" ca="1" si="37"/>
        <v>0.15162348776208842</v>
      </c>
      <c r="AM33" s="143">
        <f t="shared" ca="1" si="37"/>
        <v>7.564043380162179E-2</v>
      </c>
      <c r="AN33" s="143">
        <f t="shared" ca="1" si="37"/>
        <v>6.9652648654909388E-2</v>
      </c>
      <c r="AO33" s="143">
        <f t="shared" ca="1" si="37"/>
        <v>0.12624892112857672</v>
      </c>
      <c r="AP33" s="143">
        <f t="shared" ca="1" si="37"/>
        <v>0.15888587884015898</v>
      </c>
      <c r="AQ33" s="143">
        <f t="shared" ca="1" si="37"/>
        <v>-6.060543261064863E-2</v>
      </c>
      <c r="AR33" s="143">
        <f t="shared" ca="1" si="37"/>
        <v>5.2826446940783159E-2</v>
      </c>
      <c r="AS33" s="143">
        <f t="shared" ca="1" si="37"/>
        <v>-8.8215778795047717E-4</v>
      </c>
      <c r="AT33" s="143">
        <f t="shared" ca="1" si="37"/>
        <v>-9.4381608894193836E-2</v>
      </c>
      <c r="AU33" s="143">
        <f t="shared" ca="1" si="37"/>
        <v>0.18659413073629727</v>
      </c>
      <c r="AV33" s="143">
        <f t="shared" ca="1" si="37"/>
        <v>3.1574659297996299E-2</v>
      </c>
      <c r="AW33" s="143">
        <f t="shared" ca="1" si="37"/>
        <v>-9.1222449725425619E-2</v>
      </c>
      <c r="AX33" s="143">
        <f t="shared" ca="1" si="37"/>
        <v>0.19183702309038336</v>
      </c>
      <c r="AY33" s="143">
        <f t="shared" ca="1" si="37"/>
        <v>0.18222435373117002</v>
      </c>
      <c r="AZ33" s="143">
        <f t="shared" ca="1" si="37"/>
        <v>5.4741901532064867E-2</v>
      </c>
      <c r="BA33" s="143">
        <f t="shared" ca="1" si="37"/>
        <v>-0.37403475813045095</v>
      </c>
      <c r="BB33" s="143">
        <f t="shared" ca="1" si="37"/>
        <v>0.12150456417810077</v>
      </c>
      <c r="BC33" s="143">
        <f t="shared" ca="1" si="37"/>
        <v>3.8746361098004188E-2</v>
      </c>
      <c r="BD33" s="143">
        <f t="shared" ca="1" si="37"/>
        <v>1.8418463765406234E-2</v>
      </c>
      <c r="BE33" s="143">
        <f t="shared" ca="1" si="37"/>
        <v>0.2496045338677175</v>
      </c>
      <c r="BF33" s="143">
        <f t="shared" ca="1" si="37"/>
        <v>0.27330544356085695</v>
      </c>
      <c r="BG33" s="143">
        <f t="shared" ca="1" si="37"/>
        <v>0.17983527582624093</v>
      </c>
      <c r="BH33" s="143">
        <f t="shared" ca="1" si="37"/>
        <v>0.22387934834287898</v>
      </c>
      <c r="BI33" s="143">
        <f t="shared" ca="1" si="37"/>
        <v>9.550370865818246E-2</v>
      </c>
      <c r="BJ33" s="143">
        <f t="shared" ca="1" si="37"/>
        <v>1.495796013874412E-2</v>
      </c>
      <c r="BK33" s="143">
        <f t="shared" ca="1" si="37"/>
        <v>0.13002663339331594</v>
      </c>
      <c r="BL33" s="143">
        <f t="shared" ca="1" si="37"/>
        <v>-6.9576693897853759E-2</v>
      </c>
      <c r="BM33" s="143">
        <f t="shared" ca="1" si="37"/>
        <v>0.21539663672973935</v>
      </c>
      <c r="BN33" s="143">
        <f t="shared" ca="1" si="37"/>
        <v>0.16010541907378079</v>
      </c>
      <c r="BO33" s="143">
        <f t="shared" ca="1" si="37"/>
        <v>0.29448009027092348</v>
      </c>
      <c r="BP33" s="143">
        <f t="shared" ca="1" si="37"/>
        <v>-0.10735315722407357</v>
      </c>
      <c r="BQ33" s="143">
        <f t="shared" ca="1" si="37"/>
        <v>-5.3769230201469037E-2</v>
      </c>
      <c r="BR33" s="143">
        <f t="shared" ca="1" si="37"/>
        <v>-8.0193713304761688E-2</v>
      </c>
      <c r="BS33" s="143">
        <f t="shared" ca="1" si="37"/>
        <v>9.1341863766703418E-2</v>
      </c>
      <c r="BT33" s="143">
        <f t="shared" ca="1" si="37"/>
        <v>0.1942244662960913</v>
      </c>
      <c r="BU33" s="143">
        <f t="shared" ca="1" si="37"/>
        <v>-0.12573869968178356</v>
      </c>
      <c r="BV33" s="143">
        <f t="shared" ca="1" si="37"/>
        <v>0.48028105232849894</v>
      </c>
      <c r="BW33" s="143">
        <f t="shared" ca="1" si="37"/>
        <v>-0.17716601478120966</v>
      </c>
      <c r="BX33" s="143">
        <f t="shared" ca="1" si="37"/>
        <v>0.31920077821716525</v>
      </c>
      <c r="BY33" s="143">
        <f t="shared" ca="1" si="37"/>
        <v>-2.6144349317099178E-2</v>
      </c>
      <c r="BZ33" s="143">
        <f t="shared" ref="BZ33:DI36" ca="1" si="39">_xlfn.NORM.INV(RAND(),$B$112,$B$113)</f>
        <v>-0.43569930031156601</v>
      </c>
      <c r="CA33" s="143">
        <f t="shared" ca="1" si="39"/>
        <v>9.3000952845986778E-2</v>
      </c>
      <c r="CB33" s="143">
        <f t="shared" ca="1" si="39"/>
        <v>-0.12766128482362038</v>
      </c>
      <c r="CC33" s="143">
        <f t="shared" ca="1" si="39"/>
        <v>-7.1467390700608868E-3</v>
      </c>
      <c r="CD33" s="143">
        <f t="shared" ca="1" si="39"/>
        <v>0.35175155855640039</v>
      </c>
      <c r="CE33" s="143">
        <f t="shared" ca="1" si="39"/>
        <v>0.3205976852992431</v>
      </c>
      <c r="CF33" s="143">
        <f t="shared" ca="1" si="39"/>
        <v>0.27603456664547971</v>
      </c>
      <c r="CG33" s="143">
        <f t="shared" ca="1" si="39"/>
        <v>0.15106456842842825</v>
      </c>
      <c r="CH33" s="143">
        <f t="shared" ca="1" si="39"/>
        <v>0.22198731025786539</v>
      </c>
      <c r="CI33" s="143">
        <f t="shared" ca="1" si="39"/>
        <v>4.63556411056609E-2</v>
      </c>
      <c r="CJ33" s="143">
        <f t="shared" ca="1" si="39"/>
        <v>5.6713381507485505E-2</v>
      </c>
      <c r="CK33" s="143">
        <f t="shared" ca="1" si="39"/>
        <v>-1.9843223999806384E-2</v>
      </c>
      <c r="CL33" s="143">
        <f t="shared" ca="1" si="39"/>
        <v>-8.9245290316001091E-2</v>
      </c>
      <c r="CM33" s="143">
        <f t="shared" ca="1" si="39"/>
        <v>0.32144333815849002</v>
      </c>
      <c r="CN33" s="143">
        <f t="shared" ca="1" si="39"/>
        <v>4.3046812721378586E-2</v>
      </c>
      <c r="CO33" s="143">
        <f t="shared" ca="1" si="39"/>
        <v>-9.7416205448747489E-2</v>
      </c>
      <c r="CP33" s="143">
        <f t="shared" ca="1" si="39"/>
        <v>-0.11004349922553774</v>
      </c>
      <c r="CQ33" s="143">
        <f t="shared" ca="1" si="39"/>
        <v>0.18895666951889395</v>
      </c>
      <c r="CR33" s="143">
        <f t="shared" ca="1" si="39"/>
        <v>0.16439948764459542</v>
      </c>
      <c r="CS33" s="143">
        <f t="shared" ca="1" si="39"/>
        <v>0.31746390981900313</v>
      </c>
      <c r="CT33" s="143">
        <f t="shared" ca="1" si="39"/>
        <v>-0.13728747750366579</v>
      </c>
      <c r="CU33" s="143">
        <f t="shared" ca="1" si="39"/>
        <v>-0.15239729426339479</v>
      </c>
      <c r="CV33" s="143">
        <f t="shared" ca="1" si="39"/>
        <v>0.38507522886043088</v>
      </c>
      <c r="CW33" s="143">
        <f t="shared" ca="1" si="39"/>
        <v>0.40902059728968954</v>
      </c>
      <c r="CX33" s="143">
        <f t="shared" ca="1" si="39"/>
        <v>-2.3475060357684152E-2</v>
      </c>
      <c r="CY33" s="143">
        <f t="shared" ca="1" si="39"/>
        <v>5.1895271151530233E-2</v>
      </c>
      <c r="CZ33" s="143">
        <f t="shared" ca="1" si="39"/>
        <v>0.11618742577605938</v>
      </c>
      <c r="DA33" s="143">
        <f t="shared" ca="1" si="39"/>
        <v>0.30581048348310402</v>
      </c>
      <c r="DB33" s="143">
        <f t="shared" ca="1" si="39"/>
        <v>0.27691642494200031</v>
      </c>
      <c r="DC33" s="143">
        <f t="shared" ca="1" si="39"/>
        <v>1.063237322958413E-2</v>
      </c>
      <c r="DD33" s="143">
        <f t="shared" ca="1" si="39"/>
        <v>0.28055521407517503</v>
      </c>
      <c r="DE33" s="143">
        <f t="shared" ca="1" si="39"/>
        <v>-3.2418131410042156E-2</v>
      </c>
      <c r="DF33" s="143">
        <f t="shared" ca="1" si="39"/>
        <v>0.17751757855592665</v>
      </c>
      <c r="DG33" s="143">
        <f t="shared" ca="1" si="39"/>
        <v>0.34209036033715201</v>
      </c>
      <c r="DH33" s="143">
        <f t="shared" ca="1" si="39"/>
        <v>-0.12601523721104207</v>
      </c>
      <c r="DI33" s="143">
        <f t="shared" ca="1" si="39"/>
        <v>-2.4597857288985031E-3</v>
      </c>
      <c r="DK33" s="115">
        <f t="shared" si="8"/>
        <v>82</v>
      </c>
      <c r="DL33" s="143">
        <f t="shared" ca="1" si="33"/>
        <v>2.9518692414839821E-2</v>
      </c>
      <c r="DM33" s="143">
        <f t="shared" ca="1" si="38"/>
        <v>9.6513235972099584E-3</v>
      </c>
      <c r="DN33" s="143">
        <f t="shared" ca="1" si="38"/>
        <v>6.16810061532517E-2</v>
      </c>
      <c r="DO33" s="143">
        <f t="shared" ca="1" si="38"/>
        <v>7.8039123514144632E-4</v>
      </c>
      <c r="DP33" s="143">
        <f t="shared" ca="1" si="38"/>
        <v>1.9108797157347063E-2</v>
      </c>
      <c r="DQ33" s="143">
        <f t="shared" ca="1" si="38"/>
        <v>3.1902732102342561E-2</v>
      </c>
      <c r="DR33" s="143">
        <f t="shared" ca="1" si="38"/>
        <v>0.10209573716215431</v>
      </c>
      <c r="DS33" s="143">
        <f t="shared" ca="1" si="38"/>
        <v>5.3034753773654297E-2</v>
      </c>
      <c r="DT33" s="143">
        <f t="shared" ca="1" si="38"/>
        <v>7.5421020078239656E-3</v>
      </c>
      <c r="DU33" s="143">
        <f t="shared" ca="1" si="38"/>
        <v>5.8855496495728216E-2</v>
      </c>
      <c r="DV33" s="143">
        <f t="shared" ca="1" si="38"/>
        <v>0.10782874949880997</v>
      </c>
      <c r="DW33" s="143">
        <f t="shared" ca="1" si="38"/>
        <v>-1.6649355898930296E-3</v>
      </c>
      <c r="DX33" s="143">
        <f t="shared" ca="1" si="38"/>
        <v>2.4276506914117237E-2</v>
      </c>
      <c r="DY33" s="143">
        <f t="shared" ca="1" si="38"/>
        <v>0.11417089548487669</v>
      </c>
      <c r="DZ33" s="143">
        <f t="shared" ca="1" si="38"/>
        <v>4.1284544931405598E-2</v>
      </c>
      <c r="EA33" s="143">
        <f t="shared" ca="1" si="38"/>
        <v>2.4932369472635725E-2</v>
      </c>
      <c r="EB33" s="143">
        <f t="shared" ca="1" si="38"/>
        <v>0.11763411791827563</v>
      </c>
      <c r="EC33" s="143">
        <f t="shared" ca="1" si="38"/>
        <v>0.1172079421663092</v>
      </c>
      <c r="ED33" s="143">
        <f t="shared" ca="1" si="38"/>
        <v>-5.5571003565781742E-2</v>
      </c>
      <c r="EE33" s="143">
        <f t="shared" ca="1" si="38"/>
        <v>9.141253305481209E-2</v>
      </c>
      <c r="EF33" s="143">
        <f t="shared" ca="1" si="38"/>
        <v>9.1940872694503337E-3</v>
      </c>
      <c r="EG33" s="143">
        <f t="shared" ca="1" si="38"/>
        <v>5.674302200958857E-2</v>
      </c>
      <c r="EH33" s="143">
        <f t="shared" ca="1" si="38"/>
        <v>-9.1174238598842022E-2</v>
      </c>
      <c r="EI33" s="143">
        <f t="shared" ca="1" si="38"/>
        <v>8.201483515958527E-2</v>
      </c>
      <c r="EJ33" s="143">
        <f t="shared" ca="1" si="38"/>
        <v>1.3901920370118705E-2</v>
      </c>
      <c r="EK33" s="143">
        <f t="shared" ca="1" si="38"/>
        <v>-9.9208881646311947E-2</v>
      </c>
      <c r="EL33" s="143">
        <f t="shared" ca="1" si="38"/>
        <v>7.8204438391172248E-2</v>
      </c>
      <c r="EM33" s="143">
        <f t="shared" ca="1" si="38"/>
        <v>0.10517218651996731</v>
      </c>
      <c r="EN33" s="143">
        <f t="shared" ca="1" si="38"/>
        <v>0.12517791208515294</v>
      </c>
      <c r="EO33" s="143">
        <f t="shared" ca="1" si="38"/>
        <v>-3.9313087284908434E-2</v>
      </c>
      <c r="EP33" s="143">
        <f t="shared" ca="1" si="38"/>
        <v>3.7603173042992225E-2</v>
      </c>
      <c r="EQ33" s="143">
        <f t="shared" ca="1" si="38"/>
        <v>2.5836137510489635E-2</v>
      </c>
      <c r="ER33" s="143">
        <f t="shared" ca="1" si="38"/>
        <v>-3.6379216324384504E-2</v>
      </c>
      <c r="ES33" s="143">
        <f t="shared" ca="1" si="38"/>
        <v>7.1880961136693844E-2</v>
      </c>
      <c r="ET33" s="143">
        <f t="shared" ca="1" si="38"/>
        <v>0.12614189149215227</v>
      </c>
      <c r="EU33" s="143">
        <f t="shared" ca="1" si="38"/>
        <v>0.12799344575374696</v>
      </c>
      <c r="EV33" s="143">
        <f t="shared" ca="1" si="38"/>
        <v>4.0758082953649903E-2</v>
      </c>
      <c r="EW33" s="143">
        <f t="shared" ca="1" si="38"/>
        <v>2.7508508373925017E-3</v>
      </c>
      <c r="EX33" s="143">
        <f t="shared" ca="1" si="38"/>
        <v>-3.9246944811734477E-3</v>
      </c>
      <c r="EY33" s="143">
        <f t="shared" ca="1" si="38"/>
        <v>0.15326453736355936</v>
      </c>
      <c r="EZ33" s="143">
        <f t="shared" ca="1" si="38"/>
        <v>5.059255793704031E-2</v>
      </c>
      <c r="FA33" s="143">
        <f t="shared" ca="1" si="38"/>
        <v>0.12370649947335102</v>
      </c>
      <c r="FB33" s="143">
        <f t="shared" ca="1" si="38"/>
        <v>0.14339530542081599</v>
      </c>
      <c r="FC33" s="143">
        <f t="shared" ca="1" si="38"/>
        <v>7.1846985808503738E-2</v>
      </c>
      <c r="FD33" s="143">
        <f t="shared" ca="1" si="38"/>
        <v>0.1198291956647427</v>
      </c>
      <c r="FE33" s="143">
        <f t="shared" ca="1" si="38"/>
        <v>4.816385902461863E-2</v>
      </c>
      <c r="FF33" s="143">
        <f t="shared" ca="1" si="38"/>
        <v>8.6163571668886815E-2</v>
      </c>
      <c r="FG33" s="143">
        <f t="shared" ca="1" si="38"/>
        <v>-2.4887516909530699E-3</v>
      </c>
      <c r="FH33" s="143">
        <f t="shared" ca="1" si="38"/>
        <v>0.11267021787698064</v>
      </c>
      <c r="FI33" s="143">
        <f t="shared" ca="1" si="38"/>
        <v>0.155076723680595</v>
      </c>
      <c r="FJ33" s="143">
        <f t="shared" ca="1" si="38"/>
        <v>-3.5841865852020878E-2</v>
      </c>
      <c r="FK33" s="143">
        <f t="shared" ca="1" si="38"/>
        <v>2.1555787635595375E-2</v>
      </c>
      <c r="FL33" s="143">
        <f t="shared" ca="1" si="38"/>
        <v>7.6830698194811919E-2</v>
      </c>
      <c r="FM33" s="143">
        <f t="shared" ca="1" si="38"/>
        <v>-8.1058445081028802E-4</v>
      </c>
      <c r="FN33" s="143">
        <f t="shared" ca="1" si="38"/>
        <v>7.2371839924395512E-2</v>
      </c>
      <c r="FO33" s="143">
        <f t="shared" ca="1" si="38"/>
        <v>0.14948611516054389</v>
      </c>
      <c r="FP33" s="143">
        <f t="shared" ca="1" si="38"/>
        <v>2.2216758750166078E-2</v>
      </c>
      <c r="FQ33" s="143">
        <f t="shared" ca="1" si="38"/>
        <v>0.12676359601509218</v>
      </c>
      <c r="FR33" s="143">
        <f t="shared" ca="1" si="38"/>
        <v>-0.10189721961287901</v>
      </c>
      <c r="FS33" s="143">
        <f t="shared" ca="1" si="38"/>
        <v>-6.8690858009467781E-2</v>
      </c>
      <c r="FT33" s="143">
        <f t="shared" ca="1" si="38"/>
        <v>0.13019477980900912</v>
      </c>
      <c r="FU33" s="143">
        <f t="shared" ca="1" si="38"/>
        <v>4.4247439715675088E-3</v>
      </c>
      <c r="FV33" s="143">
        <f t="shared" ca="1" si="38"/>
        <v>2.5901666865912193E-2</v>
      </c>
      <c r="FW33" s="143">
        <f t="shared" ca="1" si="38"/>
        <v>1.1865997330835563E-2</v>
      </c>
      <c r="FX33" s="143">
        <f t="shared" ref="FX33:HG36" ca="1" si="40">_xlfn.NORM.INV(RAND(),$B$116,$B$117)</f>
        <v>-7.6221716372503023E-2</v>
      </c>
      <c r="FY33" s="143">
        <f t="shared" ca="1" si="40"/>
        <v>-2.7733184825096076E-2</v>
      </c>
      <c r="FZ33" s="143">
        <f t="shared" ca="1" si="40"/>
        <v>1.6504706057390968E-2</v>
      </c>
      <c r="GA33" s="143">
        <f t="shared" ca="1" si="40"/>
        <v>-3.955228832696641E-2</v>
      </c>
      <c r="GB33" s="143">
        <f t="shared" ca="1" si="40"/>
        <v>-4.2107364638101351E-2</v>
      </c>
      <c r="GC33" s="143">
        <f t="shared" ca="1" si="40"/>
        <v>9.1962042404188094E-4</v>
      </c>
      <c r="GD33" s="143">
        <f t="shared" ca="1" si="40"/>
        <v>4.1701325556399903E-2</v>
      </c>
      <c r="GE33" s="143">
        <f t="shared" ca="1" si="40"/>
        <v>-0.12847913818968387</v>
      </c>
      <c r="GF33" s="143">
        <f t="shared" ca="1" si="40"/>
        <v>7.2300922997379335E-2</v>
      </c>
      <c r="GG33" s="143">
        <f t="shared" ca="1" si="40"/>
        <v>-4.6725623631753213E-3</v>
      </c>
      <c r="GH33" s="143">
        <f t="shared" ca="1" si="40"/>
        <v>5.1456073732013753E-2</v>
      </c>
      <c r="GI33" s="143">
        <f t="shared" ca="1" si="40"/>
        <v>6.080533536993929E-2</v>
      </c>
      <c r="GJ33" s="143">
        <f t="shared" ca="1" si="40"/>
        <v>1.4474872897699144E-2</v>
      </c>
      <c r="GK33" s="143">
        <f t="shared" ca="1" si="40"/>
        <v>-9.9926540019858873E-2</v>
      </c>
      <c r="GL33" s="143">
        <f t="shared" ca="1" si="40"/>
        <v>6.0992876150764264E-2</v>
      </c>
      <c r="GM33" s="143">
        <f t="shared" ca="1" si="40"/>
        <v>-2.005287324234812E-2</v>
      </c>
      <c r="GN33" s="143">
        <f t="shared" ca="1" si="40"/>
        <v>8.1890014286406215E-2</v>
      </c>
      <c r="GO33" s="143">
        <f t="shared" ca="1" si="40"/>
        <v>-8.8307521270247546E-2</v>
      </c>
      <c r="GP33" s="143">
        <f t="shared" ca="1" si="40"/>
        <v>-6.0276281016078188E-2</v>
      </c>
      <c r="GQ33" s="143">
        <f t="shared" ca="1" si="40"/>
        <v>-6.9142526035844476E-2</v>
      </c>
      <c r="GR33" s="143">
        <f t="shared" ca="1" si="40"/>
        <v>3.7830142211970209E-2</v>
      </c>
      <c r="GS33" s="143">
        <f t="shared" ca="1" si="40"/>
        <v>-3.7541112978444015E-2</v>
      </c>
      <c r="GT33" s="143">
        <f t="shared" ca="1" si="40"/>
        <v>1.5848703437717646E-2</v>
      </c>
      <c r="GU33" s="143">
        <f t="shared" ca="1" si="40"/>
        <v>4.2617207210477528E-2</v>
      </c>
      <c r="GV33" s="143">
        <f t="shared" ca="1" si="40"/>
        <v>9.1926660597746679E-2</v>
      </c>
      <c r="GW33" s="143">
        <f t="shared" ca="1" si="40"/>
        <v>-6.2605581322580317E-2</v>
      </c>
      <c r="GX33" s="143">
        <f t="shared" ca="1" si="40"/>
        <v>-4.3741352765769174E-2</v>
      </c>
      <c r="GY33" s="143">
        <f t="shared" ca="1" si="40"/>
        <v>-1.0632022790483822E-2</v>
      </c>
      <c r="GZ33" s="143">
        <f t="shared" ca="1" si="40"/>
        <v>1.1458144809496223E-2</v>
      </c>
      <c r="HA33" s="143">
        <f t="shared" ca="1" si="40"/>
        <v>8.7595857827524187E-2</v>
      </c>
      <c r="HB33" s="143">
        <f t="shared" ca="1" si="40"/>
        <v>0.10667221152853024</v>
      </c>
      <c r="HC33" s="143">
        <f t="shared" ca="1" si="40"/>
        <v>2.795404208609633E-2</v>
      </c>
      <c r="HD33" s="143">
        <f t="shared" ca="1" si="40"/>
        <v>-1.0713153871600156E-3</v>
      </c>
      <c r="HE33" s="143">
        <f t="shared" ca="1" si="40"/>
        <v>5.4066382170879113E-2</v>
      </c>
      <c r="HF33" s="143">
        <f t="shared" ca="1" si="40"/>
        <v>4.6760905759567428E-2</v>
      </c>
      <c r="HG33" s="143">
        <f t="shared" ca="1" si="40"/>
        <v>0.10674239087091458</v>
      </c>
    </row>
    <row r="34" spans="1:215">
      <c r="A34" s="90">
        <v>1960</v>
      </c>
      <c r="B34" s="84">
        <v>3.36535314743695E-3</v>
      </c>
      <c r="C34" s="85">
        <v>-3.49E-2</v>
      </c>
      <c r="D34" s="83">
        <f t="shared" si="4"/>
        <v>-4.2877174820504377E-3</v>
      </c>
      <c r="E34" s="85"/>
      <c r="F34" s="85"/>
      <c r="G34" s="85">
        <v>2.8729718875502006E-2</v>
      </c>
      <c r="H34" s="85">
        <v>0.11639503690963365</v>
      </c>
      <c r="I34" s="85">
        <v>6.6631871633034342E-2</v>
      </c>
      <c r="J34" s="85">
        <v>4.8433048433049741E-3</v>
      </c>
      <c r="M34" s="115">
        <f t="shared" si="7"/>
        <v>83</v>
      </c>
      <c r="N34" s="143">
        <f t="shared" ca="1" si="31"/>
        <v>3.3135883100474509E-2</v>
      </c>
      <c r="O34" s="143">
        <f t="shared" ref="O34:BZ37" ca="1" si="41">_xlfn.NORM.INV(RAND(),$B$112,$B$113)</f>
        <v>0.18492462370412202</v>
      </c>
      <c r="P34" s="143">
        <f t="shared" ca="1" si="41"/>
        <v>8.7252491182074662E-2</v>
      </c>
      <c r="Q34" s="143">
        <f t="shared" ca="1" si="41"/>
        <v>6.1543718124126727E-2</v>
      </c>
      <c r="R34" s="143">
        <f t="shared" ca="1" si="41"/>
        <v>8.8977695133102316E-2</v>
      </c>
      <c r="S34" s="143">
        <f t="shared" ca="1" si="41"/>
        <v>0.12929346847741238</v>
      </c>
      <c r="T34" s="143">
        <f t="shared" ca="1" si="41"/>
        <v>9.8286923376243382E-2</v>
      </c>
      <c r="U34" s="143">
        <f t="shared" ca="1" si="41"/>
        <v>0.13586264021194039</v>
      </c>
      <c r="V34" s="143">
        <f t="shared" ca="1" si="41"/>
        <v>0.1613125607488119</v>
      </c>
      <c r="W34" s="143">
        <f t="shared" ca="1" si="41"/>
        <v>-2.8121447158592605E-2</v>
      </c>
      <c r="X34" s="143">
        <f t="shared" ca="1" si="41"/>
        <v>3.1664921308278207E-2</v>
      </c>
      <c r="Y34" s="143">
        <f t="shared" ca="1" si="41"/>
        <v>-7.8612075732716946E-2</v>
      </c>
      <c r="Z34" s="143">
        <f t="shared" ca="1" si="41"/>
        <v>0.1614053006724589</v>
      </c>
      <c r="AA34" s="143">
        <f t="shared" ca="1" si="41"/>
        <v>0.34464295044739657</v>
      </c>
      <c r="AB34" s="143">
        <f t="shared" ca="1" si="41"/>
        <v>-0.15717356765534871</v>
      </c>
      <c r="AC34" s="143">
        <f t="shared" ca="1" si="41"/>
        <v>-1.9888260033915001E-2</v>
      </c>
      <c r="AD34" s="143">
        <f t="shared" ca="1" si="41"/>
        <v>-6.7523608827603054E-2</v>
      </c>
      <c r="AE34" s="143">
        <f t="shared" ca="1" si="41"/>
        <v>0.19877347685003455</v>
      </c>
      <c r="AF34" s="143">
        <f t="shared" ca="1" si="41"/>
        <v>-6.9970581476242161E-2</v>
      </c>
      <c r="AG34" s="143">
        <f t="shared" ca="1" si="41"/>
        <v>-0.28254287555421309</v>
      </c>
      <c r="AH34" s="143">
        <f t="shared" ca="1" si="41"/>
        <v>0.1968662997293017</v>
      </c>
      <c r="AI34" s="143">
        <f t="shared" ca="1" si="41"/>
        <v>6.6088173847044851E-2</v>
      </c>
      <c r="AJ34" s="143">
        <f t="shared" ca="1" si="41"/>
        <v>-3.4713550348564853E-2</v>
      </c>
      <c r="AK34" s="143">
        <f t="shared" ca="1" si="41"/>
        <v>6.0041987277037946E-2</v>
      </c>
      <c r="AL34" s="143">
        <f t="shared" ca="1" si="41"/>
        <v>4.6067288524722701E-2</v>
      </c>
      <c r="AM34" s="143">
        <f t="shared" ca="1" si="41"/>
        <v>0.25259027747933577</v>
      </c>
      <c r="AN34" s="143">
        <f t="shared" ca="1" si="41"/>
        <v>-0.10550888911871059</v>
      </c>
      <c r="AO34" s="143">
        <f t="shared" ca="1" si="41"/>
        <v>0.15151472629863882</v>
      </c>
      <c r="AP34" s="143">
        <f t="shared" ca="1" si="41"/>
        <v>-9.9372698415547744E-2</v>
      </c>
      <c r="AQ34" s="143">
        <f t="shared" ca="1" si="41"/>
        <v>0.6661374383900075</v>
      </c>
      <c r="AR34" s="143">
        <f t="shared" ca="1" si="41"/>
        <v>3.7910618524922002E-2</v>
      </c>
      <c r="AS34" s="143">
        <f t="shared" ca="1" si="41"/>
        <v>0.14412075217351805</v>
      </c>
      <c r="AT34" s="143">
        <f t="shared" ca="1" si="41"/>
        <v>0.50761525931434237</v>
      </c>
      <c r="AU34" s="143">
        <f t="shared" ca="1" si="41"/>
        <v>0.43449948272099825</v>
      </c>
      <c r="AV34" s="143">
        <f t="shared" ca="1" si="41"/>
        <v>-0.19875024866001731</v>
      </c>
      <c r="AW34" s="143">
        <f t="shared" ca="1" si="41"/>
        <v>0.2180293136397643</v>
      </c>
      <c r="AX34" s="143">
        <f t="shared" ca="1" si="41"/>
        <v>8.9088446917127861E-2</v>
      </c>
      <c r="AY34" s="143">
        <f t="shared" ca="1" si="41"/>
        <v>-6.5169401954528638E-2</v>
      </c>
      <c r="AZ34" s="143">
        <f t="shared" ca="1" si="41"/>
        <v>9.5402409331612467E-2</v>
      </c>
      <c r="BA34" s="143">
        <f t="shared" ca="1" si="41"/>
        <v>0.35563915603676788</v>
      </c>
      <c r="BB34" s="143">
        <f t="shared" ca="1" si="41"/>
        <v>-0.10096310672254569</v>
      </c>
      <c r="BC34" s="143">
        <f t="shared" ca="1" si="41"/>
        <v>0.22791154579943323</v>
      </c>
      <c r="BD34" s="143">
        <f t="shared" ca="1" si="41"/>
        <v>0.10023698501392289</v>
      </c>
      <c r="BE34" s="143">
        <f t="shared" ca="1" si="41"/>
        <v>-1.4966615839705336E-2</v>
      </c>
      <c r="BF34" s="143">
        <f t="shared" ca="1" si="41"/>
        <v>0.19423808117293523</v>
      </c>
      <c r="BG34" s="143">
        <f t="shared" ca="1" si="41"/>
        <v>0.23907191682372467</v>
      </c>
      <c r="BH34" s="143">
        <f t="shared" ca="1" si="41"/>
        <v>0.43263052187062689</v>
      </c>
      <c r="BI34" s="143">
        <f t="shared" ca="1" si="41"/>
        <v>-3.2577604352528156E-2</v>
      </c>
      <c r="BJ34" s="143">
        <f t="shared" ca="1" si="41"/>
        <v>0.1428225314643109</v>
      </c>
      <c r="BK34" s="143">
        <f t="shared" ca="1" si="41"/>
        <v>0.17168733116923784</v>
      </c>
      <c r="BL34" s="143">
        <f t="shared" ca="1" si="41"/>
        <v>6.6486943932517334E-2</v>
      </c>
      <c r="BM34" s="143">
        <f t="shared" ca="1" si="41"/>
        <v>3.6413350563389207E-2</v>
      </c>
      <c r="BN34" s="143">
        <f t="shared" ca="1" si="41"/>
        <v>0.19125008781771594</v>
      </c>
      <c r="BO34" s="143">
        <f t="shared" ca="1" si="41"/>
        <v>7.7555700053904109E-2</v>
      </c>
      <c r="BP34" s="143">
        <f t="shared" ca="1" si="41"/>
        <v>-0.38523122392215847</v>
      </c>
      <c r="BQ34" s="143">
        <f t="shared" ca="1" si="41"/>
        <v>0.20861384983023662</v>
      </c>
      <c r="BR34" s="143">
        <f t="shared" ca="1" si="41"/>
        <v>0.35377586364600089</v>
      </c>
      <c r="BS34" s="143">
        <f t="shared" ca="1" si="41"/>
        <v>-7.244319638912225E-2</v>
      </c>
      <c r="BT34" s="143">
        <f t="shared" ca="1" si="41"/>
        <v>0.14953860833985377</v>
      </c>
      <c r="BU34" s="143">
        <f t="shared" ca="1" si="41"/>
        <v>0.10125928833785228</v>
      </c>
      <c r="BV34" s="143">
        <f t="shared" ca="1" si="41"/>
        <v>-5.1154399685331614E-2</v>
      </c>
      <c r="BW34" s="143">
        <f t="shared" ca="1" si="41"/>
        <v>0.16050426323889061</v>
      </c>
      <c r="BX34" s="143">
        <f t="shared" ca="1" si="41"/>
        <v>0.32799538093309505</v>
      </c>
      <c r="BY34" s="143">
        <f t="shared" ca="1" si="41"/>
        <v>0.29375026419591338</v>
      </c>
      <c r="BZ34" s="143">
        <f t="shared" ca="1" si="41"/>
        <v>0.32551507224376597</v>
      </c>
      <c r="CA34" s="143">
        <f t="shared" ca="1" si="39"/>
        <v>-3.4791905096069969E-2</v>
      </c>
      <c r="CB34" s="143">
        <f t="shared" ca="1" si="39"/>
        <v>1.3783900748590733E-2</v>
      </c>
      <c r="CC34" s="143">
        <f t="shared" ca="1" si="39"/>
        <v>-8.7189146271802409E-2</v>
      </c>
      <c r="CD34" s="143">
        <f t="shared" ca="1" si="39"/>
        <v>0.49078479102288264</v>
      </c>
      <c r="CE34" s="143">
        <f t="shared" ca="1" si="39"/>
        <v>0.11700181917506465</v>
      </c>
      <c r="CF34" s="143">
        <f t="shared" ca="1" si="39"/>
        <v>0.10113188773557863</v>
      </c>
      <c r="CG34" s="143">
        <f t="shared" ca="1" si="39"/>
        <v>-8.8827854950786711E-2</v>
      </c>
      <c r="CH34" s="143">
        <f t="shared" ca="1" si="39"/>
        <v>-0.10229395571325944</v>
      </c>
      <c r="CI34" s="143">
        <f t="shared" ca="1" si="39"/>
        <v>0.1240596602567486</v>
      </c>
      <c r="CJ34" s="143">
        <f t="shared" ca="1" si="39"/>
        <v>-0.23742046937892822</v>
      </c>
      <c r="CK34" s="143">
        <f t="shared" ca="1" si="39"/>
        <v>0.24474934954450397</v>
      </c>
      <c r="CL34" s="143">
        <f t="shared" ca="1" si="39"/>
        <v>-0.12178775703407244</v>
      </c>
      <c r="CM34" s="143">
        <f t="shared" ca="1" si="39"/>
        <v>1.9988043208804443E-2</v>
      </c>
      <c r="CN34" s="143">
        <f t="shared" ca="1" si="39"/>
        <v>0.14635450669998751</v>
      </c>
      <c r="CO34" s="143">
        <f t="shared" ca="1" si="39"/>
        <v>0.26623183712234333</v>
      </c>
      <c r="CP34" s="143">
        <f t="shared" ca="1" si="39"/>
        <v>0.25355685449919158</v>
      </c>
      <c r="CQ34" s="143">
        <f t="shared" ca="1" si="39"/>
        <v>0.11535848205063243</v>
      </c>
      <c r="CR34" s="143">
        <f t="shared" ca="1" si="39"/>
        <v>7.1179676568726508E-2</v>
      </c>
      <c r="CS34" s="143">
        <f t="shared" ca="1" si="39"/>
        <v>-0.27963742659720381</v>
      </c>
      <c r="CT34" s="143">
        <f t="shared" ca="1" si="39"/>
        <v>0.18241474060232371</v>
      </c>
      <c r="CU34" s="143">
        <f t="shared" ca="1" si="39"/>
        <v>0.27697034766458312</v>
      </c>
      <c r="CV34" s="143">
        <f t="shared" ca="1" si="39"/>
        <v>0.26429381625489934</v>
      </c>
      <c r="CW34" s="143">
        <f t="shared" ca="1" si="39"/>
        <v>-2.0036728607946794E-2</v>
      </c>
      <c r="CX34" s="143">
        <f t="shared" ca="1" si="39"/>
        <v>-1.4368339999204338E-2</v>
      </c>
      <c r="CY34" s="143">
        <f t="shared" ca="1" si="39"/>
        <v>0.35726446992761562</v>
      </c>
      <c r="CZ34" s="143">
        <f t="shared" ca="1" si="39"/>
        <v>0.41788439845308123</v>
      </c>
      <c r="DA34" s="143">
        <f t="shared" ca="1" si="39"/>
        <v>-1.5348212975307432E-2</v>
      </c>
      <c r="DB34" s="143">
        <f t="shared" ca="1" si="39"/>
        <v>-4.9664483524974795E-2</v>
      </c>
      <c r="DC34" s="143">
        <f t="shared" ca="1" si="39"/>
        <v>-3.2567889968784042E-2</v>
      </c>
      <c r="DD34" s="143">
        <f t="shared" ca="1" si="39"/>
        <v>-6.3423570583778205E-2</v>
      </c>
      <c r="DE34" s="143">
        <f t="shared" ca="1" si="39"/>
        <v>-4.5024740213695541E-2</v>
      </c>
      <c r="DF34" s="143">
        <f t="shared" ca="1" si="39"/>
        <v>0.34638220842521927</v>
      </c>
      <c r="DG34" s="143">
        <f t="shared" ca="1" si="39"/>
        <v>4.8856707709247653E-2</v>
      </c>
      <c r="DH34" s="143">
        <f t="shared" ca="1" si="39"/>
        <v>0.17068697648071765</v>
      </c>
      <c r="DI34" s="143">
        <f t="shared" ca="1" si="39"/>
        <v>-0.13162306451886191</v>
      </c>
      <c r="DK34" s="115">
        <f t="shared" si="8"/>
        <v>83</v>
      </c>
      <c r="DL34" s="143">
        <f t="shared" ca="1" si="33"/>
        <v>5.1847505840554961E-2</v>
      </c>
      <c r="DM34" s="143">
        <f t="shared" ref="DM34:FX37" ca="1" si="42">_xlfn.NORM.INV(RAND(),$B$116,$B$117)</f>
        <v>2.4188189823163821E-2</v>
      </c>
      <c r="DN34" s="143">
        <f t="shared" ca="1" si="42"/>
        <v>6.0071589964604571E-2</v>
      </c>
      <c r="DO34" s="143">
        <f t="shared" ca="1" si="42"/>
        <v>1.8036570665863071E-2</v>
      </c>
      <c r="DP34" s="143">
        <f t="shared" ca="1" si="42"/>
        <v>3.9880808733606388E-3</v>
      </c>
      <c r="DQ34" s="143">
        <f t="shared" ca="1" si="42"/>
        <v>-0.11008675097502271</v>
      </c>
      <c r="DR34" s="143">
        <f t="shared" ca="1" si="42"/>
        <v>-1.3722560767861741E-2</v>
      </c>
      <c r="DS34" s="143">
        <f t="shared" ca="1" si="42"/>
        <v>-1.4023723249697639E-2</v>
      </c>
      <c r="DT34" s="143">
        <f t="shared" ca="1" si="42"/>
        <v>0.11319043148307231</v>
      </c>
      <c r="DU34" s="143">
        <f t="shared" ca="1" si="42"/>
        <v>-3.3654389023181665E-2</v>
      </c>
      <c r="DV34" s="143">
        <f t="shared" ca="1" si="42"/>
        <v>0.13239625930382365</v>
      </c>
      <c r="DW34" s="143">
        <f t="shared" ca="1" si="42"/>
        <v>2.6989365402461975E-2</v>
      </c>
      <c r="DX34" s="143">
        <f t="shared" ca="1" si="42"/>
        <v>6.8376836896097359E-2</v>
      </c>
      <c r="DY34" s="143">
        <f t="shared" ca="1" si="42"/>
        <v>9.4193891553708678E-2</v>
      </c>
      <c r="DZ34" s="143">
        <f t="shared" ca="1" si="42"/>
        <v>0.1456426714212106</v>
      </c>
      <c r="EA34" s="143">
        <f t="shared" ca="1" si="42"/>
        <v>0.20088199508623733</v>
      </c>
      <c r="EB34" s="143">
        <f t="shared" ca="1" si="42"/>
        <v>0.12741459997723587</v>
      </c>
      <c r="EC34" s="143">
        <f t="shared" ca="1" si="42"/>
        <v>0.1416652046558064</v>
      </c>
      <c r="ED34" s="143">
        <f t="shared" ca="1" si="42"/>
        <v>5.6903265072704289E-2</v>
      </c>
      <c r="EE34" s="143">
        <f t="shared" ca="1" si="42"/>
        <v>1.4218526607303349E-2</v>
      </c>
      <c r="EF34" s="143">
        <f t="shared" ca="1" si="42"/>
        <v>-9.775250359771312E-2</v>
      </c>
      <c r="EG34" s="143">
        <f t="shared" ca="1" si="42"/>
        <v>-1.5358686961663821E-2</v>
      </c>
      <c r="EH34" s="143">
        <f t="shared" ca="1" si="42"/>
        <v>9.4959381378082908E-2</v>
      </c>
      <c r="EI34" s="143">
        <f t="shared" ca="1" si="42"/>
        <v>6.0837500304730861E-2</v>
      </c>
      <c r="EJ34" s="143">
        <f t="shared" ca="1" si="42"/>
        <v>2.0656976789933151E-2</v>
      </c>
      <c r="EK34" s="143">
        <f t="shared" ca="1" si="42"/>
        <v>7.6143174184142154E-3</v>
      </c>
      <c r="EL34" s="143">
        <f t="shared" ca="1" si="42"/>
        <v>-6.352981692988971E-2</v>
      </c>
      <c r="EM34" s="143">
        <f t="shared" ca="1" si="42"/>
        <v>8.4732245777280502E-2</v>
      </c>
      <c r="EN34" s="143">
        <f t="shared" ca="1" si="42"/>
        <v>4.8894337288666899E-2</v>
      </c>
      <c r="EO34" s="143">
        <f t="shared" ca="1" si="42"/>
        <v>0.19527989279627747</v>
      </c>
      <c r="EP34" s="143">
        <f t="shared" ca="1" si="42"/>
        <v>5.8116635032622696E-2</v>
      </c>
      <c r="EQ34" s="143">
        <f t="shared" ca="1" si="42"/>
        <v>4.8028428453503184E-2</v>
      </c>
      <c r="ER34" s="143">
        <f t="shared" ca="1" si="42"/>
        <v>8.1862313708185086E-2</v>
      </c>
      <c r="ES34" s="143">
        <f t="shared" ca="1" si="42"/>
        <v>-0.12201139901662097</v>
      </c>
      <c r="ET34" s="143">
        <f t="shared" ca="1" si="42"/>
        <v>-0.10732019935170944</v>
      </c>
      <c r="EU34" s="143">
        <f t="shared" ca="1" si="42"/>
        <v>2.0355931605762496E-2</v>
      </c>
      <c r="EV34" s="143">
        <f t="shared" ca="1" si="42"/>
        <v>-8.0315822785426497E-3</v>
      </c>
      <c r="EW34" s="143">
        <f t="shared" ca="1" si="42"/>
        <v>7.2193667348063179E-2</v>
      </c>
      <c r="EX34" s="143">
        <f t="shared" ca="1" si="42"/>
        <v>0.11248727036471814</v>
      </c>
      <c r="EY34" s="143">
        <f t="shared" ca="1" si="42"/>
        <v>0.26942643720067994</v>
      </c>
      <c r="EZ34" s="143">
        <f t="shared" ca="1" si="42"/>
        <v>-2.319169411567485E-2</v>
      </c>
      <c r="FA34" s="143">
        <f t="shared" ca="1" si="42"/>
        <v>3.3438665498231573E-2</v>
      </c>
      <c r="FB34" s="143">
        <f t="shared" ca="1" si="42"/>
        <v>0.1412896287453575</v>
      </c>
      <c r="FC34" s="143">
        <f t="shared" ca="1" si="42"/>
        <v>-1.0956572921440207E-2</v>
      </c>
      <c r="FD34" s="143">
        <f t="shared" ca="1" si="42"/>
        <v>9.6720747785546166E-2</v>
      </c>
      <c r="FE34" s="143">
        <f t="shared" ca="1" si="42"/>
        <v>0.16862211762461193</v>
      </c>
      <c r="FF34" s="143">
        <f t="shared" ca="1" si="42"/>
        <v>5.7758121418443754E-2</v>
      </c>
      <c r="FG34" s="143">
        <f t="shared" ca="1" si="42"/>
        <v>5.3543842794318189E-2</v>
      </c>
      <c r="FH34" s="143">
        <f t="shared" ca="1" si="42"/>
        <v>3.0750540646663705E-2</v>
      </c>
      <c r="FI34" s="143">
        <f t="shared" ca="1" si="42"/>
        <v>1.6657630352937665E-2</v>
      </c>
      <c r="FJ34" s="143">
        <f t="shared" ca="1" si="42"/>
        <v>1.7727080470050834E-2</v>
      </c>
      <c r="FK34" s="143">
        <f t="shared" ca="1" si="42"/>
        <v>0.21007218472038131</v>
      </c>
      <c r="FL34" s="143">
        <f t="shared" ca="1" si="42"/>
        <v>3.6521532037462806E-2</v>
      </c>
      <c r="FM34" s="143">
        <f t="shared" ca="1" si="42"/>
        <v>0.13271722806452832</v>
      </c>
      <c r="FN34" s="143">
        <f t="shared" ca="1" si="42"/>
        <v>-0.10590494875851894</v>
      </c>
      <c r="FO34" s="143">
        <f t="shared" ca="1" si="42"/>
        <v>0.16104290533253818</v>
      </c>
      <c r="FP34" s="143">
        <f t="shared" ca="1" si="42"/>
        <v>-1.193257034190684E-2</v>
      </c>
      <c r="FQ34" s="143">
        <f t="shared" ca="1" si="42"/>
        <v>0.17453172434500802</v>
      </c>
      <c r="FR34" s="143">
        <f t="shared" ca="1" si="42"/>
        <v>3.722137832660978E-2</v>
      </c>
      <c r="FS34" s="143">
        <f t="shared" ca="1" si="42"/>
        <v>0.14450841502680425</v>
      </c>
      <c r="FT34" s="143">
        <f t="shared" ca="1" si="42"/>
        <v>-1.7852562793331909E-2</v>
      </c>
      <c r="FU34" s="143">
        <f t="shared" ca="1" si="42"/>
        <v>-9.0787873532381907E-2</v>
      </c>
      <c r="FV34" s="143">
        <f t="shared" ca="1" si="42"/>
        <v>4.1050331957141618E-2</v>
      </c>
      <c r="FW34" s="143">
        <f t="shared" ca="1" si="42"/>
        <v>0.18687600766674484</v>
      </c>
      <c r="FX34" s="143">
        <f t="shared" ca="1" si="42"/>
        <v>8.0977339249589025E-2</v>
      </c>
      <c r="FY34" s="143">
        <f t="shared" ca="1" si="40"/>
        <v>5.2708500074173985E-2</v>
      </c>
      <c r="FZ34" s="143">
        <f t="shared" ca="1" si="40"/>
        <v>2.1265706682951288E-2</v>
      </c>
      <c r="GA34" s="143">
        <f t="shared" ca="1" si="40"/>
        <v>0.10612152630219149</v>
      </c>
      <c r="GB34" s="143">
        <f t="shared" ca="1" si="40"/>
        <v>-1.1559230356424859E-2</v>
      </c>
      <c r="GC34" s="143">
        <f t="shared" ca="1" si="40"/>
        <v>0.18487254334998715</v>
      </c>
      <c r="GD34" s="143">
        <f t="shared" ca="1" si="40"/>
        <v>-2.8658734786999339E-2</v>
      </c>
      <c r="GE34" s="143">
        <f t="shared" ca="1" si="40"/>
        <v>6.1083047674567015E-2</v>
      </c>
      <c r="GF34" s="143">
        <f t="shared" ca="1" si="40"/>
        <v>4.9613931757799469E-2</v>
      </c>
      <c r="GG34" s="143">
        <f t="shared" ca="1" si="40"/>
        <v>3.3618680894477601E-2</v>
      </c>
      <c r="GH34" s="143">
        <f t="shared" ca="1" si="40"/>
        <v>2.161203344037595E-2</v>
      </c>
      <c r="GI34" s="143">
        <f t="shared" ca="1" si="40"/>
        <v>-1.2289927283772067E-2</v>
      </c>
      <c r="GJ34" s="143">
        <f t="shared" ca="1" si="40"/>
        <v>-1.9684745103129293E-2</v>
      </c>
      <c r="GK34" s="143">
        <f t="shared" ca="1" si="40"/>
        <v>0.16621183739621465</v>
      </c>
      <c r="GL34" s="143">
        <f t="shared" ca="1" si="40"/>
        <v>1.8979196625967341E-2</v>
      </c>
      <c r="GM34" s="143">
        <f t="shared" ca="1" si="40"/>
        <v>-5.8552511775877135E-2</v>
      </c>
      <c r="GN34" s="143">
        <f t="shared" ca="1" si="40"/>
        <v>9.132253989238423E-2</v>
      </c>
      <c r="GO34" s="143">
        <f t="shared" ca="1" si="40"/>
        <v>9.7123362953259296E-2</v>
      </c>
      <c r="GP34" s="143">
        <f t="shared" ca="1" si="40"/>
        <v>0.14011544841213208</v>
      </c>
      <c r="GQ34" s="143">
        <f t="shared" ca="1" si="40"/>
        <v>8.1819772602204729E-2</v>
      </c>
      <c r="GR34" s="143">
        <f t="shared" ca="1" si="40"/>
        <v>7.6800685175883926E-2</v>
      </c>
      <c r="GS34" s="143">
        <f t="shared" ca="1" si="40"/>
        <v>-2.8139316901549381E-2</v>
      </c>
      <c r="GT34" s="143">
        <f t="shared" ca="1" si="40"/>
        <v>-1.6533954743361008E-2</v>
      </c>
      <c r="GU34" s="143">
        <f t="shared" ca="1" si="40"/>
        <v>-0.13193133303255666</v>
      </c>
      <c r="GV34" s="143">
        <f t="shared" ca="1" si="40"/>
        <v>6.1175955638579235E-2</v>
      </c>
      <c r="GW34" s="143">
        <f t="shared" ca="1" si="40"/>
        <v>-9.2751266175623237E-2</v>
      </c>
      <c r="GX34" s="143">
        <f t="shared" ca="1" si="40"/>
        <v>4.0267139284144909E-2</v>
      </c>
      <c r="GY34" s="143">
        <f t="shared" ca="1" si="40"/>
        <v>3.2873904059508553E-2</v>
      </c>
      <c r="GZ34" s="143">
        <f t="shared" ca="1" si="40"/>
        <v>0.17707368619072208</v>
      </c>
      <c r="HA34" s="143">
        <f t="shared" ca="1" si="40"/>
        <v>0.11574323812351936</v>
      </c>
      <c r="HB34" s="143">
        <f t="shared" ca="1" si="40"/>
        <v>3.5942038254299057E-2</v>
      </c>
      <c r="HC34" s="143">
        <f t="shared" ca="1" si="40"/>
        <v>1.4416514572288895E-2</v>
      </c>
      <c r="HD34" s="143">
        <f t="shared" ca="1" si="40"/>
        <v>6.5986446323891529E-2</v>
      </c>
      <c r="HE34" s="143">
        <f t="shared" ca="1" si="40"/>
        <v>-4.2694192226222484E-2</v>
      </c>
      <c r="HF34" s="143">
        <f t="shared" ca="1" si="40"/>
        <v>-3.4203074550532377E-2</v>
      </c>
      <c r="HG34" s="143">
        <f t="shared" ca="1" si="40"/>
        <v>2.3756286189087907E-2</v>
      </c>
    </row>
    <row r="35" spans="1:215">
      <c r="A35" s="90">
        <v>1961</v>
      </c>
      <c r="B35" s="84">
        <v>0.26637712958182752</v>
      </c>
      <c r="C35" s="85">
        <v>0.29830000000000001</v>
      </c>
      <c r="D35" s="83">
        <f t="shared" si="4"/>
        <v>0.27276170366546204</v>
      </c>
      <c r="E35" s="85"/>
      <c r="F35" s="85"/>
      <c r="G35" s="85">
        <v>2.3524899598393576E-2</v>
      </c>
      <c r="H35" s="85">
        <v>2.0609208076323167E-2</v>
      </c>
      <c r="I35" s="85">
        <v>5.0999999999999997E-2</v>
      </c>
      <c r="J35" s="85">
        <v>-5.6705415367175327E-4</v>
      </c>
      <c r="M35" s="115">
        <f t="shared" si="7"/>
        <v>84</v>
      </c>
      <c r="N35" s="143">
        <f t="shared" ca="1" si="31"/>
        <v>0.12854839069824003</v>
      </c>
      <c r="O35" s="143">
        <f t="shared" ca="1" si="41"/>
        <v>-8.3085412864995711E-2</v>
      </c>
      <c r="P35" s="143">
        <f t="shared" ca="1" si="41"/>
        <v>-2.3861120680543024E-2</v>
      </c>
      <c r="Q35" s="143">
        <f t="shared" ca="1" si="41"/>
        <v>0.25028043933418276</v>
      </c>
      <c r="R35" s="143">
        <f t="shared" ca="1" si="41"/>
        <v>0.23259825094527939</v>
      </c>
      <c r="S35" s="143">
        <f t="shared" ca="1" si="41"/>
        <v>0.40182112751755972</v>
      </c>
      <c r="T35" s="143">
        <f t="shared" ca="1" si="41"/>
        <v>0.3796454564018914</v>
      </c>
      <c r="U35" s="143">
        <f t="shared" ca="1" si="41"/>
        <v>0.37898559151601929</v>
      </c>
      <c r="V35" s="143">
        <f t="shared" ca="1" si="41"/>
        <v>3.307190662689273E-2</v>
      </c>
      <c r="W35" s="143">
        <f t="shared" ca="1" si="41"/>
        <v>0.16506999936820127</v>
      </c>
      <c r="X35" s="143">
        <f t="shared" ca="1" si="41"/>
        <v>0.29742836203867318</v>
      </c>
      <c r="Y35" s="143">
        <f t="shared" ca="1" si="41"/>
        <v>-0.11474485378053803</v>
      </c>
      <c r="Z35" s="143">
        <f t="shared" ca="1" si="41"/>
        <v>0.27609286847400466</v>
      </c>
      <c r="AA35" s="143">
        <f t="shared" ca="1" si="41"/>
        <v>-1.1697081315107022E-2</v>
      </c>
      <c r="AB35" s="143">
        <f t="shared" ca="1" si="41"/>
        <v>0.3676062859623781</v>
      </c>
      <c r="AC35" s="143">
        <f t="shared" ca="1" si="41"/>
        <v>0.28099518919111677</v>
      </c>
      <c r="AD35" s="143">
        <f t="shared" ca="1" si="41"/>
        <v>5.1999199124107519E-2</v>
      </c>
      <c r="AE35" s="143">
        <f t="shared" ca="1" si="41"/>
        <v>0.34625903744539321</v>
      </c>
      <c r="AF35" s="143">
        <f t="shared" ca="1" si="41"/>
        <v>0.31146288947695377</v>
      </c>
      <c r="AG35" s="143">
        <f t="shared" ca="1" si="41"/>
        <v>0.12118310929705217</v>
      </c>
      <c r="AH35" s="143">
        <f t="shared" ca="1" si="41"/>
        <v>8.1139981004334977E-2</v>
      </c>
      <c r="AI35" s="143">
        <f t="shared" ca="1" si="41"/>
        <v>4.1186303897258129E-2</v>
      </c>
      <c r="AJ35" s="143">
        <f t="shared" ca="1" si="41"/>
        <v>-0.23440770357267729</v>
      </c>
      <c r="AK35" s="143">
        <f t="shared" ca="1" si="41"/>
        <v>-7.8677357966803863E-2</v>
      </c>
      <c r="AL35" s="143">
        <f t="shared" ca="1" si="41"/>
        <v>0.17527461545760858</v>
      </c>
      <c r="AM35" s="143">
        <f t="shared" ca="1" si="41"/>
        <v>0.26142677825151184</v>
      </c>
      <c r="AN35" s="143">
        <f t="shared" ca="1" si="41"/>
        <v>-4.1218872683429941E-2</v>
      </c>
      <c r="AO35" s="143">
        <f t="shared" ca="1" si="41"/>
        <v>0.12126329951937799</v>
      </c>
      <c r="AP35" s="143">
        <f t="shared" ca="1" si="41"/>
        <v>0.28222529526947948</v>
      </c>
      <c r="AQ35" s="143">
        <f t="shared" ca="1" si="41"/>
        <v>8.8916156004663072E-3</v>
      </c>
      <c r="AR35" s="143">
        <f t="shared" ca="1" si="41"/>
        <v>0.15428921048341759</v>
      </c>
      <c r="AS35" s="143">
        <f t="shared" ca="1" si="41"/>
        <v>-0.10786271649014323</v>
      </c>
      <c r="AT35" s="143">
        <f t="shared" ca="1" si="41"/>
        <v>0.12412878842584704</v>
      </c>
      <c r="AU35" s="143">
        <f t="shared" ca="1" si="41"/>
        <v>8.9939336496763445E-2</v>
      </c>
      <c r="AV35" s="143">
        <f t="shared" ca="1" si="41"/>
        <v>0.20126985426189806</v>
      </c>
      <c r="AW35" s="143">
        <f t="shared" ca="1" si="41"/>
        <v>0.2739366416150017</v>
      </c>
      <c r="AX35" s="143">
        <f t="shared" ca="1" si="41"/>
        <v>-0.27166854272375651</v>
      </c>
      <c r="AY35" s="143">
        <f t="shared" ca="1" si="41"/>
        <v>8.2638823917804582E-2</v>
      </c>
      <c r="AZ35" s="143">
        <f t="shared" ca="1" si="41"/>
        <v>0.31825754789727734</v>
      </c>
      <c r="BA35" s="143">
        <f t="shared" ca="1" si="41"/>
        <v>-0.18247132560897669</v>
      </c>
      <c r="BB35" s="143">
        <f t="shared" ca="1" si="41"/>
        <v>-0.15296838929034054</v>
      </c>
      <c r="BC35" s="143">
        <f t="shared" ca="1" si="41"/>
        <v>0.19564193164864485</v>
      </c>
      <c r="BD35" s="143">
        <f t="shared" ca="1" si="41"/>
        <v>0.4369238038754526</v>
      </c>
      <c r="BE35" s="143">
        <f t="shared" ca="1" si="41"/>
        <v>0.1802355403640174</v>
      </c>
      <c r="BF35" s="143">
        <f t="shared" ca="1" si="41"/>
        <v>0.19629002608389112</v>
      </c>
      <c r="BG35" s="143">
        <f t="shared" ca="1" si="41"/>
        <v>0.46095346929376713</v>
      </c>
      <c r="BH35" s="143">
        <f t="shared" ca="1" si="41"/>
        <v>0.13875016592756192</v>
      </c>
      <c r="BI35" s="143">
        <f t="shared" ca="1" si="41"/>
        <v>2.242318161566656E-2</v>
      </c>
      <c r="BJ35" s="143">
        <f t="shared" ca="1" si="41"/>
        <v>0.21867927619817623</v>
      </c>
      <c r="BK35" s="143">
        <f t="shared" ca="1" si="41"/>
        <v>-0.10191367699472911</v>
      </c>
      <c r="BL35" s="143">
        <f t="shared" ca="1" si="41"/>
        <v>-0.21273286530463389</v>
      </c>
      <c r="BM35" s="143">
        <f t="shared" ca="1" si="41"/>
        <v>0.21286220482731888</v>
      </c>
      <c r="BN35" s="143">
        <f t="shared" ca="1" si="41"/>
        <v>0.17827480611368857</v>
      </c>
      <c r="BO35" s="143">
        <f t="shared" ca="1" si="41"/>
        <v>0.31854634267824966</v>
      </c>
      <c r="BP35" s="143">
        <f t="shared" ca="1" si="41"/>
        <v>-0.14424090003969894</v>
      </c>
      <c r="BQ35" s="143">
        <f t="shared" ca="1" si="41"/>
        <v>0.37875201736083408</v>
      </c>
      <c r="BR35" s="143">
        <f t="shared" ca="1" si="41"/>
        <v>-0.15294693765050718</v>
      </c>
      <c r="BS35" s="143">
        <f t="shared" ca="1" si="41"/>
        <v>0.17772315133759933</v>
      </c>
      <c r="BT35" s="143">
        <f t="shared" ca="1" si="41"/>
        <v>0.17949648084036646</v>
      </c>
      <c r="BU35" s="143">
        <f t="shared" ca="1" si="41"/>
        <v>0.14261572033841918</v>
      </c>
      <c r="BV35" s="143">
        <f t="shared" ca="1" si="41"/>
        <v>9.3338080782335284E-2</v>
      </c>
      <c r="BW35" s="143">
        <f t="shared" ca="1" si="41"/>
        <v>9.9857518600317843E-2</v>
      </c>
      <c r="BX35" s="143">
        <f t="shared" ca="1" si="41"/>
        <v>-0.25626807752902692</v>
      </c>
      <c r="BY35" s="143">
        <f t="shared" ca="1" si="41"/>
        <v>-7.1641123672223972E-2</v>
      </c>
      <c r="BZ35" s="143">
        <f t="shared" ca="1" si="41"/>
        <v>0.132638111087793</v>
      </c>
      <c r="CA35" s="143">
        <f t="shared" ca="1" si="39"/>
        <v>0.31955634137378774</v>
      </c>
      <c r="CB35" s="143">
        <f t="shared" ca="1" si="39"/>
        <v>0.15553329779547617</v>
      </c>
      <c r="CC35" s="143">
        <f t="shared" ca="1" si="39"/>
        <v>-7.7944202114484745E-2</v>
      </c>
      <c r="CD35" s="143">
        <f t="shared" ca="1" si="39"/>
        <v>-0.10678725173039338</v>
      </c>
      <c r="CE35" s="143">
        <f t="shared" ca="1" si="39"/>
        <v>9.2205882528936842E-2</v>
      </c>
      <c r="CF35" s="143">
        <f t="shared" ca="1" si="39"/>
        <v>-3.5750524619788837E-2</v>
      </c>
      <c r="CG35" s="143">
        <f t="shared" ca="1" si="39"/>
        <v>-0.17676174830513278</v>
      </c>
      <c r="CH35" s="143">
        <f t="shared" ca="1" si="39"/>
        <v>-0.13416826791956474</v>
      </c>
      <c r="CI35" s="143">
        <f t="shared" ca="1" si="39"/>
        <v>-3.7163068943007332E-2</v>
      </c>
      <c r="CJ35" s="143">
        <f t="shared" ca="1" si="39"/>
        <v>0.51685228363157631</v>
      </c>
      <c r="CK35" s="143">
        <f t="shared" ca="1" si="39"/>
        <v>0.54948454523102586</v>
      </c>
      <c r="CL35" s="143">
        <f t="shared" ca="1" si="39"/>
        <v>5.1246566067445071E-3</v>
      </c>
      <c r="CM35" s="143">
        <f t="shared" ca="1" si="39"/>
        <v>0.10548134005217484</v>
      </c>
      <c r="CN35" s="143">
        <f t="shared" ca="1" si="39"/>
        <v>0.16480990025368095</v>
      </c>
      <c r="CO35" s="143">
        <f t="shared" ca="1" si="39"/>
        <v>0.52597573919212848</v>
      </c>
      <c r="CP35" s="143">
        <f t="shared" ca="1" si="39"/>
        <v>3.0360781577091336E-2</v>
      </c>
      <c r="CQ35" s="143">
        <f t="shared" ca="1" si="39"/>
        <v>0.24966284772882369</v>
      </c>
      <c r="CR35" s="143">
        <f t="shared" ca="1" si="39"/>
        <v>-0.16008498074924651</v>
      </c>
      <c r="CS35" s="143">
        <f t="shared" ca="1" si="39"/>
        <v>0.34960982178533184</v>
      </c>
      <c r="CT35" s="143">
        <f t="shared" ca="1" si="39"/>
        <v>5.6652157309935613E-2</v>
      </c>
      <c r="CU35" s="143">
        <f t="shared" ca="1" si="39"/>
        <v>2.2607520201536918E-2</v>
      </c>
      <c r="CV35" s="143">
        <f t="shared" ca="1" si="39"/>
        <v>0.32756496007854596</v>
      </c>
      <c r="CW35" s="143">
        <f t="shared" ca="1" si="39"/>
        <v>0.44596597439032781</v>
      </c>
      <c r="CX35" s="143">
        <f t="shared" ca="1" si="39"/>
        <v>-0.12333819384487002</v>
      </c>
      <c r="CY35" s="143">
        <f t="shared" ca="1" si="39"/>
        <v>0.21023423936211694</v>
      </c>
      <c r="CZ35" s="143">
        <f t="shared" ca="1" si="39"/>
        <v>-0.2953222363397987</v>
      </c>
      <c r="DA35" s="143">
        <f t="shared" ca="1" si="39"/>
        <v>-0.18384231457874364</v>
      </c>
      <c r="DB35" s="143">
        <f t="shared" ca="1" si="39"/>
        <v>6.0201621883600523E-2</v>
      </c>
      <c r="DC35" s="143">
        <f t="shared" ca="1" si="39"/>
        <v>-9.3037853322288894E-2</v>
      </c>
      <c r="DD35" s="143">
        <f t="shared" ca="1" si="39"/>
        <v>0.18528047106391657</v>
      </c>
      <c r="DE35" s="143">
        <f t="shared" ca="1" si="39"/>
        <v>5.3348583921546858E-2</v>
      </c>
      <c r="DF35" s="143">
        <f t="shared" ca="1" si="39"/>
        <v>0.21489615138955498</v>
      </c>
      <c r="DG35" s="143">
        <f t="shared" ca="1" si="39"/>
        <v>-0.12401729026182853</v>
      </c>
      <c r="DH35" s="143">
        <f t="shared" ca="1" si="39"/>
        <v>0.41391440006113356</v>
      </c>
      <c r="DI35" s="143">
        <f t="shared" ca="1" si="39"/>
        <v>0.52657034433967398</v>
      </c>
      <c r="DK35" s="115">
        <f t="shared" si="8"/>
        <v>84</v>
      </c>
      <c r="DL35" s="143">
        <f t="shared" ca="1" si="33"/>
        <v>3.729088818379276E-2</v>
      </c>
      <c r="DM35" s="143">
        <f t="shared" ca="1" si="42"/>
        <v>0.1125440636908166</v>
      </c>
      <c r="DN35" s="143">
        <f t="shared" ca="1" si="42"/>
        <v>6.6086406464065175E-3</v>
      </c>
      <c r="DO35" s="143">
        <f t="shared" ca="1" si="42"/>
        <v>-6.8572099981872373E-3</v>
      </c>
      <c r="DP35" s="143">
        <f t="shared" ca="1" si="42"/>
        <v>1.1986595090479182E-2</v>
      </c>
      <c r="DQ35" s="143">
        <f t="shared" ca="1" si="42"/>
        <v>-3.255642186912986E-2</v>
      </c>
      <c r="DR35" s="143">
        <f t="shared" ca="1" si="42"/>
        <v>7.8008233423981693E-2</v>
      </c>
      <c r="DS35" s="143">
        <f t="shared" ca="1" si="42"/>
        <v>5.1234186638899754E-2</v>
      </c>
      <c r="DT35" s="143">
        <f t="shared" ca="1" si="42"/>
        <v>0.16555950496756791</v>
      </c>
      <c r="DU35" s="143">
        <f t="shared" ca="1" si="42"/>
        <v>3.7038510832045721E-2</v>
      </c>
      <c r="DV35" s="143">
        <f t="shared" ca="1" si="42"/>
        <v>3.5489416637290216E-2</v>
      </c>
      <c r="DW35" s="143">
        <f t="shared" ca="1" si="42"/>
        <v>-5.6565518680563719E-2</v>
      </c>
      <c r="DX35" s="143">
        <f t="shared" ca="1" si="42"/>
        <v>0.12305061922096022</v>
      </c>
      <c r="DY35" s="143">
        <f t="shared" ca="1" si="42"/>
        <v>-9.5911816395870889E-3</v>
      </c>
      <c r="DZ35" s="143">
        <f t="shared" ca="1" si="42"/>
        <v>9.1927145734421803E-2</v>
      </c>
      <c r="EA35" s="143">
        <f t="shared" ca="1" si="42"/>
        <v>4.0882644153495747E-2</v>
      </c>
      <c r="EB35" s="143">
        <f t="shared" ca="1" si="42"/>
        <v>8.8724682634519131E-2</v>
      </c>
      <c r="EC35" s="143">
        <f t="shared" ca="1" si="42"/>
        <v>0.13276277371943157</v>
      </c>
      <c r="ED35" s="143">
        <f t="shared" ca="1" si="42"/>
        <v>-9.9416595430279697E-2</v>
      </c>
      <c r="EE35" s="143">
        <f t="shared" ca="1" si="42"/>
        <v>3.1198879561552401E-4</v>
      </c>
      <c r="EF35" s="143">
        <f t="shared" ca="1" si="42"/>
        <v>3.0672153397059202E-2</v>
      </c>
      <c r="EG35" s="143">
        <f t="shared" ca="1" si="42"/>
        <v>0.20990678993618211</v>
      </c>
      <c r="EH35" s="143">
        <f t="shared" ca="1" si="42"/>
        <v>-6.6410373884131721E-3</v>
      </c>
      <c r="EI35" s="143">
        <f t="shared" ca="1" si="42"/>
        <v>6.8651957254107138E-2</v>
      </c>
      <c r="EJ35" s="143">
        <f t="shared" ca="1" si="42"/>
        <v>-3.7148453949459252E-2</v>
      </c>
      <c r="EK35" s="143">
        <f t="shared" ca="1" si="42"/>
        <v>-5.2484405280822287E-2</v>
      </c>
      <c r="EL35" s="143">
        <f t="shared" ca="1" si="42"/>
        <v>5.4122822952003269E-4</v>
      </c>
      <c r="EM35" s="143">
        <f t="shared" ca="1" si="42"/>
        <v>2.5917608967263295E-2</v>
      </c>
      <c r="EN35" s="143">
        <f t="shared" ca="1" si="42"/>
        <v>0.14687826848055927</v>
      </c>
      <c r="EO35" s="143">
        <f t="shared" ca="1" si="42"/>
        <v>-5.3869126144428035E-2</v>
      </c>
      <c r="EP35" s="143">
        <f t="shared" ca="1" si="42"/>
        <v>6.2639998929694213E-2</v>
      </c>
      <c r="EQ35" s="143">
        <f t="shared" ca="1" si="42"/>
        <v>-2.3502454596787688E-2</v>
      </c>
      <c r="ER35" s="143">
        <f t="shared" ca="1" si="42"/>
        <v>0.15969270252719217</v>
      </c>
      <c r="ES35" s="143">
        <f t="shared" ca="1" si="42"/>
        <v>9.3562699571266464E-2</v>
      </c>
      <c r="ET35" s="143">
        <f t="shared" ca="1" si="42"/>
        <v>7.5870098024046442E-2</v>
      </c>
      <c r="EU35" s="143">
        <f t="shared" ca="1" si="42"/>
        <v>5.3952319875443876E-2</v>
      </c>
      <c r="EV35" s="143">
        <f t="shared" ca="1" si="42"/>
        <v>-7.7134814313363331E-2</v>
      </c>
      <c r="EW35" s="143">
        <f t="shared" ca="1" si="42"/>
        <v>3.3582681806743737E-2</v>
      </c>
      <c r="EX35" s="143">
        <f t="shared" ca="1" si="42"/>
        <v>7.2010025581491222E-3</v>
      </c>
      <c r="EY35" s="143">
        <f t="shared" ca="1" si="42"/>
        <v>0.11568981534823652</v>
      </c>
      <c r="EZ35" s="143">
        <f t="shared" ca="1" si="42"/>
        <v>-1.5788563655250991E-2</v>
      </c>
      <c r="FA35" s="143">
        <f t="shared" ca="1" si="42"/>
        <v>9.9893426193267354E-2</v>
      </c>
      <c r="FB35" s="143">
        <f t="shared" ca="1" si="42"/>
        <v>1.9842570832618249E-2</v>
      </c>
      <c r="FC35" s="143">
        <f t="shared" ca="1" si="42"/>
        <v>3.6628027773082994E-2</v>
      </c>
      <c r="FD35" s="143">
        <f t="shared" ca="1" si="42"/>
        <v>-7.5451490231905338E-3</v>
      </c>
      <c r="FE35" s="143">
        <f t="shared" ca="1" si="42"/>
        <v>6.4719007324845146E-2</v>
      </c>
      <c r="FF35" s="143">
        <f t="shared" ca="1" si="42"/>
        <v>8.0046269105253073E-2</v>
      </c>
      <c r="FG35" s="143">
        <f t="shared" ca="1" si="42"/>
        <v>0.11110172639080737</v>
      </c>
      <c r="FH35" s="143">
        <f t="shared" ca="1" si="42"/>
        <v>-0.11763155448795609</v>
      </c>
      <c r="FI35" s="143">
        <f t="shared" ca="1" si="42"/>
        <v>1.1286445877257044E-2</v>
      </c>
      <c r="FJ35" s="143">
        <f t="shared" ca="1" si="42"/>
        <v>-3.4686734593658348E-2</v>
      </c>
      <c r="FK35" s="143">
        <f t="shared" ca="1" si="42"/>
        <v>-4.1781411538645973E-2</v>
      </c>
      <c r="FL35" s="143">
        <f t="shared" ca="1" si="42"/>
        <v>4.9999101543779928E-2</v>
      </c>
      <c r="FM35" s="143">
        <f t="shared" ca="1" si="42"/>
        <v>9.4731743420080158E-2</v>
      </c>
      <c r="FN35" s="143">
        <f t="shared" ca="1" si="42"/>
        <v>-2.0675693940375647E-3</v>
      </c>
      <c r="FO35" s="143">
        <f t="shared" ca="1" si="42"/>
        <v>-1.6536888129306086E-2</v>
      </c>
      <c r="FP35" s="143">
        <f t="shared" ca="1" si="42"/>
        <v>6.4017224634984743E-2</v>
      </c>
      <c r="FQ35" s="143">
        <f t="shared" ca="1" si="42"/>
        <v>3.0022403897024475E-2</v>
      </c>
      <c r="FR35" s="143">
        <f t="shared" ca="1" si="42"/>
        <v>5.2939590988084484E-2</v>
      </c>
      <c r="FS35" s="143">
        <f t="shared" ca="1" si="42"/>
        <v>0.16171310971593686</v>
      </c>
      <c r="FT35" s="143">
        <f t="shared" ca="1" si="42"/>
        <v>0.15727771323626363</v>
      </c>
      <c r="FU35" s="143">
        <f t="shared" ca="1" si="42"/>
        <v>4.5163302598729971E-3</v>
      </c>
      <c r="FV35" s="143">
        <f t="shared" ca="1" si="42"/>
        <v>-5.6112903955715616E-2</v>
      </c>
      <c r="FW35" s="143">
        <f t="shared" ca="1" si="42"/>
        <v>-9.0070279433640515E-2</v>
      </c>
      <c r="FX35" s="143">
        <f t="shared" ca="1" si="42"/>
        <v>-1.3286045831785519E-2</v>
      </c>
      <c r="FY35" s="143">
        <f t="shared" ca="1" si="40"/>
        <v>8.1195399207389926E-2</v>
      </c>
      <c r="FZ35" s="143">
        <f t="shared" ca="1" si="40"/>
        <v>0.19750854316486527</v>
      </c>
      <c r="GA35" s="143">
        <f t="shared" ca="1" si="40"/>
        <v>0.16520809509466941</v>
      </c>
      <c r="GB35" s="143">
        <f t="shared" ca="1" si="40"/>
        <v>-3.7210908253319221E-2</v>
      </c>
      <c r="GC35" s="143">
        <f t="shared" ca="1" si="40"/>
        <v>1.9108987364597402E-2</v>
      </c>
      <c r="GD35" s="143">
        <f t="shared" ca="1" si="40"/>
        <v>-4.3622385243196546E-3</v>
      </c>
      <c r="GE35" s="143">
        <f t="shared" ca="1" si="40"/>
        <v>6.0035051397246408E-2</v>
      </c>
      <c r="GF35" s="143">
        <f t="shared" ca="1" si="40"/>
        <v>5.9119963064789241E-2</v>
      </c>
      <c r="GG35" s="143">
        <f t="shared" ca="1" si="40"/>
        <v>-6.0103875461033136E-2</v>
      </c>
      <c r="GH35" s="143">
        <f t="shared" ca="1" si="40"/>
        <v>6.8583730713846991E-2</v>
      </c>
      <c r="GI35" s="143">
        <f t="shared" ca="1" si="40"/>
        <v>3.2058476464463401E-2</v>
      </c>
      <c r="GJ35" s="143">
        <f t="shared" ca="1" si="40"/>
        <v>-5.5758287054549611E-2</v>
      </c>
      <c r="GK35" s="143">
        <f t="shared" ca="1" si="40"/>
        <v>2.4734588401291262E-2</v>
      </c>
      <c r="GL35" s="143">
        <f t="shared" ca="1" si="40"/>
        <v>9.6239847612136636E-2</v>
      </c>
      <c r="GM35" s="143">
        <f t="shared" ca="1" si="40"/>
        <v>1.53417590809687E-2</v>
      </c>
      <c r="GN35" s="143">
        <f t="shared" ca="1" si="40"/>
        <v>1.6180856947930304E-2</v>
      </c>
      <c r="GO35" s="143">
        <f t="shared" ca="1" si="40"/>
        <v>8.059402939378385E-2</v>
      </c>
      <c r="GP35" s="143">
        <f t="shared" ca="1" si="40"/>
        <v>9.9297680955883538E-2</v>
      </c>
      <c r="GQ35" s="143">
        <f t="shared" ca="1" si="40"/>
        <v>-3.0969173053978019E-3</v>
      </c>
      <c r="GR35" s="143">
        <f t="shared" ca="1" si="40"/>
        <v>0.18803877471331121</v>
      </c>
      <c r="GS35" s="143">
        <f t="shared" ca="1" si="40"/>
        <v>0.19150759217032828</v>
      </c>
      <c r="GT35" s="143">
        <f t="shared" ca="1" si="40"/>
        <v>0.1488747410126818</v>
      </c>
      <c r="GU35" s="143">
        <f t="shared" ca="1" si="40"/>
        <v>7.8082130537881489E-2</v>
      </c>
      <c r="GV35" s="143">
        <f t="shared" ca="1" si="40"/>
        <v>-0.11726991482093568</v>
      </c>
      <c r="GW35" s="143">
        <f t="shared" ca="1" si="40"/>
        <v>0.13151314451425522</v>
      </c>
      <c r="GX35" s="143">
        <f t="shared" ca="1" si="40"/>
        <v>0.16596913381793732</v>
      </c>
      <c r="GY35" s="143">
        <f t="shared" ca="1" si="40"/>
        <v>-4.0720213091586417E-2</v>
      </c>
      <c r="GZ35" s="143">
        <f t="shared" ca="1" si="40"/>
        <v>-3.6762380739241977E-2</v>
      </c>
      <c r="HA35" s="143">
        <f t="shared" ca="1" si="40"/>
        <v>4.3829550975391922E-2</v>
      </c>
      <c r="HB35" s="143">
        <f t="shared" ca="1" si="40"/>
        <v>-4.9564808116910046E-2</v>
      </c>
      <c r="HC35" s="143">
        <f t="shared" ca="1" si="40"/>
        <v>-1.2737539441623064E-2</v>
      </c>
      <c r="HD35" s="143">
        <f t="shared" ca="1" si="40"/>
        <v>-7.5492026095745929E-2</v>
      </c>
      <c r="HE35" s="143">
        <f t="shared" ca="1" si="40"/>
        <v>3.4890066877325328E-2</v>
      </c>
      <c r="HF35" s="143">
        <f t="shared" ca="1" si="40"/>
        <v>1.9519065525148243E-2</v>
      </c>
      <c r="HG35" s="143">
        <f t="shared" ca="1" si="40"/>
        <v>0.11444699875950823</v>
      </c>
    </row>
    <row r="36" spans="1:215">
      <c r="A36" s="90">
        <v>1962</v>
      </c>
      <c r="B36" s="84">
        <v>-8.8114605171208879E-2</v>
      </c>
      <c r="C36" s="85">
        <v>-9.7599999999999992E-2</v>
      </c>
      <c r="D36" s="83">
        <f t="shared" si="4"/>
        <v>-9.0011684136967099E-2</v>
      </c>
      <c r="E36" s="85"/>
      <c r="F36" s="85"/>
      <c r="G36" s="85">
        <v>2.7723694779116466E-2</v>
      </c>
      <c r="H36" s="85">
        <v>5.693544054008462E-2</v>
      </c>
      <c r="I36" s="85">
        <v>6.4953279936065755E-2</v>
      </c>
      <c r="J36" s="85">
        <v>-5.6737588652489013E-4</v>
      </c>
      <c r="M36" s="115">
        <f t="shared" si="7"/>
        <v>85</v>
      </c>
      <c r="N36" s="143">
        <f t="shared" ca="1" si="31"/>
        <v>0.38891083689437578</v>
      </c>
      <c r="O36" s="143">
        <f t="shared" ca="1" si="41"/>
        <v>0.14829631478368654</v>
      </c>
      <c r="P36" s="143">
        <f t="shared" ca="1" si="41"/>
        <v>3.9197855654631956E-2</v>
      </c>
      <c r="Q36" s="143">
        <f t="shared" ca="1" si="41"/>
        <v>-0.23795558423268062</v>
      </c>
      <c r="R36" s="143">
        <f t="shared" ca="1" si="41"/>
        <v>0.40370931973797342</v>
      </c>
      <c r="S36" s="143">
        <f t="shared" ca="1" si="41"/>
        <v>0.23171077239417701</v>
      </c>
      <c r="T36" s="143">
        <f t="shared" ca="1" si="41"/>
        <v>-0.18549849894465201</v>
      </c>
      <c r="U36" s="143">
        <f t="shared" ca="1" si="41"/>
        <v>0.17166528710702261</v>
      </c>
      <c r="V36" s="143">
        <f t="shared" ca="1" si="41"/>
        <v>-0.15096000685761787</v>
      </c>
      <c r="W36" s="143">
        <f t="shared" ca="1" si="41"/>
        <v>0.27908676867750226</v>
      </c>
      <c r="X36" s="143">
        <f t="shared" ca="1" si="41"/>
        <v>-6.0731072476868792E-2</v>
      </c>
      <c r="Y36" s="143">
        <f t="shared" ca="1" si="41"/>
        <v>0.40010711177785219</v>
      </c>
      <c r="Z36" s="143">
        <f t="shared" ca="1" si="41"/>
        <v>0.58981194394499603</v>
      </c>
      <c r="AA36" s="143">
        <f t="shared" ca="1" si="41"/>
        <v>0.10814813317780879</v>
      </c>
      <c r="AB36" s="143">
        <f t="shared" ca="1" si="41"/>
        <v>1.9395300922925351E-2</v>
      </c>
      <c r="AC36" s="143">
        <f t="shared" ca="1" si="41"/>
        <v>0.4400244498016489</v>
      </c>
      <c r="AD36" s="143">
        <f t="shared" ca="1" si="41"/>
        <v>9.5820138228891488E-2</v>
      </c>
      <c r="AE36" s="143">
        <f t="shared" ca="1" si="41"/>
        <v>-6.5768257556976323E-2</v>
      </c>
      <c r="AF36" s="143">
        <f t="shared" ca="1" si="41"/>
        <v>4.5596754207379527E-2</v>
      </c>
      <c r="AG36" s="143">
        <f t="shared" ca="1" si="41"/>
        <v>5.7869246968595009E-2</v>
      </c>
      <c r="AH36" s="143">
        <f t="shared" ca="1" si="41"/>
        <v>0.22875184531452</v>
      </c>
      <c r="AI36" s="143">
        <f t="shared" ca="1" si="41"/>
        <v>0.19898014798745572</v>
      </c>
      <c r="AJ36" s="143">
        <f t="shared" ca="1" si="41"/>
        <v>-0.172657916828066</v>
      </c>
      <c r="AK36" s="143">
        <f t="shared" ca="1" si="41"/>
        <v>6.4472026618991748E-2</v>
      </c>
      <c r="AL36" s="143">
        <f t="shared" ca="1" si="41"/>
        <v>0.25192354431539843</v>
      </c>
      <c r="AM36" s="143">
        <f t="shared" ca="1" si="41"/>
        <v>0.40433213380438615</v>
      </c>
      <c r="AN36" s="143">
        <f t="shared" ca="1" si="41"/>
        <v>0.18774857208129106</v>
      </c>
      <c r="AO36" s="143">
        <f t="shared" ca="1" si="41"/>
        <v>0.22555943405058565</v>
      </c>
      <c r="AP36" s="143">
        <f t="shared" ca="1" si="41"/>
        <v>2.9516387270716565E-2</v>
      </c>
      <c r="AQ36" s="143">
        <f t="shared" ca="1" si="41"/>
        <v>0.19082532725246537</v>
      </c>
      <c r="AR36" s="143">
        <f t="shared" ca="1" si="41"/>
        <v>0.12095218707853068</v>
      </c>
      <c r="AS36" s="143">
        <f t="shared" ca="1" si="41"/>
        <v>0.30012687864581089</v>
      </c>
      <c r="AT36" s="143">
        <f t="shared" ca="1" si="41"/>
        <v>0.35962226119344765</v>
      </c>
      <c r="AU36" s="143">
        <f t="shared" ca="1" si="41"/>
        <v>0.13322067826993508</v>
      </c>
      <c r="AV36" s="143">
        <f t="shared" ca="1" si="41"/>
        <v>-0.18556569373428847</v>
      </c>
      <c r="AW36" s="143">
        <f t="shared" ca="1" si="41"/>
        <v>-0.10196743793412527</v>
      </c>
      <c r="AX36" s="143">
        <f t="shared" ca="1" si="41"/>
        <v>0.17178398624719576</v>
      </c>
      <c r="AY36" s="143">
        <f t="shared" ca="1" si="41"/>
        <v>-0.21741607369207147</v>
      </c>
      <c r="AZ36" s="143">
        <f t="shared" ca="1" si="41"/>
        <v>0.41343855679176678</v>
      </c>
      <c r="BA36" s="143">
        <f t="shared" ca="1" si="41"/>
        <v>5.2619659010029664E-2</v>
      </c>
      <c r="BB36" s="143">
        <f t="shared" ca="1" si="41"/>
        <v>0.11407006534431575</v>
      </c>
      <c r="BC36" s="143">
        <f t="shared" ca="1" si="41"/>
        <v>0.22012318470278197</v>
      </c>
      <c r="BD36" s="143">
        <f t="shared" ca="1" si="41"/>
        <v>3.4515495358866444E-2</v>
      </c>
      <c r="BE36" s="143">
        <f t="shared" ca="1" si="41"/>
        <v>0.32501092696851808</v>
      </c>
      <c r="BF36" s="143">
        <f t="shared" ca="1" si="41"/>
        <v>0.10561652650178499</v>
      </c>
      <c r="BG36" s="143">
        <f t="shared" ca="1" si="41"/>
        <v>1.6443755952796665E-2</v>
      </c>
      <c r="BH36" s="143">
        <f t="shared" ca="1" si="41"/>
        <v>0.13385644578752537</v>
      </c>
      <c r="BI36" s="143">
        <f t="shared" ca="1" si="41"/>
        <v>0.22728397716706594</v>
      </c>
      <c r="BJ36" s="143">
        <f t="shared" ca="1" si="41"/>
        <v>-1.097722738963619E-2</v>
      </c>
      <c r="BK36" s="143">
        <f t="shared" ca="1" si="41"/>
        <v>0.29886018313195445</v>
      </c>
      <c r="BL36" s="143">
        <f t="shared" ca="1" si="41"/>
        <v>7.8381898512938447E-2</v>
      </c>
      <c r="BM36" s="143">
        <f t="shared" ca="1" si="41"/>
        <v>-0.14747604613200857</v>
      </c>
      <c r="BN36" s="143">
        <f t="shared" ca="1" si="41"/>
        <v>0.12904936424321423</v>
      </c>
      <c r="BO36" s="143">
        <f t="shared" ca="1" si="41"/>
        <v>-0.16328282600146751</v>
      </c>
      <c r="BP36" s="143">
        <f t="shared" ca="1" si="41"/>
        <v>-5.3632026751233408E-2</v>
      </c>
      <c r="BQ36" s="143">
        <f t="shared" ca="1" si="41"/>
        <v>-8.5241096506697478E-2</v>
      </c>
      <c r="BR36" s="143">
        <f t="shared" ca="1" si="41"/>
        <v>-9.8704815828720621E-2</v>
      </c>
      <c r="BS36" s="143">
        <f t="shared" ca="1" si="41"/>
        <v>0.31649452692035462</v>
      </c>
      <c r="BT36" s="143">
        <f t="shared" ca="1" si="41"/>
        <v>-2.3642922173363015E-2</v>
      </c>
      <c r="BU36" s="143">
        <f t="shared" ca="1" si="41"/>
        <v>0.23310471238753055</v>
      </c>
      <c r="BV36" s="143">
        <f t="shared" ca="1" si="41"/>
        <v>0.36169136169304728</v>
      </c>
      <c r="BW36" s="143">
        <f t="shared" ca="1" si="41"/>
        <v>-0.11564593094661341</v>
      </c>
      <c r="BX36" s="143">
        <f t="shared" ca="1" si="41"/>
        <v>-0.11657336815491642</v>
      </c>
      <c r="BY36" s="143">
        <f t="shared" ca="1" si="41"/>
        <v>-3.2829824413036834E-2</v>
      </c>
      <c r="BZ36" s="143">
        <f t="shared" ca="1" si="41"/>
        <v>0.15148382169771685</v>
      </c>
      <c r="CA36" s="143">
        <f t="shared" ca="1" si="39"/>
        <v>0.38717525796265873</v>
      </c>
      <c r="CB36" s="143">
        <f t="shared" ca="1" si="39"/>
        <v>0.18041271275311779</v>
      </c>
      <c r="CC36" s="143">
        <f t="shared" ca="1" si="39"/>
        <v>-9.1331520390922072E-4</v>
      </c>
      <c r="CD36" s="143">
        <f t="shared" ca="1" si="39"/>
        <v>0.35288023600525809</v>
      </c>
      <c r="CE36" s="143">
        <f t="shared" ca="1" si="39"/>
        <v>0.39247883906818615</v>
      </c>
      <c r="CF36" s="143">
        <f t="shared" ca="1" si="39"/>
        <v>-4.5951740299803923E-2</v>
      </c>
      <c r="CG36" s="143">
        <f t="shared" ca="1" si="39"/>
        <v>9.3591969527410696E-2</v>
      </c>
      <c r="CH36" s="143">
        <f t="shared" ca="1" si="39"/>
        <v>0.31139970518744886</v>
      </c>
      <c r="CI36" s="143">
        <f t="shared" ca="1" si="39"/>
        <v>-5.5169107804560968E-2</v>
      </c>
      <c r="CJ36" s="143">
        <f t="shared" ca="1" si="39"/>
        <v>7.9120341166022443E-2</v>
      </c>
      <c r="CK36" s="143">
        <f t="shared" ca="1" si="39"/>
        <v>0.13379796066349306</v>
      </c>
      <c r="CL36" s="143">
        <f t="shared" ca="1" si="39"/>
        <v>5.0554955095119702E-2</v>
      </c>
      <c r="CM36" s="143">
        <f t="shared" ca="1" si="39"/>
        <v>0.5288302367830825</v>
      </c>
      <c r="CN36" s="143">
        <f t="shared" ca="1" si="39"/>
        <v>0.25008760053089207</v>
      </c>
      <c r="CO36" s="143">
        <f t="shared" ca="1" si="39"/>
        <v>-8.0839017581801009E-2</v>
      </c>
      <c r="CP36" s="143">
        <f t="shared" ca="1" si="39"/>
        <v>0.31358254844424682</v>
      </c>
      <c r="CQ36" s="143">
        <f t="shared" ca="1" si="39"/>
        <v>0.24021825172028513</v>
      </c>
      <c r="CR36" s="143">
        <f t="shared" ca="1" si="39"/>
        <v>0.21128168060901692</v>
      </c>
      <c r="CS36" s="143">
        <f t="shared" ca="1" si="39"/>
        <v>0.12520010303587309</v>
      </c>
      <c r="CT36" s="143">
        <f t="shared" ca="1" si="39"/>
        <v>0.13174718987824169</v>
      </c>
      <c r="CU36" s="143">
        <f t="shared" ca="1" si="39"/>
        <v>1.2820172534328864E-2</v>
      </c>
      <c r="CV36" s="143">
        <f t="shared" ca="1" si="39"/>
        <v>0.46558838057436036</v>
      </c>
      <c r="CW36" s="143">
        <f t="shared" ca="1" si="39"/>
        <v>5.5660807815782185E-2</v>
      </c>
      <c r="CX36" s="143">
        <f t="shared" ca="1" si="39"/>
        <v>0.14640472386587702</v>
      </c>
      <c r="CY36" s="143">
        <f t="shared" ca="1" si="39"/>
        <v>4.6462249323701514E-2</v>
      </c>
      <c r="CZ36" s="143">
        <f t="shared" ca="1" si="39"/>
        <v>0.34956680277147645</v>
      </c>
      <c r="DA36" s="143">
        <f t="shared" ca="1" si="39"/>
        <v>-0.15869181501010957</v>
      </c>
      <c r="DB36" s="143">
        <f t="shared" ca="1" si="39"/>
        <v>0.11287797320671293</v>
      </c>
      <c r="DC36" s="143">
        <f t="shared" ca="1" si="39"/>
        <v>3.050921771690622E-2</v>
      </c>
      <c r="DD36" s="143">
        <f t="shared" ca="1" si="39"/>
        <v>0.39955262855512585</v>
      </c>
      <c r="DE36" s="143">
        <f t="shared" ca="1" si="39"/>
        <v>-1.1398769677007092E-2</v>
      </c>
      <c r="DF36" s="143">
        <f t="shared" ca="1" si="39"/>
        <v>-4.226067426720867E-2</v>
      </c>
      <c r="DG36" s="143">
        <f t="shared" ca="1" si="39"/>
        <v>0.27550087833829384</v>
      </c>
      <c r="DH36" s="143">
        <f t="shared" ca="1" si="39"/>
        <v>0.18978977022341914</v>
      </c>
      <c r="DI36" s="143">
        <f t="shared" ca="1" si="39"/>
        <v>0.19424496134134717</v>
      </c>
      <c r="DK36" s="115">
        <f t="shared" si="8"/>
        <v>85</v>
      </c>
      <c r="DL36" s="143">
        <f t="shared" ca="1" si="33"/>
        <v>9.9667552171602031E-2</v>
      </c>
      <c r="DM36" s="143">
        <f t="shared" ca="1" si="42"/>
        <v>0.12458085754256149</v>
      </c>
      <c r="DN36" s="143">
        <f t="shared" ca="1" si="42"/>
        <v>2.9717593679581988E-2</v>
      </c>
      <c r="DO36" s="143">
        <f t="shared" ca="1" si="42"/>
        <v>-5.6519072274671157E-2</v>
      </c>
      <c r="DP36" s="143">
        <f t="shared" ca="1" si="42"/>
        <v>7.6825728297558904E-2</v>
      </c>
      <c r="DQ36" s="143">
        <f t="shared" ca="1" si="42"/>
        <v>-2.4323244194423339E-2</v>
      </c>
      <c r="DR36" s="143">
        <f t="shared" ca="1" si="42"/>
        <v>3.2864099955409211E-2</v>
      </c>
      <c r="DS36" s="143">
        <f t="shared" ca="1" si="42"/>
        <v>-8.2631698518339597E-2</v>
      </c>
      <c r="DT36" s="143">
        <f t="shared" ca="1" si="42"/>
        <v>7.9706320966326988E-2</v>
      </c>
      <c r="DU36" s="143">
        <f t="shared" ca="1" si="42"/>
        <v>0.13309494160322358</v>
      </c>
      <c r="DV36" s="143">
        <f t="shared" ca="1" si="42"/>
        <v>0.19477981295958047</v>
      </c>
      <c r="DW36" s="143">
        <f t="shared" ca="1" si="42"/>
        <v>0.20944254490913683</v>
      </c>
      <c r="DX36" s="143">
        <f t="shared" ca="1" si="42"/>
        <v>-8.33789470645179E-2</v>
      </c>
      <c r="DY36" s="143">
        <f t="shared" ca="1" si="42"/>
        <v>5.3097740278117769E-2</v>
      </c>
      <c r="DZ36" s="143">
        <f t="shared" ca="1" si="42"/>
        <v>7.1102826314947964E-3</v>
      </c>
      <c r="EA36" s="143">
        <f t="shared" ca="1" si="42"/>
        <v>8.5222748214849015E-2</v>
      </c>
      <c r="EB36" s="143">
        <f t="shared" ca="1" si="42"/>
        <v>0.14816085946491728</v>
      </c>
      <c r="EC36" s="143">
        <f t="shared" ca="1" si="42"/>
        <v>0.13540986392162091</v>
      </c>
      <c r="ED36" s="143">
        <f t="shared" ca="1" si="42"/>
        <v>3.1687177369060376E-2</v>
      </c>
      <c r="EE36" s="143">
        <f t="shared" ca="1" si="42"/>
        <v>1.7863436506591803E-2</v>
      </c>
      <c r="EF36" s="143">
        <f t="shared" ca="1" si="42"/>
        <v>0.10488481362692798</v>
      </c>
      <c r="EG36" s="143">
        <f t="shared" ca="1" si="42"/>
        <v>-1.3674658286340756E-2</v>
      </c>
      <c r="EH36" s="143">
        <f t="shared" ca="1" si="42"/>
        <v>9.2770642781728446E-2</v>
      </c>
      <c r="EI36" s="143">
        <f t="shared" ca="1" si="42"/>
        <v>4.1450011135925405E-2</v>
      </c>
      <c r="EJ36" s="143">
        <f t="shared" ca="1" si="42"/>
        <v>-5.9157128045935752E-2</v>
      </c>
      <c r="EK36" s="143">
        <f t="shared" ca="1" si="42"/>
        <v>-6.6028903517385718E-2</v>
      </c>
      <c r="EL36" s="143">
        <f t="shared" ca="1" si="42"/>
        <v>1.7556280414557136E-2</v>
      </c>
      <c r="EM36" s="143">
        <f t="shared" ca="1" si="42"/>
        <v>1.0522721720223137E-2</v>
      </c>
      <c r="EN36" s="143">
        <f t="shared" ca="1" si="42"/>
        <v>0.13936128974766626</v>
      </c>
      <c r="EO36" s="143">
        <f t="shared" ca="1" si="42"/>
        <v>5.0389149314801103E-2</v>
      </c>
      <c r="EP36" s="143">
        <f t="shared" ca="1" si="42"/>
        <v>6.9660058648420578E-2</v>
      </c>
      <c r="EQ36" s="143">
        <f t="shared" ca="1" si="42"/>
        <v>0.11145789548505491</v>
      </c>
      <c r="ER36" s="143">
        <f t="shared" ca="1" si="42"/>
        <v>3.7554304947309297E-2</v>
      </c>
      <c r="ES36" s="143">
        <f t="shared" ca="1" si="42"/>
        <v>0.13559633788681086</v>
      </c>
      <c r="ET36" s="143">
        <f t="shared" ca="1" si="42"/>
        <v>-0.16371148142043887</v>
      </c>
      <c r="EU36" s="143">
        <f t="shared" ca="1" si="42"/>
        <v>-5.0654903901078595E-2</v>
      </c>
      <c r="EV36" s="143">
        <f t="shared" ca="1" si="42"/>
        <v>4.1327732773019085E-2</v>
      </c>
      <c r="EW36" s="143">
        <f t="shared" ca="1" si="42"/>
        <v>8.1048278573229479E-2</v>
      </c>
      <c r="EX36" s="143">
        <f t="shared" ca="1" si="42"/>
        <v>-1.1623450956653077E-2</v>
      </c>
      <c r="EY36" s="143">
        <f t="shared" ca="1" si="42"/>
        <v>9.9619994597535677E-2</v>
      </c>
      <c r="EZ36" s="143">
        <f t="shared" ca="1" si="42"/>
        <v>7.0087000957243725E-3</v>
      </c>
      <c r="FA36" s="143">
        <f t="shared" ca="1" si="42"/>
        <v>1.396629033112385E-2</v>
      </c>
      <c r="FB36" s="143">
        <f t="shared" ca="1" si="42"/>
        <v>6.7637127973501354E-2</v>
      </c>
      <c r="FC36" s="143">
        <f t="shared" ca="1" si="42"/>
        <v>9.092647582177181E-2</v>
      </c>
      <c r="FD36" s="143">
        <f t="shared" ca="1" si="42"/>
        <v>0.144091852611306</v>
      </c>
      <c r="FE36" s="143">
        <f t="shared" ca="1" si="42"/>
        <v>-4.5350096365748487E-2</v>
      </c>
      <c r="FF36" s="143">
        <f t="shared" ca="1" si="42"/>
        <v>-9.588306211268946E-2</v>
      </c>
      <c r="FG36" s="143">
        <f t="shared" ca="1" si="42"/>
        <v>7.0490585992568383E-2</v>
      </c>
      <c r="FH36" s="143">
        <f t="shared" ca="1" si="42"/>
        <v>0.10774898734473433</v>
      </c>
      <c r="FI36" s="143">
        <f t="shared" ca="1" si="42"/>
        <v>3.6746676156424823E-2</v>
      </c>
      <c r="FJ36" s="143">
        <f t="shared" ca="1" si="42"/>
        <v>0.11757383226559046</v>
      </c>
      <c r="FK36" s="143">
        <f t="shared" ca="1" si="42"/>
        <v>7.9035483778719245E-2</v>
      </c>
      <c r="FL36" s="143">
        <f t="shared" ca="1" si="42"/>
        <v>8.4714748662799877E-2</v>
      </c>
      <c r="FM36" s="143">
        <f t="shared" ca="1" si="42"/>
        <v>7.311653452237396E-2</v>
      </c>
      <c r="FN36" s="143">
        <f t="shared" ca="1" si="42"/>
        <v>-4.2155379361895513E-2</v>
      </c>
      <c r="FO36" s="143">
        <f t="shared" ca="1" si="42"/>
        <v>1.7317659175819469E-2</v>
      </c>
      <c r="FP36" s="143">
        <f t="shared" ca="1" si="42"/>
        <v>7.7624580255287429E-2</v>
      </c>
      <c r="FQ36" s="143">
        <f t="shared" ca="1" si="42"/>
        <v>-5.7176520500132562E-2</v>
      </c>
      <c r="FR36" s="143">
        <f t="shared" ca="1" si="42"/>
        <v>1.8954459971249987E-2</v>
      </c>
      <c r="FS36" s="143">
        <f t="shared" ca="1" si="42"/>
        <v>-5.6475869624293025E-2</v>
      </c>
      <c r="FT36" s="143">
        <f t="shared" ca="1" si="42"/>
        <v>3.2699805581592356E-2</v>
      </c>
      <c r="FU36" s="143">
        <f t="shared" ca="1" si="42"/>
        <v>-4.6296828369240907E-2</v>
      </c>
      <c r="FV36" s="143">
        <f t="shared" ca="1" si="42"/>
        <v>0.11818094979329252</v>
      </c>
      <c r="FW36" s="143">
        <f t="shared" ca="1" si="42"/>
        <v>0.10065867597811493</v>
      </c>
      <c r="FX36" s="143">
        <f t="shared" ca="1" si="42"/>
        <v>-2.9660995369006689E-2</v>
      </c>
      <c r="FY36" s="143">
        <f t="shared" ca="1" si="40"/>
        <v>5.0666995516049119E-2</v>
      </c>
      <c r="FZ36" s="143">
        <f t="shared" ca="1" si="40"/>
        <v>5.2183972224913791E-3</v>
      </c>
      <c r="GA36" s="143">
        <f t="shared" ca="1" si="40"/>
        <v>8.4640806646813269E-2</v>
      </c>
      <c r="GB36" s="143">
        <f t="shared" ca="1" si="40"/>
        <v>-9.5217770546307284E-2</v>
      </c>
      <c r="GC36" s="143">
        <f t="shared" ca="1" si="40"/>
        <v>-1.3337737101086045E-2</v>
      </c>
      <c r="GD36" s="143">
        <f t="shared" ca="1" si="40"/>
        <v>0.21244023650037902</v>
      </c>
      <c r="GE36" s="143">
        <f t="shared" ca="1" si="40"/>
        <v>0.14936806831805599</v>
      </c>
      <c r="GF36" s="143">
        <f t="shared" ca="1" si="40"/>
        <v>-5.8582619329097578E-2</v>
      </c>
      <c r="GG36" s="143">
        <f t="shared" ca="1" si="40"/>
        <v>2.8636687810292362E-2</v>
      </c>
      <c r="GH36" s="143">
        <f t="shared" ca="1" si="40"/>
        <v>-3.5789786864795566E-2</v>
      </c>
      <c r="GI36" s="143">
        <f t="shared" ca="1" si="40"/>
        <v>0.12636803805450458</v>
      </c>
      <c r="GJ36" s="143">
        <f t="shared" ca="1" si="40"/>
        <v>8.6308973473474229E-2</v>
      </c>
      <c r="GK36" s="143">
        <f t="shared" ca="1" si="40"/>
        <v>0.15487591987527938</v>
      </c>
      <c r="GL36" s="143">
        <f t="shared" ca="1" si="40"/>
        <v>0.18667235249152037</v>
      </c>
      <c r="GM36" s="143">
        <f t="shared" ca="1" si="40"/>
        <v>0.1474150521483128</v>
      </c>
      <c r="GN36" s="143">
        <f t="shared" ca="1" si="40"/>
        <v>4.5147426358741097E-2</v>
      </c>
      <c r="GO36" s="143">
        <f t="shared" ca="1" si="40"/>
        <v>0.16331796602226475</v>
      </c>
      <c r="GP36" s="143">
        <f t="shared" ca="1" si="40"/>
        <v>-6.1436223071083172E-2</v>
      </c>
      <c r="GQ36" s="143">
        <f t="shared" ca="1" si="40"/>
        <v>1.566086208790609E-2</v>
      </c>
      <c r="GR36" s="143">
        <f t="shared" ca="1" si="40"/>
        <v>-5.5457347379992632E-2</v>
      </c>
      <c r="GS36" s="143">
        <f t="shared" ca="1" si="40"/>
        <v>9.0695498275074365E-2</v>
      </c>
      <c r="GT36" s="143">
        <f t="shared" ca="1" si="40"/>
        <v>0.15167757213113006</v>
      </c>
      <c r="GU36" s="143">
        <f t="shared" ca="1" si="40"/>
        <v>8.3995367500673129E-2</v>
      </c>
      <c r="GV36" s="143">
        <f t="shared" ca="1" si="40"/>
        <v>0.18349043757746952</v>
      </c>
      <c r="GW36" s="143">
        <f t="shared" ca="1" si="40"/>
        <v>-2.5655409200702785E-2</v>
      </c>
      <c r="GX36" s="143">
        <f t="shared" ca="1" si="40"/>
        <v>6.6557587542250302E-2</v>
      </c>
      <c r="GY36" s="143">
        <f t="shared" ca="1" si="40"/>
        <v>5.6311455515992322E-2</v>
      </c>
      <c r="GZ36" s="143">
        <f t="shared" ca="1" si="40"/>
        <v>0.18816068874335695</v>
      </c>
      <c r="HA36" s="143">
        <f t="shared" ca="1" si="40"/>
        <v>0.10418377928993429</v>
      </c>
      <c r="HB36" s="143">
        <f t="shared" ca="1" si="40"/>
        <v>0.13938363673403795</v>
      </c>
      <c r="HC36" s="143">
        <f t="shared" ca="1" si="40"/>
        <v>0.21978233699667599</v>
      </c>
      <c r="HD36" s="143">
        <f t="shared" ca="1" si="40"/>
        <v>0.22424154897664134</v>
      </c>
      <c r="HE36" s="143">
        <f t="shared" ca="1" si="40"/>
        <v>4.4995316621574362E-2</v>
      </c>
      <c r="HF36" s="143">
        <f t="shared" ca="1" si="40"/>
        <v>-5.3916853373885895E-3</v>
      </c>
      <c r="HG36" s="143">
        <f t="shared" ca="1" si="40"/>
        <v>-0.12159679804888029</v>
      </c>
    </row>
    <row r="37" spans="1:215">
      <c r="A37" s="90">
        <v>1963</v>
      </c>
      <c r="B37" s="84">
        <v>0.22611927099841514</v>
      </c>
      <c r="C37" s="85">
        <v>0.1993</v>
      </c>
      <c r="D37" s="83">
        <f t="shared" si="4"/>
        <v>0.22075541679873212</v>
      </c>
      <c r="E37" s="85"/>
      <c r="F37" s="85"/>
      <c r="G37" s="85">
        <v>3.1560240963855422E-2</v>
      </c>
      <c r="H37" s="85">
        <v>1.6841620739546127E-2</v>
      </c>
      <c r="I37" s="85">
        <v>5.4644805711862345E-2</v>
      </c>
      <c r="J37" s="85">
        <v>-3.9738858927048648E-3</v>
      </c>
      <c r="M37" s="115">
        <f t="shared" si="7"/>
        <v>86</v>
      </c>
      <c r="N37" s="143">
        <f t="shared" ca="1" si="31"/>
        <v>-9.0334688223899867E-2</v>
      </c>
      <c r="O37" s="143">
        <f t="shared" ca="1" si="41"/>
        <v>0.15819785001588821</v>
      </c>
      <c r="P37" s="143">
        <f t="shared" ca="1" si="41"/>
        <v>-5.2823451847179848E-3</v>
      </c>
      <c r="Q37" s="143">
        <f t="shared" ca="1" si="41"/>
        <v>0.26515036237077005</v>
      </c>
      <c r="R37" s="143">
        <f t="shared" ca="1" si="41"/>
        <v>4.980470416969987E-3</v>
      </c>
      <c r="S37" s="143">
        <f t="shared" ca="1" si="41"/>
        <v>-0.1291116583725663</v>
      </c>
      <c r="T37" s="143">
        <f t="shared" ca="1" si="41"/>
        <v>1.4903727665788305E-2</v>
      </c>
      <c r="U37" s="143">
        <f t="shared" ca="1" si="41"/>
        <v>2.6477446333518451E-2</v>
      </c>
      <c r="V37" s="143">
        <f t="shared" ca="1" si="41"/>
        <v>0.14918082677272479</v>
      </c>
      <c r="W37" s="143">
        <f t="shared" ca="1" si="41"/>
        <v>7.5515343873775329E-2</v>
      </c>
      <c r="X37" s="143">
        <f t="shared" ca="1" si="41"/>
        <v>-4.6131885968141911E-2</v>
      </c>
      <c r="Y37" s="143">
        <f t="shared" ca="1" si="41"/>
        <v>2.0681730267690407E-2</v>
      </c>
      <c r="Z37" s="143">
        <f t="shared" ca="1" si="41"/>
        <v>0.22454290354199796</v>
      </c>
      <c r="AA37" s="143">
        <f t="shared" ca="1" si="41"/>
        <v>0.1213795111384198</v>
      </c>
      <c r="AB37" s="143">
        <f t="shared" ca="1" si="41"/>
        <v>0.35657610213921442</v>
      </c>
      <c r="AC37" s="143">
        <f t="shared" ca="1" si="41"/>
        <v>3.3844458124565602E-2</v>
      </c>
      <c r="AD37" s="143">
        <f t="shared" ca="1" si="41"/>
        <v>0.15141756744624271</v>
      </c>
      <c r="AE37" s="143">
        <f t="shared" ca="1" si="41"/>
        <v>4.6781857736010346E-2</v>
      </c>
      <c r="AF37" s="143">
        <f t="shared" ca="1" si="41"/>
        <v>-0.47613579875850398</v>
      </c>
      <c r="AG37" s="143">
        <f t="shared" ca="1" si="41"/>
        <v>0.12328498539825729</v>
      </c>
      <c r="AH37" s="143">
        <f t="shared" ca="1" si="41"/>
        <v>-0.17355827478068445</v>
      </c>
      <c r="AI37" s="143">
        <f t="shared" ca="1" si="41"/>
        <v>3.3755659181897463E-2</v>
      </c>
      <c r="AJ37" s="143">
        <f t="shared" ca="1" si="41"/>
        <v>-6.9418013857870942E-2</v>
      </c>
      <c r="AK37" s="143">
        <f t="shared" ca="1" si="41"/>
        <v>0.33915054291704183</v>
      </c>
      <c r="AL37" s="143">
        <f t="shared" ca="1" si="41"/>
        <v>-0.16050626438738533</v>
      </c>
      <c r="AM37" s="143">
        <f t="shared" ca="1" si="41"/>
        <v>4.0338161017840712E-2</v>
      </c>
      <c r="AN37" s="143">
        <f t="shared" ca="1" si="41"/>
        <v>0.24531062008014634</v>
      </c>
      <c r="AO37" s="143">
        <f t="shared" ca="1" si="41"/>
        <v>-1.5896881427687776E-2</v>
      </c>
      <c r="AP37" s="143">
        <f t="shared" ca="1" si="41"/>
        <v>0.41963430574110616</v>
      </c>
      <c r="AQ37" s="143">
        <f t="shared" ca="1" si="41"/>
        <v>0.12712544265276013</v>
      </c>
      <c r="AR37" s="143">
        <f t="shared" ca="1" si="41"/>
        <v>0.10496597718449019</v>
      </c>
      <c r="AS37" s="143">
        <f t="shared" ca="1" si="41"/>
        <v>0.12190043629823027</v>
      </c>
      <c r="AT37" s="143">
        <f t="shared" ca="1" si="41"/>
        <v>-0.11443282700524446</v>
      </c>
      <c r="AU37" s="143">
        <f t="shared" ca="1" si="41"/>
        <v>0.2993513213715811</v>
      </c>
      <c r="AV37" s="143">
        <f t="shared" ca="1" si="41"/>
        <v>0.29463481347961396</v>
      </c>
      <c r="AW37" s="143">
        <f t="shared" ca="1" si="41"/>
        <v>0.13147534171165698</v>
      </c>
      <c r="AX37" s="143">
        <f t="shared" ca="1" si="41"/>
        <v>-0.20465058743340711</v>
      </c>
      <c r="AY37" s="143">
        <f t="shared" ca="1" si="41"/>
        <v>-5.0997555596129757E-2</v>
      </c>
      <c r="AZ37" s="143">
        <f t="shared" ca="1" si="41"/>
        <v>0.12144037598011709</v>
      </c>
      <c r="BA37" s="143">
        <f t="shared" ca="1" si="41"/>
        <v>0.2866147768462568</v>
      </c>
      <c r="BB37" s="143">
        <f t="shared" ca="1" si="41"/>
        <v>6.7207564802176809E-2</v>
      </c>
      <c r="BC37" s="143">
        <f t="shared" ca="1" si="41"/>
        <v>-0.18409487157129981</v>
      </c>
      <c r="BD37" s="143">
        <f t="shared" ca="1" si="41"/>
        <v>-0.19241385673533154</v>
      </c>
      <c r="BE37" s="143">
        <f t="shared" ca="1" si="41"/>
        <v>-0.25226859750761488</v>
      </c>
      <c r="BF37" s="143">
        <f t="shared" ca="1" si="41"/>
        <v>0.18509001184785545</v>
      </c>
      <c r="BG37" s="143">
        <f t="shared" ca="1" si="41"/>
        <v>9.2106739798077181E-2</v>
      </c>
      <c r="BH37" s="143">
        <f t="shared" ca="1" si="41"/>
        <v>0.10907540259356757</v>
      </c>
      <c r="BI37" s="143">
        <f t="shared" ca="1" si="41"/>
        <v>0.33229951777696093</v>
      </c>
      <c r="BJ37" s="143">
        <f t="shared" ca="1" si="41"/>
        <v>5.5512824667769134E-3</v>
      </c>
      <c r="BK37" s="143">
        <f t="shared" ca="1" si="41"/>
        <v>2.9645459790699186E-2</v>
      </c>
      <c r="BL37" s="143">
        <f t="shared" ca="1" si="41"/>
        <v>0.61170522235145441</v>
      </c>
      <c r="BM37" s="143">
        <f t="shared" ca="1" si="41"/>
        <v>-0.15987234262435437</v>
      </c>
      <c r="BN37" s="143">
        <f t="shared" ca="1" si="41"/>
        <v>6.8186599745752141E-2</v>
      </c>
      <c r="BO37" s="143">
        <f t="shared" ca="1" si="41"/>
        <v>0.22396597421290587</v>
      </c>
      <c r="BP37" s="143">
        <f t="shared" ca="1" si="41"/>
        <v>3.0760872598903449E-2</v>
      </c>
      <c r="BQ37" s="143">
        <f t="shared" ca="1" si="41"/>
        <v>-5.1195451758064836E-2</v>
      </c>
      <c r="BR37" s="143">
        <f t="shared" ca="1" si="41"/>
        <v>0.15196035972374033</v>
      </c>
      <c r="BS37" s="143">
        <f t="shared" ca="1" si="41"/>
        <v>0.12097636805866195</v>
      </c>
      <c r="BT37" s="143">
        <f t="shared" ca="1" si="41"/>
        <v>-0.13267464053572797</v>
      </c>
      <c r="BU37" s="143">
        <f t="shared" ca="1" si="41"/>
        <v>9.8679489447918364E-2</v>
      </c>
      <c r="BV37" s="143">
        <f t="shared" ca="1" si="41"/>
        <v>0.33264851508609888</v>
      </c>
      <c r="BW37" s="143">
        <f t="shared" ca="1" si="41"/>
        <v>0.34756006510257037</v>
      </c>
      <c r="BX37" s="143">
        <f t="shared" ca="1" si="41"/>
        <v>0.19552806065545453</v>
      </c>
      <c r="BY37" s="143">
        <f t="shared" ca="1" si="41"/>
        <v>-0.23338809927523799</v>
      </c>
      <c r="BZ37" s="143">
        <f t="shared" ref="BZ37:DI40" ca="1" si="43">_xlfn.NORM.INV(RAND(),$B$112,$B$113)</f>
        <v>7.5350275536039554E-2</v>
      </c>
      <c r="CA37" s="143">
        <f t="shared" ca="1" si="43"/>
        <v>0.12717121788355373</v>
      </c>
      <c r="CB37" s="143">
        <f t="shared" ca="1" si="43"/>
        <v>0.27058238614006491</v>
      </c>
      <c r="CC37" s="143">
        <f t="shared" ca="1" si="43"/>
        <v>0.22747246385017963</v>
      </c>
      <c r="CD37" s="143">
        <f t="shared" ca="1" si="43"/>
        <v>-0.20834994739474208</v>
      </c>
      <c r="CE37" s="143">
        <f t="shared" ca="1" si="43"/>
        <v>0.216316924871093</v>
      </c>
      <c r="CF37" s="143">
        <f t="shared" ca="1" si="43"/>
        <v>0.50274634743585533</v>
      </c>
      <c r="CG37" s="143">
        <f t="shared" ca="1" si="43"/>
        <v>4.3518626907917274E-2</v>
      </c>
      <c r="CH37" s="143">
        <f t="shared" ca="1" si="43"/>
        <v>-2.0954397799954894E-4</v>
      </c>
      <c r="CI37" s="143">
        <f t="shared" ca="1" si="43"/>
        <v>0.11538961557250715</v>
      </c>
      <c r="CJ37" s="143">
        <f t="shared" ca="1" si="43"/>
        <v>1.7718904990768419E-2</v>
      </c>
      <c r="CK37" s="143">
        <f t="shared" ca="1" si="43"/>
        <v>-0.12015068971176865</v>
      </c>
      <c r="CL37" s="143">
        <f t="shared" ca="1" si="43"/>
        <v>0.16738292344284486</v>
      </c>
      <c r="CM37" s="143">
        <f t="shared" ca="1" si="43"/>
        <v>0.17290331318629082</v>
      </c>
      <c r="CN37" s="143">
        <f t="shared" ca="1" si="43"/>
        <v>1.8862697677161491E-2</v>
      </c>
      <c r="CO37" s="143">
        <f t="shared" ca="1" si="43"/>
        <v>1.8510686322679992E-2</v>
      </c>
      <c r="CP37" s="143">
        <f t="shared" ca="1" si="43"/>
        <v>9.1913137101504283E-2</v>
      </c>
      <c r="CQ37" s="143">
        <f t="shared" ca="1" si="43"/>
        <v>0.41169245229264118</v>
      </c>
      <c r="CR37" s="143">
        <f t="shared" ca="1" si="43"/>
        <v>0.10484334492997009</v>
      </c>
      <c r="CS37" s="143">
        <f t="shared" ca="1" si="43"/>
        <v>0.1047485340295284</v>
      </c>
      <c r="CT37" s="143">
        <f t="shared" ca="1" si="43"/>
        <v>-0.14841600644750536</v>
      </c>
      <c r="CU37" s="143">
        <f t="shared" ca="1" si="43"/>
        <v>0.17265316434828165</v>
      </c>
      <c r="CV37" s="143">
        <f t="shared" ca="1" si="43"/>
        <v>0.34397791526295529</v>
      </c>
      <c r="CW37" s="143">
        <f t="shared" ca="1" si="43"/>
        <v>0.28105801825747567</v>
      </c>
      <c r="CX37" s="143">
        <f t="shared" ca="1" si="43"/>
        <v>-0.24478603184263695</v>
      </c>
      <c r="CY37" s="143">
        <f t="shared" ca="1" si="43"/>
        <v>0.14244112168563225</v>
      </c>
      <c r="CZ37" s="143">
        <f t="shared" ca="1" si="43"/>
        <v>0.15090968050529835</v>
      </c>
      <c r="DA37" s="143">
        <f t="shared" ca="1" si="43"/>
        <v>0.13638695418587524</v>
      </c>
      <c r="DB37" s="143">
        <f t="shared" ca="1" si="43"/>
        <v>3.68730895962937E-2</v>
      </c>
      <c r="DC37" s="143">
        <f t="shared" ca="1" si="43"/>
        <v>0.35225887217094309</v>
      </c>
      <c r="DD37" s="143">
        <f t="shared" ca="1" si="43"/>
        <v>-5.4259488116962046E-2</v>
      </c>
      <c r="DE37" s="143">
        <f t="shared" ca="1" si="43"/>
        <v>-0.10769450649352694</v>
      </c>
      <c r="DF37" s="143">
        <f t="shared" ca="1" si="43"/>
        <v>0.12424001946560301</v>
      </c>
      <c r="DG37" s="143">
        <f t="shared" ca="1" si="43"/>
        <v>-0.10938979144759808</v>
      </c>
      <c r="DH37" s="143">
        <f t="shared" ca="1" si="43"/>
        <v>8.1372999769253385E-2</v>
      </c>
      <c r="DI37" s="143">
        <f t="shared" ca="1" si="43"/>
        <v>-6.8478867094431822E-3</v>
      </c>
      <c r="DK37" s="115">
        <f t="shared" si="8"/>
        <v>86</v>
      </c>
      <c r="DL37" s="143">
        <f t="shared" ca="1" si="33"/>
        <v>0.10705647920960627</v>
      </c>
      <c r="DM37" s="143">
        <f t="shared" ca="1" si="42"/>
        <v>7.5969492047623738E-2</v>
      </c>
      <c r="DN37" s="143">
        <f t="shared" ca="1" si="42"/>
        <v>8.345230433031213E-2</v>
      </c>
      <c r="DO37" s="143">
        <f t="shared" ca="1" si="42"/>
        <v>-3.6001800771513111E-2</v>
      </c>
      <c r="DP37" s="143">
        <f t="shared" ca="1" si="42"/>
        <v>0.26082959093998997</v>
      </c>
      <c r="DQ37" s="143">
        <f t="shared" ca="1" si="42"/>
        <v>0.12746226096564039</v>
      </c>
      <c r="DR37" s="143">
        <f t="shared" ca="1" si="42"/>
        <v>5.6473359503703573E-2</v>
      </c>
      <c r="DS37" s="143">
        <f t="shared" ca="1" si="42"/>
        <v>0.12556175997892899</v>
      </c>
      <c r="DT37" s="143">
        <f t="shared" ca="1" si="42"/>
        <v>6.0539030706336636E-2</v>
      </c>
      <c r="DU37" s="143">
        <f t="shared" ca="1" si="42"/>
        <v>0.13464511651517175</v>
      </c>
      <c r="DV37" s="143">
        <f t="shared" ca="1" si="42"/>
        <v>6.9731005926939787E-2</v>
      </c>
      <c r="DW37" s="143">
        <f t="shared" ca="1" si="42"/>
        <v>6.7037414618889291E-2</v>
      </c>
      <c r="DX37" s="143">
        <f t="shared" ca="1" si="42"/>
        <v>4.0352821832739791E-2</v>
      </c>
      <c r="DY37" s="143">
        <f t="shared" ca="1" si="42"/>
        <v>0.10375773972707006</v>
      </c>
      <c r="DZ37" s="143">
        <f t="shared" ca="1" si="42"/>
        <v>0.11173395078287771</v>
      </c>
      <c r="EA37" s="143">
        <f t="shared" ca="1" si="42"/>
        <v>6.5123093511966157E-2</v>
      </c>
      <c r="EB37" s="143">
        <f t="shared" ca="1" si="42"/>
        <v>-9.2332267405012491E-2</v>
      </c>
      <c r="EC37" s="143">
        <f t="shared" ca="1" si="42"/>
        <v>-1.7902436922763824E-2</v>
      </c>
      <c r="ED37" s="143">
        <f t="shared" ca="1" si="42"/>
        <v>4.1241763962646588E-2</v>
      </c>
      <c r="EE37" s="143">
        <f t="shared" ca="1" si="42"/>
        <v>-2.907476655108137E-2</v>
      </c>
      <c r="EF37" s="143">
        <f t="shared" ca="1" si="42"/>
        <v>8.6614916403751019E-2</v>
      </c>
      <c r="EG37" s="143">
        <f t="shared" ca="1" si="42"/>
        <v>3.5727744470072487E-2</v>
      </c>
      <c r="EH37" s="143">
        <f t="shared" ca="1" si="42"/>
        <v>-2.5694888203755754E-2</v>
      </c>
      <c r="EI37" s="143">
        <f t="shared" ca="1" si="42"/>
        <v>-5.7932011183959388E-2</v>
      </c>
      <c r="EJ37" s="143">
        <f t="shared" ca="1" si="42"/>
        <v>0.10988302611583833</v>
      </c>
      <c r="EK37" s="143">
        <f t="shared" ca="1" si="42"/>
        <v>7.1234084440412293E-2</v>
      </c>
      <c r="EL37" s="143">
        <f t="shared" ca="1" si="42"/>
        <v>-1.1959055135942802E-2</v>
      </c>
      <c r="EM37" s="143">
        <f t="shared" ca="1" si="42"/>
        <v>9.2992654451064069E-2</v>
      </c>
      <c r="EN37" s="143">
        <f t="shared" ca="1" si="42"/>
        <v>-1.986479469672154E-2</v>
      </c>
      <c r="EO37" s="143">
        <f t="shared" ca="1" si="42"/>
        <v>4.4680478037728413E-2</v>
      </c>
      <c r="EP37" s="143">
        <f t="shared" ca="1" si="42"/>
        <v>2.8182997015124962E-2</v>
      </c>
      <c r="EQ37" s="143">
        <f t="shared" ca="1" si="42"/>
        <v>4.2793796304409049E-2</v>
      </c>
      <c r="ER37" s="143">
        <f t="shared" ca="1" si="42"/>
        <v>4.2855078712050548E-2</v>
      </c>
      <c r="ES37" s="143">
        <f t="shared" ca="1" si="42"/>
        <v>3.3211784218024523E-2</v>
      </c>
      <c r="ET37" s="143">
        <f t="shared" ca="1" si="42"/>
        <v>7.4645361662417642E-2</v>
      </c>
      <c r="EU37" s="143">
        <f t="shared" ca="1" si="42"/>
        <v>0.10305155770330339</v>
      </c>
      <c r="EV37" s="143">
        <f t="shared" ca="1" si="42"/>
        <v>0.10611253501461732</v>
      </c>
      <c r="EW37" s="143">
        <f t="shared" ca="1" si="42"/>
        <v>0.14948275255085133</v>
      </c>
      <c r="EX37" s="143">
        <f t="shared" ca="1" si="42"/>
        <v>-3.2471227900137838E-2</v>
      </c>
      <c r="EY37" s="143">
        <f t="shared" ca="1" si="42"/>
        <v>5.5416594246548184E-2</v>
      </c>
      <c r="EZ37" s="143">
        <f t="shared" ca="1" si="42"/>
        <v>7.6726179618292339E-3</v>
      </c>
      <c r="FA37" s="143">
        <f t="shared" ca="1" si="42"/>
        <v>-1.3489979848232428E-2</v>
      </c>
      <c r="FB37" s="143">
        <f t="shared" ca="1" si="42"/>
        <v>0.11648403650489242</v>
      </c>
      <c r="FC37" s="143">
        <f t="shared" ca="1" si="42"/>
        <v>-7.6419100654056021E-2</v>
      </c>
      <c r="FD37" s="143">
        <f t="shared" ca="1" si="42"/>
        <v>1.7962488501183857E-3</v>
      </c>
      <c r="FE37" s="143">
        <f t="shared" ca="1" si="42"/>
        <v>0.11070307286034525</v>
      </c>
      <c r="FF37" s="143">
        <f t="shared" ca="1" si="42"/>
        <v>0.10026148852642883</v>
      </c>
      <c r="FG37" s="143">
        <f t="shared" ca="1" si="42"/>
        <v>-7.1554286813698492E-2</v>
      </c>
      <c r="FH37" s="143">
        <f t="shared" ca="1" si="42"/>
        <v>-0.12515642674951885</v>
      </c>
      <c r="FI37" s="143">
        <f t="shared" ca="1" si="42"/>
        <v>2.5111932988669369E-2</v>
      </c>
      <c r="FJ37" s="143">
        <f t="shared" ca="1" si="42"/>
        <v>0.22933283301148027</v>
      </c>
      <c r="FK37" s="143">
        <f t="shared" ca="1" si="42"/>
        <v>0.14866848623636669</v>
      </c>
      <c r="FL37" s="143">
        <f t="shared" ca="1" si="42"/>
        <v>-7.6982843826636116E-2</v>
      </c>
      <c r="FM37" s="143">
        <f t="shared" ca="1" si="42"/>
        <v>3.6689979902730367E-2</v>
      </c>
      <c r="FN37" s="143">
        <f t="shared" ca="1" si="42"/>
        <v>-3.8973044239484035E-2</v>
      </c>
      <c r="FO37" s="143">
        <f t="shared" ca="1" si="42"/>
        <v>6.0906332837707869E-2</v>
      </c>
      <c r="FP37" s="143">
        <f t="shared" ca="1" si="42"/>
        <v>0.20477236509394661</v>
      </c>
      <c r="FQ37" s="143">
        <f t="shared" ca="1" si="42"/>
        <v>-1.6476186998599131E-2</v>
      </c>
      <c r="FR37" s="143">
        <f t="shared" ca="1" si="42"/>
        <v>-1.2805085027460111E-3</v>
      </c>
      <c r="FS37" s="143">
        <f t="shared" ca="1" si="42"/>
        <v>7.2735703185307185E-2</v>
      </c>
      <c r="FT37" s="143">
        <f t="shared" ca="1" si="42"/>
        <v>6.3652533696066965E-2</v>
      </c>
      <c r="FU37" s="143">
        <f t="shared" ca="1" si="42"/>
        <v>7.5268601830528248E-2</v>
      </c>
      <c r="FV37" s="143">
        <f t="shared" ca="1" si="42"/>
        <v>2.393385628125522E-2</v>
      </c>
      <c r="FW37" s="143">
        <f t="shared" ca="1" si="42"/>
        <v>-2.211649441444518E-2</v>
      </c>
      <c r="FX37" s="143">
        <f t="shared" ref="FX37:HG40" ca="1" si="44">_xlfn.NORM.INV(RAND(),$B$116,$B$117)</f>
        <v>-2.404684126084148E-2</v>
      </c>
      <c r="FY37" s="143">
        <f t="shared" ca="1" si="44"/>
        <v>2.8252690450739599E-2</v>
      </c>
      <c r="FZ37" s="143">
        <f t="shared" ca="1" si="44"/>
        <v>7.0644733438319438E-2</v>
      </c>
      <c r="GA37" s="143">
        <f t="shared" ca="1" si="44"/>
        <v>1.0084450769637883E-2</v>
      </c>
      <c r="GB37" s="143">
        <f t="shared" ca="1" si="44"/>
        <v>-1.383496613257184E-2</v>
      </c>
      <c r="GC37" s="143">
        <f t="shared" ca="1" si="44"/>
        <v>-1.4463946742877036E-2</v>
      </c>
      <c r="GD37" s="143">
        <f t="shared" ca="1" si="44"/>
        <v>-3.5214447818309964E-2</v>
      </c>
      <c r="GE37" s="143">
        <f t="shared" ca="1" si="44"/>
        <v>7.0792557037134496E-2</v>
      </c>
      <c r="GF37" s="143">
        <f t="shared" ca="1" si="44"/>
        <v>-7.474033967505074E-3</v>
      </c>
      <c r="GG37" s="143">
        <f t="shared" ca="1" si="44"/>
        <v>0.19451795616591469</v>
      </c>
      <c r="GH37" s="143">
        <f t="shared" ca="1" si="44"/>
        <v>8.6535925523277962E-2</v>
      </c>
      <c r="GI37" s="143">
        <f t="shared" ca="1" si="44"/>
        <v>0.21353765597635763</v>
      </c>
      <c r="GJ37" s="143">
        <f t="shared" ca="1" si="44"/>
        <v>7.9263323420308909E-3</v>
      </c>
      <c r="GK37" s="143">
        <f t="shared" ca="1" si="44"/>
        <v>-7.7613574673699615E-2</v>
      </c>
      <c r="GL37" s="143">
        <f t="shared" ca="1" si="44"/>
        <v>4.1884986137715775E-2</v>
      </c>
      <c r="GM37" s="143">
        <f t="shared" ca="1" si="44"/>
        <v>0.10987166662253589</v>
      </c>
      <c r="GN37" s="143">
        <f t="shared" ca="1" si="44"/>
        <v>-4.2414409705819674E-2</v>
      </c>
      <c r="GO37" s="143">
        <f t="shared" ca="1" si="44"/>
        <v>1.9254853473482263E-2</v>
      </c>
      <c r="GP37" s="143">
        <f t="shared" ca="1" si="44"/>
        <v>0.13490323813089991</v>
      </c>
      <c r="GQ37" s="143">
        <f t="shared" ca="1" si="44"/>
        <v>7.9999424453460144E-2</v>
      </c>
      <c r="GR37" s="143">
        <f t="shared" ca="1" si="44"/>
        <v>1.7611987761368058E-2</v>
      </c>
      <c r="GS37" s="143">
        <f t="shared" ca="1" si="44"/>
        <v>1.4092471777297257E-2</v>
      </c>
      <c r="GT37" s="143">
        <f t="shared" ca="1" si="44"/>
        <v>5.9459082807616442E-2</v>
      </c>
      <c r="GU37" s="143">
        <f t="shared" ca="1" si="44"/>
        <v>6.5091241932242472E-2</v>
      </c>
      <c r="GV37" s="143">
        <f t="shared" ca="1" si="44"/>
        <v>2.4857883372796898E-2</v>
      </c>
      <c r="GW37" s="143">
        <f t="shared" ca="1" si="44"/>
        <v>8.5624540378468061E-2</v>
      </c>
      <c r="GX37" s="143">
        <f t="shared" ca="1" si="44"/>
        <v>4.3412794299737663E-2</v>
      </c>
      <c r="GY37" s="143">
        <f t="shared" ca="1" si="44"/>
        <v>6.7951618899579042E-2</v>
      </c>
      <c r="GZ37" s="143">
        <f t="shared" ca="1" si="44"/>
        <v>3.7389164306640653E-2</v>
      </c>
      <c r="HA37" s="143">
        <f t="shared" ca="1" si="44"/>
        <v>-6.6644701901230619E-2</v>
      </c>
      <c r="HB37" s="143">
        <f t="shared" ca="1" si="44"/>
        <v>-0.11331214327729766</v>
      </c>
      <c r="HC37" s="143">
        <f t="shared" ca="1" si="44"/>
        <v>4.7801389069860784E-2</v>
      </c>
      <c r="HD37" s="143">
        <f t="shared" ca="1" si="44"/>
        <v>0.10090812247017622</v>
      </c>
      <c r="HE37" s="143">
        <f t="shared" ca="1" si="44"/>
        <v>-6.5912032768279533E-2</v>
      </c>
      <c r="HF37" s="143">
        <f t="shared" ca="1" si="44"/>
        <v>4.8325630860786145E-3</v>
      </c>
      <c r="HG37" s="143">
        <f t="shared" ca="1" si="44"/>
        <v>0.10684611142997723</v>
      </c>
    </row>
    <row r="38" spans="1:215">
      <c r="A38" s="90">
        <v>1964</v>
      </c>
      <c r="B38" s="84">
        <v>0.16415455878432425</v>
      </c>
      <c r="C38" s="85">
        <v>0.23149999999999998</v>
      </c>
      <c r="D38" s="83">
        <f t="shared" si="4"/>
        <v>0.17762364702745939</v>
      </c>
      <c r="E38" s="85"/>
      <c r="F38" s="85"/>
      <c r="G38" s="85">
        <v>3.5457370517928286E-2</v>
      </c>
      <c r="H38" s="85">
        <v>3.7280648911540815E-2</v>
      </c>
      <c r="I38" s="85">
        <v>5.1617392722850271E-2</v>
      </c>
      <c r="J38" s="85">
        <v>2.8498147620403813E-4</v>
      </c>
      <c r="M38" s="115">
        <f t="shared" si="7"/>
        <v>87</v>
      </c>
      <c r="N38" s="143">
        <f t="shared" ca="1" si="31"/>
        <v>0.5321096492232622</v>
      </c>
      <c r="O38" s="143">
        <f t="shared" ref="O38:BZ41" ca="1" si="45">_xlfn.NORM.INV(RAND(),$B$112,$B$113)</f>
        <v>4.7812236418928594E-3</v>
      </c>
      <c r="P38" s="143">
        <f t="shared" ca="1" si="45"/>
        <v>0.25296287147989249</v>
      </c>
      <c r="Q38" s="143">
        <f t="shared" ca="1" si="45"/>
        <v>0.10477613775748217</v>
      </c>
      <c r="R38" s="143">
        <f t="shared" ca="1" si="45"/>
        <v>0.17557109638768731</v>
      </c>
      <c r="S38" s="143">
        <f t="shared" ca="1" si="45"/>
        <v>-0.23053695189835385</v>
      </c>
      <c r="T38" s="143">
        <f t="shared" ca="1" si="45"/>
        <v>8.9750169522353915E-2</v>
      </c>
      <c r="U38" s="143">
        <f t="shared" ca="1" si="45"/>
        <v>-8.1203115679225474E-3</v>
      </c>
      <c r="V38" s="143">
        <f t="shared" ca="1" si="45"/>
        <v>-0.21420481635005176</v>
      </c>
      <c r="W38" s="143">
        <f t="shared" ca="1" si="45"/>
        <v>0.12192908527089261</v>
      </c>
      <c r="X38" s="143">
        <f t="shared" ca="1" si="45"/>
        <v>-3.2207502003804844E-2</v>
      </c>
      <c r="Y38" s="143">
        <f t="shared" ca="1" si="45"/>
        <v>1.2889862110317243E-2</v>
      </c>
      <c r="Z38" s="143">
        <f t="shared" ca="1" si="45"/>
        <v>-0.20396312152574167</v>
      </c>
      <c r="AA38" s="143">
        <f t="shared" ca="1" si="45"/>
        <v>0.38033476256182075</v>
      </c>
      <c r="AB38" s="143">
        <f t="shared" ca="1" si="45"/>
        <v>-0.13112310199890981</v>
      </c>
      <c r="AC38" s="143">
        <f t="shared" ca="1" si="45"/>
        <v>0.2770719401409889</v>
      </c>
      <c r="AD38" s="143">
        <f t="shared" ca="1" si="45"/>
        <v>0.14779721831713041</v>
      </c>
      <c r="AE38" s="143">
        <f t="shared" ca="1" si="45"/>
        <v>6.4976463250746824E-2</v>
      </c>
      <c r="AF38" s="143">
        <f t="shared" ca="1" si="45"/>
        <v>-0.40587201304397713</v>
      </c>
      <c r="AG38" s="143">
        <f t="shared" ca="1" si="45"/>
        <v>0.24233329420484445</v>
      </c>
      <c r="AH38" s="143">
        <f t="shared" ca="1" si="45"/>
        <v>0.16826620888033167</v>
      </c>
      <c r="AI38" s="143">
        <f t="shared" ca="1" si="45"/>
        <v>0.1812598353333657</v>
      </c>
      <c r="AJ38" s="143">
        <f t="shared" ca="1" si="45"/>
        <v>0.22076776549459765</v>
      </c>
      <c r="AK38" s="143">
        <f t="shared" ca="1" si="45"/>
        <v>5.8071724875487597E-2</v>
      </c>
      <c r="AL38" s="143">
        <f t="shared" ca="1" si="45"/>
        <v>8.9391583398448868E-2</v>
      </c>
      <c r="AM38" s="143">
        <f t="shared" ca="1" si="45"/>
        <v>0.34608414647866337</v>
      </c>
      <c r="AN38" s="143">
        <f t="shared" ca="1" si="45"/>
        <v>0.11635387382496132</v>
      </c>
      <c r="AO38" s="143">
        <f t="shared" ca="1" si="45"/>
        <v>-0.18637407219919358</v>
      </c>
      <c r="AP38" s="143">
        <f t="shared" ca="1" si="45"/>
        <v>0.19189832792450218</v>
      </c>
      <c r="AQ38" s="143">
        <f t="shared" ca="1" si="45"/>
        <v>0.14211730616737517</v>
      </c>
      <c r="AR38" s="143">
        <f t="shared" ca="1" si="45"/>
        <v>0.40604840439086864</v>
      </c>
      <c r="AS38" s="143">
        <f t="shared" ca="1" si="45"/>
        <v>0.15877432766116334</v>
      </c>
      <c r="AT38" s="143">
        <f t="shared" ca="1" si="45"/>
        <v>-0.21732453321670556</v>
      </c>
      <c r="AU38" s="143">
        <f t="shared" ca="1" si="45"/>
        <v>-4.1767450412359686E-4</v>
      </c>
      <c r="AV38" s="143">
        <f t="shared" ca="1" si="45"/>
        <v>5.5647915686678866E-2</v>
      </c>
      <c r="AW38" s="143">
        <f t="shared" ca="1" si="45"/>
        <v>0.20656794938700762</v>
      </c>
      <c r="AX38" s="143">
        <f t="shared" ca="1" si="45"/>
        <v>-5.2413385943718555E-2</v>
      </c>
      <c r="AY38" s="143">
        <f t="shared" ca="1" si="45"/>
        <v>-3.9544444477834784E-2</v>
      </c>
      <c r="AZ38" s="143">
        <f t="shared" ca="1" si="45"/>
        <v>5.8648692153350238E-2</v>
      </c>
      <c r="BA38" s="143">
        <f t="shared" ca="1" si="45"/>
        <v>0.11083579356735174</v>
      </c>
      <c r="BB38" s="143">
        <f t="shared" ca="1" si="45"/>
        <v>0.10711632548305287</v>
      </c>
      <c r="BC38" s="143">
        <f t="shared" ca="1" si="45"/>
        <v>0.40234937295829065</v>
      </c>
      <c r="BD38" s="143">
        <f t="shared" ca="1" si="45"/>
        <v>0.15328967667293447</v>
      </c>
      <c r="BE38" s="143">
        <f t="shared" ca="1" si="45"/>
        <v>0.28787099598239402</v>
      </c>
      <c r="BF38" s="143">
        <f t="shared" ca="1" si="45"/>
        <v>0.17586379349868275</v>
      </c>
      <c r="BG38" s="143">
        <f t="shared" ca="1" si="45"/>
        <v>-0.15461235879261523</v>
      </c>
      <c r="BH38" s="143">
        <f t="shared" ca="1" si="45"/>
        <v>-0.14981243893344345</v>
      </c>
      <c r="BI38" s="143">
        <f t="shared" ca="1" si="45"/>
        <v>0.34139605869937312</v>
      </c>
      <c r="BJ38" s="143">
        <f t="shared" ca="1" si="45"/>
        <v>9.8440381693333634E-2</v>
      </c>
      <c r="BK38" s="143">
        <f t="shared" ca="1" si="45"/>
        <v>-0.13080880207093432</v>
      </c>
      <c r="BL38" s="143">
        <f t="shared" ca="1" si="45"/>
        <v>0.15855380979428263</v>
      </c>
      <c r="BM38" s="143">
        <f t="shared" ca="1" si="45"/>
        <v>0.12469754134493777</v>
      </c>
      <c r="BN38" s="143">
        <f t="shared" ca="1" si="45"/>
        <v>0.15153052072023623</v>
      </c>
      <c r="BO38" s="143">
        <f t="shared" ca="1" si="45"/>
        <v>-0.11456740810948307</v>
      </c>
      <c r="BP38" s="143">
        <f t="shared" ca="1" si="45"/>
        <v>5.4038007750428316E-2</v>
      </c>
      <c r="BQ38" s="143">
        <f t="shared" ca="1" si="45"/>
        <v>8.7372142745031398E-2</v>
      </c>
      <c r="BR38" s="143">
        <f t="shared" ca="1" si="45"/>
        <v>0.27167846402756468</v>
      </c>
      <c r="BS38" s="143">
        <f t="shared" ca="1" si="45"/>
        <v>0.24350673859381031</v>
      </c>
      <c r="BT38" s="143">
        <f t="shared" ca="1" si="45"/>
        <v>0.31274415380534898</v>
      </c>
      <c r="BU38" s="143">
        <f t="shared" ca="1" si="45"/>
        <v>-0.3294253371367234</v>
      </c>
      <c r="BV38" s="143">
        <f t="shared" ca="1" si="45"/>
        <v>8.1907529848704308E-3</v>
      </c>
      <c r="BW38" s="143">
        <f t="shared" ca="1" si="45"/>
        <v>-5.0091837837917458E-2</v>
      </c>
      <c r="BX38" s="143">
        <f t="shared" ca="1" si="45"/>
        <v>-9.5475487431690126E-2</v>
      </c>
      <c r="BY38" s="143">
        <f t="shared" ca="1" si="45"/>
        <v>0.24631571183985035</v>
      </c>
      <c r="BZ38" s="143">
        <f t="shared" ca="1" si="45"/>
        <v>0.30284050719293182</v>
      </c>
      <c r="CA38" s="143">
        <f t="shared" ca="1" si="43"/>
        <v>9.23605925974188E-2</v>
      </c>
      <c r="CB38" s="143">
        <f t="shared" ca="1" si="43"/>
        <v>5.7728384720301465E-2</v>
      </c>
      <c r="CC38" s="143">
        <f t="shared" ca="1" si="43"/>
        <v>0.12935528700316901</v>
      </c>
      <c r="CD38" s="143">
        <f t="shared" ca="1" si="43"/>
        <v>8.0854556232816441E-2</v>
      </c>
      <c r="CE38" s="143">
        <f t="shared" ca="1" si="43"/>
        <v>-2.0850394757596799E-2</v>
      </c>
      <c r="CF38" s="143">
        <f t="shared" ca="1" si="43"/>
        <v>-0.2007696046875638</v>
      </c>
      <c r="CG38" s="143">
        <f t="shared" ca="1" si="43"/>
        <v>0.28439226802864676</v>
      </c>
      <c r="CH38" s="143">
        <f t="shared" ca="1" si="43"/>
        <v>-9.1123841156679791E-2</v>
      </c>
      <c r="CI38" s="143">
        <f t="shared" ca="1" si="43"/>
        <v>0.27257360756937876</v>
      </c>
      <c r="CJ38" s="143">
        <f t="shared" ca="1" si="43"/>
        <v>2.5421351903778255E-2</v>
      </c>
      <c r="CK38" s="143">
        <f t="shared" ca="1" si="43"/>
        <v>0.31349950163052098</v>
      </c>
      <c r="CL38" s="143">
        <f t="shared" ca="1" si="43"/>
        <v>1.3564905603503097E-3</v>
      </c>
      <c r="CM38" s="143">
        <f t="shared" ca="1" si="43"/>
        <v>0.20638519339176897</v>
      </c>
      <c r="CN38" s="143">
        <f t="shared" ca="1" si="43"/>
        <v>0.24714639320302439</v>
      </c>
      <c r="CO38" s="143">
        <f t="shared" ca="1" si="43"/>
        <v>-0.2473352286343011</v>
      </c>
      <c r="CP38" s="143">
        <f t="shared" ca="1" si="43"/>
        <v>0.20591295979447699</v>
      </c>
      <c r="CQ38" s="143">
        <f t="shared" ca="1" si="43"/>
        <v>0.25672160662355625</v>
      </c>
      <c r="CR38" s="143">
        <f t="shared" ca="1" si="43"/>
        <v>0.37228180471321171</v>
      </c>
      <c r="CS38" s="143">
        <f t="shared" ca="1" si="43"/>
        <v>4.8353226048947623E-3</v>
      </c>
      <c r="CT38" s="143">
        <f t="shared" ca="1" si="43"/>
        <v>0.13703724390267355</v>
      </c>
      <c r="CU38" s="143">
        <f t="shared" ca="1" si="43"/>
        <v>-5.296924538379344E-2</v>
      </c>
      <c r="CV38" s="143">
        <f t="shared" ca="1" si="43"/>
        <v>0.23687672460600612</v>
      </c>
      <c r="CW38" s="143">
        <f t="shared" ca="1" si="43"/>
        <v>4.9413989313256745E-2</v>
      </c>
      <c r="CX38" s="143">
        <f t="shared" ca="1" si="43"/>
        <v>0.16531012243305787</v>
      </c>
      <c r="CY38" s="143">
        <f t="shared" ca="1" si="43"/>
        <v>-2.5299599652771398E-2</v>
      </c>
      <c r="CZ38" s="143">
        <f t="shared" ca="1" si="43"/>
        <v>0.10001299932131853</v>
      </c>
      <c r="DA38" s="143">
        <f t="shared" ca="1" si="43"/>
        <v>-0.2135300650368421</v>
      </c>
      <c r="DB38" s="143">
        <f t="shared" ca="1" si="43"/>
        <v>0.29251243733593923</v>
      </c>
      <c r="DC38" s="143">
        <f t="shared" ca="1" si="43"/>
        <v>-3.1791479412601603E-3</v>
      </c>
      <c r="DD38" s="143">
        <f t="shared" ca="1" si="43"/>
        <v>7.9221132044061809E-2</v>
      </c>
      <c r="DE38" s="143">
        <f t="shared" ca="1" si="43"/>
        <v>-2.0883067504505887E-2</v>
      </c>
      <c r="DF38" s="143">
        <f t="shared" ca="1" si="43"/>
        <v>-0.22059001199321684</v>
      </c>
      <c r="DG38" s="143">
        <f t="shared" ca="1" si="43"/>
        <v>-0.11825581020626025</v>
      </c>
      <c r="DH38" s="143">
        <f t="shared" ca="1" si="43"/>
        <v>-9.3525318923043027E-2</v>
      </c>
      <c r="DI38" s="143">
        <f t="shared" ca="1" si="43"/>
        <v>-9.5531849832997756E-2</v>
      </c>
      <c r="DK38" s="115">
        <f t="shared" si="8"/>
        <v>87</v>
      </c>
      <c r="DL38" s="143">
        <f t="shared" ca="1" si="33"/>
        <v>5.0059941605434928E-2</v>
      </c>
      <c r="DM38" s="143">
        <f t="shared" ref="DM38:FX41" ca="1" si="46">_xlfn.NORM.INV(RAND(),$B$116,$B$117)</f>
        <v>7.512904933869842E-2</v>
      </c>
      <c r="DN38" s="143">
        <f t="shared" ca="1" si="46"/>
        <v>0.11694115657312476</v>
      </c>
      <c r="DO38" s="143">
        <f t="shared" ca="1" si="46"/>
        <v>4.3675664734822248E-2</v>
      </c>
      <c r="DP38" s="143">
        <f t="shared" ca="1" si="46"/>
        <v>9.139214630837017E-2</v>
      </c>
      <c r="DQ38" s="143">
        <f t="shared" ca="1" si="46"/>
        <v>4.4952998965139546E-3</v>
      </c>
      <c r="DR38" s="143">
        <f t="shared" ca="1" si="46"/>
        <v>-0.20287756073599489</v>
      </c>
      <c r="DS38" s="143">
        <f t="shared" ca="1" si="46"/>
        <v>6.6634983538220019E-2</v>
      </c>
      <c r="DT38" s="143">
        <f t="shared" ca="1" si="46"/>
        <v>2.8931942274574688E-2</v>
      </c>
      <c r="DU38" s="143">
        <f t="shared" ca="1" si="46"/>
        <v>2.2216684032587121E-2</v>
      </c>
      <c r="DV38" s="143">
        <f t="shared" ca="1" si="46"/>
        <v>2.2711761279574291E-2</v>
      </c>
      <c r="DW38" s="143">
        <f t="shared" ca="1" si="46"/>
        <v>-0.10753865559073944</v>
      </c>
      <c r="DX38" s="143">
        <f t="shared" ca="1" si="46"/>
        <v>2.4455513686429717E-2</v>
      </c>
      <c r="DY38" s="143">
        <f t="shared" ca="1" si="46"/>
        <v>6.7351716024072195E-2</v>
      </c>
      <c r="DZ38" s="143">
        <f t="shared" ca="1" si="46"/>
        <v>0.14211633163664444</v>
      </c>
      <c r="EA38" s="143">
        <f t="shared" ca="1" si="46"/>
        <v>-4.0367384146329073E-2</v>
      </c>
      <c r="EB38" s="143">
        <f t="shared" ca="1" si="46"/>
        <v>9.4589147730644446E-2</v>
      </c>
      <c r="EC38" s="143">
        <f t="shared" ca="1" si="46"/>
        <v>0.12132845847236864</v>
      </c>
      <c r="ED38" s="143">
        <f t="shared" ca="1" si="46"/>
        <v>5.252655088986443E-2</v>
      </c>
      <c r="EE38" s="143">
        <f t="shared" ca="1" si="46"/>
        <v>-4.0198516965955881E-2</v>
      </c>
      <c r="EF38" s="143">
        <f t="shared" ca="1" si="46"/>
        <v>3.604468565957808E-2</v>
      </c>
      <c r="EG38" s="143">
        <f t="shared" ca="1" si="46"/>
        <v>-3.4393751013843538E-3</v>
      </c>
      <c r="EH38" s="143">
        <f t="shared" ca="1" si="46"/>
        <v>5.767661394641016E-2</v>
      </c>
      <c r="EI38" s="143">
        <f t="shared" ca="1" si="46"/>
        <v>-4.9291444155400425E-2</v>
      </c>
      <c r="EJ38" s="143">
        <f t="shared" ca="1" si="46"/>
        <v>0.22215787111178775</v>
      </c>
      <c r="EK38" s="143">
        <f t="shared" ca="1" si="46"/>
        <v>-3.0886159314267324E-2</v>
      </c>
      <c r="EL38" s="143">
        <f t="shared" ca="1" si="46"/>
        <v>0.1098012494244085</v>
      </c>
      <c r="EM38" s="143">
        <f t="shared" ca="1" si="46"/>
        <v>3.4372840315696013E-2</v>
      </c>
      <c r="EN38" s="143">
        <f t="shared" ca="1" si="46"/>
        <v>5.6906826756658306E-2</v>
      </c>
      <c r="EO38" s="143">
        <f t="shared" ca="1" si="46"/>
        <v>-3.8431191599763992E-3</v>
      </c>
      <c r="EP38" s="143">
        <f t="shared" ca="1" si="46"/>
        <v>6.3699754940191367E-2</v>
      </c>
      <c r="EQ38" s="143">
        <f t="shared" ca="1" si="46"/>
        <v>7.1535940519310989E-2</v>
      </c>
      <c r="ER38" s="143">
        <f t="shared" ca="1" si="46"/>
        <v>1.5789349908475608E-2</v>
      </c>
      <c r="ES38" s="143">
        <f t="shared" ca="1" si="46"/>
        <v>0.14796509621337553</v>
      </c>
      <c r="ET38" s="143">
        <f t="shared" ca="1" si="46"/>
        <v>0.12234628644855058</v>
      </c>
      <c r="EU38" s="143">
        <f t="shared" ca="1" si="46"/>
        <v>-4.0854975000593576E-2</v>
      </c>
      <c r="EV38" s="143">
        <f t="shared" ca="1" si="46"/>
        <v>-1.2422255451500101E-2</v>
      </c>
      <c r="EW38" s="143">
        <f t="shared" ca="1" si="46"/>
        <v>5.3906707836537927E-2</v>
      </c>
      <c r="EX38" s="143">
        <f t="shared" ca="1" si="46"/>
        <v>0.10646102575884396</v>
      </c>
      <c r="EY38" s="143">
        <f t="shared" ca="1" si="46"/>
        <v>0.11385310282566327</v>
      </c>
      <c r="EZ38" s="143">
        <f t="shared" ca="1" si="46"/>
        <v>-6.4439529286908936E-2</v>
      </c>
      <c r="FA38" s="143">
        <f t="shared" ca="1" si="46"/>
        <v>0.11417085763412066</v>
      </c>
      <c r="FB38" s="143">
        <f t="shared" ca="1" si="46"/>
        <v>3.5056626916952036E-2</v>
      </c>
      <c r="FC38" s="143">
        <f t="shared" ca="1" si="46"/>
        <v>8.5326682467299297E-2</v>
      </c>
      <c r="FD38" s="143">
        <f t="shared" ca="1" si="46"/>
        <v>2.4850334248016449E-2</v>
      </c>
      <c r="FE38" s="143">
        <f t="shared" ca="1" si="46"/>
        <v>1.2493290928506394E-2</v>
      </c>
      <c r="FF38" s="143">
        <f t="shared" ca="1" si="46"/>
        <v>0.19990484728160246</v>
      </c>
      <c r="FG38" s="143">
        <f t="shared" ca="1" si="46"/>
        <v>7.1668368679391664E-2</v>
      </c>
      <c r="FH38" s="143">
        <f t="shared" ca="1" si="46"/>
        <v>-5.7008489303040089E-3</v>
      </c>
      <c r="FI38" s="143">
        <f t="shared" ca="1" si="46"/>
        <v>1.9261103693410567E-2</v>
      </c>
      <c r="FJ38" s="143">
        <f t="shared" ca="1" si="46"/>
        <v>0.16853735843129491</v>
      </c>
      <c r="FK38" s="143">
        <f t="shared" ca="1" si="46"/>
        <v>4.7348929527383905E-2</v>
      </c>
      <c r="FL38" s="143">
        <f t="shared" ca="1" si="46"/>
        <v>4.3276815953192639E-2</v>
      </c>
      <c r="FM38" s="143">
        <f t="shared" ca="1" si="46"/>
        <v>-2.7646285323946411E-2</v>
      </c>
      <c r="FN38" s="143">
        <f t="shared" ca="1" si="46"/>
        <v>0.12387569531772993</v>
      </c>
      <c r="FO38" s="143">
        <f t="shared" ca="1" si="46"/>
        <v>8.7611924377087258E-2</v>
      </c>
      <c r="FP38" s="143">
        <f t="shared" ca="1" si="46"/>
        <v>-5.2637011554525569E-2</v>
      </c>
      <c r="FQ38" s="143">
        <f t="shared" ca="1" si="46"/>
        <v>-1.3183593293545577E-2</v>
      </c>
      <c r="FR38" s="143">
        <f t="shared" ca="1" si="46"/>
        <v>5.7471998384221415E-2</v>
      </c>
      <c r="FS38" s="143">
        <f t="shared" ca="1" si="46"/>
        <v>0.11201588155879078</v>
      </c>
      <c r="FT38" s="143">
        <f t="shared" ca="1" si="46"/>
        <v>3.3617605996409158E-2</v>
      </c>
      <c r="FU38" s="143">
        <f t="shared" ca="1" si="46"/>
        <v>-5.9786406716955322E-2</v>
      </c>
      <c r="FV38" s="143">
        <f t="shared" ca="1" si="46"/>
        <v>-0.11684581749526171</v>
      </c>
      <c r="FW38" s="143">
        <f t="shared" ca="1" si="46"/>
        <v>-4.4408647890523269E-2</v>
      </c>
      <c r="FX38" s="143">
        <f t="shared" ca="1" si="46"/>
        <v>-1.4585954215912016E-2</v>
      </c>
      <c r="FY38" s="143">
        <f t="shared" ca="1" si="44"/>
        <v>9.034549978641282E-3</v>
      </c>
      <c r="FZ38" s="143">
        <f t="shared" ca="1" si="44"/>
        <v>1.1250880735134597E-2</v>
      </c>
      <c r="GA38" s="143">
        <f t="shared" ca="1" si="44"/>
        <v>-2.8778724676125904E-2</v>
      </c>
      <c r="GB38" s="143">
        <f t="shared" ca="1" si="44"/>
        <v>4.3288029091550148E-2</v>
      </c>
      <c r="GC38" s="143">
        <f t="shared" ca="1" si="44"/>
        <v>0.13619801843001886</v>
      </c>
      <c r="GD38" s="143">
        <f t="shared" ca="1" si="44"/>
        <v>-3.2617654264797409E-2</v>
      </c>
      <c r="GE38" s="143">
        <f t="shared" ca="1" si="44"/>
        <v>0.12643036019945411</v>
      </c>
      <c r="GF38" s="143">
        <f t="shared" ca="1" si="44"/>
        <v>5.9073110709069378E-2</v>
      </c>
      <c r="GG38" s="143">
        <f t="shared" ca="1" si="44"/>
        <v>-6.336707932881383E-2</v>
      </c>
      <c r="GH38" s="143">
        <f t="shared" ca="1" si="44"/>
        <v>1.6347960996025784E-2</v>
      </c>
      <c r="GI38" s="143">
        <f t="shared" ca="1" si="44"/>
        <v>9.7102497767539611E-2</v>
      </c>
      <c r="GJ38" s="143">
        <f t="shared" ca="1" si="44"/>
        <v>0.14914057949509973</v>
      </c>
      <c r="GK38" s="143">
        <f t="shared" ca="1" si="44"/>
        <v>-2.4304094506283146E-2</v>
      </c>
      <c r="GL38" s="143">
        <f t="shared" ca="1" si="44"/>
        <v>-7.6133264324846739E-2</v>
      </c>
      <c r="GM38" s="143">
        <f t="shared" ca="1" si="44"/>
        <v>-3.945165844318662E-2</v>
      </c>
      <c r="GN38" s="143">
        <f t="shared" ca="1" si="44"/>
        <v>-0.13714326660576659</v>
      </c>
      <c r="GO38" s="143">
        <f t="shared" ca="1" si="44"/>
        <v>2.8174911477386887E-2</v>
      </c>
      <c r="GP38" s="143">
        <f t="shared" ca="1" si="44"/>
        <v>0.19702518964359328</v>
      </c>
      <c r="GQ38" s="143">
        <f t="shared" ca="1" si="44"/>
        <v>0.11107656398139823</v>
      </c>
      <c r="GR38" s="143">
        <f t="shared" ca="1" si="44"/>
        <v>2.8937813265531558E-2</v>
      </c>
      <c r="GS38" s="143">
        <f t="shared" ca="1" si="44"/>
        <v>8.4499720351125018E-2</v>
      </c>
      <c r="GT38" s="143">
        <f t="shared" ca="1" si="44"/>
        <v>0.16289876121141991</v>
      </c>
      <c r="GU38" s="143">
        <f t="shared" ca="1" si="44"/>
        <v>9.1241392955614162E-2</v>
      </c>
      <c r="GV38" s="143">
        <f t="shared" ca="1" si="44"/>
        <v>0.11298378502751188</v>
      </c>
      <c r="GW38" s="143">
        <f t="shared" ca="1" si="44"/>
        <v>3.2936903605687157E-2</v>
      </c>
      <c r="GX38" s="143">
        <f t="shared" ca="1" si="44"/>
        <v>3.3594515374069059E-2</v>
      </c>
      <c r="GY38" s="143">
        <f t="shared" ca="1" si="44"/>
        <v>-5.7605100216388157E-2</v>
      </c>
      <c r="GZ38" s="143">
        <f t="shared" ca="1" si="44"/>
        <v>6.8688183249771398E-2</v>
      </c>
      <c r="HA38" s="143">
        <f t="shared" ca="1" si="44"/>
        <v>-0.13625815608523315</v>
      </c>
      <c r="HB38" s="143">
        <f t="shared" ca="1" si="44"/>
        <v>0.16474342063467295</v>
      </c>
      <c r="HC38" s="143">
        <f t="shared" ca="1" si="44"/>
        <v>-5.9614365184043373E-2</v>
      </c>
      <c r="HD38" s="143">
        <f t="shared" ca="1" si="44"/>
        <v>-6.8447269151298146E-3</v>
      </c>
      <c r="HE38" s="143">
        <f t="shared" ca="1" si="44"/>
        <v>1.68734860578563E-2</v>
      </c>
      <c r="HF38" s="143">
        <f t="shared" ca="1" si="44"/>
        <v>-9.7336973376806385E-2</v>
      </c>
      <c r="HG38" s="143">
        <f t="shared" ca="1" si="44"/>
        <v>2.0219857727606094E-3</v>
      </c>
    </row>
    <row r="39" spans="1:215">
      <c r="A39" s="90">
        <v>1965</v>
      </c>
      <c r="B39" s="84">
        <v>0.12399242477876114</v>
      </c>
      <c r="C39" s="85">
        <v>0.45659999999999995</v>
      </c>
      <c r="D39" s="83">
        <f t="shared" si="4"/>
        <v>0.1905139398230089</v>
      </c>
      <c r="E39" s="85"/>
      <c r="F39" s="85"/>
      <c r="G39" s="85">
        <v>3.9490763052208833E-2</v>
      </c>
      <c r="H39" s="85">
        <v>7.1885509359262342E-3</v>
      </c>
      <c r="I39" s="85">
        <v>3.1900094622538809E-2</v>
      </c>
      <c r="J39" s="85">
        <v>5.6980056980049376E-4</v>
      </c>
      <c r="M39" s="115">
        <f t="shared" si="7"/>
        <v>88</v>
      </c>
      <c r="N39" s="143">
        <f t="shared" ca="1" si="31"/>
        <v>0.20272788500561037</v>
      </c>
      <c r="O39" s="143">
        <f t="shared" ca="1" si="45"/>
        <v>0.29625845632317266</v>
      </c>
      <c r="P39" s="143">
        <f t="shared" ca="1" si="45"/>
        <v>3.0529975478297972E-2</v>
      </c>
      <c r="Q39" s="143">
        <f t="shared" ca="1" si="45"/>
        <v>0.40099310400052479</v>
      </c>
      <c r="R39" s="143">
        <f t="shared" ca="1" si="45"/>
        <v>-2.2165314577338641E-2</v>
      </c>
      <c r="S39" s="143">
        <f t="shared" ca="1" si="45"/>
        <v>0.25156132318418883</v>
      </c>
      <c r="T39" s="143">
        <f t="shared" ca="1" si="45"/>
        <v>0.41699521743214829</v>
      </c>
      <c r="U39" s="143">
        <f t="shared" ca="1" si="45"/>
        <v>0.37346864624139531</v>
      </c>
      <c r="V39" s="143">
        <f t="shared" ca="1" si="45"/>
        <v>0.37804356934710592</v>
      </c>
      <c r="W39" s="143">
        <f t="shared" ca="1" si="45"/>
        <v>-0.23698917498643898</v>
      </c>
      <c r="X39" s="143">
        <f t="shared" ca="1" si="45"/>
        <v>-0.5268914359547554</v>
      </c>
      <c r="Y39" s="143">
        <f t="shared" ca="1" si="45"/>
        <v>0.27146269215720703</v>
      </c>
      <c r="Z39" s="143">
        <f t="shared" ca="1" si="45"/>
        <v>-0.13050992688244994</v>
      </c>
      <c r="AA39" s="143">
        <f t="shared" ca="1" si="45"/>
        <v>0.29200228565015374</v>
      </c>
      <c r="AB39" s="143">
        <f t="shared" ca="1" si="45"/>
        <v>-8.3338594382240561E-2</v>
      </c>
      <c r="AC39" s="143">
        <f t="shared" ca="1" si="45"/>
        <v>0.19892467828235177</v>
      </c>
      <c r="AD39" s="143">
        <f t="shared" ca="1" si="45"/>
        <v>-0.15003555974243368</v>
      </c>
      <c r="AE39" s="143">
        <f t="shared" ca="1" si="45"/>
        <v>-0.21552706285103093</v>
      </c>
      <c r="AF39" s="143">
        <f t="shared" ca="1" si="45"/>
        <v>0.14798743977159248</v>
      </c>
      <c r="AG39" s="143">
        <f t="shared" ca="1" si="45"/>
        <v>5.1495592771397557E-2</v>
      </c>
      <c r="AH39" s="143">
        <f t="shared" ca="1" si="45"/>
        <v>-0.21332362164313914</v>
      </c>
      <c r="AI39" s="143">
        <f t="shared" ca="1" si="45"/>
        <v>0.35556815273896369</v>
      </c>
      <c r="AJ39" s="143">
        <f t="shared" ca="1" si="45"/>
        <v>0.1095989649131823</v>
      </c>
      <c r="AK39" s="143">
        <f t="shared" ca="1" si="45"/>
        <v>-9.2558679704109137E-2</v>
      </c>
      <c r="AL39" s="143">
        <f t="shared" ca="1" si="45"/>
        <v>9.5464594939934089E-2</v>
      </c>
      <c r="AM39" s="143">
        <f t="shared" ca="1" si="45"/>
        <v>-8.650924629740217E-2</v>
      </c>
      <c r="AN39" s="143">
        <f t="shared" ca="1" si="45"/>
        <v>0.12197410414414939</v>
      </c>
      <c r="AO39" s="143">
        <f t="shared" ca="1" si="45"/>
        <v>0.16808187905304486</v>
      </c>
      <c r="AP39" s="143">
        <f t="shared" ca="1" si="45"/>
        <v>0.3183394125139804</v>
      </c>
      <c r="AQ39" s="143">
        <f t="shared" ca="1" si="45"/>
        <v>8.4687066113114884E-2</v>
      </c>
      <c r="AR39" s="143">
        <f t="shared" ca="1" si="45"/>
        <v>0.12368068580070124</v>
      </c>
      <c r="AS39" s="143">
        <f t="shared" ca="1" si="45"/>
        <v>-2.7388410067194002E-2</v>
      </c>
      <c r="AT39" s="143">
        <f t="shared" ca="1" si="45"/>
        <v>6.8630228229057677E-2</v>
      </c>
      <c r="AU39" s="143">
        <f t="shared" ca="1" si="45"/>
        <v>1.7478991908264727E-2</v>
      </c>
      <c r="AV39" s="143">
        <f t="shared" ca="1" si="45"/>
        <v>6.3463057096782127E-2</v>
      </c>
      <c r="AW39" s="143">
        <f t="shared" ca="1" si="45"/>
        <v>0.37810973019520511</v>
      </c>
      <c r="AX39" s="143">
        <f t="shared" ca="1" si="45"/>
        <v>-1.9993795599558314E-2</v>
      </c>
      <c r="AY39" s="143">
        <f t="shared" ca="1" si="45"/>
        <v>0.23237644907011279</v>
      </c>
      <c r="AZ39" s="143">
        <f t="shared" ca="1" si="45"/>
        <v>0.20043341260172118</v>
      </c>
      <c r="BA39" s="143">
        <f t="shared" ca="1" si="45"/>
        <v>-0.11325778913726781</v>
      </c>
      <c r="BB39" s="143">
        <f t="shared" ca="1" si="45"/>
        <v>-3.4654514700036443E-2</v>
      </c>
      <c r="BC39" s="143">
        <f t="shared" ca="1" si="45"/>
        <v>0.13129802109967575</v>
      </c>
      <c r="BD39" s="143">
        <f t="shared" ca="1" si="45"/>
        <v>-8.1457896643101074E-3</v>
      </c>
      <c r="BE39" s="143">
        <f t="shared" ca="1" si="45"/>
        <v>0.271212530304901</v>
      </c>
      <c r="BF39" s="143">
        <f t="shared" ca="1" si="45"/>
        <v>6.8139532009043879E-3</v>
      </c>
      <c r="BG39" s="143">
        <f t="shared" ca="1" si="45"/>
        <v>-5.3366033222552151E-2</v>
      </c>
      <c r="BH39" s="143">
        <f t="shared" ca="1" si="45"/>
        <v>0.17357118264718618</v>
      </c>
      <c r="BI39" s="143">
        <f t="shared" ca="1" si="45"/>
        <v>0.19869011974017248</v>
      </c>
      <c r="BJ39" s="143">
        <f t="shared" ca="1" si="45"/>
        <v>0.1487780551342224</v>
      </c>
      <c r="BK39" s="143">
        <f t="shared" ca="1" si="45"/>
        <v>8.5497655480204215E-2</v>
      </c>
      <c r="BL39" s="143">
        <f t="shared" ca="1" si="45"/>
        <v>8.8407063189093971E-2</v>
      </c>
      <c r="BM39" s="143">
        <f t="shared" ca="1" si="45"/>
        <v>-0.20590535589121886</v>
      </c>
      <c r="BN39" s="143">
        <f t="shared" ca="1" si="45"/>
        <v>-0.22777413581242481</v>
      </c>
      <c r="BO39" s="143">
        <f t="shared" ca="1" si="45"/>
        <v>0.16787474391079879</v>
      </c>
      <c r="BP39" s="143">
        <f t="shared" ca="1" si="45"/>
        <v>-9.3587827437677851E-2</v>
      </c>
      <c r="BQ39" s="143">
        <f t="shared" ca="1" si="45"/>
        <v>0.48463949526372185</v>
      </c>
      <c r="BR39" s="143">
        <f t="shared" ca="1" si="45"/>
        <v>5.7715520682732488E-2</v>
      </c>
      <c r="BS39" s="143">
        <f t="shared" ca="1" si="45"/>
        <v>0.13673170787200456</v>
      </c>
      <c r="BT39" s="143">
        <f t="shared" ca="1" si="45"/>
        <v>-0.16550604075208977</v>
      </c>
      <c r="BU39" s="143">
        <f t="shared" ca="1" si="45"/>
        <v>0.17715045764365006</v>
      </c>
      <c r="BV39" s="143">
        <f t="shared" ca="1" si="45"/>
        <v>-0.12675119702003732</v>
      </c>
      <c r="BW39" s="143">
        <f t="shared" ca="1" si="45"/>
        <v>0.46219732508677502</v>
      </c>
      <c r="BX39" s="143">
        <f t="shared" ca="1" si="45"/>
        <v>-0.24118077479470909</v>
      </c>
      <c r="BY39" s="143">
        <f t="shared" ca="1" si="45"/>
        <v>0.12430272580822674</v>
      </c>
      <c r="BZ39" s="143">
        <f t="shared" ca="1" si="45"/>
        <v>-0.29092363756162598</v>
      </c>
      <c r="CA39" s="143">
        <f t="shared" ca="1" si="43"/>
        <v>0.43529139757784507</v>
      </c>
      <c r="CB39" s="143">
        <f t="shared" ca="1" si="43"/>
        <v>6.8346554367106238E-2</v>
      </c>
      <c r="CC39" s="143">
        <f t="shared" ca="1" si="43"/>
        <v>0.181247552678719</v>
      </c>
      <c r="CD39" s="143">
        <f t="shared" ca="1" si="43"/>
        <v>-0.17925843588375848</v>
      </c>
      <c r="CE39" s="143">
        <f t="shared" ca="1" si="43"/>
        <v>-2.8600926623093992E-2</v>
      </c>
      <c r="CF39" s="143">
        <f t="shared" ca="1" si="43"/>
        <v>0.11889136079648392</v>
      </c>
      <c r="CG39" s="143">
        <f t="shared" ca="1" si="43"/>
        <v>0.12058425554834115</v>
      </c>
      <c r="CH39" s="143">
        <f t="shared" ca="1" si="43"/>
        <v>-0.17893570015420704</v>
      </c>
      <c r="CI39" s="143">
        <f t="shared" ca="1" si="43"/>
        <v>-0.11654963093104689</v>
      </c>
      <c r="CJ39" s="143">
        <f t="shared" ca="1" si="43"/>
        <v>0.24034739934348223</v>
      </c>
      <c r="CK39" s="143">
        <f t="shared" ca="1" si="43"/>
        <v>-8.7333100562018456E-2</v>
      </c>
      <c r="CL39" s="143">
        <f t="shared" ca="1" si="43"/>
        <v>0.13663337977779549</v>
      </c>
      <c r="CM39" s="143">
        <f t="shared" ca="1" si="43"/>
        <v>0.20579263995930902</v>
      </c>
      <c r="CN39" s="143">
        <f t="shared" ca="1" si="43"/>
        <v>-2.8484491407471613E-2</v>
      </c>
      <c r="CO39" s="143">
        <f t="shared" ca="1" si="43"/>
        <v>0.22705333075562892</v>
      </c>
      <c r="CP39" s="143">
        <f t="shared" ca="1" si="43"/>
        <v>9.2945802528240501E-2</v>
      </c>
      <c r="CQ39" s="143">
        <f t="shared" ca="1" si="43"/>
        <v>-0.16755439129410213</v>
      </c>
      <c r="CR39" s="143">
        <f t="shared" ca="1" si="43"/>
        <v>-8.7533198654649785E-2</v>
      </c>
      <c r="CS39" s="143">
        <f t="shared" ca="1" si="43"/>
        <v>-0.10327614074498764</v>
      </c>
      <c r="CT39" s="143">
        <f t="shared" ca="1" si="43"/>
        <v>0.15890514070070352</v>
      </c>
      <c r="CU39" s="143">
        <f t="shared" ca="1" si="43"/>
        <v>3.4777223548357911E-2</v>
      </c>
      <c r="CV39" s="143">
        <f t="shared" ca="1" si="43"/>
        <v>5.5021886295438346E-2</v>
      </c>
      <c r="CW39" s="143">
        <f t="shared" ca="1" si="43"/>
        <v>1.2840048608800003E-2</v>
      </c>
      <c r="CX39" s="143">
        <f t="shared" ca="1" si="43"/>
        <v>0.27667960345203174</v>
      </c>
      <c r="CY39" s="143">
        <f t="shared" ca="1" si="43"/>
        <v>0.2515612506297511</v>
      </c>
      <c r="CZ39" s="143">
        <f t="shared" ca="1" si="43"/>
        <v>9.4114061572791383E-2</v>
      </c>
      <c r="DA39" s="143">
        <f t="shared" ca="1" si="43"/>
        <v>-2.8061125402878861E-2</v>
      </c>
      <c r="DB39" s="143">
        <f t="shared" ca="1" si="43"/>
        <v>0.39604722256571689</v>
      </c>
      <c r="DC39" s="143">
        <f t="shared" ca="1" si="43"/>
        <v>0.18848204734418894</v>
      </c>
      <c r="DD39" s="143">
        <f t="shared" ca="1" si="43"/>
        <v>0.25158363596125966</v>
      </c>
      <c r="DE39" s="143">
        <f t="shared" ca="1" si="43"/>
        <v>0.46496672109656001</v>
      </c>
      <c r="DF39" s="143">
        <f t="shared" ca="1" si="43"/>
        <v>9.8455083293874493E-2</v>
      </c>
      <c r="DG39" s="143">
        <f t="shared" ca="1" si="43"/>
        <v>0.36870880125946581</v>
      </c>
      <c r="DH39" s="143">
        <f t="shared" ca="1" si="43"/>
        <v>0.31974260243053548</v>
      </c>
      <c r="DI39" s="143">
        <f t="shared" ca="1" si="43"/>
        <v>0.17405665781726964</v>
      </c>
      <c r="DK39" s="115">
        <f t="shared" si="8"/>
        <v>88</v>
      </c>
      <c r="DL39" s="143">
        <f t="shared" ca="1" si="33"/>
        <v>-8.0457760035460707E-4</v>
      </c>
      <c r="DM39" s="143">
        <f t="shared" ca="1" si="46"/>
        <v>0.11689586389002493</v>
      </c>
      <c r="DN39" s="143">
        <f t="shared" ca="1" si="46"/>
        <v>4.9392504040045991E-2</v>
      </c>
      <c r="DO39" s="143">
        <f t="shared" ca="1" si="46"/>
        <v>0.10756557563734588</v>
      </c>
      <c r="DP39" s="143">
        <f t="shared" ca="1" si="46"/>
        <v>-3.1749991023760853E-2</v>
      </c>
      <c r="DQ39" s="143">
        <f t="shared" ca="1" si="46"/>
        <v>4.1439009909772589E-2</v>
      </c>
      <c r="DR39" s="143">
        <f t="shared" ca="1" si="46"/>
        <v>-3.0100348009286376E-3</v>
      </c>
      <c r="DS39" s="143">
        <f t="shared" ca="1" si="46"/>
        <v>-4.5852721583944718E-2</v>
      </c>
      <c r="DT39" s="143">
        <f t="shared" ca="1" si="46"/>
        <v>5.6766881693022908E-2</v>
      </c>
      <c r="DU39" s="143">
        <f t="shared" ca="1" si="46"/>
        <v>0.11764706333842445</v>
      </c>
      <c r="DV39" s="143">
        <f t="shared" ca="1" si="46"/>
        <v>6.2954696860660672E-2</v>
      </c>
      <c r="DW39" s="143">
        <f t="shared" ca="1" si="46"/>
        <v>2.0982438063973968E-2</v>
      </c>
      <c r="DX39" s="143">
        <f t="shared" ca="1" si="46"/>
        <v>-1.1750141404968946E-2</v>
      </c>
      <c r="DY39" s="143">
        <f t="shared" ca="1" si="46"/>
        <v>7.1013341014934395E-2</v>
      </c>
      <c r="DZ39" s="143">
        <f t="shared" ca="1" si="46"/>
        <v>0.10308910308567797</v>
      </c>
      <c r="EA39" s="143">
        <f t="shared" ca="1" si="46"/>
        <v>-2.6382374970941667E-2</v>
      </c>
      <c r="EB39" s="143">
        <f t="shared" ca="1" si="46"/>
        <v>-1.8413701488560613E-3</v>
      </c>
      <c r="EC39" s="143">
        <f t="shared" ca="1" si="46"/>
        <v>7.1610019114499324E-2</v>
      </c>
      <c r="ED39" s="143">
        <f t="shared" ca="1" si="46"/>
        <v>9.611407154527965E-2</v>
      </c>
      <c r="EE39" s="143">
        <f t="shared" ca="1" si="46"/>
        <v>0.10370139623673888</v>
      </c>
      <c r="EF39" s="143">
        <f t="shared" ca="1" si="46"/>
        <v>-0.17455604156149629</v>
      </c>
      <c r="EG39" s="143">
        <f t="shared" ca="1" si="46"/>
        <v>7.1707024116313786E-2</v>
      </c>
      <c r="EH39" s="143">
        <f t="shared" ca="1" si="46"/>
        <v>-1.1008966701191607E-2</v>
      </c>
      <c r="EI39" s="143">
        <f t="shared" ca="1" si="46"/>
        <v>-6.4808981966823387E-2</v>
      </c>
      <c r="EJ39" s="143">
        <f t="shared" ca="1" si="46"/>
        <v>-5.8044126561547574E-3</v>
      </c>
      <c r="EK39" s="143">
        <f t="shared" ca="1" si="46"/>
        <v>8.0303647783540988E-2</v>
      </c>
      <c r="EL39" s="143">
        <f t="shared" ca="1" si="46"/>
        <v>0.16462780210967301</v>
      </c>
      <c r="EM39" s="143">
        <f t="shared" ca="1" si="46"/>
        <v>-4.3564369471618146E-2</v>
      </c>
      <c r="EN39" s="143">
        <f t="shared" ca="1" si="46"/>
        <v>4.4637234319411578E-2</v>
      </c>
      <c r="EO39" s="143">
        <f t="shared" ca="1" si="46"/>
        <v>-7.2023009219512268E-2</v>
      </c>
      <c r="EP39" s="143">
        <f t="shared" ca="1" si="46"/>
        <v>1.8143244849899598E-2</v>
      </c>
      <c r="EQ39" s="143">
        <f t="shared" ca="1" si="46"/>
        <v>8.0296565127226688E-2</v>
      </c>
      <c r="ER39" s="143">
        <f t="shared" ca="1" si="46"/>
        <v>0.174856245194876</v>
      </c>
      <c r="ES39" s="143">
        <f t="shared" ca="1" si="46"/>
        <v>3.887562781296295E-2</v>
      </c>
      <c r="ET39" s="143">
        <f t="shared" ca="1" si="46"/>
        <v>0.11483497691358682</v>
      </c>
      <c r="EU39" s="143">
        <f t="shared" ca="1" si="46"/>
        <v>4.3186055493478828E-2</v>
      </c>
      <c r="EV39" s="143">
        <f t="shared" ca="1" si="46"/>
        <v>-9.4763675857262031E-2</v>
      </c>
      <c r="EW39" s="143">
        <f t="shared" ca="1" si="46"/>
        <v>6.0556723821556802E-3</v>
      </c>
      <c r="EX39" s="143">
        <f t="shared" ca="1" si="46"/>
        <v>1.8926701392741999E-2</v>
      </c>
      <c r="EY39" s="143">
        <f t="shared" ca="1" si="46"/>
        <v>6.4434745226034457E-2</v>
      </c>
      <c r="EZ39" s="143">
        <f t="shared" ca="1" si="46"/>
        <v>4.6208034798502905E-2</v>
      </c>
      <c r="FA39" s="143">
        <f t="shared" ca="1" si="46"/>
        <v>0.13512739401367127</v>
      </c>
      <c r="FB39" s="143">
        <f t="shared" ca="1" si="46"/>
        <v>0.10409835771558192</v>
      </c>
      <c r="FC39" s="143">
        <f t="shared" ca="1" si="46"/>
        <v>0.18591883132786491</v>
      </c>
      <c r="FD39" s="143">
        <f t="shared" ca="1" si="46"/>
        <v>2.2346828831218565E-2</v>
      </c>
      <c r="FE39" s="143">
        <f t="shared" ca="1" si="46"/>
        <v>6.255185319156116E-2</v>
      </c>
      <c r="FF39" s="143">
        <f t="shared" ca="1" si="46"/>
        <v>7.5375071193970744E-3</v>
      </c>
      <c r="FG39" s="143">
        <f t="shared" ca="1" si="46"/>
        <v>0.10310310880489851</v>
      </c>
      <c r="FH39" s="143">
        <f t="shared" ca="1" si="46"/>
        <v>0.14568313856761347</v>
      </c>
      <c r="FI39" s="143">
        <f t="shared" ca="1" si="46"/>
        <v>0.14467536351747537</v>
      </c>
      <c r="FJ39" s="143">
        <f t="shared" ca="1" si="46"/>
        <v>4.6457680914223642E-2</v>
      </c>
      <c r="FK39" s="143">
        <f t="shared" ca="1" si="46"/>
        <v>1.306728197101361E-2</v>
      </c>
      <c r="FL39" s="143">
        <f t="shared" ca="1" si="46"/>
        <v>3.8280081665102328E-2</v>
      </c>
      <c r="FM39" s="143">
        <f t="shared" ca="1" si="46"/>
        <v>-1.8941563677549046E-2</v>
      </c>
      <c r="FN39" s="143">
        <f t="shared" ca="1" si="46"/>
        <v>-3.7254014812958917E-2</v>
      </c>
      <c r="FO39" s="143">
        <f t="shared" ca="1" si="46"/>
        <v>0.12585626645142822</v>
      </c>
      <c r="FP39" s="143">
        <f t="shared" ca="1" si="46"/>
        <v>0.1319936483737611</v>
      </c>
      <c r="FQ39" s="143">
        <f t="shared" ca="1" si="46"/>
        <v>2.3690645616330958E-2</v>
      </c>
      <c r="FR39" s="143">
        <f t="shared" ca="1" si="46"/>
        <v>-3.6727913837651206E-2</v>
      </c>
      <c r="FS39" s="143">
        <f t="shared" ca="1" si="46"/>
        <v>5.2537067039724321E-2</v>
      </c>
      <c r="FT39" s="143">
        <f t="shared" ca="1" si="46"/>
        <v>0.11309454339843894</v>
      </c>
      <c r="FU39" s="143">
        <f t="shared" ca="1" si="46"/>
        <v>7.1960060917415775E-3</v>
      </c>
      <c r="FV39" s="143">
        <f t="shared" ca="1" si="46"/>
        <v>1.0509709253886404E-2</v>
      </c>
      <c r="FW39" s="143">
        <f t="shared" ca="1" si="46"/>
        <v>-8.9459775538194342E-2</v>
      </c>
      <c r="FX39" s="143">
        <f t="shared" ca="1" si="46"/>
        <v>-6.8582715876596353E-3</v>
      </c>
      <c r="FY39" s="143">
        <f t="shared" ca="1" si="44"/>
        <v>0.13978582595773367</v>
      </c>
      <c r="FZ39" s="143">
        <f t="shared" ca="1" si="44"/>
        <v>-9.7266900568435261E-2</v>
      </c>
      <c r="GA39" s="143">
        <f t="shared" ca="1" si="44"/>
        <v>4.4747470372253413E-2</v>
      </c>
      <c r="GB39" s="143">
        <f t="shared" ca="1" si="44"/>
        <v>-5.4009491539593883E-2</v>
      </c>
      <c r="GC39" s="143">
        <f t="shared" ca="1" si="44"/>
        <v>-3.6580925153690685E-3</v>
      </c>
      <c r="GD39" s="143">
        <f t="shared" ca="1" si="44"/>
        <v>0.12623577043960299</v>
      </c>
      <c r="GE39" s="143">
        <f t="shared" ca="1" si="44"/>
        <v>2.5328110033193258E-2</v>
      </c>
      <c r="GF39" s="143">
        <f t="shared" ca="1" si="44"/>
        <v>5.314636924408412E-2</v>
      </c>
      <c r="GG39" s="143">
        <f t="shared" ca="1" si="44"/>
        <v>0.10456242100639815</v>
      </c>
      <c r="GH39" s="143">
        <f t="shared" ca="1" si="44"/>
        <v>-1.0001941432904414E-2</v>
      </c>
      <c r="GI39" s="143">
        <f t="shared" ca="1" si="44"/>
        <v>-2.5320798511483326E-2</v>
      </c>
      <c r="GJ39" s="143">
        <f t="shared" ca="1" si="44"/>
        <v>9.6080178775547878E-2</v>
      </c>
      <c r="GK39" s="143">
        <f t="shared" ca="1" si="44"/>
        <v>2.2231639547983715E-2</v>
      </c>
      <c r="GL39" s="143">
        <f t="shared" ca="1" si="44"/>
        <v>0.11114570087938749</v>
      </c>
      <c r="GM39" s="143">
        <f t="shared" ca="1" si="44"/>
        <v>-6.99062179221146E-2</v>
      </c>
      <c r="GN39" s="143">
        <f t="shared" ca="1" si="44"/>
        <v>0.10344551931790769</v>
      </c>
      <c r="GO39" s="143">
        <f t="shared" ca="1" si="44"/>
        <v>8.2113074605701108E-4</v>
      </c>
      <c r="GP39" s="143">
        <f t="shared" ca="1" si="44"/>
        <v>3.4430568121612687E-2</v>
      </c>
      <c r="GQ39" s="143">
        <f t="shared" ca="1" si="44"/>
        <v>-1.7604159333489099E-2</v>
      </c>
      <c r="GR39" s="143">
        <f t="shared" ca="1" si="44"/>
        <v>0.12557603947860077</v>
      </c>
      <c r="GS39" s="143">
        <f t="shared" ca="1" si="44"/>
        <v>0.11899447520273967</v>
      </c>
      <c r="GT39" s="143">
        <f t="shared" ca="1" si="44"/>
        <v>6.1203840902052817E-2</v>
      </c>
      <c r="GU39" s="143">
        <f t="shared" ca="1" si="44"/>
        <v>8.0878020334121559E-2</v>
      </c>
      <c r="GV39" s="143">
        <f t="shared" ca="1" si="44"/>
        <v>-1.3418114647191101E-2</v>
      </c>
      <c r="GW39" s="143">
        <f t="shared" ca="1" si="44"/>
        <v>0.16140795521596549</v>
      </c>
      <c r="GX39" s="143">
        <f t="shared" ca="1" si="44"/>
        <v>2.6890911848365503E-2</v>
      </c>
      <c r="GY39" s="143">
        <f t="shared" ca="1" si="44"/>
        <v>0.1820042329480443</v>
      </c>
      <c r="GZ39" s="143">
        <f t="shared" ca="1" si="44"/>
        <v>5.0198232718962517E-2</v>
      </c>
      <c r="HA39" s="143">
        <f t="shared" ca="1" si="44"/>
        <v>0.11301847899569187</v>
      </c>
      <c r="HB39" s="143">
        <f t="shared" ca="1" si="44"/>
        <v>2.3297920212896443E-2</v>
      </c>
      <c r="HC39" s="143">
        <f t="shared" ca="1" si="44"/>
        <v>-9.9459856848270536E-3</v>
      </c>
      <c r="HD39" s="143">
        <f t="shared" ca="1" si="44"/>
        <v>4.7084650315652225E-2</v>
      </c>
      <c r="HE39" s="143">
        <f t="shared" ca="1" si="44"/>
        <v>6.5926242973978949E-2</v>
      </c>
      <c r="HF39" s="143">
        <f t="shared" ca="1" si="44"/>
        <v>5.7309215473514669E-2</v>
      </c>
      <c r="HG39" s="143">
        <f t="shared" ca="1" si="44"/>
        <v>9.0303369361745711E-2</v>
      </c>
    </row>
    <row r="40" spans="1:215">
      <c r="A40" s="90">
        <v>1966</v>
      </c>
      <c r="B40" s="84">
        <v>-9.9709542356377898E-2</v>
      </c>
      <c r="C40" s="85">
        <v>-9.4899999999999998E-2</v>
      </c>
      <c r="D40" s="83">
        <f t="shared" si="4"/>
        <v>-9.8747633885102326E-2</v>
      </c>
      <c r="E40" s="85"/>
      <c r="F40" s="85"/>
      <c r="G40" s="85">
        <v>4.8557199999999995E-2</v>
      </c>
      <c r="H40" s="85">
        <v>2.9079409324299622E-2</v>
      </c>
      <c r="I40" s="85">
        <v>-3.4453615975776369E-2</v>
      </c>
      <c r="J40" s="85">
        <v>2.8473804100248579E-4</v>
      </c>
      <c r="M40" s="115">
        <f t="shared" si="7"/>
        <v>89</v>
      </c>
      <c r="N40" s="143">
        <f t="shared" ca="1" si="31"/>
        <v>0.12493097532584847</v>
      </c>
      <c r="O40" s="143">
        <f t="shared" ca="1" si="45"/>
        <v>0.15836909046801093</v>
      </c>
      <c r="P40" s="143">
        <f t="shared" ca="1" si="45"/>
        <v>5.6185530412622753E-2</v>
      </c>
      <c r="Q40" s="143">
        <f t="shared" ca="1" si="45"/>
        <v>6.9970022306409224E-2</v>
      </c>
      <c r="R40" s="143">
        <f t="shared" ca="1" si="45"/>
        <v>0.23226401040004047</v>
      </c>
      <c r="S40" s="143">
        <f t="shared" ca="1" si="45"/>
        <v>0.10050782363114222</v>
      </c>
      <c r="T40" s="143">
        <f t="shared" ca="1" si="45"/>
        <v>0.14916041874908276</v>
      </c>
      <c r="U40" s="143">
        <f t="shared" ca="1" si="45"/>
        <v>0.40299469606517557</v>
      </c>
      <c r="V40" s="143">
        <f t="shared" ca="1" si="45"/>
        <v>0.36808888920398786</v>
      </c>
      <c r="W40" s="143">
        <f t="shared" ca="1" si="45"/>
        <v>8.2999981676063483E-2</v>
      </c>
      <c r="X40" s="143">
        <f t="shared" ca="1" si="45"/>
        <v>0.17137503112370539</v>
      </c>
      <c r="Y40" s="143">
        <f t="shared" ca="1" si="45"/>
        <v>2.9368756559508241E-2</v>
      </c>
      <c r="Z40" s="143">
        <f t="shared" ca="1" si="45"/>
        <v>0.14560393282804729</v>
      </c>
      <c r="AA40" s="143">
        <f t="shared" ca="1" si="45"/>
        <v>0.11339521824005228</v>
      </c>
      <c r="AB40" s="143">
        <f t="shared" ca="1" si="45"/>
        <v>7.2008260038980004E-2</v>
      </c>
      <c r="AC40" s="143">
        <f t="shared" ca="1" si="45"/>
        <v>6.6225896238761767E-2</v>
      </c>
      <c r="AD40" s="143">
        <f t="shared" ca="1" si="45"/>
        <v>-0.39279081248925651</v>
      </c>
      <c r="AE40" s="143">
        <f t="shared" ca="1" si="45"/>
        <v>0.14847514029433379</v>
      </c>
      <c r="AF40" s="143">
        <f t="shared" ca="1" si="45"/>
        <v>0.14578995116007609</v>
      </c>
      <c r="AG40" s="143">
        <f t="shared" ca="1" si="45"/>
        <v>-0.14332402323401991</v>
      </c>
      <c r="AH40" s="143">
        <f t="shared" ca="1" si="45"/>
        <v>-0.21902576676215021</v>
      </c>
      <c r="AI40" s="143">
        <f t="shared" ca="1" si="45"/>
        <v>0.29182905811210785</v>
      </c>
      <c r="AJ40" s="143">
        <f t="shared" ca="1" si="45"/>
        <v>0.34217917867080405</v>
      </c>
      <c r="AK40" s="143">
        <f t="shared" ca="1" si="45"/>
        <v>0.37492059292265589</v>
      </c>
      <c r="AL40" s="143">
        <f t="shared" ca="1" si="45"/>
        <v>-6.7517772435081891E-2</v>
      </c>
      <c r="AM40" s="143">
        <f t="shared" ca="1" si="45"/>
        <v>-0.15165865012975341</v>
      </c>
      <c r="AN40" s="143">
        <f t="shared" ca="1" si="45"/>
        <v>1.6610684447484855E-2</v>
      </c>
      <c r="AO40" s="143">
        <f t="shared" ca="1" si="45"/>
        <v>-7.9528823423239775E-2</v>
      </c>
      <c r="AP40" s="143">
        <f t="shared" ca="1" si="45"/>
        <v>0.11179318915583876</v>
      </c>
      <c r="AQ40" s="143">
        <f t="shared" ca="1" si="45"/>
        <v>0.4572894626451075</v>
      </c>
      <c r="AR40" s="143">
        <f t="shared" ca="1" si="45"/>
        <v>0.17977317817063193</v>
      </c>
      <c r="AS40" s="143">
        <f t="shared" ca="1" si="45"/>
        <v>0.1925688185998824</v>
      </c>
      <c r="AT40" s="143">
        <f t="shared" ca="1" si="45"/>
        <v>-5.8232076708323088E-2</v>
      </c>
      <c r="AU40" s="143">
        <f t="shared" ca="1" si="45"/>
        <v>-2.6748740646385383E-2</v>
      </c>
      <c r="AV40" s="143">
        <f t="shared" ca="1" si="45"/>
        <v>-3.2390105222892818E-2</v>
      </c>
      <c r="AW40" s="143">
        <f t="shared" ca="1" si="45"/>
        <v>8.9317492689414399E-2</v>
      </c>
      <c r="AX40" s="143">
        <f t="shared" ca="1" si="45"/>
        <v>-0.25370822220969325</v>
      </c>
      <c r="AY40" s="143">
        <f t="shared" ca="1" si="45"/>
        <v>7.6374469884047447E-2</v>
      </c>
      <c r="AZ40" s="143">
        <f t="shared" ca="1" si="45"/>
        <v>8.5131779853427875E-2</v>
      </c>
      <c r="BA40" s="143">
        <f t="shared" ca="1" si="45"/>
        <v>0.14141783773369082</v>
      </c>
      <c r="BB40" s="143">
        <f t="shared" ca="1" si="45"/>
        <v>0.20048119710060608</v>
      </c>
      <c r="BC40" s="143">
        <f t="shared" ca="1" si="45"/>
        <v>0.28614662121217915</v>
      </c>
      <c r="BD40" s="143">
        <f t="shared" ca="1" si="45"/>
        <v>-0.17538869847835778</v>
      </c>
      <c r="BE40" s="143">
        <f t="shared" ca="1" si="45"/>
        <v>0.24738108269693279</v>
      </c>
      <c r="BF40" s="143">
        <f t="shared" ca="1" si="45"/>
        <v>0.54452973896857226</v>
      </c>
      <c r="BG40" s="143">
        <f t="shared" ca="1" si="45"/>
        <v>7.9218039458390371E-3</v>
      </c>
      <c r="BH40" s="143">
        <f t="shared" ca="1" si="45"/>
        <v>0.17954478248835848</v>
      </c>
      <c r="BI40" s="143">
        <f t="shared" ca="1" si="45"/>
        <v>-0.27796684199682054</v>
      </c>
      <c r="BJ40" s="143">
        <f t="shared" ca="1" si="45"/>
        <v>0.26102170435271221</v>
      </c>
      <c r="BK40" s="143">
        <f t="shared" ca="1" si="45"/>
        <v>-0.14939462059966188</v>
      </c>
      <c r="BL40" s="143">
        <f t="shared" ca="1" si="45"/>
        <v>-0.11090466583525604</v>
      </c>
      <c r="BM40" s="143">
        <f t="shared" ca="1" si="45"/>
        <v>8.4969388057654194E-2</v>
      </c>
      <c r="BN40" s="143">
        <f t="shared" ca="1" si="45"/>
        <v>0.33276786874908704</v>
      </c>
      <c r="BO40" s="143">
        <f t="shared" ca="1" si="45"/>
        <v>-9.476934561314615E-2</v>
      </c>
      <c r="BP40" s="143">
        <f t="shared" ca="1" si="45"/>
        <v>-4.0678052490446093E-2</v>
      </c>
      <c r="BQ40" s="143">
        <f t="shared" ca="1" si="45"/>
        <v>-7.3112009329927424E-3</v>
      </c>
      <c r="BR40" s="143">
        <f t="shared" ca="1" si="45"/>
        <v>5.5676258774097986E-2</v>
      </c>
      <c r="BS40" s="143">
        <f t="shared" ca="1" si="45"/>
        <v>2.6977972206969431E-2</v>
      </c>
      <c r="BT40" s="143">
        <f t="shared" ca="1" si="45"/>
        <v>-0.1610602993956767</v>
      </c>
      <c r="BU40" s="143">
        <f t="shared" ca="1" si="45"/>
        <v>0.17133038746316032</v>
      </c>
      <c r="BV40" s="143">
        <f t="shared" ca="1" si="45"/>
        <v>3.6127448525875239E-2</v>
      </c>
      <c r="BW40" s="143">
        <f t="shared" ca="1" si="45"/>
        <v>0.25522572467110588</v>
      </c>
      <c r="BX40" s="143">
        <f t="shared" ca="1" si="45"/>
        <v>8.9406150906963508E-2</v>
      </c>
      <c r="BY40" s="143">
        <f t="shared" ca="1" si="45"/>
        <v>0.26724878005232755</v>
      </c>
      <c r="BZ40" s="143">
        <f t="shared" ca="1" si="45"/>
        <v>-1.8269102117767624E-2</v>
      </c>
      <c r="CA40" s="143">
        <f t="shared" ca="1" si="43"/>
        <v>2.6048226617167006E-2</v>
      </c>
      <c r="CB40" s="143">
        <f t="shared" ca="1" si="43"/>
        <v>-0.15233280093018362</v>
      </c>
      <c r="CC40" s="143">
        <f t="shared" ca="1" si="43"/>
        <v>-5.5980427846481551E-2</v>
      </c>
      <c r="CD40" s="143">
        <f t="shared" ca="1" si="43"/>
        <v>0.22002956676007313</v>
      </c>
      <c r="CE40" s="143">
        <f t="shared" ca="1" si="43"/>
        <v>0.29608513068609854</v>
      </c>
      <c r="CF40" s="143">
        <f t="shared" ca="1" si="43"/>
        <v>0.11988082927481768</v>
      </c>
      <c r="CG40" s="143">
        <f t="shared" ca="1" si="43"/>
        <v>0.20101696668482988</v>
      </c>
      <c r="CH40" s="143">
        <f t="shared" ca="1" si="43"/>
        <v>1.4799299084534284E-2</v>
      </c>
      <c r="CI40" s="143">
        <f t="shared" ca="1" si="43"/>
        <v>0.35493549038166128</v>
      </c>
      <c r="CJ40" s="143">
        <f t="shared" ca="1" si="43"/>
        <v>-4.5636857271619896E-2</v>
      </c>
      <c r="CK40" s="143">
        <f t="shared" ca="1" si="43"/>
        <v>9.2694710600937882E-2</v>
      </c>
      <c r="CL40" s="143">
        <f t="shared" ca="1" si="43"/>
        <v>0.21943828651171315</v>
      </c>
      <c r="CM40" s="143">
        <f t="shared" ca="1" si="43"/>
        <v>0.16049915366448603</v>
      </c>
      <c r="CN40" s="143">
        <f t="shared" ca="1" si="43"/>
        <v>0.35891665377884241</v>
      </c>
      <c r="CO40" s="143">
        <f t="shared" ca="1" si="43"/>
        <v>0.16319537678581225</v>
      </c>
      <c r="CP40" s="143">
        <f t="shared" ca="1" si="43"/>
        <v>0.11596726286364795</v>
      </c>
      <c r="CQ40" s="143">
        <f t="shared" ca="1" si="43"/>
        <v>0.2526579979734942</v>
      </c>
      <c r="CR40" s="143">
        <f t="shared" ca="1" si="43"/>
        <v>-5.5159740216671332E-2</v>
      </c>
      <c r="CS40" s="143">
        <f t="shared" ca="1" si="43"/>
        <v>0.13020436890992323</v>
      </c>
      <c r="CT40" s="143">
        <f t="shared" ca="1" si="43"/>
        <v>0.26974713216282464</v>
      </c>
      <c r="CU40" s="143">
        <f t="shared" ca="1" si="43"/>
        <v>-0.14505608269771522</v>
      </c>
      <c r="CV40" s="143">
        <f t="shared" ca="1" si="43"/>
        <v>0.26203033269578296</v>
      </c>
      <c r="CW40" s="143">
        <f t="shared" ca="1" si="43"/>
        <v>0.18623896892912084</v>
      </c>
      <c r="CX40" s="143">
        <f t="shared" ca="1" si="43"/>
        <v>0.30875913970278879</v>
      </c>
      <c r="CY40" s="143">
        <f t="shared" ca="1" si="43"/>
        <v>-7.0241347983966806E-2</v>
      </c>
      <c r="CZ40" s="143">
        <f t="shared" ca="1" si="43"/>
        <v>-0.168332132156949</v>
      </c>
      <c r="DA40" s="143">
        <f t="shared" ca="1" si="43"/>
        <v>-8.1788883723102668E-2</v>
      </c>
      <c r="DB40" s="143">
        <f t="shared" ca="1" si="43"/>
        <v>0.1867283758777433</v>
      </c>
      <c r="DC40" s="143">
        <f t="shared" ca="1" si="43"/>
        <v>5.4357533025541353E-2</v>
      </c>
      <c r="DD40" s="143">
        <f t="shared" ca="1" si="43"/>
        <v>-3.4659657195271809E-2</v>
      </c>
      <c r="DE40" s="143">
        <f t="shared" ca="1" si="43"/>
        <v>-0.31323728114398131</v>
      </c>
      <c r="DF40" s="143">
        <f t="shared" ca="1" si="43"/>
        <v>0.20446691295226971</v>
      </c>
      <c r="DG40" s="143">
        <f t="shared" ca="1" si="43"/>
        <v>0.55003552640229136</v>
      </c>
      <c r="DH40" s="143">
        <f t="shared" ca="1" si="43"/>
        <v>0.30421928552507749</v>
      </c>
      <c r="DI40" s="143">
        <f t="shared" ca="1" si="43"/>
        <v>0.30636935713836988</v>
      </c>
      <c r="DK40" s="115">
        <f t="shared" si="8"/>
        <v>89</v>
      </c>
      <c r="DL40" s="143">
        <f t="shared" ca="1" si="33"/>
        <v>-3.1893420018415317E-3</v>
      </c>
      <c r="DM40" s="143">
        <f t="shared" ca="1" si="46"/>
        <v>0.11327681496321126</v>
      </c>
      <c r="DN40" s="143">
        <f t="shared" ca="1" si="46"/>
        <v>1.5711089151787413E-2</v>
      </c>
      <c r="DO40" s="143">
        <f t="shared" ca="1" si="46"/>
        <v>2.820719508271426E-2</v>
      </c>
      <c r="DP40" s="143">
        <f t="shared" ca="1" si="46"/>
        <v>-2.3301844116584987E-2</v>
      </c>
      <c r="DQ40" s="143">
        <f t="shared" ca="1" si="46"/>
        <v>9.6852944270463537E-2</v>
      </c>
      <c r="DR40" s="143">
        <f t="shared" ca="1" si="46"/>
        <v>2.5754690170213694E-2</v>
      </c>
      <c r="DS40" s="143">
        <f t="shared" ca="1" si="46"/>
        <v>0.20566404763710855</v>
      </c>
      <c r="DT40" s="143">
        <f t="shared" ca="1" si="46"/>
        <v>-1.0184914666628457E-2</v>
      </c>
      <c r="DU40" s="143">
        <f t="shared" ca="1" si="46"/>
        <v>0.16431310806405428</v>
      </c>
      <c r="DV40" s="143">
        <f t="shared" ca="1" si="46"/>
        <v>0.22364125580955951</v>
      </c>
      <c r="DW40" s="143">
        <f t="shared" ca="1" si="46"/>
        <v>2.2312738730453328E-2</v>
      </c>
      <c r="DX40" s="143">
        <f t="shared" ca="1" si="46"/>
        <v>0.16061135625069134</v>
      </c>
      <c r="DY40" s="143">
        <f t="shared" ca="1" si="46"/>
        <v>7.1053425307603862E-2</v>
      </c>
      <c r="DZ40" s="143">
        <f t="shared" ca="1" si="46"/>
        <v>-0.11313222946130433</v>
      </c>
      <c r="EA40" s="143">
        <f t="shared" ca="1" si="46"/>
        <v>-7.8292892573871287E-3</v>
      </c>
      <c r="EB40" s="143">
        <f t="shared" ca="1" si="46"/>
        <v>7.8721915915537233E-2</v>
      </c>
      <c r="EC40" s="143">
        <f t="shared" ca="1" si="46"/>
        <v>2.4836065908427137E-2</v>
      </c>
      <c r="ED40" s="143">
        <f t="shared" ca="1" si="46"/>
        <v>7.3562217489743981E-2</v>
      </c>
      <c r="EE40" s="143">
        <f t="shared" ca="1" si="46"/>
        <v>6.2047011594503258E-2</v>
      </c>
      <c r="EF40" s="143">
        <f t="shared" ca="1" si="46"/>
        <v>-5.4592898640593752E-2</v>
      </c>
      <c r="EG40" s="143">
        <f t="shared" ca="1" si="46"/>
        <v>2.0723808246542526E-2</v>
      </c>
      <c r="EH40" s="143">
        <f t="shared" ca="1" si="46"/>
        <v>7.7166497407654133E-2</v>
      </c>
      <c r="EI40" s="143">
        <f t="shared" ca="1" si="46"/>
        <v>2.8933278918264131E-2</v>
      </c>
      <c r="EJ40" s="143">
        <f t="shared" ca="1" si="46"/>
        <v>0.12826512561013942</v>
      </c>
      <c r="EK40" s="143">
        <f t="shared" ca="1" si="46"/>
        <v>0.14949699877885325</v>
      </c>
      <c r="EL40" s="143">
        <f t="shared" ca="1" si="46"/>
        <v>7.6015826672806763E-2</v>
      </c>
      <c r="EM40" s="143">
        <f t="shared" ca="1" si="46"/>
        <v>-8.7746233352827718E-2</v>
      </c>
      <c r="EN40" s="143">
        <f t="shared" ca="1" si="46"/>
        <v>9.9408853110708378E-2</v>
      </c>
      <c r="EO40" s="143">
        <f t="shared" ca="1" si="46"/>
        <v>0.10960623389324317</v>
      </c>
      <c r="EP40" s="143">
        <f t="shared" ca="1" si="46"/>
        <v>-1.0266648001812435E-2</v>
      </c>
      <c r="EQ40" s="143">
        <f t="shared" ca="1" si="46"/>
        <v>-8.9839063749233977E-2</v>
      </c>
      <c r="ER40" s="143">
        <f t="shared" ca="1" si="46"/>
        <v>5.4848053313501434E-2</v>
      </c>
      <c r="ES40" s="143">
        <f t="shared" ca="1" si="46"/>
        <v>4.6507549263349317E-2</v>
      </c>
      <c r="ET40" s="143">
        <f t="shared" ca="1" si="46"/>
        <v>-5.2582693510581369E-3</v>
      </c>
      <c r="EU40" s="143">
        <f t="shared" ca="1" si="46"/>
        <v>2.5016727694314431E-2</v>
      </c>
      <c r="EV40" s="143">
        <f t="shared" ca="1" si="46"/>
        <v>7.9828721293168717E-2</v>
      </c>
      <c r="EW40" s="143">
        <f t="shared" ca="1" si="46"/>
        <v>3.2117626628139856E-2</v>
      </c>
      <c r="EX40" s="143">
        <f t="shared" ca="1" si="46"/>
        <v>-1.3863323832555195E-2</v>
      </c>
      <c r="EY40" s="143">
        <f t="shared" ca="1" si="46"/>
        <v>7.5079732595630486E-2</v>
      </c>
      <c r="EZ40" s="143">
        <f t="shared" ca="1" si="46"/>
        <v>3.4079675048072786E-2</v>
      </c>
      <c r="FA40" s="143">
        <f t="shared" ca="1" si="46"/>
        <v>9.6760554231972704E-2</v>
      </c>
      <c r="FB40" s="143">
        <f t="shared" ca="1" si="46"/>
        <v>0.13876296383277356</v>
      </c>
      <c r="FC40" s="143">
        <f t="shared" ca="1" si="46"/>
        <v>0.12510290513028269</v>
      </c>
      <c r="FD40" s="143">
        <f t="shared" ca="1" si="46"/>
        <v>-5.2411553503114501E-2</v>
      </c>
      <c r="FE40" s="143">
        <f t="shared" ca="1" si="46"/>
        <v>0.10910822204782954</v>
      </c>
      <c r="FF40" s="143">
        <f t="shared" ca="1" si="46"/>
        <v>0.2315158474042151</v>
      </c>
      <c r="FG40" s="143">
        <f t="shared" ca="1" si="46"/>
        <v>0.20111479839155372</v>
      </c>
      <c r="FH40" s="143">
        <f t="shared" ca="1" si="46"/>
        <v>6.636388631940221E-2</v>
      </c>
      <c r="FI40" s="143">
        <f t="shared" ca="1" si="46"/>
        <v>5.8465553653228766E-2</v>
      </c>
      <c r="FJ40" s="143">
        <f t="shared" ca="1" si="46"/>
        <v>-2.049251605186491E-2</v>
      </c>
      <c r="FK40" s="143">
        <f t="shared" ca="1" si="46"/>
        <v>3.5836908966544255E-2</v>
      </c>
      <c r="FL40" s="143">
        <f t="shared" ca="1" si="46"/>
        <v>8.5652882295837035E-2</v>
      </c>
      <c r="FM40" s="143">
        <f t="shared" ca="1" si="46"/>
        <v>-4.3346011546795842E-2</v>
      </c>
      <c r="FN40" s="143">
        <f t="shared" ca="1" si="46"/>
        <v>0.11008710264406549</v>
      </c>
      <c r="FO40" s="143">
        <f t="shared" ca="1" si="46"/>
        <v>0.13782940448661454</v>
      </c>
      <c r="FP40" s="143">
        <f t="shared" ca="1" si="46"/>
        <v>6.6603745579967094E-2</v>
      </c>
      <c r="FQ40" s="143">
        <f t="shared" ca="1" si="46"/>
        <v>-6.3478549892493519E-2</v>
      </c>
      <c r="FR40" s="143">
        <f t="shared" ca="1" si="46"/>
        <v>-2.4593167255709265E-2</v>
      </c>
      <c r="FS40" s="143">
        <f t="shared" ca="1" si="46"/>
        <v>3.1179791141600362E-2</v>
      </c>
      <c r="FT40" s="143">
        <f t="shared" ca="1" si="46"/>
        <v>-2.6582600015569675E-2</v>
      </c>
      <c r="FU40" s="143">
        <f t="shared" ca="1" si="46"/>
        <v>-4.6650537755265391E-2</v>
      </c>
      <c r="FV40" s="143">
        <f t="shared" ca="1" si="46"/>
        <v>9.4172198957426095E-2</v>
      </c>
      <c r="FW40" s="143">
        <f t="shared" ca="1" si="46"/>
        <v>-2.7271334717669619E-2</v>
      </c>
      <c r="FX40" s="143">
        <f t="shared" ca="1" si="46"/>
        <v>-0.11914952209145907</v>
      </c>
      <c r="FY40" s="143">
        <f t="shared" ca="1" si="44"/>
        <v>1.8846664633836087E-2</v>
      </c>
      <c r="FZ40" s="143">
        <f t="shared" ca="1" si="44"/>
        <v>1.8304038376648967E-2</v>
      </c>
      <c r="GA40" s="143">
        <f t="shared" ca="1" si="44"/>
        <v>9.7625896733088871E-2</v>
      </c>
      <c r="GB40" s="143">
        <f t="shared" ca="1" si="44"/>
        <v>3.5885234575740665E-2</v>
      </c>
      <c r="GC40" s="143">
        <f t="shared" ca="1" si="44"/>
        <v>0.11268129985379574</v>
      </c>
      <c r="GD40" s="143">
        <f t="shared" ca="1" si="44"/>
        <v>4.6812243117667698E-2</v>
      </c>
      <c r="GE40" s="143">
        <f t="shared" ca="1" si="44"/>
        <v>1.0112806702762656E-2</v>
      </c>
      <c r="GF40" s="143">
        <f t="shared" ca="1" si="44"/>
        <v>-0.14502185139156437</v>
      </c>
      <c r="GG40" s="143">
        <f t="shared" ca="1" si="44"/>
        <v>-1.9134586068209204E-2</v>
      </c>
      <c r="GH40" s="143">
        <f t="shared" ca="1" si="44"/>
        <v>-2.2181112816260645E-3</v>
      </c>
      <c r="GI40" s="143">
        <f t="shared" ca="1" si="44"/>
        <v>6.3961361016643015E-2</v>
      </c>
      <c r="GJ40" s="143">
        <f t="shared" ca="1" si="44"/>
        <v>0.15814657895906242</v>
      </c>
      <c r="GK40" s="143">
        <f t="shared" ca="1" si="44"/>
        <v>7.4729745962946403E-2</v>
      </c>
      <c r="GL40" s="143">
        <f t="shared" ca="1" si="44"/>
        <v>0.10369244223760019</v>
      </c>
      <c r="GM40" s="143">
        <f t="shared" ca="1" si="44"/>
        <v>-3.4708449434849749E-2</v>
      </c>
      <c r="GN40" s="143">
        <f t="shared" ca="1" si="44"/>
        <v>7.8984627547592737E-2</v>
      </c>
      <c r="GO40" s="143">
        <f t="shared" ca="1" si="44"/>
        <v>4.328226328908142E-2</v>
      </c>
      <c r="GP40" s="143">
        <f t="shared" ca="1" si="44"/>
        <v>9.3646482742199152E-2</v>
      </c>
      <c r="GQ40" s="143">
        <f t="shared" ca="1" si="44"/>
        <v>6.6318576666884732E-2</v>
      </c>
      <c r="GR40" s="143">
        <f t="shared" ca="1" si="44"/>
        <v>7.1405425547875379E-2</v>
      </c>
      <c r="GS40" s="143">
        <f t="shared" ca="1" si="44"/>
        <v>0.11778241935759159</v>
      </c>
      <c r="GT40" s="143">
        <f t="shared" ca="1" si="44"/>
        <v>2.4302121386659378E-2</v>
      </c>
      <c r="GU40" s="143">
        <f t="shared" ca="1" si="44"/>
        <v>0.1055580449914629</v>
      </c>
      <c r="GV40" s="143">
        <f t="shared" ca="1" si="44"/>
        <v>8.1525516487775507E-2</v>
      </c>
      <c r="GW40" s="143">
        <f t="shared" ca="1" si="44"/>
        <v>0.17566908068679643</v>
      </c>
      <c r="GX40" s="143">
        <f t="shared" ca="1" si="44"/>
        <v>5.014912033088649E-2</v>
      </c>
      <c r="GY40" s="143">
        <f t="shared" ca="1" si="44"/>
        <v>0.22023276777459536</v>
      </c>
      <c r="GZ40" s="143">
        <f t="shared" ca="1" si="44"/>
        <v>4.8989360801700597E-2</v>
      </c>
      <c r="HA40" s="143">
        <f t="shared" ca="1" si="44"/>
        <v>-3.1874410446059778E-3</v>
      </c>
      <c r="HB40" s="143">
        <f t="shared" ca="1" si="44"/>
        <v>5.8121318120462645E-2</v>
      </c>
      <c r="HC40" s="143">
        <f t="shared" ca="1" si="44"/>
        <v>5.7836637718176362E-2</v>
      </c>
      <c r="HD40" s="143">
        <f t="shared" ca="1" si="44"/>
        <v>9.367087309178429E-3</v>
      </c>
      <c r="HE40" s="143">
        <f t="shared" ca="1" si="44"/>
        <v>-6.7977636625256299E-3</v>
      </c>
      <c r="HF40" s="143">
        <f t="shared" ca="1" si="44"/>
        <v>3.5910192146507515E-2</v>
      </c>
      <c r="HG40" s="143">
        <f t="shared" ca="1" si="44"/>
        <v>1.1922913004169276E-2</v>
      </c>
    </row>
    <row r="41" spans="1:215">
      <c r="A41" s="90">
        <v>1967</v>
      </c>
      <c r="B41" s="84">
        <v>0.23802966513133328</v>
      </c>
      <c r="C41" s="85">
        <v>1.1679000000000002</v>
      </c>
      <c r="D41" s="83">
        <f t="shared" si="4"/>
        <v>0.42400373210506659</v>
      </c>
      <c r="E41" s="85"/>
      <c r="F41" s="85"/>
      <c r="G41" s="85">
        <v>4.2934538152610439E-2</v>
      </c>
      <c r="H41" s="85">
        <v>-1.5806209932824666E-2</v>
      </c>
      <c r="I41" s="85">
        <v>8.9522661484468247E-3</v>
      </c>
      <c r="J41" s="85">
        <v>-5.1238257899230977E-3</v>
      </c>
      <c r="M41" s="115">
        <f t="shared" si="7"/>
        <v>90</v>
      </c>
      <c r="N41" s="143">
        <f t="shared" ca="1" si="31"/>
        <v>-0.21095715525104605</v>
      </c>
      <c r="O41" s="143">
        <f t="shared" ca="1" si="45"/>
        <v>5.1414025787594679E-2</v>
      </c>
      <c r="P41" s="143">
        <f t="shared" ca="1" si="45"/>
        <v>0.24418876594171246</v>
      </c>
      <c r="Q41" s="143">
        <f t="shared" ca="1" si="45"/>
        <v>0.13868726269718723</v>
      </c>
      <c r="R41" s="143">
        <f t="shared" ca="1" si="45"/>
        <v>0.10225705093807626</v>
      </c>
      <c r="S41" s="143">
        <f t="shared" ca="1" si="45"/>
        <v>0.20388698440718472</v>
      </c>
      <c r="T41" s="143">
        <f t="shared" ca="1" si="45"/>
        <v>0.32539457640447422</v>
      </c>
      <c r="U41" s="143">
        <f t="shared" ca="1" si="45"/>
        <v>0.13951178662725258</v>
      </c>
      <c r="V41" s="143">
        <f t="shared" ca="1" si="45"/>
        <v>0.22850246440351835</v>
      </c>
      <c r="W41" s="143">
        <f t="shared" ca="1" si="45"/>
        <v>0.11711598499817298</v>
      </c>
      <c r="X41" s="143">
        <f t="shared" ca="1" si="45"/>
        <v>5.6997700646040983E-2</v>
      </c>
      <c r="Y41" s="143">
        <f t="shared" ca="1" si="45"/>
        <v>0.26644922984178343</v>
      </c>
      <c r="Z41" s="143">
        <f t="shared" ca="1" si="45"/>
        <v>-4.0366497799236234E-2</v>
      </c>
      <c r="AA41" s="143">
        <f t="shared" ca="1" si="45"/>
        <v>0.31136501447135712</v>
      </c>
      <c r="AB41" s="143">
        <f t="shared" ca="1" si="45"/>
        <v>0.33960669691693451</v>
      </c>
      <c r="AC41" s="143">
        <f t="shared" ca="1" si="45"/>
        <v>0.11616835512004289</v>
      </c>
      <c r="AD41" s="143">
        <f t="shared" ca="1" si="45"/>
        <v>0.22333165247451728</v>
      </c>
      <c r="AE41" s="143">
        <f t="shared" ca="1" si="45"/>
        <v>-1.0035710408813264E-2</v>
      </c>
      <c r="AF41" s="143">
        <f t="shared" ca="1" si="45"/>
        <v>7.6280949726049069E-2</v>
      </c>
      <c r="AG41" s="143">
        <f t="shared" ca="1" si="45"/>
        <v>0.19465777183626681</v>
      </c>
      <c r="AH41" s="143">
        <f t="shared" ca="1" si="45"/>
        <v>0.13720626254178725</v>
      </c>
      <c r="AI41" s="143">
        <f t="shared" ca="1" si="45"/>
        <v>2.2204218780221219E-2</v>
      </c>
      <c r="AJ41" s="143">
        <f t="shared" ca="1" si="45"/>
        <v>-0.16593199290102975</v>
      </c>
      <c r="AK41" s="143">
        <f t="shared" ca="1" si="45"/>
        <v>-8.7483788956915276E-2</v>
      </c>
      <c r="AL41" s="143">
        <f t="shared" ca="1" si="45"/>
        <v>9.7219673246621396E-2</v>
      </c>
      <c r="AM41" s="143">
        <f t="shared" ca="1" si="45"/>
        <v>0.57103310688418329</v>
      </c>
      <c r="AN41" s="143">
        <f t="shared" ca="1" si="45"/>
        <v>0.23907442317317598</v>
      </c>
      <c r="AO41" s="143">
        <f t="shared" ca="1" si="45"/>
        <v>0.23084192783012697</v>
      </c>
      <c r="AP41" s="143">
        <f t="shared" ca="1" si="45"/>
        <v>0.14038717773539147</v>
      </c>
      <c r="AQ41" s="143">
        <f t="shared" ca="1" si="45"/>
        <v>-8.8910922434014827E-3</v>
      </c>
      <c r="AR41" s="143">
        <f t="shared" ca="1" si="45"/>
        <v>-4.4963590763818451E-2</v>
      </c>
      <c r="AS41" s="143">
        <f t="shared" ca="1" si="45"/>
        <v>0.45857258923456501</v>
      </c>
      <c r="AT41" s="143">
        <f t="shared" ca="1" si="45"/>
        <v>0.2361470554474821</v>
      </c>
      <c r="AU41" s="143">
        <f t="shared" ca="1" si="45"/>
        <v>7.9665790609689022E-2</v>
      </c>
      <c r="AV41" s="143">
        <f t="shared" ca="1" si="45"/>
        <v>0.31986438626382213</v>
      </c>
      <c r="AW41" s="143">
        <f t="shared" ca="1" si="45"/>
        <v>0.10147384011922282</v>
      </c>
      <c r="AX41" s="143">
        <f t="shared" ca="1" si="45"/>
        <v>0.13346793420290731</v>
      </c>
      <c r="AY41" s="143">
        <f t="shared" ca="1" si="45"/>
        <v>0.41263827208634007</v>
      </c>
      <c r="AZ41" s="143">
        <f t="shared" ca="1" si="45"/>
        <v>0.1871461965556605</v>
      </c>
      <c r="BA41" s="143">
        <f t="shared" ca="1" si="45"/>
        <v>-0.17141146169016361</v>
      </c>
      <c r="BB41" s="143">
        <f t="shared" ca="1" si="45"/>
        <v>9.9295687421645171E-2</v>
      </c>
      <c r="BC41" s="143">
        <f t="shared" ca="1" si="45"/>
        <v>0.22834110563763474</v>
      </c>
      <c r="BD41" s="143">
        <f t="shared" ca="1" si="45"/>
        <v>6.021244210781676E-2</v>
      </c>
      <c r="BE41" s="143">
        <f t="shared" ca="1" si="45"/>
        <v>0.27995195663872274</v>
      </c>
      <c r="BF41" s="143">
        <f t="shared" ca="1" si="45"/>
        <v>9.8721462448394526E-3</v>
      </c>
      <c r="BG41" s="143">
        <f t="shared" ca="1" si="45"/>
        <v>-2.1017252001783865E-3</v>
      </c>
      <c r="BH41" s="143">
        <f t="shared" ca="1" si="45"/>
        <v>-8.0182520325873669E-3</v>
      </c>
      <c r="BI41" s="143">
        <f t="shared" ca="1" si="45"/>
        <v>-6.9486867836054428E-2</v>
      </c>
      <c r="BJ41" s="143">
        <f t="shared" ca="1" si="45"/>
        <v>-4.4823654769959059E-2</v>
      </c>
      <c r="BK41" s="143">
        <f t="shared" ca="1" si="45"/>
        <v>0.17202634256369043</v>
      </c>
      <c r="BL41" s="143">
        <f t="shared" ca="1" si="45"/>
        <v>-0.30167744319996204</v>
      </c>
      <c r="BM41" s="143">
        <f t="shared" ca="1" si="45"/>
        <v>0.24534594805704771</v>
      </c>
      <c r="BN41" s="143">
        <f t="shared" ca="1" si="45"/>
        <v>0.39088329878654138</v>
      </c>
      <c r="BO41" s="143">
        <f t="shared" ca="1" si="45"/>
        <v>0.21130436028268024</v>
      </c>
      <c r="BP41" s="143">
        <f t="shared" ca="1" si="45"/>
        <v>1.2368628722062569E-3</v>
      </c>
      <c r="BQ41" s="143">
        <f t="shared" ca="1" si="45"/>
        <v>6.8920126504945042E-2</v>
      </c>
      <c r="BR41" s="143">
        <f t="shared" ca="1" si="45"/>
        <v>0.20436037618366895</v>
      </c>
      <c r="BS41" s="143">
        <f t="shared" ca="1" si="45"/>
        <v>-0.11935124177068326</v>
      </c>
      <c r="BT41" s="143">
        <f t="shared" ca="1" si="45"/>
        <v>0.11092918634981436</v>
      </c>
      <c r="BU41" s="143">
        <f t="shared" ca="1" si="45"/>
        <v>0.16615799842821299</v>
      </c>
      <c r="BV41" s="143">
        <f t="shared" ca="1" si="45"/>
        <v>-5.7977607546792848E-2</v>
      </c>
      <c r="BW41" s="143">
        <f t="shared" ca="1" si="45"/>
        <v>8.0169707561231554E-2</v>
      </c>
      <c r="BX41" s="143">
        <f t="shared" ca="1" si="45"/>
        <v>0.15020938586957996</v>
      </c>
      <c r="BY41" s="143">
        <f t="shared" ca="1" si="45"/>
        <v>0.28591984181876717</v>
      </c>
      <c r="BZ41" s="143">
        <f t="shared" ref="BZ41:DI45" ca="1" si="47">_xlfn.NORM.INV(RAND(),$B$112,$B$113)</f>
        <v>0.1590129359037373</v>
      </c>
      <c r="CA41" s="143">
        <f t="shared" ca="1" si="47"/>
        <v>6.6072535437488727E-2</v>
      </c>
      <c r="CB41" s="143">
        <f t="shared" ca="1" si="47"/>
        <v>0.14864721793040592</v>
      </c>
      <c r="CC41" s="143">
        <f t="shared" ca="1" si="47"/>
        <v>-5.6717201490375457E-2</v>
      </c>
      <c r="CD41" s="143">
        <f t="shared" ca="1" si="47"/>
        <v>-0.26566758919783895</v>
      </c>
      <c r="CE41" s="143">
        <f t="shared" ca="1" si="47"/>
        <v>0.20686081878070134</v>
      </c>
      <c r="CF41" s="143">
        <f t="shared" ca="1" si="47"/>
        <v>0.35450158969404422</v>
      </c>
      <c r="CG41" s="143">
        <f t="shared" ca="1" si="47"/>
        <v>0.11548838964017077</v>
      </c>
      <c r="CH41" s="143">
        <f t="shared" ca="1" si="47"/>
        <v>-7.4222846340806448E-2</v>
      </c>
      <c r="CI41" s="143">
        <f t="shared" ca="1" si="47"/>
        <v>6.6925321189822112E-2</v>
      </c>
      <c r="CJ41" s="143">
        <f t="shared" ca="1" si="47"/>
        <v>7.216056524549036E-2</v>
      </c>
      <c r="CK41" s="143">
        <f t="shared" ca="1" si="47"/>
        <v>0.21509029969219973</v>
      </c>
      <c r="CL41" s="143">
        <f t="shared" ca="1" si="47"/>
        <v>0.28364475428241526</v>
      </c>
      <c r="CM41" s="143">
        <f t="shared" ca="1" si="47"/>
        <v>-2.1753940412601688E-2</v>
      </c>
      <c r="CN41" s="143">
        <f t="shared" ca="1" si="47"/>
        <v>0.36234521647016382</v>
      </c>
      <c r="CO41" s="143">
        <f t="shared" ca="1" si="47"/>
        <v>6.2356302213483344E-3</v>
      </c>
      <c r="CP41" s="143">
        <f t="shared" ca="1" si="47"/>
        <v>1.382300609223075E-2</v>
      </c>
      <c r="CQ41" s="143">
        <f t="shared" ca="1" si="47"/>
        <v>2.0489828636894233E-2</v>
      </c>
      <c r="CR41" s="143">
        <f t="shared" ca="1" si="47"/>
        <v>-5.4430375090873312E-2</v>
      </c>
      <c r="CS41" s="143">
        <f t="shared" ca="1" si="47"/>
        <v>0.13384736725835467</v>
      </c>
      <c r="CT41" s="143">
        <f t="shared" ca="1" si="47"/>
        <v>-0.46457260842952042</v>
      </c>
      <c r="CU41" s="143">
        <f t="shared" ca="1" si="47"/>
        <v>0.17731113073594895</v>
      </c>
      <c r="CV41" s="143">
        <f t="shared" ca="1" si="47"/>
        <v>-0.18869084306337339</v>
      </c>
      <c r="CW41" s="143">
        <f t="shared" ca="1" si="47"/>
        <v>5.7008571097597056E-2</v>
      </c>
      <c r="CX41" s="143">
        <f t="shared" ca="1" si="47"/>
        <v>6.1646734515694711E-2</v>
      </c>
      <c r="CY41" s="143">
        <f t="shared" ca="1" si="47"/>
        <v>-8.4529606220116821E-2</v>
      </c>
      <c r="CZ41" s="143">
        <f t="shared" ca="1" si="47"/>
        <v>0.34203449348301174</v>
      </c>
      <c r="DA41" s="143">
        <f t="shared" ca="1" si="47"/>
        <v>0.14700660989463185</v>
      </c>
      <c r="DB41" s="143">
        <f t="shared" ca="1" si="47"/>
        <v>3.2698950571850627E-2</v>
      </c>
      <c r="DC41" s="143">
        <f t="shared" ca="1" si="47"/>
        <v>-3.9463109171680388E-2</v>
      </c>
      <c r="DD41" s="143">
        <f t="shared" ca="1" si="47"/>
        <v>0.34312849150094321</v>
      </c>
      <c r="DE41" s="143">
        <f t="shared" ca="1" si="47"/>
        <v>-0.3562946289160277</v>
      </c>
      <c r="DF41" s="143">
        <f t="shared" ca="1" si="47"/>
        <v>0.1862059321642649</v>
      </c>
      <c r="DG41" s="143">
        <f t="shared" ca="1" si="47"/>
        <v>0.16748358230454644</v>
      </c>
      <c r="DH41" s="143">
        <f t="shared" ca="1" si="47"/>
        <v>-2.364219080733776E-2</v>
      </c>
      <c r="DI41" s="143">
        <f t="shared" ca="1" si="47"/>
        <v>-4.0374676659797326E-3</v>
      </c>
      <c r="DK41" s="115">
        <f t="shared" si="8"/>
        <v>90</v>
      </c>
      <c r="DL41" s="143">
        <f t="shared" ca="1" si="33"/>
        <v>3.8434217052795171E-2</v>
      </c>
      <c r="DM41" s="143">
        <f t="shared" ca="1" si="46"/>
        <v>-1.5005553665752014E-4</v>
      </c>
      <c r="DN41" s="143">
        <f t="shared" ca="1" si="46"/>
        <v>3.9203397757681585E-2</v>
      </c>
      <c r="DO41" s="143">
        <f t="shared" ca="1" si="46"/>
        <v>-1.3303431202593696E-5</v>
      </c>
      <c r="DP41" s="143">
        <f t="shared" ca="1" si="46"/>
        <v>0.12689522525598598</v>
      </c>
      <c r="DQ41" s="143">
        <f t="shared" ca="1" si="46"/>
        <v>5.0363520341320661E-2</v>
      </c>
      <c r="DR41" s="143">
        <f t="shared" ca="1" si="46"/>
        <v>2.4189986994191396E-2</v>
      </c>
      <c r="DS41" s="143">
        <f t="shared" ca="1" si="46"/>
        <v>0.1001645510562581</v>
      </c>
      <c r="DT41" s="143">
        <f t="shared" ca="1" si="46"/>
        <v>-5.834972415321852E-2</v>
      </c>
      <c r="DU41" s="143">
        <f t="shared" ca="1" si="46"/>
        <v>-6.9769936319452719E-2</v>
      </c>
      <c r="DV41" s="143">
        <f t="shared" ca="1" si="46"/>
        <v>-6.0561470182539871E-2</v>
      </c>
      <c r="DW41" s="143">
        <f t="shared" ca="1" si="46"/>
        <v>-0.18293565686793015</v>
      </c>
      <c r="DX41" s="143">
        <f t="shared" ca="1" si="46"/>
        <v>0.12511099827467628</v>
      </c>
      <c r="DY41" s="143">
        <f t="shared" ca="1" si="46"/>
        <v>-6.5059918732148031E-2</v>
      </c>
      <c r="DZ41" s="143">
        <f t="shared" ca="1" si="46"/>
        <v>9.8505159170788559E-2</v>
      </c>
      <c r="EA41" s="143">
        <f t="shared" ca="1" si="46"/>
        <v>-4.4555866759129571E-2</v>
      </c>
      <c r="EB41" s="143">
        <f t="shared" ca="1" si="46"/>
        <v>-0.10671283736027601</v>
      </c>
      <c r="EC41" s="143">
        <f t="shared" ca="1" si="46"/>
        <v>-4.0388855175904619E-2</v>
      </c>
      <c r="ED41" s="143">
        <f t="shared" ca="1" si="46"/>
        <v>8.230529937781611E-2</v>
      </c>
      <c r="EE41" s="143">
        <f t="shared" ca="1" si="46"/>
        <v>0.12439264202727959</v>
      </c>
      <c r="EF41" s="143">
        <f t="shared" ca="1" si="46"/>
        <v>0.19085417958757056</v>
      </c>
      <c r="EG41" s="143">
        <f t="shared" ca="1" si="46"/>
        <v>9.4354988423995548E-2</v>
      </c>
      <c r="EH41" s="143">
        <f t="shared" ca="1" si="46"/>
        <v>0.11312202908564156</v>
      </c>
      <c r="EI41" s="143">
        <f t="shared" ca="1" si="46"/>
        <v>0.10825335351174237</v>
      </c>
      <c r="EJ41" s="143">
        <f t="shared" ca="1" si="46"/>
        <v>8.8889328685766766E-2</v>
      </c>
      <c r="EK41" s="143">
        <f t="shared" ca="1" si="46"/>
        <v>9.3355053628713935E-2</v>
      </c>
      <c r="EL41" s="143">
        <f t="shared" ca="1" si="46"/>
        <v>7.3582303599468893E-2</v>
      </c>
      <c r="EM41" s="143">
        <f t="shared" ca="1" si="46"/>
        <v>-6.8710256758429344E-2</v>
      </c>
      <c r="EN41" s="143">
        <f t="shared" ca="1" si="46"/>
        <v>6.3678205890474945E-2</v>
      </c>
      <c r="EO41" s="143">
        <f t="shared" ca="1" si="46"/>
        <v>-6.0177246803105044E-3</v>
      </c>
      <c r="EP41" s="143">
        <f t="shared" ca="1" si="46"/>
        <v>0.12280334234028442</v>
      </c>
      <c r="EQ41" s="143">
        <f t="shared" ca="1" si="46"/>
        <v>4.3171423245785566E-2</v>
      </c>
      <c r="ER41" s="143">
        <f t="shared" ca="1" si="46"/>
        <v>-6.4743538980539583E-2</v>
      </c>
      <c r="ES41" s="143">
        <f t="shared" ca="1" si="46"/>
        <v>0.13903985150115428</v>
      </c>
      <c r="ET41" s="143">
        <f t="shared" ca="1" si="46"/>
        <v>5.9311735319867512E-3</v>
      </c>
      <c r="EU41" s="143">
        <f t="shared" ca="1" si="46"/>
        <v>0.13319664852919361</v>
      </c>
      <c r="EV41" s="143">
        <f t="shared" ca="1" si="46"/>
        <v>-2.6132171046411183E-2</v>
      </c>
      <c r="EW41" s="143">
        <f t="shared" ca="1" si="46"/>
        <v>8.6452706889785069E-2</v>
      </c>
      <c r="EX41" s="143">
        <f t="shared" ca="1" si="46"/>
        <v>2.7528507953652775E-2</v>
      </c>
      <c r="EY41" s="143">
        <f t="shared" ca="1" si="46"/>
        <v>0.11356163009590228</v>
      </c>
      <c r="EZ41" s="143">
        <f t="shared" ca="1" si="46"/>
        <v>9.5768335880746208E-2</v>
      </c>
      <c r="FA41" s="143">
        <f t="shared" ca="1" si="46"/>
        <v>5.0568290328703025E-2</v>
      </c>
      <c r="FB41" s="143">
        <f t="shared" ca="1" si="46"/>
        <v>5.4580934755509652E-2</v>
      </c>
      <c r="FC41" s="143">
        <f t="shared" ca="1" si="46"/>
        <v>1.2445503663725918E-2</v>
      </c>
      <c r="FD41" s="143">
        <f t="shared" ca="1" si="46"/>
        <v>0.1463060504977772</v>
      </c>
      <c r="FE41" s="143">
        <f t="shared" ca="1" si="46"/>
        <v>0.14365858209970864</v>
      </c>
      <c r="FF41" s="143">
        <f t="shared" ca="1" si="46"/>
        <v>4.067826363886317E-2</v>
      </c>
      <c r="FG41" s="143">
        <f t="shared" ca="1" si="46"/>
        <v>-3.0566873587259714E-2</v>
      </c>
      <c r="FH41" s="143">
        <f t="shared" ca="1" si="46"/>
        <v>2.4422952214962046E-2</v>
      </c>
      <c r="FI41" s="143">
        <f t="shared" ca="1" si="46"/>
        <v>7.8710515918546053E-2</v>
      </c>
      <c r="FJ41" s="143">
        <f t="shared" ca="1" si="46"/>
        <v>-5.9141736970289502E-3</v>
      </c>
      <c r="FK41" s="143">
        <f t="shared" ca="1" si="46"/>
        <v>6.5434571250142848E-2</v>
      </c>
      <c r="FL41" s="143">
        <f t="shared" ca="1" si="46"/>
        <v>-2.9776345140761377E-2</v>
      </c>
      <c r="FM41" s="143">
        <f t="shared" ca="1" si="46"/>
        <v>0.14961851460694359</v>
      </c>
      <c r="FN41" s="143">
        <f t="shared" ca="1" si="46"/>
        <v>8.6188218129179817E-2</v>
      </c>
      <c r="FO41" s="143">
        <f t="shared" ca="1" si="46"/>
        <v>8.9473070801405402E-2</v>
      </c>
      <c r="FP41" s="143">
        <f t="shared" ca="1" si="46"/>
        <v>3.4183619774260827E-2</v>
      </c>
      <c r="FQ41" s="143">
        <f t="shared" ca="1" si="46"/>
        <v>0.13274776397797763</v>
      </c>
      <c r="FR41" s="143">
        <f t="shared" ca="1" si="46"/>
        <v>-4.0085060685959288E-2</v>
      </c>
      <c r="FS41" s="143">
        <f t="shared" ca="1" si="46"/>
        <v>1.9206958359372132E-2</v>
      </c>
      <c r="FT41" s="143">
        <f t="shared" ca="1" si="46"/>
        <v>8.3562551661377577E-2</v>
      </c>
      <c r="FU41" s="143">
        <f t="shared" ca="1" si="46"/>
        <v>-8.4590079077521529E-2</v>
      </c>
      <c r="FV41" s="143">
        <f t="shared" ca="1" si="46"/>
        <v>7.0309619470406953E-2</v>
      </c>
      <c r="FW41" s="143">
        <f t="shared" ca="1" si="46"/>
        <v>3.0307186406212668E-2</v>
      </c>
      <c r="FX41" s="143">
        <f t="shared" ref="FX41:HG45" ca="1" si="48">_xlfn.NORM.INV(RAND(),$B$116,$B$117)</f>
        <v>4.3064750624031832E-2</v>
      </c>
      <c r="FY41" s="143">
        <f t="shared" ca="1" si="48"/>
        <v>4.4376851992948781E-2</v>
      </c>
      <c r="FZ41" s="143">
        <f t="shared" ca="1" si="48"/>
        <v>5.5520138675312171E-2</v>
      </c>
      <c r="GA41" s="143">
        <f t="shared" ca="1" si="48"/>
        <v>-2.8094125764752516E-2</v>
      </c>
      <c r="GB41" s="143">
        <f t="shared" ca="1" si="48"/>
        <v>-2.4041423336871752E-2</v>
      </c>
      <c r="GC41" s="143">
        <f t="shared" ca="1" si="48"/>
        <v>-1.4355558368341174E-2</v>
      </c>
      <c r="GD41" s="143">
        <f t="shared" ca="1" si="48"/>
        <v>-6.0502576152818489E-2</v>
      </c>
      <c r="GE41" s="143">
        <f t="shared" ca="1" si="48"/>
        <v>-9.428450000137073E-2</v>
      </c>
      <c r="GF41" s="143">
        <f t="shared" ca="1" si="48"/>
        <v>-4.4898083002296453E-2</v>
      </c>
      <c r="GG41" s="143">
        <f t="shared" ca="1" si="48"/>
        <v>0.14806598897749906</v>
      </c>
      <c r="GH41" s="143">
        <f t="shared" ca="1" si="48"/>
        <v>7.0480989699423374E-2</v>
      </c>
      <c r="GI41" s="143">
        <f t="shared" ca="1" si="48"/>
        <v>6.8828898370698735E-2</v>
      </c>
      <c r="GJ41" s="143">
        <f t="shared" ca="1" si="48"/>
        <v>-3.0608297389739615E-2</v>
      </c>
      <c r="GK41" s="143">
        <f t="shared" ca="1" si="48"/>
        <v>0.11756014641381518</v>
      </c>
      <c r="GL41" s="143">
        <f t="shared" ca="1" si="48"/>
        <v>4.4697570059976641E-2</v>
      </c>
      <c r="GM41" s="143">
        <f t="shared" ca="1" si="48"/>
        <v>7.3841092854251444E-2</v>
      </c>
      <c r="GN41" s="143">
        <f t="shared" ca="1" si="48"/>
        <v>3.8758170369367073E-2</v>
      </c>
      <c r="GO41" s="143">
        <f t="shared" ca="1" si="48"/>
        <v>0.10495374648264173</v>
      </c>
      <c r="GP41" s="143">
        <f t="shared" ca="1" si="48"/>
        <v>-4.7585519692227747E-2</v>
      </c>
      <c r="GQ41" s="143">
        <f t="shared" ca="1" si="48"/>
        <v>6.971155431679929E-2</v>
      </c>
      <c r="GR41" s="143">
        <f t="shared" ca="1" si="48"/>
        <v>1.0712499741090328E-3</v>
      </c>
      <c r="GS41" s="143">
        <f t="shared" ca="1" si="48"/>
        <v>-1.7828428390288496E-2</v>
      </c>
      <c r="GT41" s="143">
        <f t="shared" ca="1" si="48"/>
        <v>-5.5428775954801092E-2</v>
      </c>
      <c r="GU41" s="143">
        <f t="shared" ca="1" si="48"/>
        <v>-0.1243483753953008</v>
      </c>
      <c r="GV41" s="143">
        <f t="shared" ca="1" si="48"/>
        <v>3.7017403665994125E-2</v>
      </c>
      <c r="GW41" s="143">
        <f t="shared" ca="1" si="48"/>
        <v>-1.7766607786257958E-2</v>
      </c>
      <c r="GX41" s="143">
        <f t="shared" ca="1" si="48"/>
        <v>3.3909232366796861E-2</v>
      </c>
      <c r="GY41" s="143">
        <f t="shared" ca="1" si="48"/>
        <v>-2.0761848404648738E-2</v>
      </c>
      <c r="GZ41" s="143">
        <f t="shared" ca="1" si="48"/>
        <v>0.22193210525796045</v>
      </c>
      <c r="HA41" s="143">
        <f t="shared" ca="1" si="48"/>
        <v>0.13958616962532014</v>
      </c>
      <c r="HB41" s="143">
        <f t="shared" ca="1" si="48"/>
        <v>-1.8303575608037102E-2</v>
      </c>
      <c r="HC41" s="143">
        <f t="shared" ca="1" si="48"/>
        <v>-5.1515667040993494E-2</v>
      </c>
      <c r="HD41" s="143">
        <f t="shared" ca="1" si="48"/>
        <v>0.22852931407174373</v>
      </c>
      <c r="HE41" s="143">
        <f t="shared" ca="1" si="48"/>
        <v>7.4514632517059531E-3</v>
      </c>
      <c r="HF41" s="143">
        <f t="shared" ca="1" si="48"/>
        <v>-3.5466031550487699E-2</v>
      </c>
      <c r="HG41" s="143">
        <f t="shared" ca="1" si="48"/>
        <v>-1.7487082399674482E-2</v>
      </c>
    </row>
    <row r="42" spans="1:215">
      <c r="A42" s="90">
        <v>1968</v>
      </c>
      <c r="B42" s="84">
        <v>0.10814862651601535</v>
      </c>
      <c r="C42" s="85">
        <v>0.60699999999999998</v>
      </c>
      <c r="D42" s="83">
        <f t="shared" si="4"/>
        <v>0.20791890121281226</v>
      </c>
      <c r="E42" s="85"/>
      <c r="F42" s="85"/>
      <c r="G42" s="85">
        <v>5.3376E-2</v>
      </c>
      <c r="H42" s="85">
        <v>3.2746196950768365E-2</v>
      </c>
      <c r="I42" s="85">
        <v>4.845146224309746E-2</v>
      </c>
      <c r="J42" s="85">
        <v>0.12474964234620889</v>
      </c>
      <c r="M42" s="115">
        <f t="shared" si="7"/>
        <v>91</v>
      </c>
      <c r="N42" s="143">
        <f t="shared" ref="N42:AC51" ca="1" si="49">_xlfn.NORM.INV(RAND(),$B$112,$B$113)</f>
        <v>5.7432208025714811E-2</v>
      </c>
      <c r="O42" s="143">
        <f t="shared" ca="1" si="49"/>
        <v>-8.4712343836373438E-2</v>
      </c>
      <c r="P42" s="143">
        <f t="shared" ca="1" si="49"/>
        <v>0.21929133263397269</v>
      </c>
      <c r="Q42" s="143">
        <f t="shared" ca="1" si="49"/>
        <v>-0.10739369584617048</v>
      </c>
      <c r="R42" s="143">
        <f t="shared" ca="1" si="49"/>
        <v>-0.31838857641652996</v>
      </c>
      <c r="S42" s="143">
        <f t="shared" ca="1" si="49"/>
        <v>-0.14468618464926181</v>
      </c>
      <c r="T42" s="143">
        <f t="shared" ca="1" si="49"/>
        <v>0.24359836830850731</v>
      </c>
      <c r="U42" s="143">
        <f t="shared" ca="1" si="49"/>
        <v>0.2706239489290862</v>
      </c>
      <c r="V42" s="143">
        <f t="shared" ca="1" si="49"/>
        <v>0.33905401062634322</v>
      </c>
      <c r="W42" s="143">
        <f t="shared" ca="1" si="49"/>
        <v>0.17377505128702392</v>
      </c>
      <c r="X42" s="143">
        <f t="shared" ca="1" si="49"/>
        <v>2.1228158268647823E-2</v>
      </c>
      <c r="Y42" s="143">
        <f t="shared" ca="1" si="49"/>
        <v>0.17785406314607521</v>
      </c>
      <c r="Z42" s="143">
        <f t="shared" ca="1" si="49"/>
        <v>0.31906336270764424</v>
      </c>
      <c r="AA42" s="143">
        <f t="shared" ca="1" si="49"/>
        <v>0.26299546704573645</v>
      </c>
      <c r="AB42" s="143">
        <f t="shared" ca="1" si="49"/>
        <v>0.26079513317542141</v>
      </c>
      <c r="AC42" s="143">
        <f t="shared" ca="1" si="49"/>
        <v>4.2197595458125278E-2</v>
      </c>
      <c r="AD42" s="143">
        <f t="shared" ref="AD42:CO45" ca="1" si="50">_xlfn.NORM.INV(RAND(),$B$112,$B$113)</f>
        <v>-7.7497978329467726E-2</v>
      </c>
      <c r="AE42" s="143">
        <f t="shared" ca="1" si="50"/>
        <v>0.22404625615280513</v>
      </c>
      <c r="AF42" s="143">
        <f t="shared" ca="1" si="50"/>
        <v>-0.11817313294666659</v>
      </c>
      <c r="AG42" s="143">
        <f t="shared" ca="1" si="50"/>
        <v>0.24287449223615284</v>
      </c>
      <c r="AH42" s="143">
        <f t="shared" ca="1" si="50"/>
        <v>0.35885951458043996</v>
      </c>
      <c r="AI42" s="143">
        <f t="shared" ca="1" si="50"/>
        <v>4.7980996657934323E-2</v>
      </c>
      <c r="AJ42" s="143">
        <f t="shared" ca="1" si="50"/>
        <v>-0.21816729688039435</v>
      </c>
      <c r="AK42" s="143">
        <f t="shared" ca="1" si="50"/>
        <v>-6.7053997074366101E-2</v>
      </c>
      <c r="AL42" s="143">
        <f t="shared" ca="1" si="50"/>
        <v>0.44448318005877907</v>
      </c>
      <c r="AM42" s="143">
        <f t="shared" ca="1" si="50"/>
        <v>0.26676858251341246</v>
      </c>
      <c r="AN42" s="143">
        <f t="shared" ca="1" si="50"/>
        <v>0.19377568258360756</v>
      </c>
      <c r="AO42" s="143">
        <f t="shared" ca="1" si="50"/>
        <v>0.24698167959721817</v>
      </c>
      <c r="AP42" s="143">
        <f t="shared" ca="1" si="50"/>
        <v>3.7818616177226927E-2</v>
      </c>
      <c r="AQ42" s="143">
        <f t="shared" ca="1" si="50"/>
        <v>0.39958484871339972</v>
      </c>
      <c r="AR42" s="143">
        <f t="shared" ca="1" si="50"/>
        <v>-0.24584590071257298</v>
      </c>
      <c r="AS42" s="143">
        <f t="shared" ca="1" si="50"/>
        <v>9.2582693317395715E-2</v>
      </c>
      <c r="AT42" s="143">
        <f t="shared" ca="1" si="50"/>
        <v>5.7818672574661945E-2</v>
      </c>
      <c r="AU42" s="143">
        <f t="shared" ca="1" si="50"/>
        <v>-6.4634223282348774E-2</v>
      </c>
      <c r="AV42" s="143">
        <f t="shared" ca="1" si="50"/>
        <v>0.38831334416224472</v>
      </c>
      <c r="AW42" s="143">
        <f t="shared" ca="1" si="50"/>
        <v>4.5589207775346793E-2</v>
      </c>
      <c r="AX42" s="143">
        <f t="shared" ca="1" si="50"/>
        <v>-8.2045729088054187E-2</v>
      </c>
      <c r="AY42" s="143">
        <f t="shared" ca="1" si="50"/>
        <v>0.47792987592050196</v>
      </c>
      <c r="AZ42" s="143">
        <f t="shared" ca="1" si="50"/>
        <v>-0.1421391024551405</v>
      </c>
      <c r="BA42" s="143">
        <f t="shared" ca="1" si="50"/>
        <v>1.9524475210400322E-2</v>
      </c>
      <c r="BB42" s="143">
        <f t="shared" ca="1" si="50"/>
        <v>0.16057439928305831</v>
      </c>
      <c r="BC42" s="143">
        <f t="shared" ca="1" si="50"/>
        <v>9.6577312441146257E-2</v>
      </c>
      <c r="BD42" s="143">
        <f t="shared" ca="1" si="50"/>
        <v>0.19083073180463467</v>
      </c>
      <c r="BE42" s="143">
        <f t="shared" ca="1" si="50"/>
        <v>0.19471315855801011</v>
      </c>
      <c r="BF42" s="143">
        <f t="shared" ca="1" si="50"/>
        <v>0.18908071938986051</v>
      </c>
      <c r="BG42" s="143">
        <f t="shared" ca="1" si="50"/>
        <v>0.13669110660795714</v>
      </c>
      <c r="BH42" s="143">
        <f t="shared" ca="1" si="50"/>
        <v>0.21272502340760463</v>
      </c>
      <c r="BI42" s="143">
        <f t="shared" ca="1" si="50"/>
        <v>-4.5081848077423714E-2</v>
      </c>
      <c r="BJ42" s="143">
        <f t="shared" ca="1" si="50"/>
        <v>-6.8181126045786439E-2</v>
      </c>
      <c r="BK42" s="143">
        <f t="shared" ca="1" si="50"/>
        <v>-0.11637656817202838</v>
      </c>
      <c r="BL42" s="143">
        <f t="shared" ca="1" si="50"/>
        <v>3.3438205379301714E-2</v>
      </c>
      <c r="BM42" s="143">
        <f t="shared" ca="1" si="50"/>
        <v>-0.20072923208114293</v>
      </c>
      <c r="BN42" s="143">
        <f t="shared" ca="1" si="50"/>
        <v>0.33067702246997444</v>
      </c>
      <c r="BO42" s="143">
        <f t="shared" ca="1" si="50"/>
        <v>0.17016707267770065</v>
      </c>
      <c r="BP42" s="143">
        <f t="shared" ca="1" si="50"/>
        <v>-8.8729486176647054E-2</v>
      </c>
      <c r="BQ42" s="143">
        <f t="shared" ca="1" si="50"/>
        <v>-1.3521572983191635E-2</v>
      </c>
      <c r="BR42" s="143">
        <f t="shared" ca="1" si="50"/>
        <v>-8.1416339062122783E-2</v>
      </c>
      <c r="BS42" s="143">
        <f t="shared" ca="1" si="50"/>
        <v>-9.7137644401809664E-2</v>
      </c>
      <c r="BT42" s="143">
        <f t="shared" ca="1" si="50"/>
        <v>-1.1714295396604554E-2</v>
      </c>
      <c r="BU42" s="143">
        <f t="shared" ca="1" si="50"/>
        <v>0.23473889096353462</v>
      </c>
      <c r="BV42" s="143">
        <f t="shared" ca="1" si="50"/>
        <v>0.27797945345093433</v>
      </c>
      <c r="BW42" s="143">
        <f t="shared" ca="1" si="50"/>
        <v>1.2426706443872379E-2</v>
      </c>
      <c r="BX42" s="143">
        <f t="shared" ca="1" si="50"/>
        <v>0.1490320873297741</v>
      </c>
      <c r="BY42" s="143">
        <f t="shared" ca="1" si="50"/>
        <v>-0.23102175180065379</v>
      </c>
      <c r="BZ42" s="143">
        <f t="shared" ca="1" si="50"/>
        <v>0.18319884094066813</v>
      </c>
      <c r="CA42" s="143">
        <f t="shared" ca="1" si="50"/>
        <v>-0.17170246991210317</v>
      </c>
      <c r="CB42" s="143">
        <f t="shared" ca="1" si="50"/>
        <v>0.14856955524956306</v>
      </c>
      <c r="CC42" s="143">
        <f t="shared" ca="1" si="50"/>
        <v>-0.18843549624013198</v>
      </c>
      <c r="CD42" s="143">
        <f t="shared" ca="1" si="50"/>
        <v>0.22840926381931975</v>
      </c>
      <c r="CE42" s="143">
        <f t="shared" ca="1" si="50"/>
        <v>0.31990176814602678</v>
      </c>
      <c r="CF42" s="143">
        <f t="shared" ca="1" si="50"/>
        <v>0.28270930709823533</v>
      </c>
      <c r="CG42" s="143">
        <f t="shared" ca="1" si="50"/>
        <v>0.23056093774861472</v>
      </c>
      <c r="CH42" s="143">
        <f t="shared" ca="1" si="50"/>
        <v>-3.1867885472635527E-2</v>
      </c>
      <c r="CI42" s="143">
        <f t="shared" ca="1" si="50"/>
        <v>0.35078390510824786</v>
      </c>
      <c r="CJ42" s="143">
        <f t="shared" ca="1" si="50"/>
        <v>0.24025202625512476</v>
      </c>
      <c r="CK42" s="143">
        <f t="shared" ca="1" si="50"/>
        <v>-0.12068233651344151</v>
      </c>
      <c r="CL42" s="143">
        <f t="shared" ca="1" si="50"/>
        <v>0.16885664511854159</v>
      </c>
      <c r="CM42" s="143">
        <f t="shared" ca="1" si="50"/>
        <v>3.0091066544800746E-2</v>
      </c>
      <c r="CN42" s="143">
        <f t="shared" ca="1" si="50"/>
        <v>0.12992959481742861</v>
      </c>
      <c r="CO42" s="143">
        <f t="shared" ca="1" si="50"/>
        <v>0.38553153198135592</v>
      </c>
      <c r="CP42" s="143">
        <f t="shared" ca="1" si="47"/>
        <v>-0.1628593306678062</v>
      </c>
      <c r="CQ42" s="143">
        <f t="shared" ca="1" si="47"/>
        <v>-0.12521497641434953</v>
      </c>
      <c r="CR42" s="143">
        <f t="shared" ca="1" si="47"/>
        <v>-0.22450566754395238</v>
      </c>
      <c r="CS42" s="143">
        <f t="shared" ca="1" si="47"/>
        <v>-0.1262994374834415</v>
      </c>
      <c r="CT42" s="143">
        <f t="shared" ca="1" si="47"/>
        <v>3.4433054477373826E-3</v>
      </c>
      <c r="CU42" s="143">
        <f t="shared" ca="1" si="47"/>
        <v>-5.7886861009546209E-2</v>
      </c>
      <c r="CV42" s="143">
        <f t="shared" ca="1" si="47"/>
        <v>0.12160549011722369</v>
      </c>
      <c r="CW42" s="143">
        <f t="shared" ca="1" si="47"/>
        <v>-3.6770784668391843E-2</v>
      </c>
      <c r="CX42" s="143">
        <f t="shared" ca="1" si="47"/>
        <v>0.33723899524146161</v>
      </c>
      <c r="CY42" s="143">
        <f t="shared" ca="1" si="47"/>
        <v>0.15565260148001162</v>
      </c>
      <c r="CZ42" s="143">
        <f t="shared" ca="1" si="47"/>
        <v>0.19463220696898231</v>
      </c>
      <c r="DA42" s="143">
        <f t="shared" ca="1" si="47"/>
        <v>9.495855971468975E-2</v>
      </c>
      <c r="DB42" s="143">
        <f t="shared" ca="1" si="47"/>
        <v>0.15431424864125806</v>
      </c>
      <c r="DC42" s="143">
        <f t="shared" ca="1" si="47"/>
        <v>0.63746987897767393</v>
      </c>
      <c r="DD42" s="143">
        <f t="shared" ca="1" si="47"/>
        <v>0.38302942936489259</v>
      </c>
      <c r="DE42" s="143">
        <f t="shared" ca="1" si="47"/>
        <v>9.0713420473420292E-3</v>
      </c>
      <c r="DF42" s="143">
        <f t="shared" ca="1" si="47"/>
        <v>0.13735269087828209</v>
      </c>
      <c r="DG42" s="143">
        <f t="shared" ca="1" si="47"/>
        <v>0.32319488878803004</v>
      </c>
      <c r="DH42" s="143">
        <f t="shared" ca="1" si="47"/>
        <v>4.2394167754011357E-2</v>
      </c>
      <c r="DI42" s="143">
        <f t="shared" ca="1" si="47"/>
        <v>-0.10694257238121682</v>
      </c>
      <c r="DK42" s="115">
        <f t="shared" si="8"/>
        <v>91</v>
      </c>
      <c r="DL42" s="143">
        <f t="shared" ref="DL42:EA51" ca="1" si="51">_xlfn.NORM.INV(RAND(),$B$116,$B$117)</f>
        <v>3.133088951829166E-2</v>
      </c>
      <c r="DM42" s="143">
        <f t="shared" ca="1" si="51"/>
        <v>8.1588699887700067E-2</v>
      </c>
      <c r="DN42" s="143">
        <f t="shared" ca="1" si="51"/>
        <v>0.13420058062075138</v>
      </c>
      <c r="DO42" s="143">
        <f t="shared" ca="1" si="51"/>
        <v>0.20509865559851684</v>
      </c>
      <c r="DP42" s="143">
        <f t="shared" ca="1" si="51"/>
        <v>4.5198862463762091E-2</v>
      </c>
      <c r="DQ42" s="143">
        <f t="shared" ca="1" si="51"/>
        <v>-3.1512911462568328E-2</v>
      </c>
      <c r="DR42" s="143">
        <f t="shared" ca="1" si="51"/>
        <v>-4.2278523862006999E-2</v>
      </c>
      <c r="DS42" s="143">
        <f t="shared" ca="1" si="51"/>
        <v>8.8230180843325637E-3</v>
      </c>
      <c r="DT42" s="143">
        <f t="shared" ca="1" si="51"/>
        <v>0.18721527641697766</v>
      </c>
      <c r="DU42" s="143">
        <f t="shared" ca="1" si="51"/>
        <v>8.2855384861802966E-2</v>
      </c>
      <c r="DV42" s="143">
        <f t="shared" ca="1" si="51"/>
        <v>-7.5904884436116288E-2</v>
      </c>
      <c r="DW42" s="143">
        <f t="shared" ca="1" si="51"/>
        <v>0.11196008725480802</v>
      </c>
      <c r="DX42" s="143">
        <f t="shared" ca="1" si="51"/>
        <v>-1.208814529521493E-2</v>
      </c>
      <c r="DY42" s="143">
        <f t="shared" ca="1" si="51"/>
        <v>4.9524749056303677E-2</v>
      </c>
      <c r="DZ42" s="143">
        <f t="shared" ca="1" si="51"/>
        <v>1.3628444835506265E-2</v>
      </c>
      <c r="EA42" s="143">
        <f t="shared" ca="1" si="51"/>
        <v>8.6274713654115182E-3</v>
      </c>
      <c r="EB42" s="143">
        <f t="shared" ref="EB42:GM45" ca="1" si="52">_xlfn.NORM.INV(RAND(),$B$116,$B$117)</f>
        <v>1.5364384420038291E-2</v>
      </c>
      <c r="EC42" s="143">
        <f t="shared" ca="1" si="52"/>
        <v>-4.0513752142229041E-2</v>
      </c>
      <c r="ED42" s="143">
        <f t="shared" ca="1" si="52"/>
        <v>2.5360650544110613E-2</v>
      </c>
      <c r="EE42" s="143">
        <f t="shared" ca="1" si="52"/>
        <v>-6.0776332702626563E-2</v>
      </c>
      <c r="EF42" s="143">
        <f t="shared" ca="1" si="52"/>
        <v>0.12011127502457786</v>
      </c>
      <c r="EG42" s="143">
        <f t="shared" ca="1" si="52"/>
        <v>8.7500959722743646E-2</v>
      </c>
      <c r="EH42" s="143">
        <f t="shared" ca="1" si="52"/>
        <v>0.12643756924884716</v>
      </c>
      <c r="EI42" s="143">
        <f t="shared" ca="1" si="52"/>
        <v>-6.6758233945915318E-2</v>
      </c>
      <c r="EJ42" s="143">
        <f t="shared" ca="1" si="52"/>
        <v>4.1286889323039609E-2</v>
      </c>
      <c r="EK42" s="143">
        <f t="shared" ca="1" si="52"/>
        <v>0.10280156486595803</v>
      </c>
      <c r="EL42" s="143">
        <f t="shared" ca="1" si="52"/>
        <v>-3.7113748041410675E-2</v>
      </c>
      <c r="EM42" s="143">
        <f t="shared" ca="1" si="52"/>
        <v>6.9225986768091954E-2</v>
      </c>
      <c r="EN42" s="143">
        <f t="shared" ca="1" si="52"/>
        <v>6.2469002784327654E-2</v>
      </c>
      <c r="EO42" s="143">
        <f t="shared" ca="1" si="52"/>
        <v>0.17738857980629463</v>
      </c>
      <c r="EP42" s="143">
        <f t="shared" ca="1" si="52"/>
        <v>-4.9375418224223561E-3</v>
      </c>
      <c r="EQ42" s="143">
        <f t="shared" ca="1" si="52"/>
        <v>-3.0749977858798398E-2</v>
      </c>
      <c r="ER42" s="143">
        <f t="shared" ca="1" si="52"/>
        <v>0.14109311823505694</v>
      </c>
      <c r="ES42" s="143">
        <f t="shared" ca="1" si="52"/>
        <v>1.0071472875433571E-2</v>
      </c>
      <c r="ET42" s="143">
        <f t="shared" ca="1" si="52"/>
        <v>-4.8496878613978826E-2</v>
      </c>
      <c r="EU42" s="143">
        <f t="shared" ca="1" si="52"/>
        <v>0.14430975079035496</v>
      </c>
      <c r="EV42" s="143">
        <f t="shared" ca="1" si="52"/>
        <v>-3.7763312386416885E-2</v>
      </c>
      <c r="EW42" s="143">
        <f t="shared" ca="1" si="52"/>
        <v>4.7317520373361815E-2</v>
      </c>
      <c r="EX42" s="143">
        <f t="shared" ca="1" si="52"/>
        <v>8.8507816025876873E-2</v>
      </c>
      <c r="EY42" s="143">
        <f t="shared" ca="1" si="52"/>
        <v>-3.5090643956293473E-2</v>
      </c>
      <c r="EZ42" s="143">
        <f t="shared" ca="1" si="52"/>
        <v>4.9510461209241761E-2</v>
      </c>
      <c r="FA42" s="143">
        <f t="shared" ca="1" si="52"/>
        <v>0.13513391808442637</v>
      </c>
      <c r="FB42" s="143">
        <f t="shared" ca="1" si="52"/>
        <v>8.4858856121571125E-2</v>
      </c>
      <c r="FC42" s="143">
        <f t="shared" ca="1" si="52"/>
        <v>3.4699456856968819E-2</v>
      </c>
      <c r="FD42" s="143">
        <f t="shared" ca="1" si="52"/>
        <v>5.454943840632942E-3</v>
      </c>
      <c r="FE42" s="143">
        <f t="shared" ca="1" si="52"/>
        <v>0.21589559882903578</v>
      </c>
      <c r="FF42" s="143">
        <f t="shared" ca="1" si="52"/>
        <v>-1.4724593185150965E-2</v>
      </c>
      <c r="FG42" s="143">
        <f t="shared" ca="1" si="52"/>
        <v>5.1239166070384354E-2</v>
      </c>
      <c r="FH42" s="143">
        <f t="shared" ca="1" si="52"/>
        <v>0.10483639379893077</v>
      </c>
      <c r="FI42" s="143">
        <f t="shared" ca="1" si="52"/>
        <v>-2.6413890973167521E-2</v>
      </c>
      <c r="FJ42" s="143">
        <f t="shared" ca="1" si="52"/>
        <v>9.8849931982596714E-2</v>
      </c>
      <c r="FK42" s="143">
        <f t="shared" ca="1" si="52"/>
        <v>-2.329430607462938E-2</v>
      </c>
      <c r="FL42" s="143">
        <f t="shared" ca="1" si="52"/>
        <v>0.13442482403366141</v>
      </c>
      <c r="FM42" s="143">
        <f t="shared" ca="1" si="52"/>
        <v>-8.866308535339576E-2</v>
      </c>
      <c r="FN42" s="143">
        <f t="shared" ca="1" si="52"/>
        <v>5.1025365251126872E-2</v>
      </c>
      <c r="FO42" s="143">
        <f t="shared" ca="1" si="52"/>
        <v>0.14873492736556013</v>
      </c>
      <c r="FP42" s="143">
        <f t="shared" ca="1" si="52"/>
        <v>2.5470540801657955E-2</v>
      </c>
      <c r="FQ42" s="143">
        <f t="shared" ca="1" si="52"/>
        <v>-1.2402869646786475E-2</v>
      </c>
      <c r="FR42" s="143">
        <f t="shared" ca="1" si="52"/>
        <v>0.12517452917708305</v>
      </c>
      <c r="FS42" s="143">
        <f t="shared" ca="1" si="52"/>
        <v>-6.7444165634010012E-2</v>
      </c>
      <c r="FT42" s="143">
        <f t="shared" ca="1" si="52"/>
        <v>3.3800216614184295E-2</v>
      </c>
      <c r="FU42" s="143">
        <f t="shared" ca="1" si="52"/>
        <v>-2.6679011876256951E-2</v>
      </c>
      <c r="FV42" s="143">
        <f t="shared" ca="1" si="52"/>
        <v>-1.6403558870519731E-2</v>
      </c>
      <c r="FW42" s="143">
        <f t="shared" ca="1" si="52"/>
        <v>0.16588042267352271</v>
      </c>
      <c r="FX42" s="143">
        <f t="shared" ca="1" si="52"/>
        <v>0.11957195906544188</v>
      </c>
      <c r="FY42" s="143">
        <f t="shared" ca="1" si="52"/>
        <v>0.11914004220055865</v>
      </c>
      <c r="FZ42" s="143">
        <f t="shared" ca="1" si="52"/>
        <v>0.17381908472189816</v>
      </c>
      <c r="GA42" s="143">
        <f t="shared" ca="1" si="52"/>
        <v>6.6242993361697505E-2</v>
      </c>
      <c r="GB42" s="143">
        <f t="shared" ca="1" si="52"/>
        <v>8.2118509380928406E-2</v>
      </c>
      <c r="GC42" s="143">
        <f t="shared" ca="1" si="52"/>
        <v>0.10011025324936487</v>
      </c>
      <c r="GD42" s="143">
        <f t="shared" ca="1" si="52"/>
        <v>-1.0183180782800887E-2</v>
      </c>
      <c r="GE42" s="143">
        <f t="shared" ca="1" si="52"/>
        <v>8.3579012303934858E-2</v>
      </c>
      <c r="GF42" s="143">
        <f t="shared" ca="1" si="52"/>
        <v>1.1026600155340703E-2</v>
      </c>
      <c r="GG42" s="143">
        <f t="shared" ca="1" si="52"/>
        <v>-4.7388517427160944E-2</v>
      </c>
      <c r="GH42" s="143">
        <f t="shared" ca="1" si="52"/>
        <v>1.4725755672336638E-2</v>
      </c>
      <c r="GI42" s="143">
        <f t="shared" ca="1" si="52"/>
        <v>0.11109725700828613</v>
      </c>
      <c r="GJ42" s="143">
        <f t="shared" ca="1" si="52"/>
        <v>0.16567012072470808</v>
      </c>
      <c r="GK42" s="143">
        <f t="shared" ca="1" si="52"/>
        <v>-0.11084116981401512</v>
      </c>
      <c r="GL42" s="143">
        <f t="shared" ca="1" si="52"/>
        <v>1.2831293406733488E-2</v>
      </c>
      <c r="GM42" s="143">
        <f t="shared" ca="1" si="52"/>
        <v>0.12034792793002966</v>
      </c>
      <c r="GN42" s="143">
        <f t="shared" ca="1" si="48"/>
        <v>7.3431784680478729E-2</v>
      </c>
      <c r="GO42" s="143">
        <f t="shared" ca="1" si="48"/>
        <v>9.9869575068931252E-2</v>
      </c>
      <c r="GP42" s="143">
        <f t="shared" ca="1" si="48"/>
        <v>0.15955461247495206</v>
      </c>
      <c r="GQ42" s="143">
        <f t="shared" ca="1" si="48"/>
        <v>-1.6482771556123391E-3</v>
      </c>
      <c r="GR42" s="143">
        <f t="shared" ca="1" si="48"/>
        <v>-8.4036427265764546E-3</v>
      </c>
      <c r="GS42" s="143">
        <f t="shared" ca="1" si="48"/>
        <v>-5.1158717217470277E-2</v>
      </c>
      <c r="GT42" s="143">
        <f t="shared" ca="1" si="48"/>
        <v>8.5227550979548095E-2</v>
      </c>
      <c r="GU42" s="143">
        <f t="shared" ca="1" si="48"/>
        <v>0.14537946562744344</v>
      </c>
      <c r="GV42" s="143">
        <f t="shared" ca="1" si="48"/>
        <v>2.0695547388141604E-2</v>
      </c>
      <c r="GW42" s="143">
        <f t="shared" ca="1" si="48"/>
        <v>3.1805817305715411E-2</v>
      </c>
      <c r="GX42" s="143">
        <f t="shared" ca="1" si="48"/>
        <v>0.15516817462139323</v>
      </c>
      <c r="GY42" s="143">
        <f t="shared" ca="1" si="48"/>
        <v>2.3789784201504044E-3</v>
      </c>
      <c r="GZ42" s="143">
        <f t="shared" ca="1" si="48"/>
        <v>-5.7804356038071991E-3</v>
      </c>
      <c r="HA42" s="143">
        <f t="shared" ca="1" si="48"/>
        <v>9.7671938058150665E-2</v>
      </c>
      <c r="HB42" s="143">
        <f t="shared" ca="1" si="48"/>
        <v>2.3399742116089011E-2</v>
      </c>
      <c r="HC42" s="143">
        <f t="shared" ca="1" si="48"/>
        <v>0.13342105221477085</v>
      </c>
      <c r="HD42" s="143">
        <f t="shared" ca="1" si="48"/>
        <v>-1.2705686475177225E-2</v>
      </c>
      <c r="HE42" s="143">
        <f t="shared" ca="1" si="48"/>
        <v>0.13611985082919315</v>
      </c>
      <c r="HF42" s="143">
        <f t="shared" ca="1" si="48"/>
        <v>4.1035069574810457E-3</v>
      </c>
      <c r="HG42" s="143">
        <f t="shared" ca="1" si="48"/>
        <v>7.4632254720680205E-3</v>
      </c>
    </row>
    <row r="43" spans="1:215">
      <c r="A43" s="90">
        <v>1969</v>
      </c>
      <c r="B43" s="84">
        <v>-8.2413710764490639E-2</v>
      </c>
      <c r="C43" s="85">
        <v>-0.33049999999999996</v>
      </c>
      <c r="D43" s="83">
        <f t="shared" si="4"/>
        <v>-0.1320309686115925</v>
      </c>
      <c r="E43" s="85"/>
      <c r="F43" s="85"/>
      <c r="G43" s="85">
        <v>6.668467741935484E-2</v>
      </c>
      <c r="H43" s="85">
        <v>-5.0140493209926106E-2</v>
      </c>
      <c r="I43" s="85">
        <v>-2.0251642507921469E-2</v>
      </c>
      <c r="J43" s="85">
        <v>5.0114474688374377E-2</v>
      </c>
      <c r="M43" s="115">
        <f t="shared" si="7"/>
        <v>92</v>
      </c>
      <c r="N43" s="143">
        <f t="shared" ca="1" si="49"/>
        <v>0.12177106637998997</v>
      </c>
      <c r="O43" s="143">
        <f t="shared" ref="O43:BZ46" ca="1" si="53">_xlfn.NORM.INV(RAND(),$B$112,$B$113)</f>
        <v>0.14891756304422737</v>
      </c>
      <c r="P43" s="143">
        <f t="shared" ca="1" si="53"/>
        <v>0.35608142339467241</v>
      </c>
      <c r="Q43" s="143">
        <f t="shared" ca="1" si="53"/>
        <v>0.10445831254233053</v>
      </c>
      <c r="R43" s="143">
        <f t="shared" ca="1" si="53"/>
        <v>0.22129464355625589</v>
      </c>
      <c r="S43" s="143">
        <f t="shared" ca="1" si="53"/>
        <v>9.4673966843098242E-2</v>
      </c>
      <c r="T43" s="143">
        <f t="shared" ca="1" si="53"/>
        <v>0.35195241345756834</v>
      </c>
      <c r="U43" s="143">
        <f t="shared" ca="1" si="53"/>
        <v>-0.10812604254569011</v>
      </c>
      <c r="V43" s="143">
        <f t="shared" ca="1" si="53"/>
        <v>-0.18505381894411774</v>
      </c>
      <c r="W43" s="143">
        <f t="shared" ca="1" si="53"/>
        <v>6.0693109430800668E-2</v>
      </c>
      <c r="X43" s="143">
        <f t="shared" ca="1" si="53"/>
        <v>-6.4371066476222372E-2</v>
      </c>
      <c r="Y43" s="143">
        <f t="shared" ca="1" si="53"/>
        <v>0.2168883184204291</v>
      </c>
      <c r="Z43" s="143">
        <f t="shared" ca="1" si="53"/>
        <v>5.4876969720233947E-2</v>
      </c>
      <c r="AA43" s="143">
        <f t="shared" ca="1" si="53"/>
        <v>-2.1577820977209589E-2</v>
      </c>
      <c r="AB43" s="143">
        <f t="shared" ca="1" si="53"/>
        <v>3.2812343552116027E-2</v>
      </c>
      <c r="AC43" s="143">
        <f t="shared" ca="1" si="53"/>
        <v>-6.2026261479986411E-2</v>
      </c>
      <c r="AD43" s="143">
        <f t="shared" ca="1" si="53"/>
        <v>-4.9709414019496856E-2</v>
      </c>
      <c r="AE43" s="143">
        <f t="shared" ca="1" si="53"/>
        <v>0.21332329992938587</v>
      </c>
      <c r="AF43" s="143">
        <f t="shared" ca="1" si="53"/>
        <v>0.12636986758502938</v>
      </c>
      <c r="AG43" s="143">
        <f t="shared" ca="1" si="53"/>
        <v>0.19703471647680532</v>
      </c>
      <c r="AH43" s="143">
        <f t="shared" ca="1" si="53"/>
        <v>0.36030743109065566</v>
      </c>
      <c r="AI43" s="143">
        <f t="shared" ca="1" si="53"/>
        <v>0.22340447991483625</v>
      </c>
      <c r="AJ43" s="143">
        <f t="shared" ca="1" si="53"/>
        <v>0.21470069651579204</v>
      </c>
      <c r="AK43" s="143">
        <f t="shared" ca="1" si="53"/>
        <v>8.5822565797470954E-2</v>
      </c>
      <c r="AL43" s="143">
        <f t="shared" ca="1" si="53"/>
        <v>0.20961036712447417</v>
      </c>
      <c r="AM43" s="143">
        <f t="shared" ca="1" si="53"/>
        <v>-0.24890404385784029</v>
      </c>
      <c r="AN43" s="143">
        <f t="shared" ca="1" si="53"/>
        <v>-0.22679965783436581</v>
      </c>
      <c r="AO43" s="143">
        <f t="shared" ca="1" si="53"/>
        <v>0.1861894637965828</v>
      </c>
      <c r="AP43" s="143">
        <f t="shared" ca="1" si="53"/>
        <v>0.13945997837750734</v>
      </c>
      <c r="AQ43" s="143">
        <f t="shared" ca="1" si="53"/>
        <v>-0.13196956941941934</v>
      </c>
      <c r="AR43" s="143">
        <f t="shared" ca="1" si="53"/>
        <v>0.11275113993619482</v>
      </c>
      <c r="AS43" s="143">
        <f t="shared" ca="1" si="53"/>
        <v>0.30852774666268956</v>
      </c>
      <c r="AT43" s="143">
        <f t="shared" ca="1" si="53"/>
        <v>-0.11765368382185881</v>
      </c>
      <c r="AU43" s="143">
        <f t="shared" ca="1" si="53"/>
        <v>0.10774822642597988</v>
      </c>
      <c r="AV43" s="143">
        <f t="shared" ca="1" si="53"/>
        <v>0.19540559115058062</v>
      </c>
      <c r="AW43" s="143">
        <f t="shared" ca="1" si="53"/>
        <v>0.2653916910649613</v>
      </c>
      <c r="AX43" s="143">
        <f t="shared" ca="1" si="53"/>
        <v>0.19645514302897416</v>
      </c>
      <c r="AY43" s="143">
        <f t="shared" ca="1" si="53"/>
        <v>6.7455506961650979E-2</v>
      </c>
      <c r="AZ43" s="143">
        <f t="shared" ca="1" si="53"/>
        <v>0.21738395801217253</v>
      </c>
      <c r="BA43" s="143">
        <f t="shared" ca="1" si="53"/>
        <v>-0.13881297544025284</v>
      </c>
      <c r="BB43" s="143">
        <f t="shared" ca="1" si="53"/>
        <v>-4.0816858508796433E-2</v>
      </c>
      <c r="BC43" s="143">
        <f t="shared" ca="1" si="53"/>
        <v>-0.13815092530793982</v>
      </c>
      <c r="BD43" s="143">
        <f t="shared" ca="1" si="53"/>
        <v>5.1789473318226559E-3</v>
      </c>
      <c r="BE43" s="143">
        <f t="shared" ca="1" si="53"/>
        <v>0.23698274719948756</v>
      </c>
      <c r="BF43" s="143">
        <f t="shared" ca="1" si="53"/>
        <v>-0.15637220025836093</v>
      </c>
      <c r="BG43" s="143">
        <f t="shared" ca="1" si="53"/>
        <v>-3.594249958566928E-2</v>
      </c>
      <c r="BH43" s="143">
        <f t="shared" ca="1" si="53"/>
        <v>4.2253811218026703E-2</v>
      </c>
      <c r="BI43" s="143">
        <f t="shared" ca="1" si="53"/>
        <v>8.8023315772012292E-2</v>
      </c>
      <c r="BJ43" s="143">
        <f t="shared" ca="1" si="53"/>
        <v>0.51813777374525982</v>
      </c>
      <c r="BK43" s="143">
        <f t="shared" ca="1" si="53"/>
        <v>0.33803682291001436</v>
      </c>
      <c r="BL43" s="143">
        <f t="shared" ca="1" si="53"/>
        <v>0.28341294890638863</v>
      </c>
      <c r="BM43" s="143">
        <f t="shared" ca="1" si="53"/>
        <v>2.5809771150748798E-2</v>
      </c>
      <c r="BN43" s="143">
        <f t="shared" ca="1" si="53"/>
        <v>-5.6231424471086644E-2</v>
      </c>
      <c r="BO43" s="143">
        <f t="shared" ca="1" si="53"/>
        <v>0.11599349954316285</v>
      </c>
      <c r="BP43" s="143">
        <f t="shared" ca="1" si="53"/>
        <v>8.7218249757998648E-2</v>
      </c>
      <c r="BQ43" s="143">
        <f t="shared" ca="1" si="53"/>
        <v>4.3294720548902869E-2</v>
      </c>
      <c r="BR43" s="143">
        <f t="shared" ca="1" si="53"/>
        <v>5.6987220349410721E-2</v>
      </c>
      <c r="BS43" s="143">
        <f t="shared" ca="1" si="53"/>
        <v>0.16200701097468467</v>
      </c>
      <c r="BT43" s="143">
        <f t="shared" ca="1" si="53"/>
        <v>-1.967599191082027E-2</v>
      </c>
      <c r="BU43" s="143">
        <f t="shared" ca="1" si="53"/>
        <v>0.1340583187461091</v>
      </c>
      <c r="BV43" s="143">
        <f t="shared" ca="1" si="53"/>
        <v>9.0714782732575355E-2</v>
      </c>
      <c r="BW43" s="143">
        <f t="shared" ca="1" si="53"/>
        <v>-5.1065358065152167E-2</v>
      </c>
      <c r="BX43" s="143">
        <f t="shared" ca="1" si="53"/>
        <v>0.39070459835758842</v>
      </c>
      <c r="BY43" s="143">
        <f t="shared" ca="1" si="53"/>
        <v>-0.17633186410330845</v>
      </c>
      <c r="BZ43" s="143">
        <f t="shared" ca="1" si="53"/>
        <v>0.42737784171193527</v>
      </c>
      <c r="CA43" s="143">
        <f t="shared" ca="1" si="50"/>
        <v>0.27950565600633781</v>
      </c>
      <c r="CB43" s="143">
        <f t="shared" ca="1" si="50"/>
        <v>5.2752427450833209E-2</v>
      </c>
      <c r="CC43" s="143">
        <f t="shared" ca="1" si="50"/>
        <v>0.20341687212729098</v>
      </c>
      <c r="CD43" s="143">
        <f t="shared" ca="1" si="50"/>
        <v>0.30177116774973972</v>
      </c>
      <c r="CE43" s="143">
        <f t="shared" ca="1" si="50"/>
        <v>-0.19397647023843803</v>
      </c>
      <c r="CF43" s="143">
        <f t="shared" ca="1" si="50"/>
        <v>-0.16483776496853467</v>
      </c>
      <c r="CG43" s="143">
        <f t="shared" ca="1" si="50"/>
        <v>0.13418973770091502</v>
      </c>
      <c r="CH43" s="143">
        <f t="shared" ca="1" si="50"/>
        <v>0.15223903969000724</v>
      </c>
      <c r="CI43" s="143">
        <f t="shared" ca="1" si="50"/>
        <v>0.14682091753938142</v>
      </c>
      <c r="CJ43" s="143">
        <f t="shared" ca="1" si="50"/>
        <v>-1.1318773694188544E-2</v>
      </c>
      <c r="CK43" s="143">
        <f t="shared" ca="1" si="50"/>
        <v>0.39036105512384156</v>
      </c>
      <c r="CL43" s="143">
        <f t="shared" ca="1" si="50"/>
        <v>3.1940035409754278E-2</v>
      </c>
      <c r="CM43" s="143">
        <f t="shared" ca="1" si="50"/>
        <v>0.32804509620223943</v>
      </c>
      <c r="CN43" s="143">
        <f t="shared" ca="1" si="50"/>
        <v>0.18164765181025777</v>
      </c>
      <c r="CO43" s="143">
        <f t="shared" ca="1" si="50"/>
        <v>-0.24746490464704277</v>
      </c>
      <c r="CP43" s="143">
        <f t="shared" ca="1" si="47"/>
        <v>7.843121850181628E-3</v>
      </c>
      <c r="CQ43" s="143">
        <f t="shared" ca="1" si="47"/>
        <v>0.36732219505914776</v>
      </c>
      <c r="CR43" s="143">
        <f t="shared" ca="1" si="47"/>
        <v>3.9096238634161153E-2</v>
      </c>
      <c r="CS43" s="143">
        <f t="shared" ca="1" si="47"/>
        <v>0.11452201543060708</v>
      </c>
      <c r="CT43" s="143">
        <f t="shared" ca="1" si="47"/>
        <v>4.5181043648888988E-2</v>
      </c>
      <c r="CU43" s="143">
        <f t="shared" ca="1" si="47"/>
        <v>-0.144175389535219</v>
      </c>
      <c r="CV43" s="143">
        <f t="shared" ca="1" si="47"/>
        <v>3.8842856460620238E-2</v>
      </c>
      <c r="CW43" s="143">
        <f t="shared" ca="1" si="47"/>
        <v>-4.5535427379686216E-2</v>
      </c>
      <c r="CX43" s="143">
        <f t="shared" ca="1" si="47"/>
        <v>0.26648255121139985</v>
      </c>
      <c r="CY43" s="143">
        <f t="shared" ca="1" si="47"/>
        <v>-0.18086652175019494</v>
      </c>
      <c r="CZ43" s="143">
        <f t="shared" ca="1" si="47"/>
        <v>0.21326239115126461</v>
      </c>
      <c r="DA43" s="143">
        <f t="shared" ca="1" si="47"/>
        <v>0.17238040072062011</v>
      </c>
      <c r="DB43" s="143">
        <f t="shared" ca="1" si="47"/>
        <v>-5.3285029471735357E-2</v>
      </c>
      <c r="DC43" s="143">
        <f t="shared" ca="1" si="47"/>
        <v>0.22474960322479939</v>
      </c>
      <c r="DD43" s="143">
        <f t="shared" ca="1" si="47"/>
        <v>8.9871001244419296E-2</v>
      </c>
      <c r="DE43" s="143">
        <f t="shared" ca="1" si="47"/>
        <v>-0.15979039399398962</v>
      </c>
      <c r="DF43" s="143">
        <f t="shared" ca="1" si="47"/>
        <v>-0.13227258088208177</v>
      </c>
      <c r="DG43" s="143">
        <f t="shared" ca="1" si="47"/>
        <v>0.12769421575504508</v>
      </c>
      <c r="DH43" s="143">
        <f t="shared" ca="1" si="47"/>
        <v>-0.32122277425811763</v>
      </c>
      <c r="DI43" s="143">
        <f t="shared" ca="1" si="47"/>
        <v>0.16862731832281846</v>
      </c>
      <c r="DK43" s="115">
        <f t="shared" si="8"/>
        <v>92</v>
      </c>
      <c r="DL43" s="143">
        <f t="shared" ca="1" si="51"/>
        <v>-4.329541902654039E-2</v>
      </c>
      <c r="DM43" s="143">
        <f t="shared" ref="DM43:FX46" ca="1" si="54">_xlfn.NORM.INV(RAND(),$B$116,$B$117)</f>
        <v>3.4069713895377746E-2</v>
      </c>
      <c r="DN43" s="143">
        <f t="shared" ca="1" si="54"/>
        <v>0.10534885224565457</v>
      </c>
      <c r="DO43" s="143">
        <f t="shared" ca="1" si="54"/>
        <v>0.13160248325750731</v>
      </c>
      <c r="DP43" s="143">
        <f t="shared" ca="1" si="54"/>
        <v>9.9366260575627002E-2</v>
      </c>
      <c r="DQ43" s="143">
        <f t="shared" ca="1" si="54"/>
        <v>-3.0520221242363733E-2</v>
      </c>
      <c r="DR43" s="143">
        <f t="shared" ca="1" si="54"/>
        <v>-7.0226914792899081E-2</v>
      </c>
      <c r="DS43" s="143">
        <f t="shared" ca="1" si="54"/>
        <v>-0.11889025001792142</v>
      </c>
      <c r="DT43" s="143">
        <f t="shared" ca="1" si="54"/>
        <v>4.734854291400873E-2</v>
      </c>
      <c r="DU43" s="143">
        <f t="shared" ca="1" si="54"/>
        <v>-6.6969309715331438E-2</v>
      </c>
      <c r="DV43" s="143">
        <f t="shared" ca="1" si="54"/>
        <v>2.6662965329330102E-2</v>
      </c>
      <c r="DW43" s="143">
        <f t="shared" ca="1" si="54"/>
        <v>7.8102526873545269E-2</v>
      </c>
      <c r="DX43" s="143">
        <f t="shared" ca="1" si="54"/>
        <v>5.089304932369508E-2</v>
      </c>
      <c r="DY43" s="143">
        <f t="shared" ca="1" si="54"/>
        <v>0.15297911875470746</v>
      </c>
      <c r="DZ43" s="143">
        <f t="shared" ca="1" si="54"/>
        <v>2.8344250790532294E-2</v>
      </c>
      <c r="EA43" s="143">
        <f t="shared" ca="1" si="54"/>
        <v>1.3778656971447804E-2</v>
      </c>
      <c r="EB43" s="143">
        <f t="shared" ca="1" si="54"/>
        <v>0.19153788825788637</v>
      </c>
      <c r="EC43" s="143">
        <f t="shared" ca="1" si="54"/>
        <v>5.0003874363665837E-2</v>
      </c>
      <c r="ED43" s="143">
        <f t="shared" ca="1" si="54"/>
        <v>4.148624814310245E-2</v>
      </c>
      <c r="EE43" s="143">
        <f t="shared" ca="1" si="54"/>
        <v>0.14075606989679551</v>
      </c>
      <c r="EF43" s="143">
        <f t="shared" ca="1" si="54"/>
        <v>2.9491783671812721E-2</v>
      </c>
      <c r="EG43" s="143">
        <f t="shared" ca="1" si="54"/>
        <v>-4.0318630718882316E-2</v>
      </c>
      <c r="EH43" s="143">
        <f t="shared" ca="1" si="54"/>
        <v>-4.194277611664942E-2</v>
      </c>
      <c r="EI43" s="143">
        <f t="shared" ca="1" si="54"/>
        <v>0.12041057755977999</v>
      </c>
      <c r="EJ43" s="143">
        <f t="shared" ca="1" si="54"/>
        <v>6.6886452589537584E-2</v>
      </c>
      <c r="EK43" s="143">
        <f t="shared" ca="1" si="54"/>
        <v>6.0407151781939894E-2</v>
      </c>
      <c r="EL43" s="143">
        <f t="shared" ca="1" si="54"/>
        <v>-8.8207524516901697E-2</v>
      </c>
      <c r="EM43" s="143">
        <f t="shared" ca="1" si="54"/>
        <v>0.12488054896204925</v>
      </c>
      <c r="EN43" s="143">
        <f t="shared" ca="1" si="54"/>
        <v>6.25133678489143E-2</v>
      </c>
      <c r="EO43" s="143">
        <f t="shared" ca="1" si="54"/>
        <v>0.12835213542201382</v>
      </c>
      <c r="EP43" s="143">
        <f t="shared" ca="1" si="54"/>
        <v>0.13214223489104535</v>
      </c>
      <c r="EQ43" s="143">
        <f t="shared" ca="1" si="54"/>
        <v>0.16147752309463562</v>
      </c>
      <c r="ER43" s="143">
        <f t="shared" ca="1" si="54"/>
        <v>-4.8632626920393433E-2</v>
      </c>
      <c r="ES43" s="143">
        <f t="shared" ca="1" si="54"/>
        <v>0.12061290568569202</v>
      </c>
      <c r="ET43" s="143">
        <f t="shared" ca="1" si="54"/>
        <v>0.13167275255004582</v>
      </c>
      <c r="EU43" s="143">
        <f t="shared" ca="1" si="54"/>
        <v>-9.1717700081345666E-2</v>
      </c>
      <c r="EV43" s="143">
        <f t="shared" ca="1" si="54"/>
        <v>-7.1455103629578187E-2</v>
      </c>
      <c r="EW43" s="143">
        <f t="shared" ca="1" si="54"/>
        <v>5.5250055743739451E-2</v>
      </c>
      <c r="EX43" s="143">
        <f t="shared" ca="1" si="54"/>
        <v>-2.3758451612448196E-2</v>
      </c>
      <c r="EY43" s="143">
        <f t="shared" ca="1" si="54"/>
        <v>8.9319741039179626E-2</v>
      </c>
      <c r="EZ43" s="143">
        <f t="shared" ca="1" si="54"/>
        <v>0.11660168680494942</v>
      </c>
      <c r="FA43" s="143">
        <f t="shared" ca="1" si="54"/>
        <v>8.635088235668556E-2</v>
      </c>
      <c r="FB43" s="143">
        <f t="shared" ca="1" si="54"/>
        <v>0.12997401220559485</v>
      </c>
      <c r="FC43" s="143">
        <f t="shared" ca="1" si="54"/>
        <v>5.0479956096682224E-2</v>
      </c>
      <c r="FD43" s="143">
        <f t="shared" ca="1" si="54"/>
        <v>7.2265366667019409E-2</v>
      </c>
      <c r="FE43" s="143">
        <f t="shared" ca="1" si="54"/>
        <v>-4.7404834661147761E-2</v>
      </c>
      <c r="FF43" s="143">
        <f t="shared" ca="1" si="54"/>
        <v>0.12869304417804439</v>
      </c>
      <c r="FG43" s="143">
        <f t="shared" ca="1" si="54"/>
        <v>-1.2949602841019335E-2</v>
      </c>
      <c r="FH43" s="143">
        <f t="shared" ca="1" si="54"/>
        <v>-1.4671963568184405E-2</v>
      </c>
      <c r="FI43" s="143">
        <f t="shared" ca="1" si="54"/>
        <v>6.9931068757471043E-2</v>
      </c>
      <c r="FJ43" s="143">
        <f t="shared" ca="1" si="54"/>
        <v>-0.14514961133232956</v>
      </c>
      <c r="FK43" s="143">
        <f t="shared" ca="1" si="54"/>
        <v>-2.9738062211282161E-2</v>
      </c>
      <c r="FL43" s="143">
        <f t="shared" ca="1" si="54"/>
        <v>2.1799218265759576E-2</v>
      </c>
      <c r="FM43" s="143">
        <f t="shared" ca="1" si="54"/>
        <v>0.15461456642426025</v>
      </c>
      <c r="FN43" s="143">
        <f t="shared" ca="1" si="54"/>
        <v>8.1206945993006402E-2</v>
      </c>
      <c r="FO43" s="143">
        <f t="shared" ca="1" si="54"/>
        <v>-1.2001495782134657E-2</v>
      </c>
      <c r="FP43" s="143">
        <f t="shared" ca="1" si="54"/>
        <v>0.17795670744252365</v>
      </c>
      <c r="FQ43" s="143">
        <f t="shared" ca="1" si="54"/>
        <v>8.2651771118054732E-3</v>
      </c>
      <c r="FR43" s="143">
        <f t="shared" ca="1" si="54"/>
        <v>0.11977716898821597</v>
      </c>
      <c r="FS43" s="143">
        <f t="shared" ca="1" si="54"/>
        <v>0.13341856409041342</v>
      </c>
      <c r="FT43" s="143">
        <f t="shared" ca="1" si="54"/>
        <v>0.10789481072992048</v>
      </c>
      <c r="FU43" s="143">
        <f t="shared" ca="1" si="54"/>
        <v>-7.6771956356677939E-3</v>
      </c>
      <c r="FV43" s="143">
        <f t="shared" ca="1" si="54"/>
        <v>0.14317975988571111</v>
      </c>
      <c r="FW43" s="143">
        <f t="shared" ca="1" si="54"/>
        <v>0.23865644288209742</v>
      </c>
      <c r="FX43" s="143">
        <f t="shared" ca="1" si="54"/>
        <v>0.13635509478448629</v>
      </c>
      <c r="FY43" s="143">
        <f t="shared" ca="1" si="52"/>
        <v>-4.6688513441568574E-3</v>
      </c>
      <c r="FZ43" s="143">
        <f t="shared" ca="1" si="52"/>
        <v>1.5934977574316021E-2</v>
      </c>
      <c r="GA43" s="143">
        <f t="shared" ca="1" si="52"/>
        <v>9.4021527398897686E-2</v>
      </c>
      <c r="GB43" s="143">
        <f t="shared" ca="1" si="52"/>
        <v>2.7184721871099601E-2</v>
      </c>
      <c r="GC43" s="143">
        <f t="shared" ca="1" si="52"/>
        <v>7.0749191436290743E-2</v>
      </c>
      <c r="GD43" s="143">
        <f t="shared" ca="1" si="52"/>
        <v>9.1906753097069485E-2</v>
      </c>
      <c r="GE43" s="143">
        <f t="shared" ca="1" si="52"/>
        <v>8.1604365145188124E-2</v>
      </c>
      <c r="GF43" s="143">
        <f t="shared" ca="1" si="52"/>
        <v>2.6752379322559708E-3</v>
      </c>
      <c r="GG43" s="143">
        <f t="shared" ca="1" si="52"/>
        <v>-5.6786711558436329E-3</v>
      </c>
      <c r="GH43" s="143">
        <f t="shared" ca="1" si="52"/>
        <v>-0.12089385199622413</v>
      </c>
      <c r="GI43" s="143">
        <f t="shared" ca="1" si="52"/>
        <v>-1.3594908096417578E-2</v>
      </c>
      <c r="GJ43" s="143">
        <f t="shared" ca="1" si="52"/>
        <v>6.7856900616233048E-2</v>
      </c>
      <c r="GK43" s="143">
        <f t="shared" ca="1" si="52"/>
        <v>-8.3659404761936201E-2</v>
      </c>
      <c r="GL43" s="143">
        <f t="shared" ca="1" si="52"/>
        <v>0.19055482215539338</v>
      </c>
      <c r="GM43" s="143">
        <f t="shared" ca="1" si="52"/>
        <v>5.5654118330419541E-2</v>
      </c>
      <c r="GN43" s="143">
        <f t="shared" ca="1" si="48"/>
        <v>-5.1897612056463642E-2</v>
      </c>
      <c r="GO43" s="143">
        <f t="shared" ca="1" si="48"/>
        <v>8.5826879149490387E-2</v>
      </c>
      <c r="GP43" s="143">
        <f t="shared" ca="1" si="48"/>
        <v>6.0153199289356904E-2</v>
      </c>
      <c r="GQ43" s="143">
        <f t="shared" ca="1" si="48"/>
        <v>0.11827721395504179</v>
      </c>
      <c r="GR43" s="143">
        <f t="shared" ca="1" si="48"/>
        <v>8.9643505054948197E-2</v>
      </c>
      <c r="GS43" s="143">
        <f t="shared" ca="1" si="48"/>
        <v>0.13536467080002806</v>
      </c>
      <c r="GT43" s="143">
        <f t="shared" ca="1" si="48"/>
        <v>4.4739690340959634E-2</v>
      </c>
      <c r="GU43" s="143">
        <f t="shared" ca="1" si="48"/>
        <v>2.6691174376572761E-2</v>
      </c>
      <c r="GV43" s="143">
        <f t="shared" ca="1" si="48"/>
        <v>-4.0490949937654792E-2</v>
      </c>
      <c r="GW43" s="143">
        <f t="shared" ca="1" si="48"/>
        <v>0.17089256106290515</v>
      </c>
      <c r="GX43" s="143">
        <f t="shared" ca="1" si="48"/>
        <v>-7.0220983783108482E-2</v>
      </c>
      <c r="GY43" s="143">
        <f t="shared" ca="1" si="48"/>
        <v>0.10728460617997262</v>
      </c>
      <c r="GZ43" s="143">
        <f t="shared" ca="1" si="48"/>
        <v>0.15993956770278628</v>
      </c>
      <c r="HA43" s="143">
        <f t="shared" ca="1" si="48"/>
        <v>-4.8894797080517506E-2</v>
      </c>
      <c r="HB43" s="143">
        <f t="shared" ca="1" si="48"/>
        <v>-6.6178020067578475E-2</v>
      </c>
      <c r="HC43" s="143">
        <f t="shared" ca="1" si="48"/>
        <v>6.2968259809787069E-2</v>
      </c>
      <c r="HD43" s="143">
        <f t="shared" ca="1" si="48"/>
        <v>0.20408171199375882</v>
      </c>
      <c r="HE43" s="143">
        <f t="shared" ca="1" si="48"/>
        <v>5.0335218727413915E-2</v>
      </c>
      <c r="HF43" s="143">
        <f t="shared" ca="1" si="48"/>
        <v>5.6188245937809383E-2</v>
      </c>
      <c r="HG43" s="143">
        <f t="shared" ca="1" si="48"/>
        <v>0.1566190336303106</v>
      </c>
    </row>
    <row r="44" spans="1:215">
      <c r="A44" s="90">
        <v>1970</v>
      </c>
      <c r="B44" s="84">
        <v>3.5611449054964189E-2</v>
      </c>
      <c r="C44" s="85">
        <v>-0.19</v>
      </c>
      <c r="D44" s="83">
        <f t="shared" si="4"/>
        <v>-9.5108407560286386E-3</v>
      </c>
      <c r="E44" s="85"/>
      <c r="F44" s="85"/>
      <c r="G44" s="85">
        <v>6.3909999999999995E-2</v>
      </c>
      <c r="H44" s="85">
        <v>0.16754737183412338</v>
      </c>
      <c r="I44" s="85">
        <v>5.6495676569888728E-2</v>
      </c>
      <c r="J44" s="85">
        <v>-9.4476744186046457E-2</v>
      </c>
      <c r="M44" s="115">
        <f t="shared" si="7"/>
        <v>93</v>
      </c>
      <c r="N44" s="143">
        <f t="shared" ca="1" si="49"/>
        <v>-8.7843011224174178E-2</v>
      </c>
      <c r="O44" s="143">
        <f t="shared" ca="1" si="53"/>
        <v>0.48964228548142052</v>
      </c>
      <c r="P44" s="143">
        <f t="shared" ca="1" si="53"/>
        <v>0.16835830102142116</v>
      </c>
      <c r="Q44" s="143">
        <f t="shared" ca="1" si="53"/>
        <v>-0.12906429653684692</v>
      </c>
      <c r="R44" s="143">
        <f t="shared" ca="1" si="53"/>
        <v>0.15920972530795513</v>
      </c>
      <c r="S44" s="143">
        <f t="shared" ca="1" si="53"/>
        <v>-0.28747862754610509</v>
      </c>
      <c r="T44" s="143">
        <f t="shared" ca="1" si="53"/>
        <v>-2.5012571290001562E-2</v>
      </c>
      <c r="U44" s="143">
        <f t="shared" ca="1" si="53"/>
        <v>-0.26889631344368969</v>
      </c>
      <c r="V44" s="143">
        <f t="shared" ca="1" si="53"/>
        <v>9.579083790875384E-2</v>
      </c>
      <c r="W44" s="143">
        <f t="shared" ca="1" si="53"/>
        <v>-0.3400648437767102</v>
      </c>
      <c r="X44" s="143">
        <f t="shared" ca="1" si="53"/>
        <v>-3.3552646160972005E-2</v>
      </c>
      <c r="Y44" s="143">
        <f t="shared" ca="1" si="53"/>
        <v>0.29084547101690816</v>
      </c>
      <c r="Z44" s="143">
        <f t="shared" ca="1" si="53"/>
        <v>0.48705070497350944</v>
      </c>
      <c r="AA44" s="143">
        <f t="shared" ca="1" si="53"/>
        <v>0.4469328427475856</v>
      </c>
      <c r="AB44" s="143">
        <f t="shared" ca="1" si="53"/>
        <v>6.1437739699919246E-2</v>
      </c>
      <c r="AC44" s="143">
        <f t="shared" ca="1" si="53"/>
        <v>-0.35339900942688363</v>
      </c>
      <c r="AD44" s="143">
        <f t="shared" ca="1" si="53"/>
        <v>0.34459135747588499</v>
      </c>
      <c r="AE44" s="143">
        <f t="shared" ca="1" si="53"/>
        <v>4.8501986756019445E-2</v>
      </c>
      <c r="AF44" s="143">
        <f t="shared" ca="1" si="53"/>
        <v>0.1751616138152437</v>
      </c>
      <c r="AG44" s="143">
        <f t="shared" ca="1" si="53"/>
        <v>0.40804515254821361</v>
      </c>
      <c r="AH44" s="143">
        <f t="shared" ca="1" si="53"/>
        <v>-0.1551840646309863</v>
      </c>
      <c r="AI44" s="143">
        <f t="shared" ca="1" si="53"/>
        <v>0.37012329094039353</v>
      </c>
      <c r="AJ44" s="143">
        <f t="shared" ca="1" si="53"/>
        <v>0.36908859937002292</v>
      </c>
      <c r="AK44" s="143">
        <f t="shared" ca="1" si="53"/>
        <v>0.35974059017819326</v>
      </c>
      <c r="AL44" s="143">
        <f t="shared" ca="1" si="53"/>
        <v>-7.8964597637654371E-2</v>
      </c>
      <c r="AM44" s="143">
        <f t="shared" ca="1" si="53"/>
        <v>3.3786947777405527E-2</v>
      </c>
      <c r="AN44" s="143">
        <f t="shared" ca="1" si="53"/>
        <v>0.18022256999366104</v>
      </c>
      <c r="AO44" s="143">
        <f t="shared" ca="1" si="53"/>
        <v>0.21124100160852938</v>
      </c>
      <c r="AP44" s="143">
        <f t="shared" ca="1" si="53"/>
        <v>0.20449550365021507</v>
      </c>
      <c r="AQ44" s="143">
        <f t="shared" ca="1" si="53"/>
        <v>0.23706483996390312</v>
      </c>
      <c r="AR44" s="143">
        <f t="shared" ca="1" si="53"/>
        <v>-0.31378981180251486</v>
      </c>
      <c r="AS44" s="143">
        <f t="shared" ca="1" si="53"/>
        <v>-0.16617102117300916</v>
      </c>
      <c r="AT44" s="143">
        <f t="shared" ca="1" si="53"/>
        <v>0.38295811836452509</v>
      </c>
      <c r="AU44" s="143">
        <f t="shared" ca="1" si="53"/>
        <v>0.42455130641113648</v>
      </c>
      <c r="AV44" s="143">
        <f t="shared" ca="1" si="53"/>
        <v>4.4390643899977149E-2</v>
      </c>
      <c r="AW44" s="143">
        <f t="shared" ca="1" si="53"/>
        <v>4.0434248532575934E-3</v>
      </c>
      <c r="AX44" s="143">
        <f t="shared" ca="1" si="53"/>
        <v>0.23196461911565575</v>
      </c>
      <c r="AY44" s="143">
        <f t="shared" ca="1" si="53"/>
        <v>-3.40190681230918E-2</v>
      </c>
      <c r="AZ44" s="143">
        <f t="shared" ca="1" si="53"/>
        <v>0.47052732432102584</v>
      </c>
      <c r="BA44" s="143">
        <f t="shared" ca="1" si="53"/>
        <v>-0.31449338722974263</v>
      </c>
      <c r="BB44" s="143">
        <f t="shared" ca="1" si="53"/>
        <v>4.410273790172934E-2</v>
      </c>
      <c r="BC44" s="143">
        <f t="shared" ca="1" si="53"/>
        <v>-0.37327405845256001</v>
      </c>
      <c r="BD44" s="143">
        <f t="shared" ca="1" si="53"/>
        <v>-9.0820717214823155E-3</v>
      </c>
      <c r="BE44" s="143">
        <f t="shared" ca="1" si="53"/>
        <v>-0.11686497828948222</v>
      </c>
      <c r="BF44" s="143">
        <f t="shared" ca="1" si="53"/>
        <v>0.17785708750475909</v>
      </c>
      <c r="BG44" s="143">
        <f t="shared" ca="1" si="53"/>
        <v>-0.11889809063764267</v>
      </c>
      <c r="BH44" s="143">
        <f t="shared" ca="1" si="53"/>
        <v>0.12057855105779984</v>
      </c>
      <c r="BI44" s="143">
        <f t="shared" ca="1" si="53"/>
        <v>0.23494187687890788</v>
      </c>
      <c r="BJ44" s="143">
        <f t="shared" ca="1" si="53"/>
        <v>7.0296912323341967E-2</v>
      </c>
      <c r="BK44" s="143">
        <f t="shared" ca="1" si="53"/>
        <v>0.11770023475671482</v>
      </c>
      <c r="BL44" s="143">
        <f t="shared" ca="1" si="53"/>
        <v>0.1109769325629589</v>
      </c>
      <c r="BM44" s="143">
        <f t="shared" ca="1" si="53"/>
        <v>0.16299782366685173</v>
      </c>
      <c r="BN44" s="143">
        <f t="shared" ca="1" si="53"/>
        <v>-7.1312826208662056E-2</v>
      </c>
      <c r="BO44" s="143">
        <f t="shared" ca="1" si="53"/>
        <v>0.39194505762823406</v>
      </c>
      <c r="BP44" s="143">
        <f t="shared" ca="1" si="53"/>
        <v>0.2312840941668397</v>
      </c>
      <c r="BQ44" s="143">
        <f t="shared" ca="1" si="53"/>
        <v>0.17321179185449415</v>
      </c>
      <c r="BR44" s="143">
        <f t="shared" ca="1" si="53"/>
        <v>0.11956970672716973</v>
      </c>
      <c r="BS44" s="143">
        <f t="shared" ca="1" si="53"/>
        <v>-0.19954597353679551</v>
      </c>
      <c r="BT44" s="143">
        <f t="shared" ca="1" si="53"/>
        <v>0.19510923397185956</v>
      </c>
      <c r="BU44" s="143">
        <f t="shared" ca="1" si="53"/>
        <v>-0.12282282377261772</v>
      </c>
      <c r="BV44" s="143">
        <f t="shared" ca="1" si="53"/>
        <v>0.20871000842456039</v>
      </c>
      <c r="BW44" s="143">
        <f t="shared" ca="1" si="53"/>
        <v>-6.7255323843253917E-2</v>
      </c>
      <c r="BX44" s="143">
        <f t="shared" ca="1" si="53"/>
        <v>0.27700119404634349</v>
      </c>
      <c r="BY44" s="143">
        <f t="shared" ca="1" si="53"/>
        <v>-0.14490070208832773</v>
      </c>
      <c r="BZ44" s="143">
        <f t="shared" ca="1" si="53"/>
        <v>-2.2528210154007258E-2</v>
      </c>
      <c r="CA44" s="143">
        <f t="shared" ca="1" si="50"/>
        <v>0.27148745265935531</v>
      </c>
      <c r="CB44" s="143">
        <f t="shared" ca="1" si="50"/>
        <v>-0.14386452249996873</v>
      </c>
      <c r="CC44" s="143">
        <f t="shared" ca="1" si="50"/>
        <v>0.37475664253991126</v>
      </c>
      <c r="CD44" s="143">
        <f t="shared" ca="1" si="50"/>
        <v>-0.12385037460858037</v>
      </c>
      <c r="CE44" s="143">
        <f t="shared" ca="1" si="50"/>
        <v>-0.10702758268322204</v>
      </c>
      <c r="CF44" s="143">
        <f t="shared" ca="1" si="50"/>
        <v>-6.9539854904989845E-2</v>
      </c>
      <c r="CG44" s="143">
        <f t="shared" ca="1" si="50"/>
        <v>-0.12114272685778169</v>
      </c>
      <c r="CH44" s="143">
        <f t="shared" ca="1" si="50"/>
        <v>0.11394672784759396</v>
      </c>
      <c r="CI44" s="143">
        <f t="shared" ca="1" si="50"/>
        <v>-0.25015590424297518</v>
      </c>
      <c r="CJ44" s="143">
        <f t="shared" ca="1" si="50"/>
        <v>-5.2961495837947403E-2</v>
      </c>
      <c r="CK44" s="143">
        <f t="shared" ca="1" si="50"/>
        <v>1.1347913973962204E-2</v>
      </c>
      <c r="CL44" s="143">
        <f t="shared" ca="1" si="50"/>
        <v>-1.7482400256388503E-3</v>
      </c>
      <c r="CM44" s="143">
        <f t="shared" ca="1" si="50"/>
        <v>5.3694831185921582E-3</v>
      </c>
      <c r="CN44" s="143">
        <f t="shared" ca="1" si="50"/>
        <v>0.29057042274441386</v>
      </c>
      <c r="CO44" s="143">
        <f t="shared" ca="1" si="50"/>
        <v>6.4466729943781054E-2</v>
      </c>
      <c r="CP44" s="143">
        <f t="shared" ca="1" si="47"/>
        <v>0.23083854301697565</v>
      </c>
      <c r="CQ44" s="143">
        <f t="shared" ca="1" si="47"/>
        <v>0.1839519363478431</v>
      </c>
      <c r="CR44" s="143">
        <f t="shared" ca="1" si="47"/>
        <v>4.0372710582780816E-2</v>
      </c>
      <c r="CS44" s="143">
        <f t="shared" ca="1" si="47"/>
        <v>-0.10922304784351214</v>
      </c>
      <c r="CT44" s="143">
        <f t="shared" ca="1" si="47"/>
        <v>3.4050573737129011E-2</v>
      </c>
      <c r="CU44" s="143">
        <f t="shared" ca="1" si="47"/>
        <v>0.24253964299732939</v>
      </c>
      <c r="CV44" s="143">
        <f t="shared" ca="1" si="47"/>
        <v>0.36383685935120613</v>
      </c>
      <c r="CW44" s="143">
        <f t="shared" ca="1" si="47"/>
        <v>-0.10965925304877452</v>
      </c>
      <c r="CX44" s="143">
        <f t="shared" ca="1" si="47"/>
        <v>0.56271602011247002</v>
      </c>
      <c r="CY44" s="143">
        <f t="shared" ca="1" si="47"/>
        <v>8.9796905385588807E-2</v>
      </c>
      <c r="CZ44" s="143">
        <f t="shared" ca="1" si="47"/>
        <v>0.34560715465718889</v>
      </c>
      <c r="DA44" s="143">
        <f t="shared" ca="1" si="47"/>
        <v>9.8987540850604697E-2</v>
      </c>
      <c r="DB44" s="143">
        <f t="shared" ca="1" si="47"/>
        <v>0.19056069729859909</v>
      </c>
      <c r="DC44" s="143">
        <f t="shared" ca="1" si="47"/>
        <v>-2.9038117948198383E-2</v>
      </c>
      <c r="DD44" s="143">
        <f t="shared" ca="1" si="47"/>
        <v>7.3240685038327591E-2</v>
      </c>
      <c r="DE44" s="143">
        <f t="shared" ca="1" si="47"/>
        <v>0.26593824213844541</v>
      </c>
      <c r="DF44" s="143">
        <f t="shared" ca="1" si="47"/>
        <v>2.9372936164901581E-2</v>
      </c>
      <c r="DG44" s="143">
        <f t="shared" ca="1" si="47"/>
        <v>0.16321823124293361</v>
      </c>
      <c r="DH44" s="143">
        <f t="shared" ca="1" si="47"/>
        <v>0.38859235406666559</v>
      </c>
      <c r="DI44" s="143">
        <f t="shared" ca="1" si="47"/>
        <v>-1.9219002294366724E-2</v>
      </c>
      <c r="DK44" s="115">
        <f t="shared" si="8"/>
        <v>93</v>
      </c>
      <c r="DL44" s="143">
        <f t="shared" ca="1" si="51"/>
        <v>3.2942277054867561E-2</v>
      </c>
      <c r="DM44" s="143">
        <f t="shared" ca="1" si="54"/>
        <v>8.9300456961329364E-2</v>
      </c>
      <c r="DN44" s="143">
        <f t="shared" ca="1" si="54"/>
        <v>1.33098497872563E-2</v>
      </c>
      <c r="DO44" s="143">
        <f t="shared" ca="1" si="54"/>
        <v>-7.8214971166362085E-2</v>
      </c>
      <c r="DP44" s="143">
        <f t="shared" ca="1" si="54"/>
        <v>-2.5751058039429904E-2</v>
      </c>
      <c r="DQ44" s="143">
        <f t="shared" ca="1" si="54"/>
        <v>8.0524423360047809E-2</v>
      </c>
      <c r="DR44" s="143">
        <f t="shared" ca="1" si="54"/>
        <v>-8.2233291599120045E-2</v>
      </c>
      <c r="DS44" s="143">
        <f t="shared" ca="1" si="54"/>
        <v>9.9909158298846196E-2</v>
      </c>
      <c r="DT44" s="143">
        <f t="shared" ca="1" si="54"/>
        <v>4.3825804715006911E-2</v>
      </c>
      <c r="DU44" s="143">
        <f t="shared" ca="1" si="54"/>
        <v>0.13475751716351167</v>
      </c>
      <c r="DV44" s="143">
        <f t="shared" ca="1" si="54"/>
        <v>-6.0401694987990348E-3</v>
      </c>
      <c r="DW44" s="143">
        <f t="shared" ca="1" si="54"/>
        <v>-1.4196132649900384E-2</v>
      </c>
      <c r="DX44" s="143">
        <f t="shared" ca="1" si="54"/>
        <v>6.5865979809495961E-2</v>
      </c>
      <c r="DY44" s="143">
        <f t="shared" ca="1" si="54"/>
        <v>7.1119971521411307E-2</v>
      </c>
      <c r="DZ44" s="143">
        <f t="shared" ca="1" si="54"/>
        <v>0.14957892535786657</v>
      </c>
      <c r="EA44" s="143">
        <f t="shared" ca="1" si="54"/>
        <v>-6.0036212544044086E-2</v>
      </c>
      <c r="EB44" s="143">
        <f t="shared" ca="1" si="54"/>
        <v>9.5462444967938584E-3</v>
      </c>
      <c r="EC44" s="143">
        <f t="shared" ca="1" si="54"/>
        <v>4.1799117472277915E-2</v>
      </c>
      <c r="ED44" s="143">
        <f t="shared" ca="1" si="54"/>
        <v>1.8470049560272653E-2</v>
      </c>
      <c r="EE44" s="143">
        <f t="shared" ca="1" si="54"/>
        <v>6.8587110402828957E-2</v>
      </c>
      <c r="EF44" s="143">
        <f t="shared" ca="1" si="54"/>
        <v>0.10848503921110261</v>
      </c>
      <c r="EG44" s="143">
        <f t="shared" ca="1" si="54"/>
        <v>0.1562045207420274</v>
      </c>
      <c r="EH44" s="143">
        <f t="shared" ca="1" si="54"/>
        <v>1.7560808488019386E-3</v>
      </c>
      <c r="EI44" s="143">
        <f t="shared" ca="1" si="54"/>
        <v>5.4457820252912771E-2</v>
      </c>
      <c r="EJ44" s="143">
        <f t="shared" ca="1" si="54"/>
        <v>-4.9062916048544784E-2</v>
      </c>
      <c r="EK44" s="143">
        <f t="shared" ca="1" si="54"/>
        <v>2.7016761901573649E-2</v>
      </c>
      <c r="EL44" s="143">
        <f t="shared" ca="1" si="54"/>
        <v>0.15359200136931547</v>
      </c>
      <c r="EM44" s="143">
        <f t="shared" ca="1" si="54"/>
        <v>-7.8468852622922941E-2</v>
      </c>
      <c r="EN44" s="143">
        <f t="shared" ca="1" si="54"/>
        <v>-3.9043799336183301E-2</v>
      </c>
      <c r="EO44" s="143">
        <f t="shared" ca="1" si="54"/>
        <v>1.1481326810064904E-3</v>
      </c>
      <c r="EP44" s="143">
        <f t="shared" ca="1" si="54"/>
        <v>7.4358398746752347E-2</v>
      </c>
      <c r="EQ44" s="143">
        <f t="shared" ca="1" si="54"/>
        <v>0.20987331874471082</v>
      </c>
      <c r="ER44" s="143">
        <f t="shared" ca="1" si="54"/>
        <v>-3.3150666413393974E-2</v>
      </c>
      <c r="ES44" s="143">
        <f t="shared" ca="1" si="54"/>
        <v>-4.9897836652312781E-2</v>
      </c>
      <c r="ET44" s="143">
        <f t="shared" ca="1" si="54"/>
        <v>4.2293420472624972E-2</v>
      </c>
      <c r="EU44" s="143">
        <f t="shared" ca="1" si="54"/>
        <v>7.9348426810945491E-2</v>
      </c>
      <c r="EV44" s="143">
        <f t="shared" ca="1" si="54"/>
        <v>6.2803163036739273E-2</v>
      </c>
      <c r="EW44" s="143">
        <f t="shared" ca="1" si="54"/>
        <v>3.3634690500626591E-2</v>
      </c>
      <c r="EX44" s="143">
        <f t="shared" ca="1" si="54"/>
        <v>0.17417940854780006</v>
      </c>
      <c r="EY44" s="143">
        <f t="shared" ca="1" si="54"/>
        <v>5.4373484582659573E-2</v>
      </c>
      <c r="EZ44" s="143">
        <f t="shared" ca="1" si="54"/>
        <v>3.6401944072083921E-2</v>
      </c>
      <c r="FA44" s="143">
        <f t="shared" ca="1" si="54"/>
        <v>9.8489044459168978E-2</v>
      </c>
      <c r="FB44" s="143">
        <f t="shared" ca="1" si="54"/>
        <v>0.14131054188527831</v>
      </c>
      <c r="FC44" s="143">
        <f t="shared" ca="1" si="54"/>
        <v>0.16388819742325669</v>
      </c>
      <c r="FD44" s="143">
        <f t="shared" ca="1" si="54"/>
        <v>3.1113959257954939E-2</v>
      </c>
      <c r="FE44" s="143">
        <f t="shared" ca="1" si="54"/>
        <v>8.0319852906525574E-2</v>
      </c>
      <c r="FF44" s="143">
        <f t="shared" ca="1" si="54"/>
        <v>6.7850389999924501E-2</v>
      </c>
      <c r="FG44" s="143">
        <f t="shared" ca="1" si="54"/>
        <v>1.4360408763600591E-2</v>
      </c>
      <c r="FH44" s="143">
        <f t="shared" ca="1" si="54"/>
        <v>-2.8771895710169582E-4</v>
      </c>
      <c r="FI44" s="143">
        <f t="shared" ca="1" si="54"/>
        <v>2.2320679236924417E-2</v>
      </c>
      <c r="FJ44" s="143">
        <f t="shared" ca="1" si="54"/>
        <v>0.17264604628755209</v>
      </c>
      <c r="FK44" s="143">
        <f t="shared" ca="1" si="54"/>
        <v>4.9680726534855522E-2</v>
      </c>
      <c r="FL44" s="143">
        <f t="shared" ca="1" si="54"/>
        <v>4.3569490434400268E-2</v>
      </c>
      <c r="FM44" s="143">
        <f t="shared" ca="1" si="54"/>
        <v>-2.3831838985464891E-2</v>
      </c>
      <c r="FN44" s="143">
        <f t="shared" ca="1" si="54"/>
        <v>0.1023264821594185</v>
      </c>
      <c r="FO44" s="143">
        <f t="shared" ca="1" si="54"/>
        <v>3.8493146101214924E-2</v>
      </c>
      <c r="FP44" s="143">
        <f t="shared" ca="1" si="54"/>
        <v>0.10004202271649383</v>
      </c>
      <c r="FQ44" s="143">
        <f t="shared" ca="1" si="54"/>
        <v>-8.9452666363159725E-3</v>
      </c>
      <c r="FR44" s="143">
        <f t="shared" ca="1" si="54"/>
        <v>5.7687825068681461E-2</v>
      </c>
      <c r="FS44" s="143">
        <f t="shared" ca="1" si="54"/>
        <v>-3.17425640375062E-2</v>
      </c>
      <c r="FT44" s="143">
        <f t="shared" ca="1" si="54"/>
        <v>7.566378437702162E-2</v>
      </c>
      <c r="FU44" s="143">
        <f t="shared" ca="1" si="54"/>
        <v>-1.9709576075591075E-2</v>
      </c>
      <c r="FV44" s="143">
        <f t="shared" ca="1" si="54"/>
        <v>5.9149207474280145E-2</v>
      </c>
      <c r="FW44" s="143">
        <f t="shared" ca="1" si="54"/>
        <v>7.4777848209336764E-2</v>
      </c>
      <c r="FX44" s="143">
        <f t="shared" ca="1" si="54"/>
        <v>8.1383441966429562E-2</v>
      </c>
      <c r="FY44" s="143">
        <f t="shared" ca="1" si="52"/>
        <v>0.11724758616964001</v>
      </c>
      <c r="FZ44" s="143">
        <f t="shared" ca="1" si="52"/>
        <v>-4.3708571000115187E-4</v>
      </c>
      <c r="GA44" s="143">
        <f t="shared" ca="1" si="52"/>
        <v>-8.0816765573387433E-2</v>
      </c>
      <c r="GB44" s="143">
        <f t="shared" ca="1" si="52"/>
        <v>0.1341524639331021</v>
      </c>
      <c r="GC44" s="143">
        <f t="shared" ca="1" si="52"/>
        <v>-1.3606615052430077E-2</v>
      </c>
      <c r="GD44" s="143">
        <f t="shared" ca="1" si="52"/>
        <v>0.1448603709168855</v>
      </c>
      <c r="GE44" s="143">
        <f t="shared" ca="1" si="52"/>
        <v>5.4760272049300229E-2</v>
      </c>
      <c r="GF44" s="143">
        <f t="shared" ca="1" si="52"/>
        <v>8.2464989682885653E-2</v>
      </c>
      <c r="GG44" s="143">
        <f t="shared" ca="1" si="52"/>
        <v>7.0056101088776024E-2</v>
      </c>
      <c r="GH44" s="143">
        <f t="shared" ca="1" si="52"/>
        <v>2.6128338319261177E-2</v>
      </c>
      <c r="GI44" s="143">
        <f t="shared" ca="1" si="52"/>
        <v>-1.9880285261257506E-2</v>
      </c>
      <c r="GJ44" s="143">
        <f t="shared" ca="1" si="52"/>
        <v>5.759814968802985E-2</v>
      </c>
      <c r="GK44" s="143">
        <f t="shared" ca="1" si="52"/>
        <v>0.12719552912610407</v>
      </c>
      <c r="GL44" s="143">
        <f t="shared" ca="1" si="52"/>
        <v>-3.3475893116460161E-2</v>
      </c>
      <c r="GM44" s="143">
        <f t="shared" ca="1" si="52"/>
        <v>2.6813445391522715E-2</v>
      </c>
      <c r="GN44" s="143">
        <f t="shared" ca="1" si="48"/>
        <v>3.6868875684865722E-2</v>
      </c>
      <c r="GO44" s="143">
        <f t="shared" ca="1" si="48"/>
        <v>7.9468785766624445E-2</v>
      </c>
      <c r="GP44" s="143">
        <f t="shared" ca="1" si="48"/>
        <v>4.7143081009273086E-4</v>
      </c>
      <c r="GQ44" s="143">
        <f t="shared" ca="1" si="48"/>
        <v>-1.6722397112527224E-3</v>
      </c>
      <c r="GR44" s="143">
        <f t="shared" ca="1" si="48"/>
        <v>-8.1590792836656045E-3</v>
      </c>
      <c r="GS44" s="143">
        <f t="shared" ca="1" si="48"/>
        <v>3.7824763202940426E-2</v>
      </c>
      <c r="GT44" s="143">
        <f t="shared" ca="1" si="48"/>
        <v>-2.4122371124033336E-2</v>
      </c>
      <c r="GU44" s="143">
        <f t="shared" ca="1" si="48"/>
        <v>-9.0738992499990317E-2</v>
      </c>
      <c r="GV44" s="143">
        <f t="shared" ca="1" si="48"/>
        <v>-8.8960412738591815E-2</v>
      </c>
      <c r="GW44" s="143">
        <f t="shared" ca="1" si="48"/>
        <v>3.1640818062336866E-2</v>
      </c>
      <c r="GX44" s="143">
        <f t="shared" ca="1" si="48"/>
        <v>-4.8619099628817851E-2</v>
      </c>
      <c r="GY44" s="143">
        <f t="shared" ca="1" si="48"/>
        <v>0.10603920272291717</v>
      </c>
      <c r="GZ44" s="143">
        <f t="shared" ca="1" si="48"/>
        <v>0.1300203679731288</v>
      </c>
      <c r="HA44" s="143">
        <f t="shared" ca="1" si="48"/>
        <v>-0.13618698451513211</v>
      </c>
      <c r="HB44" s="143">
        <f t="shared" ca="1" si="48"/>
        <v>6.0852138969998394E-2</v>
      </c>
      <c r="HC44" s="143">
        <f t="shared" ca="1" si="48"/>
        <v>0.13600804592907606</v>
      </c>
      <c r="HD44" s="143">
        <f t="shared" ca="1" si="48"/>
        <v>5.8513457146122737E-2</v>
      </c>
      <c r="HE44" s="143">
        <f t="shared" ca="1" si="48"/>
        <v>-1.3513605375463845E-2</v>
      </c>
      <c r="HF44" s="143">
        <f t="shared" ca="1" si="48"/>
        <v>2.9501011301457394E-2</v>
      </c>
      <c r="HG44" s="143">
        <f t="shared" ca="1" si="48"/>
        <v>-1.8818262227757294E-2</v>
      </c>
    </row>
    <row r="45" spans="1:215">
      <c r="A45" s="90">
        <v>1971</v>
      </c>
      <c r="B45" s="84">
        <v>0.14221150298426474</v>
      </c>
      <c r="C45" s="85">
        <v>0.16489999999999999</v>
      </c>
      <c r="D45" s="83">
        <f t="shared" si="4"/>
        <v>0.14674920238741179</v>
      </c>
      <c r="E45" s="85"/>
      <c r="F45" s="85"/>
      <c r="G45" s="85">
        <v>4.3342570281124503E-2</v>
      </c>
      <c r="H45" s="85">
        <v>9.7868966197122972E-2</v>
      </c>
      <c r="I45" s="85">
        <v>0.1400146617421994</v>
      </c>
      <c r="J45" s="85">
        <v>0.16693418940609939</v>
      </c>
      <c r="M45" s="115">
        <f t="shared" si="7"/>
        <v>94</v>
      </c>
      <c r="N45" s="143">
        <f t="shared" ca="1" si="49"/>
        <v>0.23730318354012644</v>
      </c>
      <c r="O45" s="143">
        <f t="shared" ca="1" si="53"/>
        <v>0.26524994350385223</v>
      </c>
      <c r="P45" s="143">
        <f t="shared" ca="1" si="53"/>
        <v>1.3892898534198797E-2</v>
      </c>
      <c r="Q45" s="143">
        <f t="shared" ca="1" si="53"/>
        <v>6.9364334701516581E-2</v>
      </c>
      <c r="R45" s="143">
        <f t="shared" ca="1" si="53"/>
        <v>9.872921319291475E-3</v>
      </c>
      <c r="S45" s="143">
        <f t="shared" ca="1" si="53"/>
        <v>0.17481807831656229</v>
      </c>
      <c r="T45" s="143">
        <f t="shared" ca="1" si="53"/>
        <v>0.31694312557733023</v>
      </c>
      <c r="U45" s="143">
        <f t="shared" ca="1" si="53"/>
        <v>0.21782730058427935</v>
      </c>
      <c r="V45" s="143">
        <f t="shared" ca="1" si="53"/>
        <v>4.1096726955624094E-2</v>
      </c>
      <c r="W45" s="143">
        <f t="shared" ca="1" si="53"/>
        <v>5.4018344078257022E-2</v>
      </c>
      <c r="X45" s="143">
        <f t="shared" ca="1" si="53"/>
        <v>0.28462750579330709</v>
      </c>
      <c r="Y45" s="143">
        <f t="shared" ca="1" si="53"/>
        <v>0.10328383865353782</v>
      </c>
      <c r="Z45" s="143">
        <f t="shared" ca="1" si="53"/>
        <v>0.15583998236762886</v>
      </c>
      <c r="AA45" s="143">
        <f t="shared" ca="1" si="53"/>
        <v>-3.3273681264399974E-2</v>
      </c>
      <c r="AB45" s="143">
        <f t="shared" ca="1" si="53"/>
        <v>-0.16090367661272395</v>
      </c>
      <c r="AC45" s="143">
        <f t="shared" ca="1" si="53"/>
        <v>-9.6671388429578203E-2</v>
      </c>
      <c r="AD45" s="143">
        <f t="shared" ca="1" si="53"/>
        <v>0.20926037590996166</v>
      </c>
      <c r="AE45" s="143">
        <f t="shared" ca="1" si="53"/>
        <v>3.5209475693391556E-2</v>
      </c>
      <c r="AF45" s="143">
        <f t="shared" ca="1" si="53"/>
        <v>0.3458384017845012</v>
      </c>
      <c r="AG45" s="143">
        <f t="shared" ca="1" si="53"/>
        <v>7.095613081395806E-2</v>
      </c>
      <c r="AH45" s="143">
        <f t="shared" ca="1" si="53"/>
        <v>0.11579535175969045</v>
      </c>
      <c r="AI45" s="143">
        <f t="shared" ca="1" si="53"/>
        <v>-0.1336923186698549</v>
      </c>
      <c r="AJ45" s="143">
        <f t="shared" ca="1" si="53"/>
        <v>6.075917038647996E-2</v>
      </c>
      <c r="AK45" s="143">
        <f t="shared" ca="1" si="53"/>
        <v>6.2307098806095564E-2</v>
      </c>
      <c r="AL45" s="143">
        <f t="shared" ca="1" si="53"/>
        <v>-9.922962341343447E-2</v>
      </c>
      <c r="AM45" s="143">
        <f t="shared" ca="1" si="53"/>
        <v>0.39172300433105733</v>
      </c>
      <c r="AN45" s="143">
        <f t="shared" ca="1" si="53"/>
        <v>0.36969594897825053</v>
      </c>
      <c r="AO45" s="143">
        <f t="shared" ca="1" si="53"/>
        <v>0.46451103780221004</v>
      </c>
      <c r="AP45" s="143">
        <f t="shared" ca="1" si="53"/>
        <v>0.18062671576529704</v>
      </c>
      <c r="AQ45" s="143">
        <f t="shared" ca="1" si="53"/>
        <v>-0.1486570733723003</v>
      </c>
      <c r="AR45" s="143">
        <f t="shared" ca="1" si="53"/>
        <v>0.14151866888461781</v>
      </c>
      <c r="AS45" s="143">
        <f t="shared" ca="1" si="53"/>
        <v>0.22729839734689311</v>
      </c>
      <c r="AT45" s="143">
        <f t="shared" ca="1" si="53"/>
        <v>0.35331470359247752</v>
      </c>
      <c r="AU45" s="143">
        <f t="shared" ca="1" si="53"/>
        <v>1.3968588323362036E-2</v>
      </c>
      <c r="AV45" s="143">
        <f t="shared" ca="1" si="53"/>
        <v>2.0918423551057608E-2</v>
      </c>
      <c r="AW45" s="143">
        <f t="shared" ca="1" si="53"/>
        <v>0.34571775684848732</v>
      </c>
      <c r="AX45" s="143">
        <f t="shared" ca="1" si="53"/>
        <v>-4.3934299518441716E-2</v>
      </c>
      <c r="AY45" s="143">
        <f t="shared" ca="1" si="53"/>
        <v>0.10467470390231533</v>
      </c>
      <c r="AZ45" s="143">
        <f t="shared" ca="1" si="53"/>
        <v>0.22439052297161763</v>
      </c>
      <c r="BA45" s="143">
        <f t="shared" ca="1" si="53"/>
        <v>0.437906266395514</v>
      </c>
      <c r="BB45" s="143">
        <f t="shared" ca="1" si="53"/>
        <v>0.23683416706880453</v>
      </c>
      <c r="BC45" s="143">
        <f t="shared" ca="1" si="53"/>
        <v>0.34316359840299915</v>
      </c>
      <c r="BD45" s="143">
        <f t="shared" ca="1" si="53"/>
        <v>1.2228247359597669E-2</v>
      </c>
      <c r="BE45" s="143">
        <f t="shared" ca="1" si="53"/>
        <v>0.24550170222355297</v>
      </c>
      <c r="BF45" s="143">
        <f t="shared" ca="1" si="53"/>
        <v>0.17911131310332476</v>
      </c>
      <c r="BG45" s="143">
        <f t="shared" ca="1" si="53"/>
        <v>0.17903988899332185</v>
      </c>
      <c r="BH45" s="143">
        <f t="shared" ca="1" si="53"/>
        <v>9.3571933055891704E-2</v>
      </c>
      <c r="BI45" s="143">
        <f t="shared" ca="1" si="53"/>
        <v>-6.8423072996304402E-2</v>
      </c>
      <c r="BJ45" s="143">
        <f t="shared" ca="1" si="53"/>
        <v>-1.651805950212773E-2</v>
      </c>
      <c r="BK45" s="143">
        <f t="shared" ca="1" si="53"/>
        <v>-0.15194004351947105</v>
      </c>
      <c r="BL45" s="143">
        <f t="shared" ca="1" si="53"/>
        <v>0.14840348660513569</v>
      </c>
      <c r="BM45" s="143">
        <f t="shared" ca="1" si="53"/>
        <v>0.16154275376084926</v>
      </c>
      <c r="BN45" s="143">
        <f t="shared" ca="1" si="53"/>
        <v>2.5788155701324922E-2</v>
      </c>
      <c r="BO45" s="143">
        <f t="shared" ca="1" si="53"/>
        <v>-8.746294755247741E-5</v>
      </c>
      <c r="BP45" s="143">
        <f t="shared" ca="1" si="53"/>
        <v>0.38184156591897189</v>
      </c>
      <c r="BQ45" s="143">
        <f t="shared" ca="1" si="53"/>
        <v>0.24229800897678958</v>
      </c>
      <c r="BR45" s="143">
        <f t="shared" ca="1" si="53"/>
        <v>0.16672874857912151</v>
      </c>
      <c r="BS45" s="143">
        <f t="shared" ca="1" si="53"/>
        <v>-0.29727137854472985</v>
      </c>
      <c r="BT45" s="143">
        <f t="shared" ca="1" si="53"/>
        <v>1.8322454558288959E-2</v>
      </c>
      <c r="BU45" s="143">
        <f t="shared" ca="1" si="53"/>
        <v>0.27652804962197491</v>
      </c>
      <c r="BV45" s="143">
        <f t="shared" ca="1" si="53"/>
        <v>-8.0266217139124574E-2</v>
      </c>
      <c r="BW45" s="143">
        <f t="shared" ca="1" si="53"/>
        <v>0.49462915699820076</v>
      </c>
      <c r="BX45" s="143">
        <f t="shared" ca="1" si="53"/>
        <v>0.14480290445567645</v>
      </c>
      <c r="BY45" s="143">
        <f t="shared" ca="1" si="53"/>
        <v>9.7763925639512639E-2</v>
      </c>
      <c r="BZ45" s="143">
        <f t="shared" ca="1" si="53"/>
        <v>8.1249622801346566E-2</v>
      </c>
      <c r="CA45" s="143">
        <f t="shared" ca="1" si="50"/>
        <v>5.9823513833768056E-2</v>
      </c>
      <c r="CB45" s="143">
        <f t="shared" ca="1" si="50"/>
        <v>0.38814743839433175</v>
      </c>
      <c r="CC45" s="143">
        <f t="shared" ca="1" si="50"/>
        <v>0.14251406670243072</v>
      </c>
      <c r="CD45" s="143">
        <f t="shared" ca="1" si="50"/>
        <v>0.16011666222024146</v>
      </c>
      <c r="CE45" s="143">
        <f t="shared" ca="1" si="50"/>
        <v>0.21222277028448971</v>
      </c>
      <c r="CF45" s="143">
        <f t="shared" ca="1" si="50"/>
        <v>-0.10612915655236302</v>
      </c>
      <c r="CG45" s="143">
        <f t="shared" ca="1" si="50"/>
        <v>-1.7078404788203785E-2</v>
      </c>
      <c r="CH45" s="143">
        <f t="shared" ca="1" si="50"/>
        <v>0.18234533362516608</v>
      </c>
      <c r="CI45" s="143">
        <f t="shared" ca="1" si="50"/>
        <v>0.23639013828812586</v>
      </c>
      <c r="CJ45" s="143">
        <f t="shared" ca="1" si="50"/>
        <v>0.15491329175858393</v>
      </c>
      <c r="CK45" s="143">
        <f t="shared" ca="1" si="50"/>
        <v>-1.1604579845603674E-3</v>
      </c>
      <c r="CL45" s="143">
        <f t="shared" ca="1" si="50"/>
        <v>0.23912700657522076</v>
      </c>
      <c r="CM45" s="143">
        <f t="shared" ca="1" si="50"/>
        <v>3.8432157208768428E-2</v>
      </c>
      <c r="CN45" s="143">
        <f t="shared" ca="1" si="50"/>
        <v>0.30898554687786128</v>
      </c>
      <c r="CO45" s="143">
        <f t="shared" ca="1" si="50"/>
        <v>0.14000965949861827</v>
      </c>
      <c r="CP45" s="143">
        <f t="shared" ca="1" si="47"/>
        <v>3.9732634386490939E-3</v>
      </c>
      <c r="CQ45" s="143">
        <f t="shared" ca="1" si="47"/>
        <v>0.13013885794580879</v>
      </c>
      <c r="CR45" s="143">
        <f t="shared" ca="1" si="47"/>
        <v>-5.9546922496191618E-2</v>
      </c>
      <c r="CS45" s="143">
        <f t="shared" ca="1" si="47"/>
        <v>0.14986947469486905</v>
      </c>
      <c r="CT45" s="143">
        <f t="shared" ca="1" si="47"/>
        <v>6.3886177770263369E-2</v>
      </c>
      <c r="CU45" s="143">
        <f t="shared" ca="1" si="47"/>
        <v>0.196143260248692</v>
      </c>
      <c r="CV45" s="143">
        <f t="shared" ca="1" si="47"/>
        <v>0.35125439082436249</v>
      </c>
      <c r="CW45" s="143">
        <f t="shared" ca="1" si="47"/>
        <v>4.1887420783619497E-2</v>
      </c>
      <c r="CX45" s="143">
        <f t="shared" ca="1" si="47"/>
        <v>-0.12116438975814925</v>
      </c>
      <c r="CY45" s="143">
        <f t="shared" ca="1" si="47"/>
        <v>0.11700411622899254</v>
      </c>
      <c r="CZ45" s="143">
        <f t="shared" ca="1" si="47"/>
        <v>5.776031168637543E-2</v>
      </c>
      <c r="DA45" s="143">
        <f t="shared" ca="1" si="47"/>
        <v>-0.12948795630055465</v>
      </c>
      <c r="DB45" s="143">
        <f t="shared" ca="1" si="47"/>
        <v>0.17972632068448888</v>
      </c>
      <c r="DC45" s="143">
        <f t="shared" ca="1" si="47"/>
        <v>0.13355648977206971</v>
      </c>
      <c r="DD45" s="143">
        <f t="shared" ca="1" si="47"/>
        <v>-0.13167297433926431</v>
      </c>
      <c r="DE45" s="143">
        <f t="shared" ca="1" si="47"/>
        <v>0.19894282352871701</v>
      </c>
      <c r="DF45" s="143">
        <f t="shared" ca="1" si="47"/>
        <v>0.13394170653714813</v>
      </c>
      <c r="DG45" s="143">
        <f t="shared" ca="1" si="47"/>
        <v>5.9612858053891889E-2</v>
      </c>
      <c r="DH45" s="143">
        <f t="shared" ca="1" si="47"/>
        <v>0.32475130653319462</v>
      </c>
      <c r="DI45" s="143">
        <f t="shared" ca="1" si="47"/>
        <v>0.42249733284181112</v>
      </c>
      <c r="DK45" s="115">
        <f t="shared" si="8"/>
        <v>94</v>
      </c>
      <c r="DL45" s="143">
        <f t="shared" ca="1" si="51"/>
        <v>0.15135033130720191</v>
      </c>
      <c r="DM45" s="143">
        <f t="shared" ca="1" si="54"/>
        <v>8.1111448777344053E-2</v>
      </c>
      <c r="DN45" s="143">
        <f t="shared" ca="1" si="54"/>
        <v>0.15404259637553011</v>
      </c>
      <c r="DO45" s="143">
        <f t="shared" ca="1" si="54"/>
        <v>4.6733190970063031E-2</v>
      </c>
      <c r="DP45" s="143">
        <f t="shared" ca="1" si="54"/>
        <v>6.3521296724242962E-2</v>
      </c>
      <c r="DQ45" s="143">
        <f t="shared" ca="1" si="54"/>
        <v>8.8761889926748633E-2</v>
      </c>
      <c r="DR45" s="143">
        <f t="shared" ca="1" si="54"/>
        <v>0.1989574642881218</v>
      </c>
      <c r="DS45" s="143">
        <f t="shared" ca="1" si="54"/>
        <v>9.5044148994389538E-2</v>
      </c>
      <c r="DT45" s="143">
        <f t="shared" ca="1" si="54"/>
        <v>0.20391521623245004</v>
      </c>
      <c r="DU45" s="143">
        <f t="shared" ca="1" si="54"/>
        <v>0.11184485802381466</v>
      </c>
      <c r="DV45" s="143">
        <f t="shared" ca="1" si="54"/>
        <v>1.654286930870582E-2</v>
      </c>
      <c r="DW45" s="143">
        <f t="shared" ca="1" si="54"/>
        <v>0.23680647327547158</v>
      </c>
      <c r="DX45" s="143">
        <f t="shared" ca="1" si="54"/>
        <v>-5.7180027779725681E-3</v>
      </c>
      <c r="DY45" s="143">
        <f t="shared" ca="1" si="54"/>
        <v>9.3905625441398022E-2</v>
      </c>
      <c r="DZ45" s="143">
        <f t="shared" ca="1" si="54"/>
        <v>-1.4427922343436754E-2</v>
      </c>
      <c r="EA45" s="143">
        <f t="shared" ca="1" si="54"/>
        <v>1.7495367187206345E-3</v>
      </c>
      <c r="EB45" s="143">
        <f t="shared" ca="1" si="54"/>
        <v>0.18354100472951915</v>
      </c>
      <c r="EC45" s="143">
        <f t="shared" ca="1" si="54"/>
        <v>0.11684540428326987</v>
      </c>
      <c r="ED45" s="143">
        <f t="shared" ca="1" si="54"/>
        <v>3.9541464347114072E-2</v>
      </c>
      <c r="EE45" s="143">
        <f t="shared" ca="1" si="54"/>
        <v>0.10676541971266147</v>
      </c>
      <c r="EF45" s="143">
        <f t="shared" ca="1" si="54"/>
        <v>9.8361359828607844E-2</v>
      </c>
      <c r="EG45" s="143">
        <f t="shared" ca="1" si="54"/>
        <v>1.4948295070601005E-2</v>
      </c>
      <c r="EH45" s="143">
        <f t="shared" ca="1" si="54"/>
        <v>-4.6214223897636797E-3</v>
      </c>
      <c r="EI45" s="143">
        <f t="shared" ca="1" si="54"/>
        <v>6.5672978436553661E-2</v>
      </c>
      <c r="EJ45" s="143">
        <f t="shared" ca="1" si="54"/>
        <v>0.25765201321192588</v>
      </c>
      <c r="EK45" s="143">
        <f t="shared" ca="1" si="54"/>
        <v>7.7630974323001478E-2</v>
      </c>
      <c r="EL45" s="143">
        <f t="shared" ca="1" si="54"/>
        <v>-0.12794948367755019</v>
      </c>
      <c r="EM45" s="143">
        <f t="shared" ca="1" si="54"/>
        <v>5.1419921530776333E-2</v>
      </c>
      <c r="EN45" s="143">
        <f t="shared" ca="1" si="54"/>
        <v>6.3015855597913964E-2</v>
      </c>
      <c r="EO45" s="143">
        <f t="shared" ca="1" si="54"/>
        <v>4.9559123556013635E-2</v>
      </c>
      <c r="EP45" s="143">
        <f t="shared" ca="1" si="54"/>
        <v>1.9477015267427119E-2</v>
      </c>
      <c r="EQ45" s="143">
        <f t="shared" ca="1" si="54"/>
        <v>0.22596205498103616</v>
      </c>
      <c r="ER45" s="143">
        <f t="shared" ca="1" si="54"/>
        <v>8.3617033587714384E-2</v>
      </c>
      <c r="ES45" s="143">
        <f t="shared" ca="1" si="54"/>
        <v>-4.7377229264242864E-2</v>
      </c>
      <c r="ET45" s="143">
        <f t="shared" ca="1" si="54"/>
        <v>-2.6263970177237632E-2</v>
      </c>
      <c r="EU45" s="143">
        <f t="shared" ca="1" si="54"/>
        <v>0.14902478029080671</v>
      </c>
      <c r="EV45" s="143">
        <f t="shared" ca="1" si="54"/>
        <v>-1.1042784856174284E-2</v>
      </c>
      <c r="EW45" s="143">
        <f t="shared" ca="1" si="54"/>
        <v>0.11722473892662441</v>
      </c>
      <c r="EX45" s="143">
        <f t="shared" ca="1" si="54"/>
        <v>2.2732169588195714E-2</v>
      </c>
      <c r="EY45" s="143">
        <f t="shared" ca="1" si="54"/>
        <v>9.6208953652039755E-3</v>
      </c>
      <c r="EZ45" s="143">
        <f t="shared" ca="1" si="54"/>
        <v>0.16241086850689185</v>
      </c>
      <c r="FA45" s="143">
        <f t="shared" ca="1" si="54"/>
        <v>1.0518686876881761E-2</v>
      </c>
      <c r="FB45" s="143">
        <f t="shared" ca="1" si="54"/>
        <v>1.0362640455524555E-2</v>
      </c>
      <c r="FC45" s="143">
        <f t="shared" ca="1" si="54"/>
        <v>0.13167615911257699</v>
      </c>
      <c r="FD45" s="143">
        <f t="shared" ca="1" si="54"/>
        <v>0.12717340780512493</v>
      </c>
      <c r="FE45" s="143">
        <f t="shared" ca="1" si="54"/>
        <v>-7.1634746599937599E-2</v>
      </c>
      <c r="FF45" s="143">
        <f t="shared" ca="1" si="54"/>
        <v>3.4478562409257237E-2</v>
      </c>
      <c r="FG45" s="143">
        <f t="shared" ca="1" si="54"/>
        <v>-4.0892500315581705E-2</v>
      </c>
      <c r="FH45" s="143">
        <f t="shared" ca="1" si="54"/>
        <v>2.6883874124922626E-2</v>
      </c>
      <c r="FI45" s="143">
        <f t="shared" ca="1" si="54"/>
        <v>3.9072558053159803E-2</v>
      </c>
      <c r="FJ45" s="143">
        <f t="shared" ca="1" si="54"/>
        <v>6.0684757268976278E-2</v>
      </c>
      <c r="FK45" s="143">
        <f t="shared" ca="1" si="54"/>
        <v>-6.7656350550458766E-2</v>
      </c>
      <c r="FL45" s="143">
        <f t="shared" ca="1" si="54"/>
        <v>0.11752596417364417</v>
      </c>
      <c r="FM45" s="143">
        <f t="shared" ca="1" si="54"/>
        <v>5.4551905841127235E-2</v>
      </c>
      <c r="FN45" s="143">
        <f t="shared" ca="1" si="54"/>
        <v>-3.6702204675745066E-2</v>
      </c>
      <c r="FO45" s="143">
        <f t="shared" ca="1" si="54"/>
        <v>0.18912784182816395</v>
      </c>
      <c r="FP45" s="143">
        <f t="shared" ca="1" si="54"/>
        <v>5.0991590654169437E-2</v>
      </c>
      <c r="FQ45" s="143">
        <f t="shared" ca="1" si="54"/>
        <v>-2.4926086493448872E-2</v>
      </c>
      <c r="FR45" s="143">
        <f t="shared" ca="1" si="54"/>
        <v>5.5596654479512828E-2</v>
      </c>
      <c r="FS45" s="143">
        <f t="shared" ca="1" si="54"/>
        <v>2.4308540765886788E-2</v>
      </c>
      <c r="FT45" s="143">
        <f t="shared" ca="1" si="54"/>
        <v>0.11313610520785886</v>
      </c>
      <c r="FU45" s="143">
        <f t="shared" ca="1" si="54"/>
        <v>-8.6364224025015784E-4</v>
      </c>
      <c r="FV45" s="143">
        <f t="shared" ca="1" si="54"/>
        <v>4.0312022669195757E-2</v>
      </c>
      <c r="FW45" s="143">
        <f t="shared" ca="1" si="54"/>
        <v>3.0738224143878404E-3</v>
      </c>
      <c r="FX45" s="143">
        <f t="shared" ca="1" si="54"/>
        <v>6.3728268180474543E-2</v>
      </c>
      <c r="FY45" s="143">
        <f t="shared" ca="1" si="52"/>
        <v>-3.6272580578678527E-2</v>
      </c>
      <c r="FZ45" s="143">
        <f t="shared" ca="1" si="52"/>
        <v>3.3195358737359557E-2</v>
      </c>
      <c r="GA45" s="143">
        <f t="shared" ca="1" si="52"/>
        <v>0.11715381715903533</v>
      </c>
      <c r="GB45" s="143">
        <f t="shared" ca="1" si="52"/>
        <v>9.4341696026378347E-3</v>
      </c>
      <c r="GC45" s="143">
        <f t="shared" ca="1" si="52"/>
        <v>2.6925434735337872E-4</v>
      </c>
      <c r="GD45" s="143">
        <f t="shared" ca="1" si="52"/>
        <v>3.4290474509366328E-3</v>
      </c>
      <c r="GE45" s="143">
        <f t="shared" ca="1" si="52"/>
        <v>4.9124644802701428E-2</v>
      </c>
      <c r="GF45" s="143">
        <f t="shared" ca="1" si="52"/>
        <v>-3.4662124032924325E-2</v>
      </c>
      <c r="GG45" s="143">
        <f t="shared" ca="1" si="52"/>
        <v>7.6167357037455641E-2</v>
      </c>
      <c r="GH45" s="143">
        <f t="shared" ca="1" si="52"/>
        <v>0.12174839423277931</v>
      </c>
      <c r="GI45" s="143">
        <f t="shared" ca="1" si="52"/>
        <v>-6.144708367223204E-2</v>
      </c>
      <c r="GJ45" s="143">
        <f t="shared" ca="1" si="52"/>
        <v>0.11425337478150127</v>
      </c>
      <c r="GK45" s="143">
        <f t="shared" ca="1" si="52"/>
        <v>5.637019984307623E-2</v>
      </c>
      <c r="GL45" s="143">
        <f t="shared" ca="1" si="52"/>
        <v>-0.11469052453194098</v>
      </c>
      <c r="GM45" s="143">
        <f t="shared" ca="1" si="52"/>
        <v>2.673056324843219E-2</v>
      </c>
      <c r="GN45" s="143">
        <f t="shared" ca="1" si="48"/>
        <v>0.17254261865821152</v>
      </c>
      <c r="GO45" s="143">
        <f t="shared" ca="1" si="48"/>
        <v>7.7466118698254302E-2</v>
      </c>
      <c r="GP45" s="143">
        <f t="shared" ca="1" si="48"/>
        <v>-7.5779283958257657E-3</v>
      </c>
      <c r="GQ45" s="143">
        <f t="shared" ca="1" si="48"/>
        <v>1.6814596368723574E-2</v>
      </c>
      <c r="GR45" s="143">
        <f t="shared" ca="1" si="48"/>
        <v>0.10281556885390314</v>
      </c>
      <c r="GS45" s="143">
        <f t="shared" ca="1" si="48"/>
        <v>7.1797758940638529E-2</v>
      </c>
      <c r="GT45" s="143">
        <f t="shared" ca="1" si="48"/>
        <v>-4.6956781068119784E-2</v>
      </c>
      <c r="GU45" s="143">
        <f t="shared" ca="1" si="48"/>
        <v>4.3789881505298993E-2</v>
      </c>
      <c r="GV45" s="143">
        <f t="shared" ca="1" si="48"/>
        <v>7.3415673670042411E-2</v>
      </c>
      <c r="GW45" s="143">
        <f t="shared" ca="1" si="48"/>
        <v>5.5750493182999239E-2</v>
      </c>
      <c r="GX45" s="143">
        <f t="shared" ca="1" si="48"/>
        <v>-8.913348816392358E-3</v>
      </c>
      <c r="GY45" s="143">
        <f t="shared" ca="1" si="48"/>
        <v>0.14393119500971596</v>
      </c>
      <c r="GZ45" s="143">
        <f t="shared" ca="1" si="48"/>
        <v>0.15869573094965286</v>
      </c>
      <c r="HA45" s="143">
        <f t="shared" ca="1" si="48"/>
        <v>5.572346749618113E-2</v>
      </c>
      <c r="HB45" s="143">
        <f t="shared" ca="1" si="48"/>
        <v>2.4359483926899787E-2</v>
      </c>
      <c r="HC45" s="143">
        <f t="shared" ca="1" si="48"/>
        <v>-2.1125685678160998E-2</v>
      </c>
      <c r="HD45" s="143">
        <f t="shared" ca="1" si="48"/>
        <v>0.13570158947355507</v>
      </c>
      <c r="HE45" s="143">
        <f t="shared" ca="1" si="48"/>
        <v>3.2642453090932548E-2</v>
      </c>
      <c r="HF45" s="143">
        <f t="shared" ca="1" si="48"/>
        <v>2.5525406486697308E-2</v>
      </c>
      <c r="HG45" s="143">
        <f t="shared" ca="1" si="48"/>
        <v>0.12279586370483783</v>
      </c>
    </row>
    <row r="46" spans="1:215">
      <c r="A46" s="90">
        <v>1972</v>
      </c>
      <c r="B46" s="84">
        <v>0.18755362915074925</v>
      </c>
      <c r="C46" s="85">
        <v>2.5999999999999999E-3</v>
      </c>
      <c r="D46" s="83">
        <f t="shared" si="4"/>
        <v>0.15056290332059941</v>
      </c>
      <c r="E46" s="85"/>
      <c r="F46" s="85"/>
      <c r="G46" s="85">
        <v>4.0618399999999999E-2</v>
      </c>
      <c r="H46" s="85">
        <v>2.818449050444969E-2</v>
      </c>
      <c r="I46" s="85">
        <v>0.11409093579389698</v>
      </c>
      <c r="J46" s="85">
        <v>0.48784961027051832</v>
      </c>
      <c r="M46" s="115">
        <f t="shared" si="7"/>
        <v>95</v>
      </c>
      <c r="N46" s="143">
        <f t="shared" ca="1" si="49"/>
        <v>-0.13181031385871986</v>
      </c>
      <c r="O46" s="143">
        <f t="shared" ca="1" si="53"/>
        <v>0.21877733367267521</v>
      </c>
      <c r="P46" s="143">
        <f t="shared" ca="1" si="53"/>
        <v>-1.7736614331328671E-2</v>
      </c>
      <c r="Q46" s="143">
        <f t="shared" ca="1" si="53"/>
        <v>6.9408069176292497E-2</v>
      </c>
      <c r="R46" s="143">
        <f t="shared" ca="1" si="53"/>
        <v>0.43330234293222736</v>
      </c>
      <c r="S46" s="143">
        <f t="shared" ca="1" si="53"/>
        <v>4.8167376755829334E-2</v>
      </c>
      <c r="T46" s="143">
        <f t="shared" ca="1" si="53"/>
        <v>9.8632433481896084E-2</v>
      </c>
      <c r="U46" s="143">
        <f t="shared" ca="1" si="53"/>
        <v>0.24223724609718211</v>
      </c>
      <c r="V46" s="143">
        <f t="shared" ca="1" si="53"/>
        <v>-0.22789415237092495</v>
      </c>
      <c r="W46" s="143">
        <f t="shared" ca="1" si="53"/>
        <v>1.7846503345405648E-2</v>
      </c>
      <c r="X46" s="143">
        <f t="shared" ca="1" si="53"/>
        <v>-0.40478507659274499</v>
      </c>
      <c r="Y46" s="143">
        <f t="shared" ca="1" si="53"/>
        <v>0.14157503418543554</v>
      </c>
      <c r="Z46" s="143">
        <f t="shared" ca="1" si="53"/>
        <v>0.24022154187469202</v>
      </c>
      <c r="AA46" s="143">
        <f t="shared" ca="1" si="53"/>
        <v>-1.8456310507673768E-2</v>
      </c>
      <c r="AB46" s="143">
        <f t="shared" ca="1" si="53"/>
        <v>0.25713956366877955</v>
      </c>
      <c r="AC46" s="143">
        <f t="shared" ca="1" si="53"/>
        <v>0.37819768550294364</v>
      </c>
      <c r="AD46" s="143">
        <f t="shared" ca="1" si="53"/>
        <v>0.25043929695610179</v>
      </c>
      <c r="AE46" s="143">
        <f t="shared" ca="1" si="53"/>
        <v>0.19687320087246732</v>
      </c>
      <c r="AF46" s="143">
        <f t="shared" ca="1" si="53"/>
        <v>0.14807909885299311</v>
      </c>
      <c r="AG46" s="143">
        <f t="shared" ca="1" si="53"/>
        <v>-0.12524660242011382</v>
      </c>
      <c r="AH46" s="143">
        <f t="shared" ca="1" si="53"/>
        <v>-4.9486867526017692E-2</v>
      </c>
      <c r="AI46" s="143">
        <f t="shared" ca="1" si="53"/>
        <v>-4.8093696213531378E-2</v>
      </c>
      <c r="AJ46" s="143">
        <f t="shared" ca="1" si="53"/>
        <v>0.19734064849418562</v>
      </c>
      <c r="AK46" s="143">
        <f t="shared" ca="1" si="53"/>
        <v>1.3171955226309456E-3</v>
      </c>
      <c r="AL46" s="143">
        <f t="shared" ca="1" si="53"/>
        <v>0.22707407058610865</v>
      </c>
      <c r="AM46" s="143">
        <f t="shared" ca="1" si="53"/>
        <v>-0.11483017248741498</v>
      </c>
      <c r="AN46" s="143">
        <f t="shared" ca="1" si="53"/>
        <v>5.8381275295569926E-2</v>
      </c>
      <c r="AO46" s="143">
        <f t="shared" ca="1" si="53"/>
        <v>-0.4704322246843714</v>
      </c>
      <c r="AP46" s="143">
        <f t="shared" ca="1" si="53"/>
        <v>0.10555790236254804</v>
      </c>
      <c r="AQ46" s="143">
        <f t="shared" ca="1" si="53"/>
        <v>1.0675125547112155E-2</v>
      </c>
      <c r="AR46" s="143">
        <f t="shared" ca="1" si="53"/>
        <v>0.36346565709008405</v>
      </c>
      <c r="AS46" s="143">
        <f t="shared" ca="1" si="53"/>
        <v>0.10480380728458726</v>
      </c>
      <c r="AT46" s="143">
        <f t="shared" ca="1" si="53"/>
        <v>0.28116564898747931</v>
      </c>
      <c r="AU46" s="143">
        <f t="shared" ca="1" si="53"/>
        <v>0.18355307492226836</v>
      </c>
      <c r="AV46" s="143">
        <f t="shared" ca="1" si="53"/>
        <v>0.16104133913405716</v>
      </c>
      <c r="AW46" s="143">
        <f t="shared" ca="1" si="53"/>
        <v>0.26919999599098154</v>
      </c>
      <c r="AX46" s="143">
        <f t="shared" ca="1" si="53"/>
        <v>-8.8783089295303763E-2</v>
      </c>
      <c r="AY46" s="143">
        <f t="shared" ca="1" si="53"/>
        <v>0.30921436539208969</v>
      </c>
      <c r="AZ46" s="143">
        <f t="shared" ca="1" si="53"/>
        <v>9.4430654429348393E-2</v>
      </c>
      <c r="BA46" s="143">
        <f t="shared" ca="1" si="53"/>
        <v>0.2656232533504026</v>
      </c>
      <c r="BB46" s="143">
        <f t="shared" ca="1" si="53"/>
        <v>-0.13093991541637523</v>
      </c>
      <c r="BC46" s="143">
        <f t="shared" ca="1" si="53"/>
        <v>7.4953338232047043E-2</v>
      </c>
      <c r="BD46" s="143">
        <f t="shared" ca="1" si="53"/>
        <v>0.29257586597897312</v>
      </c>
      <c r="BE46" s="143">
        <f t="shared" ca="1" si="53"/>
        <v>0.21264508501812754</v>
      </c>
      <c r="BF46" s="143">
        <f t="shared" ca="1" si="53"/>
        <v>0.27447337032465946</v>
      </c>
      <c r="BG46" s="143">
        <f t="shared" ca="1" si="53"/>
        <v>0.24937987144498447</v>
      </c>
      <c r="BH46" s="143">
        <f t="shared" ca="1" si="53"/>
        <v>-5.0723050166230826E-2</v>
      </c>
      <c r="BI46" s="143">
        <f t="shared" ca="1" si="53"/>
        <v>-0.14826424683895539</v>
      </c>
      <c r="BJ46" s="143">
        <f t="shared" ca="1" si="53"/>
        <v>0.14136930491758132</v>
      </c>
      <c r="BK46" s="143">
        <f t="shared" ca="1" si="53"/>
        <v>-0.18157256569446059</v>
      </c>
      <c r="BL46" s="143">
        <f t="shared" ca="1" si="53"/>
        <v>-0.1504568952593125</v>
      </c>
      <c r="BM46" s="143">
        <f t="shared" ca="1" si="53"/>
        <v>-6.8284279755967875E-2</v>
      </c>
      <c r="BN46" s="143">
        <f t="shared" ca="1" si="53"/>
        <v>-7.2940710315637369E-3</v>
      </c>
      <c r="BO46" s="143">
        <f t="shared" ca="1" si="53"/>
        <v>4.9009054372699819E-2</v>
      </c>
      <c r="BP46" s="143">
        <f t="shared" ca="1" si="53"/>
        <v>7.1623688950739034E-2</v>
      </c>
      <c r="BQ46" s="143">
        <f t="shared" ca="1" si="53"/>
        <v>0.36436064774910792</v>
      </c>
      <c r="BR46" s="143">
        <f t="shared" ca="1" si="53"/>
        <v>-5.4689633875803473E-2</v>
      </c>
      <c r="BS46" s="143">
        <f t="shared" ca="1" si="53"/>
        <v>-0.28039788951743905</v>
      </c>
      <c r="BT46" s="143">
        <f t="shared" ca="1" si="53"/>
        <v>0.36783531904706557</v>
      </c>
      <c r="BU46" s="143">
        <f t="shared" ca="1" si="53"/>
        <v>-0.14566343306956689</v>
      </c>
      <c r="BV46" s="143">
        <f t="shared" ca="1" si="53"/>
        <v>-9.866492572776081E-3</v>
      </c>
      <c r="BW46" s="143">
        <f t="shared" ca="1" si="53"/>
        <v>1.6771313922282094E-2</v>
      </c>
      <c r="BX46" s="143">
        <f t="shared" ca="1" si="53"/>
        <v>6.3986830903069239E-2</v>
      </c>
      <c r="BY46" s="143">
        <f t="shared" ca="1" si="53"/>
        <v>0.18593562866232682</v>
      </c>
      <c r="BZ46" s="143">
        <f t="shared" ref="BZ46:DI49" ca="1" si="55">_xlfn.NORM.INV(RAND(),$B$112,$B$113)</f>
        <v>-4.9924112063080311E-2</v>
      </c>
      <c r="CA46" s="143">
        <f t="shared" ca="1" si="55"/>
        <v>0.16851847992193267</v>
      </c>
      <c r="CB46" s="143">
        <f t="shared" ca="1" si="55"/>
        <v>0.15546157311150785</v>
      </c>
      <c r="CC46" s="143">
        <f t="shared" ca="1" si="55"/>
        <v>-0.15456219765772553</v>
      </c>
      <c r="CD46" s="143">
        <f t="shared" ca="1" si="55"/>
        <v>-0.16937516083461443</v>
      </c>
      <c r="CE46" s="143">
        <f t="shared" ca="1" si="55"/>
        <v>0.47426622758615689</v>
      </c>
      <c r="CF46" s="143">
        <f t="shared" ca="1" si="55"/>
        <v>0.24238811609547026</v>
      </c>
      <c r="CG46" s="143">
        <f t="shared" ca="1" si="55"/>
        <v>0.22602008810926619</v>
      </c>
      <c r="CH46" s="143">
        <f t="shared" ca="1" si="55"/>
        <v>-0.19375138289234337</v>
      </c>
      <c r="CI46" s="143">
        <f t="shared" ca="1" si="55"/>
        <v>0.24703773868505294</v>
      </c>
      <c r="CJ46" s="143">
        <f t="shared" ca="1" si="55"/>
        <v>0.37651356276774861</v>
      </c>
      <c r="CK46" s="143">
        <f t="shared" ca="1" si="55"/>
        <v>-0.1154991009762221</v>
      </c>
      <c r="CL46" s="143">
        <f t="shared" ca="1" si="55"/>
        <v>-2.6317126800849133E-3</v>
      </c>
      <c r="CM46" s="143">
        <f t="shared" ca="1" si="55"/>
        <v>0.38654324015850328</v>
      </c>
      <c r="CN46" s="143">
        <f t="shared" ca="1" si="55"/>
        <v>0.35473283649575427</v>
      </c>
      <c r="CO46" s="143">
        <f t="shared" ca="1" si="55"/>
        <v>3.4865937036929751E-2</v>
      </c>
      <c r="CP46" s="143">
        <f t="shared" ca="1" si="55"/>
        <v>0.10136746869833654</v>
      </c>
      <c r="CQ46" s="143">
        <f t="shared" ca="1" si="55"/>
        <v>0.2902354300663475</v>
      </c>
      <c r="CR46" s="143">
        <f t="shared" ca="1" si="55"/>
        <v>-8.2141977266044081E-3</v>
      </c>
      <c r="CS46" s="143">
        <f t="shared" ca="1" si="55"/>
        <v>0.1844038910163657</v>
      </c>
      <c r="CT46" s="143">
        <f t="shared" ca="1" si="55"/>
        <v>0.13285755871552751</v>
      </c>
      <c r="CU46" s="143">
        <f t="shared" ca="1" si="55"/>
        <v>-9.3777558412340062E-2</v>
      </c>
      <c r="CV46" s="143">
        <f t="shared" ca="1" si="55"/>
        <v>0.30196279236592916</v>
      </c>
      <c r="CW46" s="143">
        <f t="shared" ca="1" si="55"/>
        <v>0.22869975569087475</v>
      </c>
      <c r="CX46" s="143">
        <f t="shared" ca="1" si="55"/>
        <v>6.842480007716896E-2</v>
      </c>
      <c r="CY46" s="143">
        <f t="shared" ca="1" si="55"/>
        <v>-0.33543237527264946</v>
      </c>
      <c r="CZ46" s="143">
        <f t="shared" ca="1" si="55"/>
        <v>0.22396849937159893</v>
      </c>
      <c r="DA46" s="143">
        <f t="shared" ca="1" si="55"/>
        <v>0.46080593098432121</v>
      </c>
      <c r="DB46" s="143">
        <f t="shared" ca="1" si="55"/>
        <v>-0.19873373884034271</v>
      </c>
      <c r="DC46" s="143">
        <f t="shared" ca="1" si="55"/>
        <v>0.13688378643665955</v>
      </c>
      <c r="DD46" s="143">
        <f t="shared" ca="1" si="55"/>
        <v>0.35718861365752419</v>
      </c>
      <c r="DE46" s="143">
        <f t="shared" ca="1" si="55"/>
        <v>1.0382162112139021E-3</v>
      </c>
      <c r="DF46" s="143">
        <f t="shared" ca="1" si="55"/>
        <v>-0.11243064847010692</v>
      </c>
      <c r="DG46" s="143">
        <f t="shared" ca="1" si="55"/>
        <v>0.26812839742545191</v>
      </c>
      <c r="DH46" s="143">
        <f t="shared" ca="1" si="55"/>
        <v>-0.10354507138499952</v>
      </c>
      <c r="DI46" s="143">
        <f t="shared" ca="1" si="55"/>
        <v>0.10643332191925749</v>
      </c>
      <c r="DK46" s="115">
        <f t="shared" si="8"/>
        <v>95</v>
      </c>
      <c r="DL46" s="143">
        <f t="shared" ca="1" si="51"/>
        <v>-8.7283417583555595E-3</v>
      </c>
      <c r="DM46" s="143">
        <f t="shared" ca="1" si="54"/>
        <v>5.7821371085001211E-2</v>
      </c>
      <c r="DN46" s="143">
        <f t="shared" ca="1" si="54"/>
        <v>0.12655322306536471</v>
      </c>
      <c r="DO46" s="143">
        <f t="shared" ca="1" si="54"/>
        <v>-3.6308763650353022E-2</v>
      </c>
      <c r="DP46" s="143">
        <f t="shared" ca="1" si="54"/>
        <v>5.6649013279540104E-2</v>
      </c>
      <c r="DQ46" s="143">
        <f t="shared" ca="1" si="54"/>
        <v>5.2104639062157398E-2</v>
      </c>
      <c r="DR46" s="143">
        <f t="shared" ca="1" si="54"/>
        <v>1.802782377900207E-3</v>
      </c>
      <c r="DS46" s="143">
        <f t="shared" ca="1" si="54"/>
        <v>-1.2085691542775827E-2</v>
      </c>
      <c r="DT46" s="143">
        <f t="shared" ca="1" si="54"/>
        <v>9.5087267741431447E-2</v>
      </c>
      <c r="DU46" s="143">
        <f t="shared" ca="1" si="54"/>
        <v>0.1030842646289659</v>
      </c>
      <c r="DV46" s="143">
        <f t="shared" ca="1" si="54"/>
        <v>0.11452475895688619</v>
      </c>
      <c r="DW46" s="143">
        <f t="shared" ca="1" si="54"/>
        <v>0.16810784811040624</v>
      </c>
      <c r="DX46" s="143">
        <f t="shared" ca="1" si="54"/>
        <v>6.1953203871351469E-2</v>
      </c>
      <c r="DY46" s="143">
        <f t="shared" ca="1" si="54"/>
        <v>4.6321743760329562E-2</v>
      </c>
      <c r="DZ46" s="143">
        <f t="shared" ca="1" si="54"/>
        <v>-3.5142177600885081E-2</v>
      </c>
      <c r="EA46" s="143">
        <f t="shared" ca="1" si="54"/>
        <v>0.10030063228174839</v>
      </c>
      <c r="EB46" s="143">
        <f t="shared" ca="1" si="54"/>
        <v>-7.3089329937822384E-2</v>
      </c>
      <c r="EC46" s="143">
        <f t="shared" ca="1" si="54"/>
        <v>0.14893077202351077</v>
      </c>
      <c r="ED46" s="143">
        <f t="shared" ca="1" si="54"/>
        <v>0.13512934984310487</v>
      </c>
      <c r="EE46" s="143">
        <f t="shared" ca="1" si="54"/>
        <v>3.8793501387448755E-2</v>
      </c>
      <c r="EF46" s="143">
        <f t="shared" ca="1" si="54"/>
        <v>-2.101144547768042E-2</v>
      </c>
      <c r="EG46" s="143">
        <f t="shared" ca="1" si="54"/>
        <v>0.11264965647835415</v>
      </c>
      <c r="EH46" s="143">
        <f t="shared" ca="1" si="54"/>
        <v>3.7038042854170179E-2</v>
      </c>
      <c r="EI46" s="143">
        <f t="shared" ca="1" si="54"/>
        <v>3.5936559133264809E-2</v>
      </c>
      <c r="EJ46" s="143">
        <f t="shared" ca="1" si="54"/>
        <v>3.0257149194332013E-2</v>
      </c>
      <c r="EK46" s="143">
        <f t="shared" ca="1" si="54"/>
        <v>3.5418283461917166E-2</v>
      </c>
      <c r="EL46" s="143">
        <f t="shared" ca="1" si="54"/>
        <v>9.2221172733162882E-2</v>
      </c>
      <c r="EM46" s="143">
        <f t="shared" ca="1" si="54"/>
        <v>0.11671523348370361</v>
      </c>
      <c r="EN46" s="143">
        <f t="shared" ca="1" si="54"/>
        <v>-0.12704877781780891</v>
      </c>
      <c r="EO46" s="143">
        <f t="shared" ca="1" si="54"/>
        <v>3.7866104690880323E-2</v>
      </c>
      <c r="EP46" s="143">
        <f t="shared" ca="1" si="54"/>
        <v>-9.4818577020598815E-2</v>
      </c>
      <c r="EQ46" s="143">
        <f t="shared" ca="1" si="54"/>
        <v>2.0238629024196337E-2</v>
      </c>
      <c r="ER46" s="143">
        <f t="shared" ca="1" si="54"/>
        <v>-4.2798772766908431E-2</v>
      </c>
      <c r="ES46" s="143">
        <f t="shared" ca="1" si="54"/>
        <v>-0.12298386984259754</v>
      </c>
      <c r="ET46" s="143">
        <f t="shared" ca="1" si="54"/>
        <v>5.1432975567532471E-2</v>
      </c>
      <c r="EU46" s="143">
        <f t="shared" ca="1" si="54"/>
        <v>4.6460112138105643E-2</v>
      </c>
      <c r="EV46" s="143">
        <f t="shared" ca="1" si="54"/>
        <v>8.225929126501591E-2</v>
      </c>
      <c r="EW46" s="143">
        <f t="shared" ca="1" si="54"/>
        <v>-3.8756387982459513E-2</v>
      </c>
      <c r="EX46" s="143">
        <f t="shared" ca="1" si="54"/>
        <v>0.15811382883892627</v>
      </c>
      <c r="EY46" s="143">
        <f t="shared" ca="1" si="54"/>
        <v>0.1226743833429712</v>
      </c>
      <c r="EZ46" s="143">
        <f t="shared" ca="1" si="54"/>
        <v>-5.1333130124577714E-3</v>
      </c>
      <c r="FA46" s="143">
        <f t="shared" ca="1" si="54"/>
        <v>0.19990209523210417</v>
      </c>
      <c r="FB46" s="143">
        <f t="shared" ca="1" si="54"/>
        <v>0.11793361926419996</v>
      </c>
      <c r="FC46" s="143">
        <f t="shared" ca="1" si="54"/>
        <v>0.13576442845669637</v>
      </c>
      <c r="FD46" s="143">
        <f t="shared" ca="1" si="54"/>
        <v>-6.8609998385687571E-2</v>
      </c>
      <c r="FE46" s="143">
        <f t="shared" ca="1" si="54"/>
        <v>0.18497644399460098</v>
      </c>
      <c r="FF46" s="143">
        <f t="shared" ca="1" si="54"/>
        <v>9.4109503826551338E-2</v>
      </c>
      <c r="FG46" s="143">
        <f t="shared" ca="1" si="54"/>
        <v>3.7992373924392378E-2</v>
      </c>
      <c r="FH46" s="143">
        <f t="shared" ca="1" si="54"/>
        <v>0.11808820030888953</v>
      </c>
      <c r="FI46" s="143">
        <f t="shared" ca="1" si="54"/>
        <v>6.1767132044416966E-2</v>
      </c>
      <c r="FJ46" s="143">
        <f t="shared" ca="1" si="54"/>
        <v>-7.4776093743690986E-2</v>
      </c>
      <c r="FK46" s="143">
        <f t="shared" ca="1" si="54"/>
        <v>0.14404972831017418</v>
      </c>
      <c r="FL46" s="143">
        <f t="shared" ca="1" si="54"/>
        <v>-2.1085203355709951E-2</v>
      </c>
      <c r="FM46" s="143">
        <f t="shared" ca="1" si="54"/>
        <v>3.1219241387265964E-2</v>
      </c>
      <c r="FN46" s="143">
        <f t="shared" ca="1" si="54"/>
        <v>7.5639266547548184E-4</v>
      </c>
      <c r="FO46" s="143">
        <f t="shared" ca="1" si="54"/>
        <v>9.3463004047266068E-2</v>
      </c>
      <c r="FP46" s="143">
        <f t="shared" ca="1" si="54"/>
        <v>5.12540982536085E-2</v>
      </c>
      <c r="FQ46" s="143">
        <f t="shared" ca="1" si="54"/>
        <v>7.8650500635291179E-2</v>
      </c>
      <c r="FR46" s="143">
        <f t="shared" ca="1" si="54"/>
        <v>-2.731335566042193E-2</v>
      </c>
      <c r="FS46" s="143">
        <f t="shared" ca="1" si="54"/>
        <v>9.1482017687251269E-2</v>
      </c>
      <c r="FT46" s="143">
        <f t="shared" ca="1" si="54"/>
        <v>9.4586976996215974E-2</v>
      </c>
      <c r="FU46" s="143">
        <f t="shared" ca="1" si="54"/>
        <v>-4.2246977063564374E-2</v>
      </c>
      <c r="FV46" s="143">
        <f t="shared" ca="1" si="54"/>
        <v>-6.266209121419794E-2</v>
      </c>
      <c r="FW46" s="143">
        <f t="shared" ca="1" si="54"/>
        <v>9.1716735041705022E-3</v>
      </c>
      <c r="FX46" s="143">
        <f t="shared" ref="FX46:HG49" ca="1" si="56">_xlfn.NORM.INV(RAND(),$B$116,$B$117)</f>
        <v>-8.280570085247041E-2</v>
      </c>
      <c r="FY46" s="143">
        <f t="shared" ca="1" si="56"/>
        <v>-2.3500677405389726E-2</v>
      </c>
      <c r="FZ46" s="143">
        <f t="shared" ca="1" si="56"/>
        <v>7.2179779564177496E-2</v>
      </c>
      <c r="GA46" s="143">
        <f t="shared" ca="1" si="56"/>
        <v>4.8432451846832508E-2</v>
      </c>
      <c r="GB46" s="143">
        <f t="shared" ca="1" si="56"/>
        <v>1.841935874806537E-2</v>
      </c>
      <c r="GC46" s="143">
        <f t="shared" ca="1" si="56"/>
        <v>0.12769357074242271</v>
      </c>
      <c r="GD46" s="143">
        <f t="shared" ca="1" si="56"/>
        <v>0.1007340111887145</v>
      </c>
      <c r="GE46" s="143">
        <f t="shared" ca="1" si="56"/>
        <v>3.0735667408037563E-2</v>
      </c>
      <c r="GF46" s="143">
        <f t="shared" ca="1" si="56"/>
        <v>-0.13272238447682491</v>
      </c>
      <c r="GG46" s="143">
        <f t="shared" ca="1" si="56"/>
        <v>5.4506032683094764E-2</v>
      </c>
      <c r="GH46" s="143">
        <f t="shared" ca="1" si="56"/>
        <v>0.11310841177961944</v>
      </c>
      <c r="GI46" s="143">
        <f t="shared" ca="1" si="56"/>
        <v>0.14073978718123095</v>
      </c>
      <c r="GJ46" s="143">
        <f t="shared" ca="1" si="56"/>
        <v>-3.2507044840023154E-2</v>
      </c>
      <c r="GK46" s="143">
        <f t="shared" ca="1" si="56"/>
        <v>0.2708790683700884</v>
      </c>
      <c r="GL46" s="143">
        <f t="shared" ca="1" si="56"/>
        <v>0.11309054736148716</v>
      </c>
      <c r="GM46" s="143">
        <f t="shared" ca="1" si="56"/>
        <v>-0.12876599944469633</v>
      </c>
      <c r="GN46" s="143">
        <f t="shared" ca="1" si="56"/>
        <v>1.8481325841457188E-2</v>
      </c>
      <c r="GO46" s="143">
        <f t="shared" ca="1" si="56"/>
        <v>9.8292981423974829E-2</v>
      </c>
      <c r="GP46" s="143">
        <f t="shared" ca="1" si="56"/>
        <v>3.0454321437455082E-2</v>
      </c>
      <c r="GQ46" s="143">
        <f t="shared" ca="1" si="56"/>
        <v>-6.3233736322987566E-2</v>
      </c>
      <c r="GR46" s="143">
        <f t="shared" ca="1" si="56"/>
        <v>0.17912856718140713</v>
      </c>
      <c r="GS46" s="143">
        <f t="shared" ca="1" si="56"/>
        <v>6.1587290094380215E-2</v>
      </c>
      <c r="GT46" s="143">
        <f t="shared" ca="1" si="56"/>
        <v>-1.3707941608091564E-2</v>
      </c>
      <c r="GU46" s="143">
        <f t="shared" ca="1" si="56"/>
        <v>7.9748429544334948E-2</v>
      </c>
      <c r="GV46" s="143">
        <f t="shared" ca="1" si="56"/>
        <v>-2.9840247500698323E-2</v>
      </c>
      <c r="GW46" s="143">
        <f t="shared" ca="1" si="56"/>
        <v>0.12973217946304993</v>
      </c>
      <c r="GX46" s="143">
        <f t="shared" ca="1" si="56"/>
        <v>0.15722426462681466</v>
      </c>
      <c r="GY46" s="143">
        <f t="shared" ca="1" si="56"/>
        <v>-3.8142493102008214E-2</v>
      </c>
      <c r="GZ46" s="143">
        <f t="shared" ca="1" si="56"/>
        <v>5.896794188713074E-2</v>
      </c>
      <c r="HA46" s="143">
        <f t="shared" ca="1" si="56"/>
        <v>6.5614590585784352E-2</v>
      </c>
      <c r="HB46" s="143">
        <f t="shared" ca="1" si="56"/>
        <v>0.22644560913666778</v>
      </c>
      <c r="HC46" s="143">
        <f t="shared" ca="1" si="56"/>
        <v>-4.4033178489829523E-2</v>
      </c>
      <c r="HD46" s="143">
        <f t="shared" ca="1" si="56"/>
        <v>7.298464246604397E-2</v>
      </c>
      <c r="HE46" s="143">
        <f t="shared" ca="1" si="56"/>
        <v>-6.7714679935104355E-2</v>
      </c>
      <c r="HF46" s="143">
        <f t="shared" ca="1" si="56"/>
        <v>9.0396880258551762E-3</v>
      </c>
      <c r="HG46" s="143">
        <f t="shared" ca="1" si="56"/>
        <v>-7.935751922100745E-2</v>
      </c>
    </row>
    <row r="47" spans="1:215">
      <c r="A47" s="90">
        <v>1973</v>
      </c>
      <c r="B47" s="84">
        <v>-0.14308047437526472</v>
      </c>
      <c r="C47" s="85">
        <v>-0.38630000000000003</v>
      </c>
      <c r="D47" s="83">
        <f t="shared" si="4"/>
        <v>-0.19172437950021176</v>
      </c>
      <c r="E47" s="85"/>
      <c r="F47" s="85"/>
      <c r="G47" s="85">
        <v>7.0354435483870964E-2</v>
      </c>
      <c r="H47" s="85">
        <v>3.6586646024150085E-2</v>
      </c>
      <c r="I47" s="85">
        <v>4.3180404854323576E-2</v>
      </c>
      <c r="J47" s="85">
        <v>0.72958397534668706</v>
      </c>
      <c r="M47" s="115">
        <f t="shared" si="7"/>
        <v>96</v>
      </c>
      <c r="N47" s="143">
        <f t="shared" ca="1" si="49"/>
        <v>-9.4225313690025597E-2</v>
      </c>
      <c r="O47" s="143">
        <f t="shared" ref="O47:BZ50" ca="1" si="57">_xlfn.NORM.INV(RAND(),$B$112,$B$113)</f>
        <v>-7.5111566953753761E-2</v>
      </c>
      <c r="P47" s="143">
        <f t="shared" ca="1" si="57"/>
        <v>0.18991555083597483</v>
      </c>
      <c r="Q47" s="143">
        <f t="shared" ca="1" si="57"/>
        <v>4.5891304377897846E-2</v>
      </c>
      <c r="R47" s="143">
        <f t="shared" ca="1" si="57"/>
        <v>0.10257480740724488</v>
      </c>
      <c r="S47" s="143">
        <f t="shared" ca="1" si="57"/>
        <v>0.33319281970442916</v>
      </c>
      <c r="T47" s="143">
        <f t="shared" ca="1" si="57"/>
        <v>0.1390493215052005</v>
      </c>
      <c r="U47" s="143">
        <f t="shared" ca="1" si="57"/>
        <v>-0.18021582455954058</v>
      </c>
      <c r="V47" s="143">
        <f t="shared" ca="1" si="57"/>
        <v>0.26411251887615061</v>
      </c>
      <c r="W47" s="143">
        <f t="shared" ca="1" si="57"/>
        <v>0.13146652746635457</v>
      </c>
      <c r="X47" s="143">
        <f t="shared" ca="1" si="57"/>
        <v>-5.4175683733738433E-2</v>
      </c>
      <c r="Y47" s="143">
        <f t="shared" ca="1" si="57"/>
        <v>0.19128090371936479</v>
      </c>
      <c r="Z47" s="143">
        <f t="shared" ca="1" si="57"/>
        <v>-0.2360570844288041</v>
      </c>
      <c r="AA47" s="143">
        <f t="shared" ca="1" si="57"/>
        <v>0.19433982404122299</v>
      </c>
      <c r="AB47" s="143">
        <f t="shared" ca="1" si="57"/>
        <v>0.23961244961431252</v>
      </c>
      <c r="AC47" s="143">
        <f t="shared" ca="1" si="57"/>
        <v>0.18328048821510765</v>
      </c>
      <c r="AD47" s="143">
        <f t="shared" ca="1" si="57"/>
        <v>-0.14065219037188637</v>
      </c>
      <c r="AE47" s="143">
        <f t="shared" ca="1" si="57"/>
        <v>0.27975485165107727</v>
      </c>
      <c r="AF47" s="143">
        <f t="shared" ca="1" si="57"/>
        <v>4.9506706346858713E-2</v>
      </c>
      <c r="AG47" s="143">
        <f t="shared" ca="1" si="57"/>
        <v>0.1904277136230686</v>
      </c>
      <c r="AH47" s="143">
        <f t="shared" ca="1" si="57"/>
        <v>-8.4690544414197932E-3</v>
      </c>
      <c r="AI47" s="143">
        <f t="shared" ca="1" si="57"/>
        <v>-8.3704614190194065E-2</v>
      </c>
      <c r="AJ47" s="143">
        <f t="shared" ca="1" si="57"/>
        <v>-4.5346993323173157E-2</v>
      </c>
      <c r="AK47" s="143">
        <f t="shared" ca="1" si="57"/>
        <v>0.26827601530133316</v>
      </c>
      <c r="AL47" s="143">
        <f t="shared" ca="1" si="57"/>
        <v>4.2460057328428322E-2</v>
      </c>
      <c r="AM47" s="143">
        <f t="shared" ca="1" si="57"/>
        <v>-8.4370582921364096E-2</v>
      </c>
      <c r="AN47" s="143">
        <f t="shared" ca="1" si="57"/>
        <v>0.33340826386422112</v>
      </c>
      <c r="AO47" s="143">
        <f t="shared" ca="1" si="57"/>
        <v>0.34188665754099451</v>
      </c>
      <c r="AP47" s="143">
        <f t="shared" ca="1" si="57"/>
        <v>0.11005161479862266</v>
      </c>
      <c r="AQ47" s="143">
        <f t="shared" ca="1" si="57"/>
        <v>-0.13316637717901225</v>
      </c>
      <c r="AR47" s="143">
        <f t="shared" ca="1" si="57"/>
        <v>6.827482419065134E-2</v>
      </c>
      <c r="AS47" s="143">
        <f t="shared" ca="1" si="57"/>
        <v>0.22008422925707832</v>
      </c>
      <c r="AT47" s="143">
        <f t="shared" ca="1" si="57"/>
        <v>0.16733798086000903</v>
      </c>
      <c r="AU47" s="143">
        <f t="shared" ca="1" si="57"/>
        <v>0.1013625074954171</v>
      </c>
      <c r="AV47" s="143">
        <f t="shared" ca="1" si="57"/>
        <v>0.16505909500272437</v>
      </c>
      <c r="AW47" s="143">
        <f t="shared" ca="1" si="57"/>
        <v>0.40237849592947161</v>
      </c>
      <c r="AX47" s="143">
        <f t="shared" ca="1" si="57"/>
        <v>-3.5402084577272896E-2</v>
      </c>
      <c r="AY47" s="143">
        <f t="shared" ca="1" si="57"/>
        <v>0.2258823834579359</v>
      </c>
      <c r="AZ47" s="143">
        <f t="shared" ca="1" si="57"/>
        <v>0.38886394267497182</v>
      </c>
      <c r="BA47" s="143">
        <f t="shared" ca="1" si="57"/>
        <v>0.35522880105987942</v>
      </c>
      <c r="BB47" s="143">
        <f t="shared" ca="1" si="57"/>
        <v>0.12714621521576525</v>
      </c>
      <c r="BC47" s="143">
        <f t="shared" ca="1" si="57"/>
        <v>-0.22325404371768212</v>
      </c>
      <c r="BD47" s="143">
        <f t="shared" ca="1" si="57"/>
        <v>0.18002657195665983</v>
      </c>
      <c r="BE47" s="143">
        <f t="shared" ca="1" si="57"/>
        <v>-8.1926950475094629E-2</v>
      </c>
      <c r="BF47" s="143">
        <f t="shared" ca="1" si="57"/>
        <v>0.27667500932248712</v>
      </c>
      <c r="BG47" s="143">
        <f t="shared" ca="1" si="57"/>
        <v>0.30998717096486728</v>
      </c>
      <c r="BH47" s="143">
        <f t="shared" ca="1" si="57"/>
        <v>8.4917691710092169E-2</v>
      </c>
      <c r="BI47" s="143">
        <f t="shared" ca="1" si="57"/>
        <v>8.4065453249526079E-3</v>
      </c>
      <c r="BJ47" s="143">
        <f t="shared" ca="1" si="57"/>
        <v>-0.20207101823715065</v>
      </c>
      <c r="BK47" s="143">
        <f t="shared" ca="1" si="57"/>
        <v>0.37832805885709375</v>
      </c>
      <c r="BL47" s="143">
        <f t="shared" ca="1" si="57"/>
        <v>-0.10752583867403928</v>
      </c>
      <c r="BM47" s="143">
        <f t="shared" ca="1" si="57"/>
        <v>0.32642355407466117</v>
      </c>
      <c r="BN47" s="143">
        <f t="shared" ca="1" si="57"/>
        <v>-7.4241908301088066E-2</v>
      </c>
      <c r="BO47" s="143">
        <f t="shared" ca="1" si="57"/>
        <v>0.10008143100420418</v>
      </c>
      <c r="BP47" s="143">
        <f t="shared" ca="1" si="57"/>
        <v>0.29728295436957286</v>
      </c>
      <c r="BQ47" s="143">
        <f t="shared" ca="1" si="57"/>
        <v>0.18956370395401106</v>
      </c>
      <c r="BR47" s="143">
        <f t="shared" ca="1" si="57"/>
        <v>-8.4372902306561165E-2</v>
      </c>
      <c r="BS47" s="143">
        <f t="shared" ca="1" si="57"/>
        <v>-0.12790029811599851</v>
      </c>
      <c r="BT47" s="143">
        <f t="shared" ca="1" si="57"/>
        <v>0.20210928349101745</v>
      </c>
      <c r="BU47" s="143">
        <f t="shared" ca="1" si="57"/>
        <v>-0.14904644878208692</v>
      </c>
      <c r="BV47" s="143">
        <f t="shared" ca="1" si="57"/>
        <v>0.14505667185686288</v>
      </c>
      <c r="BW47" s="143">
        <f t="shared" ca="1" si="57"/>
        <v>0.18073189451277366</v>
      </c>
      <c r="BX47" s="143">
        <f t="shared" ca="1" si="57"/>
        <v>0.25560185745766462</v>
      </c>
      <c r="BY47" s="143">
        <f t="shared" ca="1" si="57"/>
        <v>4.5902454326548235E-2</v>
      </c>
      <c r="BZ47" s="143">
        <f t="shared" ca="1" si="57"/>
        <v>0.19294501112326873</v>
      </c>
      <c r="CA47" s="143">
        <f t="shared" ca="1" si="55"/>
        <v>5.1269711381289294E-2</v>
      </c>
      <c r="CB47" s="143">
        <f t="shared" ca="1" si="55"/>
        <v>0.16282434450537581</v>
      </c>
      <c r="CC47" s="143">
        <f t="shared" ca="1" si="55"/>
        <v>1.9316304695481637E-2</v>
      </c>
      <c r="CD47" s="143">
        <f t="shared" ca="1" si="55"/>
        <v>-3.8454949699783747E-2</v>
      </c>
      <c r="CE47" s="143">
        <f t="shared" ca="1" si="55"/>
        <v>0.15853027020706789</v>
      </c>
      <c r="CF47" s="143">
        <f t="shared" ca="1" si="55"/>
        <v>0.23406646861620556</v>
      </c>
      <c r="CG47" s="143">
        <f t="shared" ca="1" si="55"/>
        <v>-0.25382713407199786</v>
      </c>
      <c r="CH47" s="143">
        <f t="shared" ca="1" si="55"/>
        <v>0.14421091798537683</v>
      </c>
      <c r="CI47" s="143">
        <f t="shared" ca="1" si="55"/>
        <v>-0.22894347619745811</v>
      </c>
      <c r="CJ47" s="143">
        <f t="shared" ca="1" si="55"/>
        <v>-0.28910706146349474</v>
      </c>
      <c r="CK47" s="143">
        <f t="shared" ca="1" si="55"/>
        <v>0.28523393742527148</v>
      </c>
      <c r="CL47" s="143">
        <f t="shared" ca="1" si="55"/>
        <v>0.39321991942720236</v>
      </c>
      <c r="CM47" s="143">
        <f t="shared" ca="1" si="55"/>
        <v>0.30797674341104103</v>
      </c>
      <c r="CN47" s="143">
        <f t="shared" ca="1" si="55"/>
        <v>-0.25471359116363368</v>
      </c>
      <c r="CO47" s="143">
        <f t="shared" ca="1" si="55"/>
        <v>0.23465487980870114</v>
      </c>
      <c r="CP47" s="143">
        <f t="shared" ca="1" si="55"/>
        <v>-6.8560239030521553E-2</v>
      </c>
      <c r="CQ47" s="143">
        <f t="shared" ca="1" si="55"/>
        <v>1.881769079360851E-2</v>
      </c>
      <c r="CR47" s="143">
        <f t="shared" ca="1" si="55"/>
        <v>0.24252382065697417</v>
      </c>
      <c r="CS47" s="143">
        <f t="shared" ca="1" si="55"/>
        <v>-3.2224223133967528E-2</v>
      </c>
      <c r="CT47" s="143">
        <f t="shared" ca="1" si="55"/>
        <v>8.4765352084045759E-2</v>
      </c>
      <c r="CU47" s="143">
        <f t="shared" ca="1" si="55"/>
        <v>0.31244641620911984</v>
      </c>
      <c r="CV47" s="143">
        <f t="shared" ca="1" si="55"/>
        <v>0.32249588944634211</v>
      </c>
      <c r="CW47" s="143">
        <f t="shared" ca="1" si="55"/>
        <v>-0.12365421868350035</v>
      </c>
      <c r="CX47" s="143">
        <f t="shared" ca="1" si="55"/>
        <v>-4.7025922910332196E-2</v>
      </c>
      <c r="CY47" s="143">
        <f t="shared" ca="1" si="55"/>
        <v>0.34750341483600311</v>
      </c>
      <c r="CZ47" s="143">
        <f t="shared" ca="1" si="55"/>
        <v>0.11161194837907649</v>
      </c>
      <c r="DA47" s="143">
        <f t="shared" ca="1" si="55"/>
        <v>-0.28422778330977261</v>
      </c>
      <c r="DB47" s="143">
        <f t="shared" ca="1" si="55"/>
        <v>0.2761444978900145</v>
      </c>
      <c r="DC47" s="143">
        <f t="shared" ca="1" si="55"/>
        <v>0.11980481266267107</v>
      </c>
      <c r="DD47" s="143">
        <f t="shared" ca="1" si="55"/>
        <v>0.31140396935051107</v>
      </c>
      <c r="DE47" s="143">
        <f t="shared" ca="1" si="55"/>
        <v>3.8003382862636728E-2</v>
      </c>
      <c r="DF47" s="143">
        <f t="shared" ca="1" si="55"/>
        <v>0.22534750908410306</v>
      </c>
      <c r="DG47" s="143">
        <f t="shared" ca="1" si="55"/>
        <v>0.3012439504383676</v>
      </c>
      <c r="DH47" s="143">
        <f t="shared" ca="1" si="55"/>
        <v>0.16783014270877211</v>
      </c>
      <c r="DI47" s="143">
        <f t="shared" ca="1" si="55"/>
        <v>0.23675862931357772</v>
      </c>
      <c r="DK47" s="115">
        <f t="shared" si="8"/>
        <v>96</v>
      </c>
      <c r="DL47" s="143">
        <f t="shared" ca="1" si="51"/>
        <v>-6.9654995252679958E-2</v>
      </c>
      <c r="DM47" s="143">
        <f t="shared" ref="DM47:FX50" ca="1" si="58">_xlfn.NORM.INV(RAND(),$B$116,$B$117)</f>
        <v>5.3471082103899732E-2</v>
      </c>
      <c r="DN47" s="143">
        <f t="shared" ca="1" si="58"/>
        <v>-2.4499372049491701E-2</v>
      </c>
      <c r="DO47" s="143">
        <f t="shared" ca="1" si="58"/>
        <v>5.5437192658015937E-2</v>
      </c>
      <c r="DP47" s="143">
        <f t="shared" ca="1" si="58"/>
        <v>6.6770621076122083E-2</v>
      </c>
      <c r="DQ47" s="143">
        <f t="shared" ca="1" si="58"/>
        <v>0.12604992097963291</v>
      </c>
      <c r="DR47" s="143">
        <f t="shared" ca="1" si="58"/>
        <v>-7.8582060958974326E-2</v>
      </c>
      <c r="DS47" s="143">
        <f t="shared" ca="1" si="58"/>
        <v>9.2810243920154745E-2</v>
      </c>
      <c r="DT47" s="143">
        <f t="shared" ca="1" si="58"/>
        <v>0.11266547908474803</v>
      </c>
      <c r="DU47" s="143">
        <f t="shared" ca="1" si="58"/>
        <v>4.1731981109589276E-2</v>
      </c>
      <c r="DV47" s="143">
        <f t="shared" ca="1" si="58"/>
        <v>-1.4109457427448284E-2</v>
      </c>
      <c r="DW47" s="143">
        <f t="shared" ca="1" si="58"/>
        <v>5.4804415491942073E-2</v>
      </c>
      <c r="DX47" s="143">
        <f t="shared" ca="1" si="58"/>
        <v>6.2343985640264554E-2</v>
      </c>
      <c r="DY47" s="143">
        <f t="shared" ca="1" si="58"/>
        <v>1.5178330269289914E-2</v>
      </c>
      <c r="DZ47" s="143">
        <f t="shared" ca="1" si="58"/>
        <v>8.8034856878869E-2</v>
      </c>
      <c r="EA47" s="143">
        <f t="shared" ca="1" si="58"/>
        <v>5.5417469193189198E-3</v>
      </c>
      <c r="EB47" s="143">
        <f t="shared" ca="1" si="58"/>
        <v>0.11856188842302767</v>
      </c>
      <c r="EC47" s="143">
        <f t="shared" ca="1" si="58"/>
        <v>0.19658987714933893</v>
      </c>
      <c r="ED47" s="143">
        <f t="shared" ca="1" si="58"/>
        <v>2.1939543841768751E-2</v>
      </c>
      <c r="EE47" s="143">
        <f t="shared" ca="1" si="58"/>
        <v>4.434944603280469E-2</v>
      </c>
      <c r="EF47" s="143">
        <f t="shared" ca="1" si="58"/>
        <v>2.9645328569434214E-2</v>
      </c>
      <c r="EG47" s="143">
        <f t="shared" ca="1" si="58"/>
        <v>-4.6889133022230044E-2</v>
      </c>
      <c r="EH47" s="143">
        <f t="shared" ca="1" si="58"/>
        <v>-1.5554421723773963E-2</v>
      </c>
      <c r="EI47" s="143">
        <f t="shared" ca="1" si="58"/>
        <v>4.6740434633313621E-2</v>
      </c>
      <c r="EJ47" s="143">
        <f t="shared" ca="1" si="58"/>
        <v>-2.383518449737803E-2</v>
      </c>
      <c r="EK47" s="143">
        <f t="shared" ca="1" si="58"/>
        <v>-6.8700245626238304E-2</v>
      </c>
      <c r="EL47" s="143">
        <f t="shared" ca="1" si="58"/>
        <v>-4.5229860585336575E-2</v>
      </c>
      <c r="EM47" s="143">
        <f t="shared" ca="1" si="58"/>
        <v>8.6361185921176614E-2</v>
      </c>
      <c r="EN47" s="143">
        <f t="shared" ca="1" si="58"/>
        <v>9.2909653635545791E-2</v>
      </c>
      <c r="EO47" s="143">
        <f t="shared" ca="1" si="58"/>
        <v>5.5454439810354278E-2</v>
      </c>
      <c r="EP47" s="143">
        <f t="shared" ca="1" si="58"/>
        <v>-0.11646538208635598</v>
      </c>
      <c r="EQ47" s="143">
        <f t="shared" ca="1" si="58"/>
        <v>6.5692084175496351E-2</v>
      </c>
      <c r="ER47" s="143">
        <f t="shared" ca="1" si="58"/>
        <v>-3.2325021461319083E-2</v>
      </c>
      <c r="ES47" s="143">
        <f t="shared" ca="1" si="58"/>
        <v>0.14824771331197381</v>
      </c>
      <c r="ET47" s="143">
        <f t="shared" ca="1" si="58"/>
        <v>0.16304219744670664</v>
      </c>
      <c r="EU47" s="143">
        <f t="shared" ca="1" si="58"/>
        <v>7.7096202593089455E-2</v>
      </c>
      <c r="EV47" s="143">
        <f t="shared" ca="1" si="58"/>
        <v>0.14459986595950869</v>
      </c>
      <c r="EW47" s="143">
        <f t="shared" ca="1" si="58"/>
        <v>8.2208292794655774E-2</v>
      </c>
      <c r="EX47" s="143">
        <f t="shared" ca="1" si="58"/>
        <v>0.18833259329994648</v>
      </c>
      <c r="EY47" s="143">
        <f t="shared" ca="1" si="58"/>
        <v>2.5845928676627286E-2</v>
      </c>
      <c r="EZ47" s="143">
        <f t="shared" ca="1" si="58"/>
        <v>5.1668465271640616E-2</v>
      </c>
      <c r="FA47" s="143">
        <f t="shared" ca="1" si="58"/>
        <v>4.053766980014159E-2</v>
      </c>
      <c r="FB47" s="143">
        <f t="shared" ca="1" si="58"/>
        <v>1.1815747410163148E-2</v>
      </c>
      <c r="FC47" s="143">
        <f t="shared" ca="1" si="58"/>
        <v>3.6197907698980895E-2</v>
      </c>
      <c r="FD47" s="143">
        <f t="shared" ca="1" si="58"/>
        <v>2.7718085536712414E-3</v>
      </c>
      <c r="FE47" s="143">
        <f t="shared" ca="1" si="58"/>
        <v>7.4500934569081051E-2</v>
      </c>
      <c r="FF47" s="143">
        <f t="shared" ca="1" si="58"/>
        <v>5.043238032953698E-2</v>
      </c>
      <c r="FG47" s="143">
        <f t="shared" ca="1" si="58"/>
        <v>-2.2522314578701748E-2</v>
      </c>
      <c r="FH47" s="143">
        <f t="shared" ca="1" si="58"/>
        <v>9.5950019133016429E-2</v>
      </c>
      <c r="FI47" s="143">
        <f t="shared" ca="1" si="58"/>
        <v>6.8436530671678888E-2</v>
      </c>
      <c r="FJ47" s="143">
        <f t="shared" ca="1" si="58"/>
        <v>1.6044739378646422E-3</v>
      </c>
      <c r="FK47" s="143">
        <f t="shared" ca="1" si="58"/>
        <v>9.5461512844138813E-2</v>
      </c>
      <c r="FL47" s="143">
        <f t="shared" ca="1" si="58"/>
        <v>0.18463662283741164</v>
      </c>
      <c r="FM47" s="143">
        <f t="shared" ca="1" si="58"/>
        <v>2.8488930499332016E-2</v>
      </c>
      <c r="FN47" s="143">
        <f t="shared" ca="1" si="58"/>
        <v>-1.4147713318774624E-2</v>
      </c>
      <c r="FO47" s="143">
        <f t="shared" ca="1" si="58"/>
        <v>1.8126619011054629E-2</v>
      </c>
      <c r="FP47" s="143">
        <f t="shared" ca="1" si="58"/>
        <v>0.15985019830850383</v>
      </c>
      <c r="FQ47" s="143">
        <f t="shared" ca="1" si="58"/>
        <v>0.24761998518170406</v>
      </c>
      <c r="FR47" s="143">
        <f t="shared" ca="1" si="58"/>
        <v>7.4729943218368233E-2</v>
      </c>
      <c r="FS47" s="143">
        <f t="shared" ca="1" si="58"/>
        <v>-0.11607789946775357</v>
      </c>
      <c r="FT47" s="143">
        <f t="shared" ca="1" si="58"/>
        <v>6.2921163869340338E-3</v>
      </c>
      <c r="FU47" s="143">
        <f t="shared" ca="1" si="58"/>
        <v>-7.9276796483984946E-2</v>
      </c>
      <c r="FV47" s="143">
        <f t="shared" ca="1" si="58"/>
        <v>5.8186630575293628E-2</v>
      </c>
      <c r="FW47" s="143">
        <f t="shared" ca="1" si="58"/>
        <v>6.5829124572006667E-2</v>
      </c>
      <c r="FX47" s="143">
        <f t="shared" ca="1" si="58"/>
        <v>5.9847291657718314E-2</v>
      </c>
      <c r="FY47" s="143">
        <f t="shared" ca="1" si="56"/>
        <v>0.10971382202275379</v>
      </c>
      <c r="FZ47" s="143">
        <f t="shared" ca="1" si="56"/>
        <v>3.4871009330804531E-3</v>
      </c>
      <c r="GA47" s="143">
        <f t="shared" ca="1" si="56"/>
        <v>0.16549879854095301</v>
      </c>
      <c r="GB47" s="143">
        <f t="shared" ca="1" si="56"/>
        <v>8.0699446590015073E-2</v>
      </c>
      <c r="GC47" s="143">
        <f t="shared" ca="1" si="56"/>
        <v>-7.6808967227689484E-2</v>
      </c>
      <c r="GD47" s="143">
        <f t="shared" ca="1" si="56"/>
        <v>-6.6833289753162606E-3</v>
      </c>
      <c r="GE47" s="143">
        <f t="shared" ca="1" si="56"/>
        <v>-8.8721312610486713E-2</v>
      </c>
      <c r="GF47" s="143">
        <f t="shared" ca="1" si="56"/>
        <v>-8.7567107738127925E-2</v>
      </c>
      <c r="GG47" s="143">
        <f t="shared" ca="1" si="56"/>
        <v>7.1524120976682204E-2</v>
      </c>
      <c r="GH47" s="143">
        <f t="shared" ca="1" si="56"/>
        <v>0.11006956646863167</v>
      </c>
      <c r="GI47" s="143">
        <f t="shared" ca="1" si="56"/>
        <v>9.1017179040571508E-3</v>
      </c>
      <c r="GJ47" s="143">
        <f t="shared" ca="1" si="56"/>
        <v>-6.3358140281580572E-2</v>
      </c>
      <c r="GK47" s="143">
        <f t="shared" ca="1" si="56"/>
        <v>0.20465519178861769</v>
      </c>
      <c r="GL47" s="143">
        <f t="shared" ca="1" si="56"/>
        <v>0.14685291905995718</v>
      </c>
      <c r="GM47" s="143">
        <f t="shared" ca="1" si="56"/>
        <v>2.927357779187521E-2</v>
      </c>
      <c r="GN47" s="143">
        <f t="shared" ca="1" si="56"/>
        <v>0.11994082203252243</v>
      </c>
      <c r="GO47" s="143">
        <f t="shared" ca="1" si="56"/>
        <v>0.21179625417419909</v>
      </c>
      <c r="GP47" s="143">
        <f t="shared" ca="1" si="56"/>
        <v>0.16210561817411906</v>
      </c>
      <c r="GQ47" s="143">
        <f t="shared" ca="1" si="56"/>
        <v>9.6308081825689146E-2</v>
      </c>
      <c r="GR47" s="143">
        <f t="shared" ca="1" si="56"/>
        <v>2.7657273066860437E-2</v>
      </c>
      <c r="GS47" s="143">
        <f t="shared" ca="1" si="56"/>
        <v>-6.6478850165485534E-3</v>
      </c>
      <c r="GT47" s="143">
        <f t="shared" ca="1" si="56"/>
        <v>-1.0450234852196462E-2</v>
      </c>
      <c r="GU47" s="143">
        <f t="shared" ca="1" si="56"/>
        <v>3.3800865122060472E-2</v>
      </c>
      <c r="GV47" s="143">
        <f t="shared" ca="1" si="56"/>
        <v>0.14916086381315077</v>
      </c>
      <c r="GW47" s="143">
        <f t="shared" ca="1" si="56"/>
        <v>3.0192996183393134E-2</v>
      </c>
      <c r="GX47" s="143">
        <f t="shared" ca="1" si="56"/>
        <v>0.16118847636274469</v>
      </c>
      <c r="GY47" s="143">
        <f t="shared" ca="1" si="56"/>
        <v>0.19695080914146548</v>
      </c>
      <c r="GZ47" s="143">
        <f t="shared" ca="1" si="56"/>
        <v>-3.8853884998725434E-2</v>
      </c>
      <c r="HA47" s="143">
        <f t="shared" ca="1" si="56"/>
        <v>2.2424509730415636E-2</v>
      </c>
      <c r="HB47" s="143">
        <f t="shared" ca="1" si="56"/>
        <v>-0.14025539416982186</v>
      </c>
      <c r="HC47" s="143">
        <f t="shared" ca="1" si="56"/>
        <v>-8.2275261260159271E-2</v>
      </c>
      <c r="HD47" s="143">
        <f t="shared" ca="1" si="56"/>
        <v>6.9586824043458492E-3</v>
      </c>
      <c r="HE47" s="143">
        <f t="shared" ca="1" si="56"/>
        <v>-2.9691461090740438E-2</v>
      </c>
      <c r="HF47" s="143">
        <f t="shared" ca="1" si="56"/>
        <v>-8.9238367120110601E-2</v>
      </c>
      <c r="HG47" s="143">
        <f t="shared" ca="1" si="56"/>
        <v>0.15590430685568013</v>
      </c>
    </row>
    <row r="48" spans="1:215">
      <c r="A48" s="90">
        <v>1974</v>
      </c>
      <c r="B48" s="84">
        <v>-0.25901785750896972</v>
      </c>
      <c r="C48" s="85">
        <v>-0.2681</v>
      </c>
      <c r="D48" s="83">
        <f t="shared" si="4"/>
        <v>-0.26083428600717579</v>
      </c>
      <c r="E48" s="85"/>
      <c r="F48" s="85"/>
      <c r="G48" s="85">
        <v>7.8457831325301208E-2</v>
      </c>
      <c r="H48" s="85">
        <v>1.9886086932378574E-2</v>
      </c>
      <c r="I48" s="85">
        <v>-4.3807197977191667E-2</v>
      </c>
      <c r="J48" s="85">
        <v>0.66146993318485525</v>
      </c>
      <c r="M48" s="115">
        <f t="shared" si="7"/>
        <v>97</v>
      </c>
      <c r="N48" s="143">
        <f t="shared" ca="1" si="49"/>
        <v>-0.3592528977848779</v>
      </c>
      <c r="O48" s="143">
        <f t="shared" ca="1" si="57"/>
        <v>-0.23323468741764922</v>
      </c>
      <c r="P48" s="143">
        <f t="shared" ca="1" si="57"/>
        <v>9.817592278008333E-2</v>
      </c>
      <c r="Q48" s="143">
        <f t="shared" ca="1" si="57"/>
        <v>-9.3767049581184453E-3</v>
      </c>
      <c r="R48" s="143">
        <f t="shared" ca="1" si="57"/>
        <v>0.51377626046241687</v>
      </c>
      <c r="S48" s="143">
        <f t="shared" ca="1" si="57"/>
        <v>-6.0443716003398762E-2</v>
      </c>
      <c r="T48" s="143">
        <f t="shared" ca="1" si="57"/>
        <v>0.19498189365052759</v>
      </c>
      <c r="U48" s="143">
        <f t="shared" ca="1" si="57"/>
        <v>8.5861360581949542E-2</v>
      </c>
      <c r="V48" s="143">
        <f t="shared" ca="1" si="57"/>
        <v>0.27992843007832163</v>
      </c>
      <c r="W48" s="143">
        <f t="shared" ca="1" si="57"/>
        <v>0.10263174581322823</v>
      </c>
      <c r="X48" s="143">
        <f t="shared" ca="1" si="57"/>
        <v>0.1182131848914057</v>
      </c>
      <c r="Y48" s="143">
        <f t="shared" ca="1" si="57"/>
        <v>0.2689045620609738</v>
      </c>
      <c r="Z48" s="143">
        <f t="shared" ca="1" si="57"/>
        <v>0.11094101245205376</v>
      </c>
      <c r="AA48" s="143">
        <f t="shared" ca="1" si="57"/>
        <v>-1.4781980672096823E-3</v>
      </c>
      <c r="AB48" s="143">
        <f t="shared" ca="1" si="57"/>
        <v>-2.8921019354575084E-2</v>
      </c>
      <c r="AC48" s="143">
        <f t="shared" ca="1" si="57"/>
        <v>-2.8837130957646673E-2</v>
      </c>
      <c r="AD48" s="143">
        <f t="shared" ca="1" si="57"/>
        <v>-2.9180284723463012E-2</v>
      </c>
      <c r="AE48" s="143">
        <f t="shared" ca="1" si="57"/>
        <v>0.32771446786482572</v>
      </c>
      <c r="AF48" s="143">
        <f t="shared" ca="1" si="57"/>
        <v>0.23573095107287409</v>
      </c>
      <c r="AG48" s="143">
        <f t="shared" ca="1" si="57"/>
        <v>-0.34737019291659188</v>
      </c>
      <c r="AH48" s="143">
        <f t="shared" ca="1" si="57"/>
        <v>3.8013345640912681E-2</v>
      </c>
      <c r="AI48" s="143">
        <f t="shared" ca="1" si="57"/>
        <v>9.9670467011827982E-2</v>
      </c>
      <c r="AJ48" s="143">
        <f t="shared" ca="1" si="57"/>
        <v>0.13246214824193966</v>
      </c>
      <c r="AK48" s="143">
        <f t="shared" ca="1" si="57"/>
        <v>8.542217219964808E-2</v>
      </c>
      <c r="AL48" s="143">
        <f t="shared" ca="1" si="57"/>
        <v>6.881131927989903E-2</v>
      </c>
      <c r="AM48" s="143">
        <f t="shared" ca="1" si="57"/>
        <v>0.10120942182706362</v>
      </c>
      <c r="AN48" s="143">
        <f t="shared" ca="1" si="57"/>
        <v>-3.6663183184524634E-2</v>
      </c>
      <c r="AO48" s="143">
        <f t="shared" ca="1" si="57"/>
        <v>0.11040758319801686</v>
      </c>
      <c r="AP48" s="143">
        <f t="shared" ca="1" si="57"/>
        <v>-1.4599689880139224E-2</v>
      </c>
      <c r="AQ48" s="143">
        <f t="shared" ca="1" si="57"/>
        <v>0.11752485562854735</v>
      </c>
      <c r="AR48" s="143">
        <f t="shared" ca="1" si="57"/>
        <v>-1.405153704812083E-2</v>
      </c>
      <c r="AS48" s="143">
        <f t="shared" ca="1" si="57"/>
        <v>0.23265410102701317</v>
      </c>
      <c r="AT48" s="143">
        <f t="shared" ca="1" si="57"/>
        <v>0.47312237967750592</v>
      </c>
      <c r="AU48" s="143">
        <f t="shared" ca="1" si="57"/>
        <v>-0.29117340280748116</v>
      </c>
      <c r="AV48" s="143">
        <f t="shared" ca="1" si="57"/>
        <v>-5.7887174024432164E-2</v>
      </c>
      <c r="AW48" s="143">
        <f t="shared" ca="1" si="57"/>
        <v>-2.7204579355866204E-2</v>
      </c>
      <c r="AX48" s="143">
        <f t="shared" ca="1" si="57"/>
        <v>0.12279913482730635</v>
      </c>
      <c r="AY48" s="143">
        <f t="shared" ca="1" si="57"/>
        <v>0.41666083226377393</v>
      </c>
      <c r="AZ48" s="143">
        <f t="shared" ca="1" si="57"/>
        <v>9.5314641805268191E-3</v>
      </c>
      <c r="BA48" s="143">
        <f t="shared" ca="1" si="57"/>
        <v>-1.2570854151465069E-2</v>
      </c>
      <c r="BB48" s="143">
        <f t="shared" ca="1" si="57"/>
        <v>-0.30954678348331521</v>
      </c>
      <c r="BC48" s="143">
        <f t="shared" ca="1" si="57"/>
        <v>-1.1563590415204592E-2</v>
      </c>
      <c r="BD48" s="143">
        <f t="shared" ca="1" si="57"/>
        <v>0.27652852391335714</v>
      </c>
      <c r="BE48" s="143">
        <f t="shared" ca="1" si="57"/>
        <v>0.16897335186366394</v>
      </c>
      <c r="BF48" s="143">
        <f t="shared" ca="1" si="57"/>
        <v>-9.1343365582528785E-2</v>
      </c>
      <c r="BG48" s="143">
        <f t="shared" ca="1" si="57"/>
        <v>0.11758590177967357</v>
      </c>
      <c r="BH48" s="143">
        <f t="shared" ca="1" si="57"/>
        <v>0.18716576852333433</v>
      </c>
      <c r="BI48" s="143">
        <f t="shared" ca="1" si="57"/>
        <v>5.3348641423040112E-2</v>
      </c>
      <c r="BJ48" s="143">
        <f t="shared" ca="1" si="57"/>
        <v>0.18945232466455925</v>
      </c>
      <c r="BK48" s="143">
        <f t="shared" ca="1" si="57"/>
        <v>8.1808458699497572E-3</v>
      </c>
      <c r="BL48" s="143">
        <f t="shared" ca="1" si="57"/>
        <v>0.15259233318267976</v>
      </c>
      <c r="BM48" s="143">
        <f t="shared" ca="1" si="57"/>
        <v>0.21488244050586219</v>
      </c>
      <c r="BN48" s="143">
        <f t="shared" ca="1" si="57"/>
        <v>0.32609311678901653</v>
      </c>
      <c r="BO48" s="143">
        <f t="shared" ca="1" si="57"/>
        <v>0.1145233317109173</v>
      </c>
      <c r="BP48" s="143">
        <f t="shared" ca="1" si="57"/>
        <v>-4.3540382875450756E-3</v>
      </c>
      <c r="BQ48" s="143">
        <f t="shared" ca="1" si="57"/>
        <v>-2.8079347702899021E-2</v>
      </c>
      <c r="BR48" s="143">
        <f t="shared" ca="1" si="57"/>
        <v>0.19806386897793243</v>
      </c>
      <c r="BS48" s="143">
        <f t="shared" ca="1" si="57"/>
        <v>0.33465630529241219</v>
      </c>
      <c r="BT48" s="143">
        <f t="shared" ca="1" si="57"/>
        <v>5.394301816065275E-2</v>
      </c>
      <c r="BU48" s="143">
        <f t="shared" ca="1" si="57"/>
        <v>6.9761462106771296E-2</v>
      </c>
      <c r="BV48" s="143">
        <f t="shared" ca="1" si="57"/>
        <v>0.1540751909117512</v>
      </c>
      <c r="BW48" s="143">
        <f t="shared" ca="1" si="57"/>
        <v>0.26536877706756468</v>
      </c>
      <c r="BX48" s="143">
        <f t="shared" ca="1" si="57"/>
        <v>-0.37516182117773567</v>
      </c>
      <c r="BY48" s="143">
        <f t="shared" ca="1" si="57"/>
        <v>-0.10873555983252542</v>
      </c>
      <c r="BZ48" s="143">
        <f t="shared" ca="1" si="57"/>
        <v>0.10027655710077732</v>
      </c>
      <c r="CA48" s="143">
        <f t="shared" ca="1" si="55"/>
        <v>0.13378858734392915</v>
      </c>
      <c r="CB48" s="143">
        <f t="shared" ca="1" si="55"/>
        <v>0.16143844060506873</v>
      </c>
      <c r="CC48" s="143">
        <f t="shared" ca="1" si="55"/>
        <v>0.27305490759854034</v>
      </c>
      <c r="CD48" s="143">
        <f t="shared" ca="1" si="55"/>
        <v>-5.4732840071727268E-2</v>
      </c>
      <c r="CE48" s="143">
        <f t="shared" ca="1" si="55"/>
        <v>0.40478028514398867</v>
      </c>
      <c r="CF48" s="143">
        <f t="shared" ca="1" si="55"/>
        <v>0.19397419371477384</v>
      </c>
      <c r="CG48" s="143">
        <f t="shared" ca="1" si="55"/>
        <v>8.8729750286065126E-2</v>
      </c>
      <c r="CH48" s="143">
        <f t="shared" ca="1" si="55"/>
        <v>0.19008990704061313</v>
      </c>
      <c r="CI48" s="143">
        <f t="shared" ca="1" si="55"/>
        <v>2.2958217997353939E-2</v>
      </c>
      <c r="CJ48" s="143">
        <f t="shared" ca="1" si="55"/>
        <v>0.27774631338333</v>
      </c>
      <c r="CK48" s="143">
        <f t="shared" ca="1" si="55"/>
        <v>-0.16489275746571239</v>
      </c>
      <c r="CL48" s="143">
        <f t="shared" ca="1" si="55"/>
        <v>0.11930631902360676</v>
      </c>
      <c r="CM48" s="143">
        <f t="shared" ca="1" si="55"/>
        <v>0.324077865245462</v>
      </c>
      <c r="CN48" s="143">
        <f t="shared" ca="1" si="55"/>
        <v>0.23446908225288307</v>
      </c>
      <c r="CO48" s="143">
        <f t="shared" ca="1" si="55"/>
        <v>0.21199394583074926</v>
      </c>
      <c r="CP48" s="143">
        <f t="shared" ca="1" si="55"/>
        <v>2.0384146923778546E-2</v>
      </c>
      <c r="CQ48" s="143">
        <f t="shared" ca="1" si="55"/>
        <v>-0.18873787438216835</v>
      </c>
      <c r="CR48" s="143">
        <f t="shared" ca="1" si="55"/>
        <v>7.177375030448635E-2</v>
      </c>
      <c r="CS48" s="143">
        <f t="shared" ca="1" si="55"/>
        <v>0.1651097597648028</v>
      </c>
      <c r="CT48" s="143">
        <f t="shared" ca="1" si="55"/>
        <v>0.180295887516595</v>
      </c>
      <c r="CU48" s="143">
        <f t="shared" ca="1" si="55"/>
        <v>2.7601271573355027E-2</v>
      </c>
      <c r="CV48" s="143">
        <f t="shared" ca="1" si="55"/>
        <v>0.21639786311019182</v>
      </c>
      <c r="CW48" s="143">
        <f t="shared" ca="1" si="55"/>
        <v>7.8296261116647087E-2</v>
      </c>
      <c r="CX48" s="143">
        <f t="shared" ca="1" si="55"/>
        <v>-0.2064162893741868</v>
      </c>
      <c r="CY48" s="143">
        <f t="shared" ca="1" si="55"/>
        <v>-0.23072496682512986</v>
      </c>
      <c r="CZ48" s="143">
        <f t="shared" ca="1" si="55"/>
        <v>0.35995955574805893</v>
      </c>
      <c r="DA48" s="143">
        <f t="shared" ca="1" si="55"/>
        <v>0.14238263476834367</v>
      </c>
      <c r="DB48" s="143">
        <f t="shared" ca="1" si="55"/>
        <v>-0.1811157648116544</v>
      </c>
      <c r="DC48" s="143">
        <f t="shared" ca="1" si="55"/>
        <v>0.38967976595449527</v>
      </c>
      <c r="DD48" s="143">
        <f t="shared" ca="1" si="55"/>
        <v>-0.31163946477159532</v>
      </c>
      <c r="DE48" s="143">
        <f t="shared" ca="1" si="55"/>
        <v>0.17477124203984079</v>
      </c>
      <c r="DF48" s="143">
        <f t="shared" ca="1" si="55"/>
        <v>0.18491192240375981</v>
      </c>
      <c r="DG48" s="143">
        <f t="shared" ca="1" si="55"/>
        <v>0.45391665518681845</v>
      </c>
      <c r="DH48" s="143">
        <f t="shared" ca="1" si="55"/>
        <v>8.1417977151647697E-2</v>
      </c>
      <c r="DI48" s="143">
        <f t="shared" ca="1" si="55"/>
        <v>8.0227827769926124E-2</v>
      </c>
      <c r="DK48" s="115">
        <f t="shared" si="8"/>
        <v>97</v>
      </c>
      <c r="DL48" s="143">
        <f t="shared" ca="1" si="51"/>
        <v>0.10538119549127833</v>
      </c>
      <c r="DM48" s="143">
        <f t="shared" ca="1" si="58"/>
        <v>0.15028900647534252</v>
      </c>
      <c r="DN48" s="143">
        <f t="shared" ca="1" si="58"/>
        <v>0.11195570842926766</v>
      </c>
      <c r="DO48" s="143">
        <f t="shared" ca="1" si="58"/>
        <v>0.14199671220543542</v>
      </c>
      <c r="DP48" s="143">
        <f t="shared" ca="1" si="58"/>
        <v>6.6051777851027435E-3</v>
      </c>
      <c r="DQ48" s="143">
        <f t="shared" ca="1" si="58"/>
        <v>0.1170763750970969</v>
      </c>
      <c r="DR48" s="143">
        <f t="shared" ca="1" si="58"/>
        <v>0.10003870022192288</v>
      </c>
      <c r="DS48" s="143">
        <f t="shared" ca="1" si="58"/>
        <v>1.0841625700993479E-2</v>
      </c>
      <c r="DT48" s="143">
        <f t="shared" ca="1" si="58"/>
        <v>-3.8897295265401748E-2</v>
      </c>
      <c r="DU48" s="143">
        <f t="shared" ca="1" si="58"/>
        <v>9.7846253776022213E-2</v>
      </c>
      <c r="DV48" s="143">
        <f t="shared" ca="1" si="58"/>
        <v>-5.7457239620722446E-2</v>
      </c>
      <c r="DW48" s="143">
        <f t="shared" ca="1" si="58"/>
        <v>-5.6901340501934398E-2</v>
      </c>
      <c r="DX48" s="143">
        <f t="shared" ca="1" si="58"/>
        <v>6.4796511610778387E-2</v>
      </c>
      <c r="DY48" s="143">
        <f t="shared" ca="1" si="58"/>
        <v>9.6429528745850701E-2</v>
      </c>
      <c r="DZ48" s="143">
        <f t="shared" ca="1" si="58"/>
        <v>-5.7465491321159183E-2</v>
      </c>
      <c r="EA48" s="143">
        <f t="shared" ca="1" si="58"/>
        <v>2.438854255469643E-2</v>
      </c>
      <c r="EB48" s="143">
        <f t="shared" ca="1" si="58"/>
        <v>9.1020792963707658E-2</v>
      </c>
      <c r="EC48" s="143">
        <f t="shared" ca="1" si="58"/>
        <v>-5.4175234432045284E-2</v>
      </c>
      <c r="ED48" s="143">
        <f t="shared" ca="1" si="58"/>
        <v>0.11377857578967443</v>
      </c>
      <c r="EE48" s="143">
        <f t="shared" ca="1" si="58"/>
        <v>-0.13232391340059779</v>
      </c>
      <c r="EF48" s="143">
        <f t="shared" ca="1" si="58"/>
        <v>0.1314069183128298</v>
      </c>
      <c r="EG48" s="143">
        <f t="shared" ca="1" si="58"/>
        <v>7.0056342624897641E-2</v>
      </c>
      <c r="EH48" s="143">
        <f t="shared" ca="1" si="58"/>
        <v>3.0107141874869611E-3</v>
      </c>
      <c r="EI48" s="143">
        <f t="shared" ca="1" si="58"/>
        <v>-9.6703117099895403E-2</v>
      </c>
      <c r="EJ48" s="143">
        <f t="shared" ca="1" si="58"/>
        <v>0.16043646492023525</v>
      </c>
      <c r="EK48" s="143">
        <f t="shared" ca="1" si="58"/>
        <v>-0.10303921092064447</v>
      </c>
      <c r="EL48" s="143">
        <f t="shared" ca="1" si="58"/>
        <v>9.0178524986632425E-3</v>
      </c>
      <c r="EM48" s="143">
        <f t="shared" ca="1" si="58"/>
        <v>-2.4143635360212572E-2</v>
      </c>
      <c r="EN48" s="143">
        <f t="shared" ca="1" si="58"/>
        <v>5.6947034225876797E-2</v>
      </c>
      <c r="EO48" s="143">
        <f t="shared" ca="1" si="58"/>
        <v>-4.9275929489103511E-2</v>
      </c>
      <c r="EP48" s="143">
        <f t="shared" ca="1" si="58"/>
        <v>4.5823593922284175E-2</v>
      </c>
      <c r="EQ48" s="143">
        <f t="shared" ca="1" si="58"/>
        <v>-0.12523261405904068</v>
      </c>
      <c r="ER48" s="143">
        <f t="shared" ca="1" si="58"/>
        <v>0.1153441617935427</v>
      </c>
      <c r="ES48" s="143">
        <f t="shared" ca="1" si="58"/>
        <v>7.5788121022026742E-2</v>
      </c>
      <c r="ET48" s="143">
        <f t="shared" ca="1" si="58"/>
        <v>-2.8519465544471025E-2</v>
      </c>
      <c r="EU48" s="143">
        <f t="shared" ca="1" si="58"/>
        <v>9.9904076124427837E-2</v>
      </c>
      <c r="EV48" s="143">
        <f t="shared" ca="1" si="58"/>
        <v>7.2456844555425559E-2</v>
      </c>
      <c r="EW48" s="143">
        <f t="shared" ca="1" si="58"/>
        <v>-2.6290263971498799E-2</v>
      </c>
      <c r="EX48" s="143">
        <f t="shared" ca="1" si="58"/>
        <v>-2.9474450481402299E-2</v>
      </c>
      <c r="EY48" s="143">
        <f t="shared" ca="1" si="58"/>
        <v>5.6532669336883244E-2</v>
      </c>
      <c r="EZ48" s="143">
        <f t="shared" ca="1" si="58"/>
        <v>7.9637434316242178E-2</v>
      </c>
      <c r="FA48" s="143">
        <f t="shared" ca="1" si="58"/>
        <v>0.15847540919156985</v>
      </c>
      <c r="FB48" s="143">
        <f t="shared" ca="1" si="58"/>
        <v>2.9717631159298017E-2</v>
      </c>
      <c r="FC48" s="143">
        <f t="shared" ca="1" si="58"/>
        <v>0.17973154485264245</v>
      </c>
      <c r="FD48" s="143">
        <f t="shared" ca="1" si="58"/>
        <v>-3.995166156801417E-2</v>
      </c>
      <c r="FE48" s="143">
        <f t="shared" ca="1" si="58"/>
        <v>-4.6328305740588396E-3</v>
      </c>
      <c r="FF48" s="143">
        <f t="shared" ca="1" si="58"/>
        <v>2.7146043481694596E-2</v>
      </c>
      <c r="FG48" s="143">
        <f t="shared" ca="1" si="58"/>
        <v>4.7554406284031896E-2</v>
      </c>
      <c r="FH48" s="143">
        <f t="shared" ca="1" si="58"/>
        <v>-7.1137889045603739E-3</v>
      </c>
      <c r="FI48" s="143">
        <f t="shared" ca="1" si="58"/>
        <v>0.14280245007123127</v>
      </c>
      <c r="FJ48" s="143">
        <f t="shared" ca="1" si="58"/>
        <v>-2.1905205671627605E-2</v>
      </c>
      <c r="FK48" s="143">
        <f t="shared" ca="1" si="58"/>
        <v>7.1762539158314279E-2</v>
      </c>
      <c r="FL48" s="143">
        <f t="shared" ca="1" si="58"/>
        <v>3.589261354316834E-2</v>
      </c>
      <c r="FM48" s="143">
        <f t="shared" ca="1" si="58"/>
        <v>1.4335059856607213E-4</v>
      </c>
      <c r="FN48" s="143">
        <f t="shared" ca="1" si="58"/>
        <v>0.10794361455681756</v>
      </c>
      <c r="FO48" s="143">
        <f t="shared" ca="1" si="58"/>
        <v>-8.232202407321948E-3</v>
      </c>
      <c r="FP48" s="143">
        <f t="shared" ca="1" si="58"/>
        <v>0.12639266767587631</v>
      </c>
      <c r="FQ48" s="143">
        <f t="shared" ca="1" si="58"/>
        <v>0.1928824499399007</v>
      </c>
      <c r="FR48" s="143">
        <f t="shared" ca="1" si="58"/>
        <v>8.4418976359900755E-2</v>
      </c>
      <c r="FS48" s="143">
        <f t="shared" ca="1" si="58"/>
        <v>7.8717153539551832E-2</v>
      </c>
      <c r="FT48" s="143">
        <f t="shared" ca="1" si="58"/>
        <v>0.10184847152077182</v>
      </c>
      <c r="FU48" s="143">
        <f t="shared" ca="1" si="58"/>
        <v>8.6385742935243454E-2</v>
      </c>
      <c r="FV48" s="143">
        <f t="shared" ca="1" si="58"/>
        <v>-1.6935837808378866E-2</v>
      </c>
      <c r="FW48" s="143">
        <f t="shared" ca="1" si="58"/>
        <v>-5.6079659273424294E-2</v>
      </c>
      <c r="FX48" s="143">
        <f t="shared" ca="1" si="58"/>
        <v>4.0627779286636044E-2</v>
      </c>
      <c r="FY48" s="143">
        <f t="shared" ca="1" si="56"/>
        <v>3.7924063979990298E-2</v>
      </c>
      <c r="FZ48" s="143">
        <f t="shared" ca="1" si="56"/>
        <v>-4.143226854720148E-2</v>
      </c>
      <c r="GA48" s="143">
        <f t="shared" ca="1" si="56"/>
        <v>1.9027025384832051E-2</v>
      </c>
      <c r="GB48" s="143">
        <f t="shared" ca="1" si="56"/>
        <v>5.585483487705549E-2</v>
      </c>
      <c r="GC48" s="143">
        <f t="shared" ca="1" si="56"/>
        <v>6.3953730690147204E-2</v>
      </c>
      <c r="GD48" s="143">
        <f t="shared" ca="1" si="56"/>
        <v>3.5664552893417897E-3</v>
      </c>
      <c r="GE48" s="143">
        <f t="shared" ca="1" si="56"/>
        <v>7.2215962890940982E-2</v>
      </c>
      <c r="GF48" s="143">
        <f t="shared" ca="1" si="56"/>
        <v>-3.1626677170824548E-2</v>
      </c>
      <c r="GG48" s="143">
        <f t="shared" ca="1" si="56"/>
        <v>-6.1218708650348765E-2</v>
      </c>
      <c r="GH48" s="143">
        <f t="shared" ca="1" si="56"/>
        <v>-5.8531090160761357E-3</v>
      </c>
      <c r="GI48" s="143">
        <f t="shared" ca="1" si="56"/>
        <v>-9.764195281520896E-2</v>
      </c>
      <c r="GJ48" s="143">
        <f t="shared" ca="1" si="56"/>
        <v>0.1608157372555091</v>
      </c>
      <c r="GK48" s="143">
        <f t="shared" ca="1" si="56"/>
        <v>4.864013420732706E-3</v>
      </c>
      <c r="GL48" s="143">
        <f t="shared" ca="1" si="56"/>
        <v>2.0506999092279512E-2</v>
      </c>
      <c r="GM48" s="143">
        <f t="shared" ca="1" si="56"/>
        <v>0.10144997155788391</v>
      </c>
      <c r="GN48" s="143">
        <f t="shared" ca="1" si="56"/>
        <v>-1.2000133762380856E-2</v>
      </c>
      <c r="GO48" s="143">
        <f t="shared" ca="1" si="56"/>
        <v>4.181475751635115E-2</v>
      </c>
      <c r="GP48" s="143">
        <f t="shared" ca="1" si="56"/>
        <v>4.4436802943122064E-2</v>
      </c>
      <c r="GQ48" s="143">
        <f t="shared" ca="1" si="56"/>
        <v>-1.8361661178118611E-2</v>
      </c>
      <c r="GR48" s="143">
        <f t="shared" ca="1" si="56"/>
        <v>0.13836837431299356</v>
      </c>
      <c r="GS48" s="143">
        <f t="shared" ca="1" si="56"/>
        <v>4.1112035353143735E-2</v>
      </c>
      <c r="GT48" s="143">
        <f t="shared" ca="1" si="56"/>
        <v>4.7600847117477904E-2</v>
      </c>
      <c r="GU48" s="143">
        <f t="shared" ca="1" si="56"/>
        <v>-6.1000444053797474E-2</v>
      </c>
      <c r="GV48" s="143">
        <f t="shared" ca="1" si="56"/>
        <v>9.1431728260292347E-2</v>
      </c>
      <c r="GW48" s="143">
        <f t="shared" ca="1" si="56"/>
        <v>2.139283432785017E-2</v>
      </c>
      <c r="GX48" s="143">
        <f t="shared" ca="1" si="56"/>
        <v>5.9425838408261947E-2</v>
      </c>
      <c r="GY48" s="143">
        <f t="shared" ca="1" si="56"/>
        <v>7.9314012548568652E-2</v>
      </c>
      <c r="GZ48" s="143">
        <f t="shared" ca="1" si="56"/>
        <v>-6.6286316856999233E-2</v>
      </c>
      <c r="HA48" s="143">
        <f t="shared" ca="1" si="56"/>
        <v>9.3919713038110184E-2</v>
      </c>
      <c r="HB48" s="143">
        <f t="shared" ca="1" si="56"/>
        <v>-7.83692876683241E-2</v>
      </c>
      <c r="HC48" s="143">
        <f t="shared" ca="1" si="56"/>
        <v>-6.8505643603437333E-2</v>
      </c>
      <c r="HD48" s="143">
        <f t="shared" ca="1" si="56"/>
        <v>2.9879627192638872E-2</v>
      </c>
      <c r="HE48" s="143">
        <f t="shared" ca="1" si="56"/>
        <v>6.6786403386666068E-2</v>
      </c>
      <c r="HF48" s="143">
        <f t="shared" ca="1" si="56"/>
        <v>0.11210339671307182</v>
      </c>
      <c r="HG48" s="143">
        <f t="shared" ca="1" si="56"/>
        <v>0.11658503975021758</v>
      </c>
    </row>
    <row r="49" spans="1:215">
      <c r="A49" s="90">
        <v>1975</v>
      </c>
      <c r="B49" s="84">
        <v>0.36995137106184356</v>
      </c>
      <c r="C49" s="85">
        <v>0.59350000000000003</v>
      </c>
      <c r="D49" s="83">
        <f t="shared" si="4"/>
        <v>0.41466109684947483</v>
      </c>
      <c r="E49" s="85"/>
      <c r="F49" s="85"/>
      <c r="G49" s="85">
        <v>5.7863855421686747E-2</v>
      </c>
      <c r="H49" s="85">
        <v>3.6052536026033838E-2</v>
      </c>
      <c r="I49" s="85">
        <v>0.11049964074144952</v>
      </c>
      <c r="J49" s="85">
        <v>-0.24798927613941024</v>
      </c>
      <c r="M49" s="115">
        <f t="shared" si="7"/>
        <v>98</v>
      </c>
      <c r="N49" s="143">
        <f t="shared" ca="1" si="49"/>
        <v>0.24896517414216576</v>
      </c>
      <c r="O49" s="143">
        <f t="shared" ca="1" si="57"/>
        <v>9.0902983948756441E-2</v>
      </c>
      <c r="P49" s="143">
        <f t="shared" ca="1" si="57"/>
        <v>0.14867681133599128</v>
      </c>
      <c r="Q49" s="143">
        <f t="shared" ca="1" si="57"/>
        <v>-6.3574456868296908E-2</v>
      </c>
      <c r="R49" s="143">
        <f t="shared" ca="1" si="57"/>
        <v>-0.14816668787119391</v>
      </c>
      <c r="S49" s="143">
        <f t="shared" ca="1" si="57"/>
        <v>-0.15454915845424336</v>
      </c>
      <c r="T49" s="143">
        <f t="shared" ca="1" si="57"/>
        <v>0.22755289156836853</v>
      </c>
      <c r="U49" s="143">
        <f t="shared" ca="1" si="57"/>
        <v>0.22650191663276828</v>
      </c>
      <c r="V49" s="143">
        <f t="shared" ca="1" si="57"/>
        <v>0.19322054679426232</v>
      </c>
      <c r="W49" s="143">
        <f t="shared" ca="1" si="57"/>
        <v>6.2759108519095053E-2</v>
      </c>
      <c r="X49" s="143">
        <f t="shared" ca="1" si="57"/>
        <v>9.3138103528484603E-2</v>
      </c>
      <c r="Y49" s="143">
        <f t="shared" ca="1" si="57"/>
        <v>0.13009264608443324</v>
      </c>
      <c r="Z49" s="143">
        <f t="shared" ca="1" si="57"/>
        <v>0.36672059203057428</v>
      </c>
      <c r="AA49" s="143">
        <f t="shared" ca="1" si="57"/>
        <v>0.10181583189110795</v>
      </c>
      <c r="AB49" s="143">
        <f t="shared" ca="1" si="57"/>
        <v>4.9324671468391534E-2</v>
      </c>
      <c r="AC49" s="143">
        <f t="shared" ca="1" si="57"/>
        <v>-0.14863020072841335</v>
      </c>
      <c r="AD49" s="143">
        <f t="shared" ca="1" si="57"/>
        <v>0.2777492229541666</v>
      </c>
      <c r="AE49" s="143">
        <f t="shared" ca="1" si="57"/>
        <v>-0.51740244713642336</v>
      </c>
      <c r="AF49" s="143">
        <f t="shared" ca="1" si="57"/>
        <v>0.20761885727524076</v>
      </c>
      <c r="AG49" s="143">
        <f t="shared" ca="1" si="57"/>
        <v>-7.1042219506397858E-2</v>
      </c>
      <c r="AH49" s="143">
        <f t="shared" ca="1" si="57"/>
        <v>0.12759446594722984</v>
      </c>
      <c r="AI49" s="143">
        <f t="shared" ca="1" si="57"/>
        <v>0.15927841406503862</v>
      </c>
      <c r="AJ49" s="143">
        <f t="shared" ca="1" si="57"/>
        <v>0.36563021455072753</v>
      </c>
      <c r="AK49" s="143">
        <f t="shared" ca="1" si="57"/>
        <v>0.22522242293393577</v>
      </c>
      <c r="AL49" s="143">
        <f t="shared" ca="1" si="57"/>
        <v>0.13305329331012622</v>
      </c>
      <c r="AM49" s="143">
        <f t="shared" ca="1" si="57"/>
        <v>-0.14844228544214208</v>
      </c>
      <c r="AN49" s="143">
        <f t="shared" ca="1" si="57"/>
        <v>-9.8018316844348918E-2</v>
      </c>
      <c r="AO49" s="143">
        <f t="shared" ca="1" si="57"/>
        <v>-0.13776801478470294</v>
      </c>
      <c r="AP49" s="143">
        <f t="shared" ca="1" si="57"/>
        <v>0.14794119615849624</v>
      </c>
      <c r="AQ49" s="143">
        <f t="shared" ca="1" si="57"/>
        <v>0.37362164826984667</v>
      </c>
      <c r="AR49" s="143">
        <f t="shared" ca="1" si="57"/>
        <v>0.17695093426755798</v>
      </c>
      <c r="AS49" s="143">
        <f t="shared" ca="1" si="57"/>
        <v>-0.1387182618552735</v>
      </c>
      <c r="AT49" s="143">
        <f t="shared" ca="1" si="57"/>
        <v>7.8133491086884249E-2</v>
      </c>
      <c r="AU49" s="143">
        <f t="shared" ca="1" si="57"/>
        <v>0.28110905290854737</v>
      </c>
      <c r="AV49" s="143">
        <f t="shared" ca="1" si="57"/>
        <v>0.14623269166089276</v>
      </c>
      <c r="AW49" s="143">
        <f t="shared" ca="1" si="57"/>
        <v>0.15326140325176818</v>
      </c>
      <c r="AX49" s="143">
        <f t="shared" ca="1" si="57"/>
        <v>-0.19424781420211093</v>
      </c>
      <c r="AY49" s="143">
        <f t="shared" ca="1" si="57"/>
        <v>0.10729138101758343</v>
      </c>
      <c r="AZ49" s="143">
        <f t="shared" ca="1" si="57"/>
        <v>-0.11508837323664348</v>
      </c>
      <c r="BA49" s="143">
        <f t="shared" ca="1" si="57"/>
        <v>0.34864693826108606</v>
      </c>
      <c r="BB49" s="143">
        <f t="shared" ca="1" si="57"/>
        <v>0.11779773595153542</v>
      </c>
      <c r="BC49" s="143">
        <f t="shared" ca="1" si="57"/>
        <v>0.10600470929982633</v>
      </c>
      <c r="BD49" s="143">
        <f t="shared" ca="1" si="57"/>
        <v>-0.27025536222920243</v>
      </c>
      <c r="BE49" s="143">
        <f t="shared" ca="1" si="57"/>
        <v>-0.10185172130790712</v>
      </c>
      <c r="BF49" s="143">
        <f t="shared" ca="1" si="57"/>
        <v>-5.222437605272523E-3</v>
      </c>
      <c r="BG49" s="143">
        <f t="shared" ca="1" si="57"/>
        <v>0.33494415533230848</v>
      </c>
      <c r="BH49" s="143">
        <f t="shared" ca="1" si="57"/>
        <v>9.0076078270898877E-2</v>
      </c>
      <c r="BI49" s="143">
        <f t="shared" ca="1" si="57"/>
        <v>0.41719267752050715</v>
      </c>
      <c r="BJ49" s="143">
        <f t="shared" ca="1" si="57"/>
        <v>0.24197764271787092</v>
      </c>
      <c r="BK49" s="143">
        <f t="shared" ca="1" si="57"/>
        <v>0.25011189203007073</v>
      </c>
      <c r="BL49" s="143">
        <f t="shared" ca="1" si="57"/>
        <v>9.0431092244887143E-2</v>
      </c>
      <c r="BM49" s="143">
        <f t="shared" ca="1" si="57"/>
        <v>0.30044422717679214</v>
      </c>
      <c r="BN49" s="143">
        <f t="shared" ca="1" si="57"/>
        <v>-0.11250318656334665</v>
      </c>
      <c r="BO49" s="143">
        <f t="shared" ca="1" si="57"/>
        <v>-0.28997598886288911</v>
      </c>
      <c r="BP49" s="143">
        <f t="shared" ca="1" si="57"/>
        <v>0.30665182112200928</v>
      </c>
      <c r="BQ49" s="143">
        <f t="shared" ca="1" si="57"/>
        <v>-0.18507947309633518</v>
      </c>
      <c r="BR49" s="143">
        <f t="shared" ca="1" si="57"/>
        <v>6.9394767574688654E-2</v>
      </c>
      <c r="BS49" s="143">
        <f t="shared" ca="1" si="57"/>
        <v>0.28663737644434673</v>
      </c>
      <c r="BT49" s="143">
        <f t="shared" ca="1" si="57"/>
        <v>-0.14853669273601222</v>
      </c>
      <c r="BU49" s="143">
        <f t="shared" ca="1" si="57"/>
        <v>5.1023414895762322E-2</v>
      </c>
      <c r="BV49" s="143">
        <f t="shared" ca="1" si="57"/>
        <v>0.24085345668694472</v>
      </c>
      <c r="BW49" s="143">
        <f t="shared" ca="1" si="57"/>
        <v>0.10014313032380202</v>
      </c>
      <c r="BX49" s="143">
        <f t="shared" ca="1" si="57"/>
        <v>5.5642999321001363E-2</v>
      </c>
      <c r="BY49" s="143">
        <f t="shared" ca="1" si="57"/>
        <v>0.19964212022048364</v>
      </c>
      <c r="BZ49" s="143">
        <f t="shared" ca="1" si="57"/>
        <v>-0.20661703318352551</v>
      </c>
      <c r="CA49" s="143">
        <f t="shared" ca="1" si="55"/>
        <v>0.15778157036842114</v>
      </c>
      <c r="CB49" s="143">
        <f t="shared" ca="1" si="55"/>
        <v>0.37406848047752073</v>
      </c>
      <c r="CC49" s="143">
        <f t="shared" ca="1" si="55"/>
        <v>0.35068667345690807</v>
      </c>
      <c r="CD49" s="143">
        <f t="shared" ca="1" si="55"/>
        <v>1.8078971704200364E-2</v>
      </c>
      <c r="CE49" s="143">
        <f t="shared" ca="1" si="55"/>
        <v>0.14240016310506617</v>
      </c>
      <c r="CF49" s="143">
        <f t="shared" ca="1" si="55"/>
        <v>0.28069659217320164</v>
      </c>
      <c r="CG49" s="143">
        <f t="shared" ca="1" si="55"/>
        <v>0.2701748105041914</v>
      </c>
      <c r="CH49" s="143">
        <f t="shared" ca="1" si="55"/>
        <v>0.42552747877892749</v>
      </c>
      <c r="CI49" s="143">
        <f t="shared" ca="1" si="55"/>
        <v>6.0465001067202671E-2</v>
      </c>
      <c r="CJ49" s="143">
        <f t="shared" ca="1" si="55"/>
        <v>0.41247660191182656</v>
      </c>
      <c r="CK49" s="143">
        <f t="shared" ca="1" si="55"/>
        <v>-0.20715497404107477</v>
      </c>
      <c r="CL49" s="143">
        <f t="shared" ca="1" si="55"/>
        <v>2.8028400325223982E-2</v>
      </c>
      <c r="CM49" s="143">
        <f t="shared" ca="1" si="55"/>
        <v>0.46006038072319255</v>
      </c>
      <c r="CN49" s="143">
        <f t="shared" ca="1" si="55"/>
        <v>-0.28628948190045467</v>
      </c>
      <c r="CO49" s="143">
        <f t="shared" ca="1" si="55"/>
        <v>-7.8079502854575183E-2</v>
      </c>
      <c r="CP49" s="143">
        <f t="shared" ca="1" si="55"/>
        <v>-0.10076276899299288</v>
      </c>
      <c r="CQ49" s="143">
        <f t="shared" ca="1" si="55"/>
        <v>0.27554229394173424</v>
      </c>
      <c r="CR49" s="143">
        <f t="shared" ca="1" si="55"/>
        <v>0.40313381546023586</v>
      </c>
      <c r="CS49" s="143">
        <f t="shared" ca="1" si="55"/>
        <v>4.1337754202345756E-2</v>
      </c>
      <c r="CT49" s="143">
        <f t="shared" ca="1" si="55"/>
        <v>0.12524894516473611</v>
      </c>
      <c r="CU49" s="143">
        <f t="shared" ca="1" si="55"/>
        <v>0.1678993762250674</v>
      </c>
      <c r="CV49" s="143">
        <f t="shared" ca="1" si="55"/>
        <v>-4.7664371299624225E-2</v>
      </c>
      <c r="CW49" s="143">
        <f t="shared" ca="1" si="55"/>
        <v>6.5862965778181598E-2</v>
      </c>
      <c r="CX49" s="143">
        <f t="shared" ca="1" si="55"/>
        <v>0.60613090470202524</v>
      </c>
      <c r="CY49" s="143">
        <f t="shared" ca="1" si="55"/>
        <v>4.453710197620437E-2</v>
      </c>
      <c r="CZ49" s="143">
        <f t="shared" ca="1" si="55"/>
        <v>3.2287672492614453E-2</v>
      </c>
      <c r="DA49" s="143">
        <f t="shared" ca="1" si="55"/>
        <v>0.25379381623585234</v>
      </c>
      <c r="DB49" s="143">
        <f t="shared" ca="1" si="55"/>
        <v>5.3190667810645832E-2</v>
      </c>
      <c r="DC49" s="143">
        <f t="shared" ca="1" si="55"/>
        <v>0.48744205233729554</v>
      </c>
      <c r="DD49" s="143">
        <f t="shared" ca="1" si="55"/>
        <v>-2.4341110910674243E-2</v>
      </c>
      <c r="DE49" s="143">
        <f t="shared" ca="1" si="55"/>
        <v>0.28937675073301361</v>
      </c>
      <c r="DF49" s="143">
        <f t="shared" ca="1" si="55"/>
        <v>0.20390308336064267</v>
      </c>
      <c r="DG49" s="143">
        <f t="shared" ca="1" si="55"/>
        <v>0.41338633881849174</v>
      </c>
      <c r="DH49" s="143">
        <f t="shared" ca="1" si="55"/>
        <v>-0.17896729617995757</v>
      </c>
      <c r="DI49" s="143">
        <f t="shared" ca="1" si="55"/>
        <v>-4.8467644277611521E-2</v>
      </c>
      <c r="DK49" s="115">
        <f t="shared" si="8"/>
        <v>98</v>
      </c>
      <c r="DL49" s="143">
        <f t="shared" ca="1" si="51"/>
        <v>9.7791662753014E-2</v>
      </c>
      <c r="DM49" s="143">
        <f t="shared" ca="1" si="58"/>
        <v>-4.2706215359352463E-2</v>
      </c>
      <c r="DN49" s="143">
        <f t="shared" ca="1" si="58"/>
        <v>5.6338948471999051E-2</v>
      </c>
      <c r="DO49" s="143">
        <f t="shared" ca="1" si="58"/>
        <v>4.7575543206255649E-2</v>
      </c>
      <c r="DP49" s="143">
        <f t="shared" ca="1" si="58"/>
        <v>-1.1577001013945473E-2</v>
      </c>
      <c r="DQ49" s="143">
        <f t="shared" ca="1" si="58"/>
        <v>4.9262652445101057E-2</v>
      </c>
      <c r="DR49" s="143">
        <f t="shared" ca="1" si="58"/>
        <v>-3.3687782132552337E-2</v>
      </c>
      <c r="DS49" s="143">
        <f t="shared" ca="1" si="58"/>
        <v>9.7170169919365834E-2</v>
      </c>
      <c r="DT49" s="143">
        <f t="shared" ca="1" si="58"/>
        <v>5.0448342491495379E-2</v>
      </c>
      <c r="DU49" s="143">
        <f t="shared" ca="1" si="58"/>
        <v>8.3615522040187296E-2</v>
      </c>
      <c r="DV49" s="143">
        <f t="shared" ca="1" si="58"/>
        <v>-2.6102913317384853E-2</v>
      </c>
      <c r="DW49" s="143">
        <f t="shared" ca="1" si="58"/>
        <v>8.7043837023597123E-2</v>
      </c>
      <c r="DX49" s="143">
        <f t="shared" ca="1" si="58"/>
        <v>2.4466292722898839E-3</v>
      </c>
      <c r="DY49" s="143">
        <f t="shared" ca="1" si="58"/>
        <v>0.11793423423830457</v>
      </c>
      <c r="DZ49" s="143">
        <f t="shared" ca="1" si="58"/>
        <v>1.1471795548305665E-2</v>
      </c>
      <c r="EA49" s="143">
        <f t="shared" ca="1" si="58"/>
        <v>5.7566845828805842E-2</v>
      </c>
      <c r="EB49" s="143">
        <f t="shared" ca="1" si="58"/>
        <v>8.3859704250806133E-2</v>
      </c>
      <c r="EC49" s="143">
        <f t="shared" ca="1" si="58"/>
        <v>7.5982102283203706E-2</v>
      </c>
      <c r="ED49" s="143">
        <f t="shared" ca="1" si="58"/>
        <v>0.14341046818075834</v>
      </c>
      <c r="EE49" s="143">
        <f t="shared" ca="1" si="58"/>
        <v>0.10221295812109163</v>
      </c>
      <c r="EF49" s="143">
        <f t="shared" ca="1" si="58"/>
        <v>2.2624184627293365E-2</v>
      </c>
      <c r="EG49" s="143">
        <f t="shared" ca="1" si="58"/>
        <v>0.18275245236983792</v>
      </c>
      <c r="EH49" s="143">
        <f t="shared" ca="1" si="58"/>
        <v>0.14457928178895194</v>
      </c>
      <c r="EI49" s="143">
        <f t="shared" ca="1" si="58"/>
        <v>0.23604832522155578</v>
      </c>
      <c r="EJ49" s="143">
        <f t="shared" ca="1" si="58"/>
        <v>5.3905432363127587E-2</v>
      </c>
      <c r="EK49" s="143">
        <f t="shared" ca="1" si="58"/>
        <v>2.3449398716991771E-2</v>
      </c>
      <c r="EL49" s="143">
        <f t="shared" ca="1" si="58"/>
        <v>4.1629812175596144E-2</v>
      </c>
      <c r="EM49" s="143">
        <f t="shared" ca="1" si="58"/>
        <v>1.4064340053440871E-2</v>
      </c>
      <c r="EN49" s="143">
        <f t="shared" ca="1" si="58"/>
        <v>-8.6718034128318217E-2</v>
      </c>
      <c r="EO49" s="143">
        <f t="shared" ca="1" si="58"/>
        <v>7.8940535758620978E-2</v>
      </c>
      <c r="EP49" s="143">
        <f t="shared" ca="1" si="58"/>
        <v>0.15097583717449251</v>
      </c>
      <c r="EQ49" s="143">
        <f t="shared" ca="1" si="58"/>
        <v>-6.2586137745952924E-2</v>
      </c>
      <c r="ER49" s="143">
        <f t="shared" ca="1" si="58"/>
        <v>8.3925840252820821E-2</v>
      </c>
      <c r="ES49" s="143">
        <f t="shared" ca="1" si="58"/>
        <v>4.2320132204422954E-2</v>
      </c>
      <c r="ET49" s="143">
        <f t="shared" ca="1" si="58"/>
        <v>0.10766798286438917</v>
      </c>
      <c r="EU49" s="143">
        <f t="shared" ca="1" si="58"/>
        <v>0.11759979798488179</v>
      </c>
      <c r="EV49" s="143">
        <f t="shared" ca="1" si="58"/>
        <v>-6.0707153981323154E-2</v>
      </c>
      <c r="EW49" s="143">
        <f t="shared" ca="1" si="58"/>
        <v>0.11626249126476573</v>
      </c>
      <c r="EX49" s="143">
        <f t="shared" ca="1" si="58"/>
        <v>6.3256544551319821E-2</v>
      </c>
      <c r="EY49" s="143">
        <f t="shared" ca="1" si="58"/>
        <v>6.79286742570612E-2</v>
      </c>
      <c r="EZ49" s="143">
        <f t="shared" ca="1" si="58"/>
        <v>9.1183982085509679E-2</v>
      </c>
      <c r="FA49" s="143">
        <f t="shared" ca="1" si="58"/>
        <v>0.10949033120794421</v>
      </c>
      <c r="FB49" s="143">
        <f t="shared" ca="1" si="58"/>
        <v>4.6809725190252144E-2</v>
      </c>
      <c r="FC49" s="143">
        <f t="shared" ca="1" si="58"/>
        <v>5.8277687511031448E-2</v>
      </c>
      <c r="FD49" s="143">
        <f t="shared" ca="1" si="58"/>
        <v>0.14668881190383926</v>
      </c>
      <c r="FE49" s="143">
        <f t="shared" ca="1" si="58"/>
        <v>0.13048230997001548</v>
      </c>
      <c r="FF49" s="143">
        <f t="shared" ca="1" si="58"/>
        <v>8.1457871122305542E-2</v>
      </c>
      <c r="FG49" s="143">
        <f t="shared" ca="1" si="58"/>
        <v>-5.2694916665325671E-2</v>
      </c>
      <c r="FH49" s="143">
        <f t="shared" ca="1" si="58"/>
        <v>0.10448963344559585</v>
      </c>
      <c r="FI49" s="143">
        <f t="shared" ca="1" si="58"/>
        <v>8.5749204250682665E-2</v>
      </c>
      <c r="FJ49" s="143">
        <f t="shared" ca="1" si="58"/>
        <v>-4.935084848031545E-2</v>
      </c>
      <c r="FK49" s="143">
        <f t="shared" ca="1" si="58"/>
        <v>2.3311960661264397E-2</v>
      </c>
      <c r="FL49" s="143">
        <f t="shared" ca="1" si="58"/>
        <v>-1.1516619497469155E-2</v>
      </c>
      <c r="FM49" s="143">
        <f t="shared" ca="1" si="58"/>
        <v>0.12823600477291042</v>
      </c>
      <c r="FN49" s="143">
        <f t="shared" ca="1" si="58"/>
        <v>0.10804464320813159</v>
      </c>
      <c r="FO49" s="143">
        <f t="shared" ca="1" si="58"/>
        <v>7.0798686865793797E-2</v>
      </c>
      <c r="FP49" s="143">
        <f t="shared" ca="1" si="58"/>
        <v>-0.11860630933668762</v>
      </c>
      <c r="FQ49" s="143">
        <f t="shared" ca="1" si="58"/>
        <v>2.2644547245771567E-2</v>
      </c>
      <c r="FR49" s="143">
        <f t="shared" ca="1" si="58"/>
        <v>6.7370573540095693E-2</v>
      </c>
      <c r="FS49" s="143">
        <f t="shared" ca="1" si="58"/>
        <v>9.6331195595403929E-2</v>
      </c>
      <c r="FT49" s="143">
        <f t="shared" ca="1" si="58"/>
        <v>8.5300278875345886E-2</v>
      </c>
      <c r="FU49" s="143">
        <f t="shared" ca="1" si="58"/>
        <v>7.4109112437321031E-2</v>
      </c>
      <c r="FV49" s="143">
        <f t="shared" ca="1" si="58"/>
        <v>0.15294321202379765</v>
      </c>
      <c r="FW49" s="143">
        <f t="shared" ca="1" si="58"/>
        <v>-2.0584162968814997E-2</v>
      </c>
      <c r="FX49" s="143">
        <f t="shared" ca="1" si="58"/>
        <v>-4.0863358706198609E-2</v>
      </c>
      <c r="FY49" s="143">
        <f t="shared" ca="1" si="56"/>
        <v>-1.1236922106845459E-2</v>
      </c>
      <c r="FZ49" s="143">
        <f t="shared" ca="1" si="56"/>
        <v>3.0181594253509914E-2</v>
      </c>
      <c r="GA49" s="143">
        <f t="shared" ca="1" si="56"/>
        <v>0.14498025700859457</v>
      </c>
      <c r="GB49" s="143">
        <f t="shared" ca="1" si="56"/>
        <v>0.3480260598013174</v>
      </c>
      <c r="GC49" s="143">
        <f t="shared" ca="1" si="56"/>
        <v>5.0169871872022619E-2</v>
      </c>
      <c r="GD49" s="143">
        <f t="shared" ca="1" si="56"/>
        <v>0.20000830654996318</v>
      </c>
      <c r="GE49" s="143">
        <f t="shared" ca="1" si="56"/>
        <v>8.5736235077959702E-2</v>
      </c>
      <c r="GF49" s="143">
        <f t="shared" ca="1" si="56"/>
        <v>0.2223873481389676</v>
      </c>
      <c r="GG49" s="143">
        <f t="shared" ca="1" si="56"/>
        <v>-0.10211906154675005</v>
      </c>
      <c r="GH49" s="143">
        <f t="shared" ca="1" si="56"/>
        <v>0.12184330049765615</v>
      </c>
      <c r="GI49" s="143">
        <f t="shared" ca="1" si="56"/>
        <v>0.10777766398852451</v>
      </c>
      <c r="GJ49" s="143">
        <f t="shared" ca="1" si="56"/>
        <v>8.8877591286020893E-2</v>
      </c>
      <c r="GK49" s="143">
        <f t="shared" ca="1" si="56"/>
        <v>-2.6739571206100869E-2</v>
      </c>
      <c r="GL49" s="143">
        <f t="shared" ca="1" si="56"/>
        <v>9.5457953328341644E-2</v>
      </c>
      <c r="GM49" s="143">
        <f t="shared" ca="1" si="56"/>
        <v>8.9278334180704508E-2</v>
      </c>
      <c r="GN49" s="143">
        <f t="shared" ca="1" si="56"/>
        <v>0.11507556110017608</v>
      </c>
      <c r="GO49" s="143">
        <f t="shared" ca="1" si="56"/>
        <v>5.6542134853957961E-2</v>
      </c>
      <c r="GP49" s="143">
        <f t="shared" ca="1" si="56"/>
        <v>0.19243998813211177</v>
      </c>
      <c r="GQ49" s="143">
        <f t="shared" ca="1" si="56"/>
        <v>0.18253205699070577</v>
      </c>
      <c r="GR49" s="143">
        <f t="shared" ca="1" si="56"/>
        <v>7.9729538549354953E-3</v>
      </c>
      <c r="GS49" s="143">
        <f t="shared" ca="1" si="56"/>
        <v>0.12113232279653063</v>
      </c>
      <c r="GT49" s="143">
        <f t="shared" ca="1" si="56"/>
        <v>0.15498831190282852</v>
      </c>
      <c r="GU49" s="143">
        <f t="shared" ca="1" si="56"/>
        <v>7.6108982038160577E-2</v>
      </c>
      <c r="GV49" s="143">
        <f t="shared" ca="1" si="56"/>
        <v>-9.5027809021506482E-2</v>
      </c>
      <c r="GW49" s="143">
        <f t="shared" ca="1" si="56"/>
        <v>-0.10089999883283837</v>
      </c>
      <c r="GX49" s="143">
        <f t="shared" ca="1" si="56"/>
        <v>7.4589631303967022E-2</v>
      </c>
      <c r="GY49" s="143">
        <f t="shared" ca="1" si="56"/>
        <v>7.7799298766569394E-2</v>
      </c>
      <c r="GZ49" s="143">
        <f t="shared" ca="1" si="56"/>
        <v>-7.1707071310586623E-2</v>
      </c>
      <c r="HA49" s="143">
        <f t="shared" ca="1" si="56"/>
        <v>-9.3418952800573329E-2</v>
      </c>
      <c r="HB49" s="143">
        <f t="shared" ca="1" si="56"/>
        <v>-9.7228819245478187E-2</v>
      </c>
      <c r="HC49" s="143">
        <f t="shared" ca="1" si="56"/>
        <v>5.5134972968038931E-2</v>
      </c>
      <c r="HD49" s="143">
        <f t="shared" ca="1" si="56"/>
        <v>9.0269949366570887E-2</v>
      </c>
      <c r="HE49" s="143">
        <f t="shared" ca="1" si="56"/>
        <v>5.9828586856613575E-2</v>
      </c>
      <c r="HF49" s="143">
        <f t="shared" ca="1" si="56"/>
        <v>0.17138267785188749</v>
      </c>
      <c r="HG49" s="143">
        <f t="shared" ca="1" si="56"/>
        <v>9.695731746586031E-2</v>
      </c>
    </row>
    <row r="50" spans="1:215">
      <c r="A50" s="90">
        <v>1976</v>
      </c>
      <c r="B50" s="84">
        <v>0.23830999002106662</v>
      </c>
      <c r="C50" s="85">
        <v>0.48509999999999998</v>
      </c>
      <c r="D50" s="83">
        <f t="shared" si="4"/>
        <v>0.28766799201685328</v>
      </c>
      <c r="E50" s="85"/>
      <c r="F50" s="85"/>
      <c r="G50" s="85">
        <v>4.9766000000000005E-2</v>
      </c>
      <c r="H50" s="85">
        <v>0.1598456074290921</v>
      </c>
      <c r="I50" s="85">
        <v>0.19752813987098014</v>
      </c>
      <c r="J50" s="85">
        <v>-4.099821746880572E-2</v>
      </c>
      <c r="M50" s="115">
        <f t="shared" si="7"/>
        <v>99</v>
      </c>
      <c r="N50" s="143">
        <f t="shared" ca="1" si="49"/>
        <v>7.6249064037263253E-2</v>
      </c>
      <c r="O50" s="143">
        <f t="shared" ca="1" si="57"/>
        <v>0.2474381047465328</v>
      </c>
      <c r="P50" s="143">
        <f t="shared" ca="1" si="57"/>
        <v>0.28395205334518975</v>
      </c>
      <c r="Q50" s="143">
        <f t="shared" ca="1" si="57"/>
        <v>8.7609769447888425E-2</v>
      </c>
      <c r="R50" s="143">
        <f t="shared" ca="1" si="57"/>
        <v>0.20391436923129441</v>
      </c>
      <c r="S50" s="143">
        <f t="shared" ca="1" si="57"/>
        <v>0.42602724329858321</v>
      </c>
      <c r="T50" s="143">
        <f t="shared" ca="1" si="57"/>
        <v>-0.11984213153619799</v>
      </c>
      <c r="U50" s="143">
        <f t="shared" ca="1" si="57"/>
        <v>7.6149798587811929E-3</v>
      </c>
      <c r="V50" s="143">
        <f t="shared" ca="1" si="57"/>
        <v>-2.260598308847997E-2</v>
      </c>
      <c r="W50" s="143">
        <f t="shared" ca="1" si="57"/>
        <v>9.7070845605740669E-2</v>
      </c>
      <c r="X50" s="143">
        <f t="shared" ca="1" si="57"/>
        <v>0.19782133249226713</v>
      </c>
      <c r="Y50" s="143">
        <f t="shared" ca="1" si="57"/>
        <v>-7.3022921081706244E-2</v>
      </c>
      <c r="Z50" s="143">
        <f t="shared" ca="1" si="57"/>
        <v>0.47931589310192857</v>
      </c>
      <c r="AA50" s="143">
        <f t="shared" ca="1" si="57"/>
        <v>8.1251911540399457E-2</v>
      </c>
      <c r="AB50" s="143">
        <f t="shared" ca="1" si="57"/>
        <v>-8.891032368344734E-2</v>
      </c>
      <c r="AC50" s="143">
        <f t="shared" ca="1" si="57"/>
        <v>3.6382427165628416E-2</v>
      </c>
      <c r="AD50" s="143">
        <f t="shared" ca="1" si="57"/>
        <v>-0.13200926965459447</v>
      </c>
      <c r="AE50" s="143">
        <f t="shared" ca="1" si="57"/>
        <v>0.11732860031062345</v>
      </c>
      <c r="AF50" s="143">
        <f t="shared" ca="1" si="57"/>
        <v>-0.45882352453426367</v>
      </c>
      <c r="AG50" s="143">
        <f t="shared" ca="1" si="57"/>
        <v>-2.7420834334158928E-3</v>
      </c>
      <c r="AH50" s="143">
        <f t="shared" ca="1" si="57"/>
        <v>-0.11197541930229235</v>
      </c>
      <c r="AI50" s="143">
        <f t="shared" ca="1" si="57"/>
        <v>-1.476819850048855E-2</v>
      </c>
      <c r="AJ50" s="143">
        <f t="shared" ca="1" si="57"/>
        <v>0.36198827291799773</v>
      </c>
      <c r="AK50" s="143">
        <f t="shared" ca="1" si="57"/>
        <v>0.19786078179329325</v>
      </c>
      <c r="AL50" s="143">
        <f t="shared" ca="1" si="57"/>
        <v>-0.27827452049709644</v>
      </c>
      <c r="AM50" s="143">
        <f t="shared" ca="1" si="57"/>
        <v>0.18937795255195178</v>
      </c>
      <c r="AN50" s="143">
        <f t="shared" ca="1" si="57"/>
        <v>0.22076048866055381</v>
      </c>
      <c r="AO50" s="143">
        <f t="shared" ca="1" si="57"/>
        <v>0.12663811323599158</v>
      </c>
      <c r="AP50" s="143">
        <f t="shared" ca="1" si="57"/>
        <v>9.4625990688346012E-2</v>
      </c>
      <c r="AQ50" s="143">
        <f t="shared" ca="1" si="57"/>
        <v>0.40412169613682847</v>
      </c>
      <c r="AR50" s="143">
        <f t="shared" ca="1" si="57"/>
        <v>9.711068129431287E-2</v>
      </c>
      <c r="AS50" s="143">
        <f t="shared" ca="1" si="57"/>
        <v>0.30870682335918576</v>
      </c>
      <c r="AT50" s="143">
        <f t="shared" ca="1" si="57"/>
        <v>0.23484110467821814</v>
      </c>
      <c r="AU50" s="143">
        <f t="shared" ca="1" si="57"/>
        <v>0.22669954956646537</v>
      </c>
      <c r="AV50" s="143">
        <f t="shared" ca="1" si="57"/>
        <v>0.13945764417420531</v>
      </c>
      <c r="AW50" s="143">
        <f t="shared" ca="1" si="57"/>
        <v>0.24292849847663242</v>
      </c>
      <c r="AX50" s="143">
        <f t="shared" ca="1" si="57"/>
        <v>8.0273734434293753E-2</v>
      </c>
      <c r="AY50" s="143">
        <f t="shared" ca="1" si="57"/>
        <v>-0.14155319029726873</v>
      </c>
      <c r="AZ50" s="143">
        <f t="shared" ca="1" si="57"/>
        <v>4.8656399416391181E-2</v>
      </c>
      <c r="BA50" s="143">
        <f t="shared" ca="1" si="57"/>
        <v>-0.35538879113820232</v>
      </c>
      <c r="BB50" s="143">
        <f t="shared" ca="1" si="57"/>
        <v>-1.3525359269453197E-2</v>
      </c>
      <c r="BC50" s="143">
        <f t="shared" ca="1" si="57"/>
        <v>-0.22033317593875898</v>
      </c>
      <c r="BD50" s="143">
        <f t="shared" ca="1" si="57"/>
        <v>8.5428368354642875E-2</v>
      </c>
      <c r="BE50" s="143">
        <f t="shared" ca="1" si="57"/>
        <v>0.1104724629063901</v>
      </c>
      <c r="BF50" s="143">
        <f t="shared" ca="1" si="57"/>
        <v>6.0044099408348234E-2</v>
      </c>
      <c r="BG50" s="143">
        <f t="shared" ca="1" si="57"/>
        <v>-6.5559481848528528E-2</v>
      </c>
      <c r="BH50" s="143">
        <f t="shared" ca="1" si="57"/>
        <v>-0.14870246636819301</v>
      </c>
      <c r="BI50" s="143">
        <f t="shared" ca="1" si="57"/>
        <v>0.10169600465794375</v>
      </c>
      <c r="BJ50" s="143">
        <f t="shared" ca="1" si="57"/>
        <v>-0.13435743340312684</v>
      </c>
      <c r="BK50" s="143">
        <f t="shared" ca="1" si="57"/>
        <v>0.15510265739298895</v>
      </c>
      <c r="BL50" s="143">
        <f t="shared" ca="1" si="57"/>
        <v>0.25066269065388147</v>
      </c>
      <c r="BM50" s="143">
        <f t="shared" ca="1" si="57"/>
        <v>0.19406553382002548</v>
      </c>
      <c r="BN50" s="143">
        <f t="shared" ca="1" si="57"/>
        <v>0.24558261782789481</v>
      </c>
      <c r="BO50" s="143">
        <f t="shared" ca="1" si="57"/>
        <v>-0.14592324952897204</v>
      </c>
      <c r="BP50" s="143">
        <f t="shared" ca="1" si="57"/>
        <v>0.44867342138872945</v>
      </c>
      <c r="BQ50" s="143">
        <f t="shared" ca="1" si="57"/>
        <v>0.41676025615068246</v>
      </c>
      <c r="BR50" s="143">
        <f t="shared" ca="1" si="57"/>
        <v>0.52488532819951406</v>
      </c>
      <c r="BS50" s="143">
        <f t="shared" ca="1" si="57"/>
        <v>0.26221748227316577</v>
      </c>
      <c r="BT50" s="143">
        <f t="shared" ca="1" si="57"/>
        <v>0.30501884147027131</v>
      </c>
      <c r="BU50" s="143">
        <f t="shared" ca="1" si="57"/>
        <v>3.3267945996217282E-2</v>
      </c>
      <c r="BV50" s="143">
        <f t="shared" ca="1" si="57"/>
        <v>-6.6051840628534475E-2</v>
      </c>
      <c r="BW50" s="143">
        <f t="shared" ca="1" si="57"/>
        <v>0.12870033221823238</v>
      </c>
      <c r="BX50" s="143">
        <f t="shared" ca="1" si="57"/>
        <v>9.0370317859016877E-2</v>
      </c>
      <c r="BY50" s="143">
        <f t="shared" ca="1" si="57"/>
        <v>0.27590840324012939</v>
      </c>
      <c r="BZ50" s="143">
        <f t="shared" ref="BZ50:DI51" ca="1" si="59">_xlfn.NORM.INV(RAND(),$B$112,$B$113)</f>
        <v>0.14275547262543642</v>
      </c>
      <c r="CA50" s="143">
        <f t="shared" ca="1" si="59"/>
        <v>0.16993808593754436</v>
      </c>
      <c r="CB50" s="143">
        <f t="shared" ca="1" si="59"/>
        <v>0.16492069064711001</v>
      </c>
      <c r="CC50" s="143">
        <f t="shared" ca="1" si="59"/>
        <v>3.485059635231072E-2</v>
      </c>
      <c r="CD50" s="143">
        <f t="shared" ca="1" si="59"/>
        <v>-0.1509848067873972</v>
      </c>
      <c r="CE50" s="143">
        <f t="shared" ca="1" si="59"/>
        <v>2.5026100115506225E-2</v>
      </c>
      <c r="CF50" s="143">
        <f t="shared" ca="1" si="59"/>
        <v>0.39856850986658454</v>
      </c>
      <c r="CG50" s="143">
        <f t="shared" ca="1" si="59"/>
        <v>0.18858066109515786</v>
      </c>
      <c r="CH50" s="143">
        <f t="shared" ca="1" si="59"/>
        <v>6.4955823012047831E-3</v>
      </c>
      <c r="CI50" s="143">
        <f t="shared" ca="1" si="59"/>
        <v>0.14995716102780798</v>
      </c>
      <c r="CJ50" s="143">
        <f t="shared" ca="1" si="59"/>
        <v>0.17441457773555674</v>
      </c>
      <c r="CK50" s="143">
        <f t="shared" ca="1" si="59"/>
        <v>-1.392235806117427E-2</v>
      </c>
      <c r="CL50" s="143">
        <f t="shared" ca="1" si="59"/>
        <v>9.3508781741861877E-2</v>
      </c>
      <c r="CM50" s="143">
        <f t="shared" ca="1" si="59"/>
        <v>6.2847728937842004E-2</v>
      </c>
      <c r="CN50" s="143">
        <f t="shared" ca="1" si="59"/>
        <v>0.22977888888711934</v>
      </c>
      <c r="CO50" s="143">
        <f t="shared" ca="1" si="59"/>
        <v>0.13485378354537492</v>
      </c>
      <c r="CP50" s="143">
        <f t="shared" ca="1" si="59"/>
        <v>8.0932967868138819E-2</v>
      </c>
      <c r="CQ50" s="143">
        <f t="shared" ca="1" si="59"/>
        <v>-8.6105860631027042E-2</v>
      </c>
      <c r="CR50" s="143">
        <f t="shared" ca="1" si="59"/>
        <v>0.11705981100578405</v>
      </c>
      <c r="CS50" s="143">
        <f t="shared" ca="1" si="59"/>
        <v>5.7494030695689174E-2</v>
      </c>
      <c r="CT50" s="143">
        <f t="shared" ca="1" si="59"/>
        <v>-0.31979012812543894</v>
      </c>
      <c r="CU50" s="143">
        <f t="shared" ca="1" si="59"/>
        <v>0.27715776338574394</v>
      </c>
      <c r="CV50" s="143">
        <f t="shared" ca="1" si="59"/>
        <v>4.3568920178107214E-2</v>
      </c>
      <c r="CW50" s="143">
        <f t="shared" ca="1" si="59"/>
        <v>0.22939872315386448</v>
      </c>
      <c r="CX50" s="143">
        <f t="shared" ca="1" si="59"/>
        <v>-0.18169253075083422</v>
      </c>
      <c r="CY50" s="143">
        <f t="shared" ca="1" si="59"/>
        <v>0.14823153747106216</v>
      </c>
      <c r="CZ50" s="143">
        <f t="shared" ca="1" si="59"/>
        <v>0.11400443236143916</v>
      </c>
      <c r="DA50" s="143">
        <f t="shared" ca="1" si="59"/>
        <v>0.15148621551978367</v>
      </c>
      <c r="DB50" s="143">
        <f t="shared" ca="1" si="59"/>
        <v>7.4833994303605295E-2</v>
      </c>
      <c r="DC50" s="143">
        <f t="shared" ca="1" si="59"/>
        <v>0.22819751393319812</v>
      </c>
      <c r="DD50" s="143">
        <f t="shared" ca="1" si="59"/>
        <v>8.1927161504871393E-3</v>
      </c>
      <c r="DE50" s="143">
        <f t="shared" ca="1" si="59"/>
        <v>0.2459636465698376</v>
      </c>
      <c r="DF50" s="143">
        <f t="shared" ca="1" si="59"/>
        <v>-4.5325786940438179E-3</v>
      </c>
      <c r="DG50" s="143">
        <f t="shared" ca="1" si="59"/>
        <v>0.35888689741689084</v>
      </c>
      <c r="DH50" s="143">
        <f t="shared" ca="1" si="59"/>
        <v>0.18117714170252597</v>
      </c>
      <c r="DI50" s="143">
        <f t="shared" ca="1" si="59"/>
        <v>-1.8297667231307435E-2</v>
      </c>
      <c r="DK50" s="115">
        <f t="shared" si="8"/>
        <v>99</v>
      </c>
      <c r="DL50" s="143">
        <f t="shared" ca="1" si="51"/>
        <v>-0.14452908376371515</v>
      </c>
      <c r="DM50" s="143">
        <f t="shared" ca="1" si="58"/>
        <v>-9.5479718672382835E-3</v>
      </c>
      <c r="DN50" s="143">
        <f t="shared" ca="1" si="58"/>
        <v>0.16584926905912042</v>
      </c>
      <c r="DO50" s="143">
        <f t="shared" ca="1" si="58"/>
        <v>0.17126118842110222</v>
      </c>
      <c r="DP50" s="143">
        <f t="shared" ca="1" si="58"/>
        <v>-2.3580639821666423E-2</v>
      </c>
      <c r="DQ50" s="143">
        <f t="shared" ca="1" si="58"/>
        <v>0.10200272033345145</v>
      </c>
      <c r="DR50" s="143">
        <f t="shared" ca="1" si="58"/>
        <v>-2.4371684367807032E-2</v>
      </c>
      <c r="DS50" s="143">
        <f t="shared" ca="1" si="58"/>
        <v>5.6441001663222953E-2</v>
      </c>
      <c r="DT50" s="143">
        <f t="shared" ca="1" si="58"/>
        <v>0.14715220437862159</v>
      </c>
      <c r="DU50" s="143">
        <f t="shared" ca="1" si="58"/>
        <v>0.10010646278535992</v>
      </c>
      <c r="DV50" s="143">
        <f t="shared" ca="1" si="58"/>
        <v>-5.9034714371151847E-3</v>
      </c>
      <c r="DW50" s="143">
        <f t="shared" ca="1" si="58"/>
        <v>0.17745469869787647</v>
      </c>
      <c r="DX50" s="143">
        <f t="shared" ca="1" si="58"/>
        <v>-1.9351188649131476E-3</v>
      </c>
      <c r="DY50" s="143">
        <f t="shared" ca="1" si="58"/>
        <v>9.6553673527914496E-2</v>
      </c>
      <c r="DZ50" s="143">
        <f t="shared" ca="1" si="58"/>
        <v>0.22778442346070379</v>
      </c>
      <c r="EA50" s="143">
        <f t="shared" ca="1" si="58"/>
        <v>0.19791568151379255</v>
      </c>
      <c r="EB50" s="143">
        <f t="shared" ca="1" si="58"/>
        <v>7.8616568096172637E-3</v>
      </c>
      <c r="EC50" s="143">
        <f t="shared" ca="1" si="58"/>
        <v>0.12357358493988516</v>
      </c>
      <c r="ED50" s="143">
        <f t="shared" ca="1" si="58"/>
        <v>2.5653880358874084E-2</v>
      </c>
      <c r="EE50" s="143">
        <f t="shared" ca="1" si="58"/>
        <v>0.12071972013920809</v>
      </c>
      <c r="EF50" s="143">
        <f t="shared" ca="1" si="58"/>
        <v>0.16828240914098372</v>
      </c>
      <c r="EG50" s="143">
        <f t="shared" ca="1" si="58"/>
        <v>-1.4907138919223899E-2</v>
      </c>
      <c r="EH50" s="143">
        <f t="shared" ca="1" si="58"/>
        <v>5.7632630381211455E-2</v>
      </c>
      <c r="EI50" s="143">
        <f t="shared" ca="1" si="58"/>
        <v>-7.4050292544200064E-2</v>
      </c>
      <c r="EJ50" s="143">
        <f t="shared" ca="1" si="58"/>
        <v>1.3073599024615058E-2</v>
      </c>
      <c r="EK50" s="143">
        <f t="shared" ca="1" si="58"/>
        <v>8.0180120565584045E-2</v>
      </c>
      <c r="EL50" s="143">
        <f t="shared" ca="1" si="58"/>
        <v>-0.17537077258906497</v>
      </c>
      <c r="EM50" s="143">
        <f t="shared" ca="1" si="58"/>
        <v>0.11196340209766284</v>
      </c>
      <c r="EN50" s="143">
        <f t="shared" ca="1" si="58"/>
        <v>-5.3557696772141929E-2</v>
      </c>
      <c r="EO50" s="143">
        <f t="shared" ca="1" si="58"/>
        <v>2.2913398451646499E-3</v>
      </c>
      <c r="EP50" s="143">
        <f t="shared" ca="1" si="58"/>
        <v>2.0789776855890243E-2</v>
      </c>
      <c r="EQ50" s="143">
        <f t="shared" ca="1" si="58"/>
        <v>-0.11760670372365051</v>
      </c>
      <c r="ER50" s="143">
        <f t="shared" ca="1" si="58"/>
        <v>8.1220532439377768E-2</v>
      </c>
      <c r="ES50" s="143">
        <f t="shared" ca="1" si="58"/>
        <v>-2.278119365840011E-2</v>
      </c>
      <c r="ET50" s="143">
        <f t="shared" ca="1" si="58"/>
        <v>-4.3051787286207198E-2</v>
      </c>
      <c r="EU50" s="143">
        <f t="shared" ca="1" si="58"/>
        <v>0.12382573236836664</v>
      </c>
      <c r="EV50" s="143">
        <f t="shared" ca="1" si="58"/>
        <v>0.14356683874914825</v>
      </c>
      <c r="EW50" s="143">
        <f t="shared" ca="1" si="58"/>
        <v>0.13825877515875792</v>
      </c>
      <c r="EX50" s="143">
        <f t="shared" ca="1" si="58"/>
        <v>2.7644380703922316E-2</v>
      </c>
      <c r="EY50" s="143">
        <f t="shared" ca="1" si="58"/>
        <v>9.1458525717511882E-2</v>
      </c>
      <c r="EZ50" s="143">
        <f t="shared" ca="1" si="58"/>
        <v>0.10067743383552349</v>
      </c>
      <c r="FA50" s="143">
        <f t="shared" ca="1" si="58"/>
        <v>8.2879094003474083E-2</v>
      </c>
      <c r="FB50" s="143">
        <f t="shared" ca="1" si="58"/>
        <v>9.6591608678680219E-2</v>
      </c>
      <c r="FC50" s="143">
        <f t="shared" ca="1" si="58"/>
        <v>7.7620231887448085E-2</v>
      </c>
      <c r="FD50" s="143">
        <f t="shared" ca="1" si="58"/>
        <v>1.1787174011324772E-2</v>
      </c>
      <c r="FE50" s="143">
        <f t="shared" ca="1" si="58"/>
        <v>1.3122091181171094E-2</v>
      </c>
      <c r="FF50" s="143">
        <f t="shared" ca="1" si="58"/>
        <v>5.415044467869666E-2</v>
      </c>
      <c r="FG50" s="143">
        <f t="shared" ca="1" si="58"/>
        <v>0.16522429951724721</v>
      </c>
      <c r="FH50" s="143">
        <f t="shared" ca="1" si="58"/>
        <v>-4.9906822853579003E-3</v>
      </c>
      <c r="FI50" s="143">
        <f t="shared" ca="1" si="58"/>
        <v>2.175133573919295E-2</v>
      </c>
      <c r="FJ50" s="143">
        <f t="shared" ca="1" si="58"/>
        <v>-7.1295962737439877E-2</v>
      </c>
      <c r="FK50" s="143">
        <f t="shared" ca="1" si="58"/>
        <v>0.20797690606727853</v>
      </c>
      <c r="FL50" s="143">
        <f t="shared" ca="1" si="58"/>
        <v>1.0410014969569198E-2</v>
      </c>
      <c r="FM50" s="143">
        <f t="shared" ca="1" si="58"/>
        <v>5.1968764711153581E-2</v>
      </c>
      <c r="FN50" s="143">
        <f t="shared" ca="1" si="58"/>
        <v>8.2125120031940418E-2</v>
      </c>
      <c r="FO50" s="143">
        <f t="shared" ca="1" si="58"/>
        <v>-1.6251645805582943E-3</v>
      </c>
      <c r="FP50" s="143">
        <f t="shared" ca="1" si="58"/>
        <v>-2.2067663102019901E-2</v>
      </c>
      <c r="FQ50" s="143">
        <f t="shared" ca="1" si="58"/>
        <v>8.0917884740878437E-2</v>
      </c>
      <c r="FR50" s="143">
        <f t="shared" ca="1" si="58"/>
        <v>3.162254560638314E-2</v>
      </c>
      <c r="FS50" s="143">
        <f t="shared" ca="1" si="58"/>
        <v>2.0335879371536535E-2</v>
      </c>
      <c r="FT50" s="143">
        <f t="shared" ca="1" si="58"/>
        <v>0.15197811339137676</v>
      </c>
      <c r="FU50" s="143">
        <f t="shared" ca="1" si="58"/>
        <v>-7.5147312575146841E-2</v>
      </c>
      <c r="FV50" s="143">
        <f t="shared" ca="1" si="58"/>
        <v>9.94593644346662E-3</v>
      </c>
      <c r="FW50" s="143">
        <f t="shared" ca="1" si="58"/>
        <v>7.6276508154539985E-2</v>
      </c>
      <c r="FX50" s="143">
        <f t="shared" ref="FX50:HG51" ca="1" si="60">_xlfn.NORM.INV(RAND(),$B$116,$B$117)</f>
        <v>1.7694232006798469E-2</v>
      </c>
      <c r="FY50" s="143">
        <f t="shared" ca="1" si="60"/>
        <v>-1.805148098736948E-2</v>
      </c>
      <c r="FZ50" s="143">
        <f t="shared" ca="1" si="60"/>
        <v>3.7143370128062736E-2</v>
      </c>
      <c r="GA50" s="143">
        <f t="shared" ca="1" si="60"/>
        <v>-6.8049392591714303E-3</v>
      </c>
      <c r="GB50" s="143">
        <f t="shared" ca="1" si="60"/>
        <v>0.13154614396008632</v>
      </c>
      <c r="GC50" s="143">
        <f t="shared" ca="1" si="60"/>
        <v>9.7211918150078874E-2</v>
      </c>
      <c r="GD50" s="143">
        <f t="shared" ca="1" si="60"/>
        <v>5.9607026283460748E-3</v>
      </c>
      <c r="GE50" s="143">
        <f t="shared" ca="1" si="60"/>
        <v>7.041211167450101E-2</v>
      </c>
      <c r="GF50" s="143">
        <f t="shared" ca="1" si="60"/>
        <v>3.5415128600534758E-2</v>
      </c>
      <c r="GG50" s="143">
        <f t="shared" ca="1" si="60"/>
        <v>7.2652644701064639E-2</v>
      </c>
      <c r="GH50" s="143">
        <f t="shared" ca="1" si="60"/>
        <v>0.13151515574677455</v>
      </c>
      <c r="GI50" s="143">
        <f t="shared" ca="1" si="60"/>
        <v>7.1941232914504494E-2</v>
      </c>
      <c r="GJ50" s="143">
        <f t="shared" ca="1" si="60"/>
        <v>-0.15121406480882668</v>
      </c>
      <c r="GK50" s="143">
        <f t="shared" ca="1" si="60"/>
        <v>3.6707638687349289E-2</v>
      </c>
      <c r="GL50" s="143">
        <f t="shared" ca="1" si="60"/>
        <v>0.22944085473847606</v>
      </c>
      <c r="GM50" s="143">
        <f t="shared" ca="1" si="60"/>
        <v>3.4138374310044885E-2</v>
      </c>
      <c r="GN50" s="143">
        <f t="shared" ca="1" si="60"/>
        <v>-1.0999297844600867E-3</v>
      </c>
      <c r="GO50" s="143">
        <f t="shared" ca="1" si="60"/>
        <v>9.4517961210851542E-2</v>
      </c>
      <c r="GP50" s="143">
        <f t="shared" ca="1" si="60"/>
        <v>8.1593874443389475E-2</v>
      </c>
      <c r="GQ50" s="143">
        <f t="shared" ca="1" si="60"/>
        <v>5.016401105764362E-2</v>
      </c>
      <c r="GR50" s="143">
        <f t="shared" ca="1" si="60"/>
        <v>0.11845782830142665</v>
      </c>
      <c r="GS50" s="143">
        <f t="shared" ca="1" si="60"/>
        <v>-3.4485221011622637E-2</v>
      </c>
      <c r="GT50" s="143">
        <f t="shared" ca="1" si="60"/>
        <v>7.4371529386988322E-2</v>
      </c>
      <c r="GU50" s="143">
        <f t="shared" ca="1" si="60"/>
        <v>-3.6144831514997651E-2</v>
      </c>
      <c r="GV50" s="143">
        <f t="shared" ca="1" si="60"/>
        <v>7.1314906055073624E-2</v>
      </c>
      <c r="GW50" s="143">
        <f t="shared" ca="1" si="60"/>
        <v>-2.2669704509578122E-2</v>
      </c>
      <c r="GX50" s="143">
        <f t="shared" ca="1" si="60"/>
        <v>-7.999114342316388E-2</v>
      </c>
      <c r="GY50" s="143">
        <f t="shared" ca="1" si="60"/>
        <v>4.8610717377370972E-2</v>
      </c>
      <c r="GZ50" s="143">
        <f t="shared" ca="1" si="60"/>
        <v>-1.5304791637481434E-2</v>
      </c>
      <c r="HA50" s="143">
        <f t="shared" ca="1" si="60"/>
        <v>8.7799859257123053E-2</v>
      </c>
      <c r="HB50" s="143">
        <f t="shared" ca="1" si="60"/>
        <v>0.19614892246332338</v>
      </c>
      <c r="HC50" s="143">
        <f t="shared" ca="1" si="60"/>
        <v>-3.6726016013190484E-2</v>
      </c>
      <c r="HD50" s="143">
        <f t="shared" ca="1" si="60"/>
        <v>8.6160928520039315E-2</v>
      </c>
      <c r="HE50" s="143">
        <f t="shared" ca="1" si="60"/>
        <v>3.2135725770957121E-2</v>
      </c>
      <c r="HF50" s="143">
        <f t="shared" ca="1" si="60"/>
        <v>6.3002516511508233E-2</v>
      </c>
      <c r="HG50" s="143">
        <f t="shared" ca="1" si="60"/>
        <v>-1.7542231706767421E-2</v>
      </c>
    </row>
    <row r="51" spans="1:215" ht="17" thickBot="1">
      <c r="A51" s="90">
        <v>1977</v>
      </c>
      <c r="B51" s="84">
        <v>-6.9797040759352322E-2</v>
      </c>
      <c r="C51" s="85">
        <v>0.30670000000000003</v>
      </c>
      <c r="D51" s="83">
        <f t="shared" si="4"/>
        <v>5.5023673925181302E-3</v>
      </c>
      <c r="E51" s="85"/>
      <c r="F51" s="85"/>
      <c r="G51" s="85">
        <v>5.2609638554216867E-2</v>
      </c>
      <c r="H51" s="85">
        <v>1.2899606071070449E-2</v>
      </c>
      <c r="I51" s="85">
        <v>9.9546628520906386E-2</v>
      </c>
      <c r="J51" s="85">
        <v>0.2263940520446095</v>
      </c>
      <c r="M51" s="117">
        <f t="shared" si="7"/>
        <v>100</v>
      </c>
      <c r="N51" s="144">
        <f t="shared" ca="1" si="49"/>
        <v>-0.16776478577176071</v>
      </c>
      <c r="O51" s="144">
        <f t="shared" ref="O51:BZ51" ca="1" si="61">_xlfn.NORM.INV(RAND(),$B$112,$B$113)</f>
        <v>6.4936267904703276E-2</v>
      </c>
      <c r="P51" s="144">
        <f t="shared" ca="1" si="61"/>
        <v>-1.1491309147171586E-2</v>
      </c>
      <c r="Q51" s="144">
        <f t="shared" ca="1" si="61"/>
        <v>0.10709077693524742</v>
      </c>
      <c r="R51" s="144">
        <f t="shared" ca="1" si="61"/>
        <v>0.2232187589354202</v>
      </c>
      <c r="S51" s="144">
        <f t="shared" ca="1" si="61"/>
        <v>0.42917908938488458</v>
      </c>
      <c r="T51" s="144">
        <f t="shared" ca="1" si="61"/>
        <v>0.14383236441459943</v>
      </c>
      <c r="U51" s="144">
        <f t="shared" ca="1" si="61"/>
        <v>0.40213345790945743</v>
      </c>
      <c r="V51" s="144">
        <f t="shared" ca="1" si="61"/>
        <v>0.39256041715230949</v>
      </c>
      <c r="W51" s="144">
        <f t="shared" ca="1" si="61"/>
        <v>-4.3243144390207655E-2</v>
      </c>
      <c r="X51" s="144">
        <f t="shared" ca="1" si="61"/>
        <v>8.3417837963692232E-2</v>
      </c>
      <c r="Y51" s="144">
        <f t="shared" ca="1" si="61"/>
        <v>7.9632643242526335E-2</v>
      </c>
      <c r="Z51" s="144">
        <f t="shared" ca="1" si="61"/>
        <v>4.0103524047702677E-2</v>
      </c>
      <c r="AA51" s="144">
        <f t="shared" ca="1" si="61"/>
        <v>-4.6001657764331294E-2</v>
      </c>
      <c r="AB51" s="144">
        <f t="shared" ca="1" si="61"/>
        <v>0.10521598456824954</v>
      </c>
      <c r="AC51" s="144">
        <f t="shared" ca="1" si="61"/>
        <v>9.24956332253382E-2</v>
      </c>
      <c r="AD51" s="144">
        <f t="shared" ca="1" si="61"/>
        <v>0.10526653528881089</v>
      </c>
      <c r="AE51" s="144">
        <f t="shared" ca="1" si="61"/>
        <v>6.7438380687181471E-2</v>
      </c>
      <c r="AF51" s="144">
        <f t="shared" ca="1" si="61"/>
        <v>0.20203340950938981</v>
      </c>
      <c r="AG51" s="144">
        <f t="shared" ca="1" si="61"/>
        <v>-6.9196287507860416E-2</v>
      </c>
      <c r="AH51" s="144">
        <f t="shared" ca="1" si="61"/>
        <v>5.6328169781853461E-2</v>
      </c>
      <c r="AI51" s="144">
        <f t="shared" ca="1" si="61"/>
        <v>-5.2466640575480811E-2</v>
      </c>
      <c r="AJ51" s="144">
        <f t="shared" ca="1" si="61"/>
        <v>0.18918577835218672</v>
      </c>
      <c r="AK51" s="144">
        <f t="shared" ca="1" si="61"/>
        <v>0.29307374063166292</v>
      </c>
      <c r="AL51" s="144">
        <f t="shared" ca="1" si="61"/>
        <v>8.8215841873687237E-2</v>
      </c>
      <c r="AM51" s="144">
        <f t="shared" ca="1" si="61"/>
        <v>1.7249929551047163E-2</v>
      </c>
      <c r="AN51" s="144">
        <f t="shared" ca="1" si="61"/>
        <v>-8.7379514403526953E-2</v>
      </c>
      <c r="AO51" s="144">
        <f t="shared" ca="1" si="61"/>
        <v>9.5875466500762493E-2</v>
      </c>
      <c r="AP51" s="144">
        <f t="shared" ca="1" si="61"/>
        <v>-8.6917348679061424E-3</v>
      </c>
      <c r="AQ51" s="144">
        <f t="shared" ca="1" si="61"/>
        <v>0.22980734216497614</v>
      </c>
      <c r="AR51" s="144">
        <f t="shared" ca="1" si="61"/>
        <v>0.19104586215635394</v>
      </c>
      <c r="AS51" s="144">
        <f t="shared" ca="1" si="61"/>
        <v>7.8168891303864799E-2</v>
      </c>
      <c r="AT51" s="144">
        <f t="shared" ca="1" si="61"/>
        <v>-7.6696078973782555E-2</v>
      </c>
      <c r="AU51" s="144">
        <f t="shared" ca="1" si="61"/>
        <v>3.3880499488896182E-2</v>
      </c>
      <c r="AV51" s="144">
        <f t="shared" ca="1" si="61"/>
        <v>9.9115745413694084E-2</v>
      </c>
      <c r="AW51" s="144">
        <f t="shared" ca="1" si="61"/>
        <v>0.30796203826617252</v>
      </c>
      <c r="AX51" s="144">
        <f t="shared" ca="1" si="61"/>
        <v>0.18603744831663122</v>
      </c>
      <c r="AY51" s="144">
        <f t="shared" ca="1" si="61"/>
        <v>0.1482692284851278</v>
      </c>
      <c r="AZ51" s="144">
        <f t="shared" ca="1" si="61"/>
        <v>0.15213687397850115</v>
      </c>
      <c r="BA51" s="144">
        <f t="shared" ca="1" si="61"/>
        <v>1.4649708307861303E-2</v>
      </c>
      <c r="BB51" s="144">
        <f t="shared" ca="1" si="61"/>
        <v>0.13822367296841725</v>
      </c>
      <c r="BC51" s="144">
        <f t="shared" ca="1" si="61"/>
        <v>-0.12349868200526831</v>
      </c>
      <c r="BD51" s="144">
        <f t="shared" ca="1" si="61"/>
        <v>0.15879971444312127</v>
      </c>
      <c r="BE51" s="144">
        <f t="shared" ca="1" si="61"/>
        <v>0.27940839946038443</v>
      </c>
      <c r="BF51" s="144">
        <f t="shared" ca="1" si="61"/>
        <v>7.3417342273284683E-2</v>
      </c>
      <c r="BG51" s="144">
        <f t="shared" ca="1" si="61"/>
        <v>0.11433631939706547</v>
      </c>
      <c r="BH51" s="144">
        <f t="shared" ca="1" si="61"/>
        <v>0.29095764480265229</v>
      </c>
      <c r="BI51" s="144">
        <f t="shared" ca="1" si="61"/>
        <v>7.4933171315782671E-2</v>
      </c>
      <c r="BJ51" s="144">
        <f t="shared" ca="1" si="61"/>
        <v>7.1926127431758913E-2</v>
      </c>
      <c r="BK51" s="144">
        <f t="shared" ca="1" si="61"/>
        <v>-0.12971130206250495</v>
      </c>
      <c r="BL51" s="144">
        <f t="shared" ca="1" si="61"/>
        <v>8.6444585672159069E-2</v>
      </c>
      <c r="BM51" s="144">
        <f t="shared" ca="1" si="61"/>
        <v>0.20907624376903416</v>
      </c>
      <c r="BN51" s="144">
        <f t="shared" ca="1" si="61"/>
        <v>0.11391835608151134</v>
      </c>
      <c r="BO51" s="144">
        <f t="shared" ca="1" si="61"/>
        <v>2.5407539970372983E-2</v>
      </c>
      <c r="BP51" s="144">
        <f t="shared" ca="1" si="61"/>
        <v>0.16492188490899845</v>
      </c>
      <c r="BQ51" s="144">
        <f t="shared" ca="1" si="61"/>
        <v>-1.6362093256296381E-2</v>
      </c>
      <c r="BR51" s="144">
        <f t="shared" ca="1" si="61"/>
        <v>0.43169867839403753</v>
      </c>
      <c r="BS51" s="144">
        <f t="shared" ca="1" si="61"/>
        <v>-1.2432907417239958E-2</v>
      </c>
      <c r="BT51" s="144">
        <f t="shared" ca="1" si="61"/>
        <v>8.4144507448817921E-2</v>
      </c>
      <c r="BU51" s="144">
        <f t="shared" ca="1" si="61"/>
        <v>0.23871664115421182</v>
      </c>
      <c r="BV51" s="144">
        <f t="shared" ca="1" si="61"/>
        <v>1.4270056427785449E-2</v>
      </c>
      <c r="BW51" s="144">
        <f t="shared" ca="1" si="61"/>
        <v>1.970386661671529E-2</v>
      </c>
      <c r="BX51" s="144">
        <f t="shared" ca="1" si="61"/>
        <v>0.1338397944484403</v>
      </c>
      <c r="BY51" s="144">
        <f t="shared" ca="1" si="61"/>
        <v>2.4087785654836533E-2</v>
      </c>
      <c r="BZ51" s="144">
        <f t="shared" ca="1" si="61"/>
        <v>-5.9995348399399712E-2</v>
      </c>
      <c r="CA51" s="144">
        <f t="shared" ca="1" si="59"/>
        <v>0.4691842630230233</v>
      </c>
      <c r="CB51" s="144">
        <f t="shared" ca="1" si="59"/>
        <v>0.11716740717748855</v>
      </c>
      <c r="CC51" s="144">
        <f t="shared" ca="1" si="59"/>
        <v>0.20276805286660593</v>
      </c>
      <c r="CD51" s="144">
        <f t="shared" ca="1" si="59"/>
        <v>0.43640757306408939</v>
      </c>
      <c r="CE51" s="144">
        <f t="shared" ca="1" si="59"/>
        <v>-0.21642118203684266</v>
      </c>
      <c r="CF51" s="144">
        <f t="shared" ca="1" si="59"/>
        <v>0.26341283452192388</v>
      </c>
      <c r="CG51" s="144">
        <f t="shared" ca="1" si="59"/>
        <v>0.24919049782982958</v>
      </c>
      <c r="CH51" s="144">
        <f t="shared" ca="1" si="59"/>
        <v>-5.1179482506843593E-2</v>
      </c>
      <c r="CI51" s="144">
        <f t="shared" ca="1" si="59"/>
        <v>6.7664500898839838E-2</v>
      </c>
      <c r="CJ51" s="144">
        <f t="shared" ca="1" si="59"/>
        <v>0.16735580428079808</v>
      </c>
      <c r="CK51" s="144">
        <f t="shared" ca="1" si="59"/>
        <v>0.46775709268808374</v>
      </c>
      <c r="CL51" s="144">
        <f t="shared" ca="1" si="59"/>
        <v>4.9983067196181279E-2</v>
      </c>
      <c r="CM51" s="144">
        <f t="shared" ca="1" si="59"/>
        <v>8.0124346449868475E-2</v>
      </c>
      <c r="CN51" s="144">
        <f t="shared" ca="1" si="59"/>
        <v>-1.1571777679536321E-2</v>
      </c>
      <c r="CO51" s="144">
        <f t="shared" ca="1" si="59"/>
        <v>3.4502281733715265E-2</v>
      </c>
      <c r="CP51" s="144">
        <f t="shared" ca="1" si="59"/>
        <v>0.49391835231057024</v>
      </c>
      <c r="CQ51" s="144">
        <f t="shared" ca="1" si="59"/>
        <v>-0.12781514786250087</v>
      </c>
      <c r="CR51" s="144">
        <f t="shared" ca="1" si="59"/>
        <v>3.4765790254473058E-2</v>
      </c>
      <c r="CS51" s="144">
        <f t="shared" ca="1" si="59"/>
        <v>0.18725381484082881</v>
      </c>
      <c r="CT51" s="144">
        <f t="shared" ca="1" si="59"/>
        <v>0.16731767112082013</v>
      </c>
      <c r="CU51" s="144">
        <f t="shared" ca="1" si="59"/>
        <v>-8.0717310593338226E-2</v>
      </c>
      <c r="CV51" s="144">
        <f t="shared" ca="1" si="59"/>
        <v>0.2206615709297633</v>
      </c>
      <c r="CW51" s="144">
        <f t="shared" ca="1" si="59"/>
        <v>9.3727414367176604E-2</v>
      </c>
      <c r="CX51" s="144">
        <f t="shared" ca="1" si="59"/>
        <v>0.17328806600406749</v>
      </c>
      <c r="CY51" s="144">
        <f t="shared" ca="1" si="59"/>
        <v>0.20363706640480334</v>
      </c>
      <c r="CZ51" s="144">
        <f t="shared" ca="1" si="59"/>
        <v>0.12556557142576688</v>
      </c>
      <c r="DA51" s="144">
        <f t="shared" ca="1" si="59"/>
        <v>0.14955157474657177</v>
      </c>
      <c r="DB51" s="144">
        <f t="shared" ca="1" si="59"/>
        <v>0.13054828375646441</v>
      </c>
      <c r="DC51" s="144">
        <f t="shared" ca="1" si="59"/>
        <v>-0.1067061418302408</v>
      </c>
      <c r="DD51" s="144">
        <f t="shared" ca="1" si="59"/>
        <v>0.16315798846665644</v>
      </c>
      <c r="DE51" s="144">
        <f t="shared" ca="1" si="59"/>
        <v>0.20343997154425436</v>
      </c>
      <c r="DF51" s="144">
        <f t="shared" ca="1" si="59"/>
        <v>0.15014837516603849</v>
      </c>
      <c r="DG51" s="144">
        <f t="shared" ca="1" si="59"/>
        <v>-0.46917242237512879</v>
      </c>
      <c r="DH51" s="144">
        <f t="shared" ca="1" si="59"/>
        <v>8.0083445713743207E-2</v>
      </c>
      <c r="DI51" s="144">
        <f t="shared" ca="1" si="59"/>
        <v>0.12810986374576183</v>
      </c>
      <c r="DK51" s="117">
        <f t="shared" si="8"/>
        <v>100</v>
      </c>
      <c r="DL51" s="144">
        <f t="shared" ca="1" si="51"/>
        <v>5.653443353102372E-2</v>
      </c>
      <c r="DM51" s="144">
        <f t="shared" ref="DM51:FX51" ca="1" si="62">_xlfn.NORM.INV(RAND(),$B$116,$B$117)</f>
        <v>-4.2849587418837105E-2</v>
      </c>
      <c r="DN51" s="144">
        <f t="shared" ca="1" si="62"/>
        <v>3.5277996943247805E-2</v>
      </c>
      <c r="DO51" s="144">
        <f t="shared" ca="1" si="62"/>
        <v>0.12814197912032724</v>
      </c>
      <c r="DP51" s="144">
        <f t="shared" ca="1" si="62"/>
        <v>4.4123870638752283E-3</v>
      </c>
      <c r="DQ51" s="144">
        <f t="shared" ca="1" si="62"/>
        <v>2.98246944195216E-2</v>
      </c>
      <c r="DR51" s="144">
        <f t="shared" ca="1" si="62"/>
        <v>-5.6552907405479497E-3</v>
      </c>
      <c r="DS51" s="144">
        <f t="shared" ca="1" si="62"/>
        <v>3.4929542623354889E-2</v>
      </c>
      <c r="DT51" s="144">
        <f t="shared" ca="1" si="62"/>
        <v>6.6939280393568709E-2</v>
      </c>
      <c r="DU51" s="144">
        <f t="shared" ca="1" si="62"/>
        <v>0.12796612501563795</v>
      </c>
      <c r="DV51" s="144">
        <f t="shared" ca="1" si="62"/>
        <v>9.2970305013176671E-2</v>
      </c>
      <c r="DW51" s="144">
        <f t="shared" ca="1" si="62"/>
        <v>0.10910183777041166</v>
      </c>
      <c r="DX51" s="144">
        <f t="shared" ca="1" si="62"/>
        <v>0.11873320750762814</v>
      </c>
      <c r="DY51" s="144">
        <f t="shared" ca="1" si="62"/>
        <v>2.3574499390062731E-3</v>
      </c>
      <c r="DZ51" s="144">
        <f t="shared" ca="1" si="62"/>
        <v>8.6580923450120417E-2</v>
      </c>
      <c r="EA51" s="144">
        <f t="shared" ca="1" si="62"/>
        <v>0.18515859039725277</v>
      </c>
      <c r="EB51" s="144">
        <f t="shared" ca="1" si="62"/>
        <v>0.11109847710088347</v>
      </c>
      <c r="EC51" s="144">
        <f t="shared" ca="1" si="62"/>
        <v>0.10158779899183357</v>
      </c>
      <c r="ED51" s="144">
        <f t="shared" ca="1" si="62"/>
        <v>5.5592518843403722E-2</v>
      </c>
      <c r="EE51" s="144">
        <f t="shared" ca="1" si="62"/>
        <v>1.2368025152563557E-2</v>
      </c>
      <c r="EF51" s="144">
        <f t="shared" ca="1" si="62"/>
        <v>9.1780572755593204E-2</v>
      </c>
      <c r="EG51" s="144">
        <f t="shared" ca="1" si="62"/>
        <v>9.7246259390064788E-2</v>
      </c>
      <c r="EH51" s="144">
        <f t="shared" ca="1" si="62"/>
        <v>5.619568739417366E-2</v>
      </c>
      <c r="EI51" s="144">
        <f t="shared" ca="1" si="62"/>
        <v>3.9262349004750195E-2</v>
      </c>
      <c r="EJ51" s="144">
        <f t="shared" ca="1" si="62"/>
        <v>-9.5685464218335292E-2</v>
      </c>
      <c r="EK51" s="144">
        <f t="shared" ca="1" si="62"/>
        <v>8.7764852242894154E-2</v>
      </c>
      <c r="EL51" s="144">
        <f t="shared" ca="1" si="62"/>
        <v>-1.0502394850854004E-2</v>
      </c>
      <c r="EM51" s="144">
        <f t="shared" ca="1" si="62"/>
        <v>0.12215781748922824</v>
      </c>
      <c r="EN51" s="144">
        <f t="shared" ca="1" si="62"/>
        <v>9.3226510842883095E-2</v>
      </c>
      <c r="EO51" s="144">
        <f t="shared" ca="1" si="62"/>
        <v>0.17292023317553995</v>
      </c>
      <c r="EP51" s="144">
        <f t="shared" ca="1" si="62"/>
        <v>0.11847587968787845</v>
      </c>
      <c r="EQ51" s="144">
        <f t="shared" ca="1" si="62"/>
        <v>1.0340575944982056E-2</v>
      </c>
      <c r="ER51" s="144">
        <f t="shared" ca="1" si="62"/>
        <v>0.14540493391032752</v>
      </c>
      <c r="ES51" s="144">
        <f t="shared" ca="1" si="62"/>
        <v>2.979351272854934E-2</v>
      </c>
      <c r="ET51" s="144">
        <f t="shared" ca="1" si="62"/>
        <v>0.15217947706936721</v>
      </c>
      <c r="EU51" s="144">
        <f t="shared" ca="1" si="62"/>
        <v>5.9961458166785622E-2</v>
      </c>
      <c r="EV51" s="144">
        <f t="shared" ca="1" si="62"/>
        <v>9.5544682235061212E-2</v>
      </c>
      <c r="EW51" s="144">
        <f t="shared" ca="1" si="62"/>
        <v>0.15203556706538035</v>
      </c>
      <c r="EX51" s="144">
        <f t="shared" ca="1" si="62"/>
        <v>3.967102675599396E-2</v>
      </c>
      <c r="EY51" s="144">
        <f t="shared" ca="1" si="62"/>
        <v>8.5471721151446772E-3</v>
      </c>
      <c r="EZ51" s="144">
        <f t="shared" ca="1" si="62"/>
        <v>-0.13092098471960503</v>
      </c>
      <c r="FA51" s="144">
        <f t="shared" ca="1" si="62"/>
        <v>1.7890651663510424E-2</v>
      </c>
      <c r="FB51" s="144">
        <f t="shared" ca="1" si="62"/>
        <v>5.9721118522237035E-3</v>
      </c>
      <c r="FC51" s="144">
        <f t="shared" ca="1" si="62"/>
        <v>-2.9941975849785696E-4</v>
      </c>
      <c r="FD51" s="144">
        <f t="shared" ca="1" si="62"/>
        <v>-9.5586605238609235E-3</v>
      </c>
      <c r="FE51" s="144">
        <f t="shared" ca="1" si="62"/>
        <v>-1.904830243354471E-2</v>
      </c>
      <c r="FF51" s="144">
        <f t="shared" ca="1" si="62"/>
        <v>0.13662364919332892</v>
      </c>
      <c r="FG51" s="144">
        <f t="shared" ca="1" si="62"/>
        <v>-5.2550746037743519E-2</v>
      </c>
      <c r="FH51" s="144">
        <f t="shared" ca="1" si="62"/>
        <v>-3.5455899554808906E-3</v>
      </c>
      <c r="FI51" s="144">
        <f t="shared" ca="1" si="62"/>
        <v>6.7113878287298895E-2</v>
      </c>
      <c r="FJ51" s="144">
        <f t="shared" ca="1" si="62"/>
        <v>7.4814369100317593E-3</v>
      </c>
      <c r="FK51" s="144">
        <f t="shared" ca="1" si="62"/>
        <v>-4.318251238344014E-2</v>
      </c>
      <c r="FL51" s="144">
        <f t="shared" ca="1" si="62"/>
        <v>7.5509178764039037E-2</v>
      </c>
      <c r="FM51" s="144">
        <f t="shared" ca="1" si="62"/>
        <v>0.16360403083375621</v>
      </c>
      <c r="FN51" s="144">
        <f t="shared" ca="1" si="62"/>
        <v>-0.12492741630550666</v>
      </c>
      <c r="FO51" s="144">
        <f t="shared" ca="1" si="62"/>
        <v>3.0625445188281513E-2</v>
      </c>
      <c r="FP51" s="144">
        <f t="shared" ca="1" si="62"/>
        <v>9.730216593050213E-3</v>
      </c>
      <c r="FQ51" s="144">
        <f t="shared" ca="1" si="62"/>
        <v>-5.7484115456281078E-2</v>
      </c>
      <c r="FR51" s="144">
        <f t="shared" ca="1" si="62"/>
        <v>-5.8557625332985495E-2</v>
      </c>
      <c r="FS51" s="144">
        <f t="shared" ca="1" si="62"/>
        <v>7.0906494902075928E-2</v>
      </c>
      <c r="FT51" s="144">
        <f t="shared" ca="1" si="62"/>
        <v>3.2732010692143716E-2</v>
      </c>
      <c r="FU51" s="144">
        <f t="shared" ca="1" si="62"/>
        <v>5.9962764382935033E-2</v>
      </c>
      <c r="FV51" s="144">
        <f t="shared" ca="1" si="62"/>
        <v>1.6898398733100926E-2</v>
      </c>
      <c r="FW51" s="144">
        <f t="shared" ca="1" si="62"/>
        <v>-5.6696668538031979E-2</v>
      </c>
      <c r="FX51" s="144">
        <f t="shared" ca="1" si="62"/>
        <v>1.6108705137833176E-2</v>
      </c>
      <c r="FY51" s="144">
        <f t="shared" ca="1" si="60"/>
        <v>0.10772126767656506</v>
      </c>
      <c r="FZ51" s="144">
        <f t="shared" ca="1" si="60"/>
        <v>9.8727593473087877E-2</v>
      </c>
      <c r="GA51" s="144">
        <f t="shared" ca="1" si="60"/>
        <v>6.8901079903230286E-2</v>
      </c>
      <c r="GB51" s="144">
        <f t="shared" ca="1" si="60"/>
        <v>-7.8028299771984028E-3</v>
      </c>
      <c r="GC51" s="144">
        <f t="shared" ca="1" si="60"/>
        <v>1.666662870180248E-2</v>
      </c>
      <c r="GD51" s="144">
        <f t="shared" ca="1" si="60"/>
        <v>-1.8887434195927012E-2</v>
      </c>
      <c r="GE51" s="144">
        <f t="shared" ca="1" si="60"/>
        <v>5.8884190265971012E-2</v>
      </c>
      <c r="GF51" s="144">
        <f t="shared" ca="1" si="60"/>
        <v>3.9988433653970923E-2</v>
      </c>
      <c r="GG51" s="144">
        <f t="shared" ca="1" si="60"/>
        <v>6.5828488793503365E-2</v>
      </c>
      <c r="GH51" s="144">
        <f t="shared" ca="1" si="60"/>
        <v>-1.2586597100361994E-2</v>
      </c>
      <c r="GI51" s="144">
        <f t="shared" ca="1" si="60"/>
        <v>3.8424033112435613E-2</v>
      </c>
      <c r="GJ51" s="144">
        <f t="shared" ca="1" si="60"/>
        <v>7.9213776213184733E-2</v>
      </c>
      <c r="GK51" s="144">
        <f t="shared" ca="1" si="60"/>
        <v>1.8213407246095381E-2</v>
      </c>
      <c r="GL51" s="144">
        <f t="shared" ca="1" si="60"/>
        <v>-6.7835299135798499E-2</v>
      </c>
      <c r="GM51" s="144">
        <f t="shared" ca="1" si="60"/>
        <v>0.19500726629808177</v>
      </c>
      <c r="GN51" s="144">
        <f t="shared" ca="1" si="60"/>
        <v>-3.3845672584895077E-2</v>
      </c>
      <c r="GO51" s="144">
        <f t="shared" ca="1" si="60"/>
        <v>-7.4071158520814001E-2</v>
      </c>
      <c r="GP51" s="144">
        <f t="shared" ca="1" si="60"/>
        <v>2.211465545889317E-2</v>
      </c>
      <c r="GQ51" s="144">
        <f t="shared" ca="1" si="60"/>
        <v>-2.8378311737284882E-2</v>
      </c>
      <c r="GR51" s="144">
        <f t="shared" ca="1" si="60"/>
        <v>5.290744010831281E-2</v>
      </c>
      <c r="GS51" s="144">
        <f t="shared" ca="1" si="60"/>
        <v>5.1610701169385986E-2</v>
      </c>
      <c r="GT51" s="144">
        <f t="shared" ca="1" si="60"/>
        <v>-1.5732265256899865E-2</v>
      </c>
      <c r="GU51" s="144">
        <f t="shared" ca="1" si="60"/>
        <v>-5.0049805124712611E-2</v>
      </c>
      <c r="GV51" s="144">
        <f t="shared" ca="1" si="60"/>
        <v>1.4077497179871674E-2</v>
      </c>
      <c r="GW51" s="144">
        <f t="shared" ca="1" si="60"/>
        <v>9.3957331333868438E-2</v>
      </c>
      <c r="GX51" s="144">
        <f t="shared" ca="1" si="60"/>
        <v>-2.7697500156560938E-2</v>
      </c>
      <c r="GY51" s="144">
        <f t="shared" ca="1" si="60"/>
        <v>7.4115301639337966E-2</v>
      </c>
      <c r="GZ51" s="144">
        <f t="shared" ca="1" si="60"/>
        <v>4.3658511718945053E-2</v>
      </c>
      <c r="HA51" s="144">
        <f t="shared" ca="1" si="60"/>
        <v>-2.8677357189999843E-2</v>
      </c>
      <c r="HB51" s="144">
        <f t="shared" ca="1" si="60"/>
        <v>5.5240216008659616E-2</v>
      </c>
      <c r="HC51" s="144">
        <f t="shared" ca="1" si="60"/>
        <v>2.7246129548634257E-2</v>
      </c>
      <c r="HD51" s="144">
        <f t="shared" ca="1" si="60"/>
        <v>9.6480591108853805E-2</v>
      </c>
      <c r="HE51" s="144">
        <f t="shared" ca="1" si="60"/>
        <v>3.1264885677659324E-2</v>
      </c>
      <c r="HF51" s="144">
        <f t="shared" ca="1" si="60"/>
        <v>8.187739867824087E-2</v>
      </c>
      <c r="HG51" s="144">
        <f t="shared" ca="1" si="60"/>
        <v>2.2291178670488451E-3</v>
      </c>
    </row>
    <row r="52" spans="1:215">
      <c r="A52" s="90">
        <v>1978</v>
      </c>
      <c r="B52" s="84">
        <v>6.50928391167193E-2</v>
      </c>
      <c r="C52" s="85">
        <v>0.29320000000000002</v>
      </c>
      <c r="D52" s="83">
        <f t="shared" si="4"/>
        <v>0.11071427129337544</v>
      </c>
      <c r="E52" s="85"/>
      <c r="F52" s="85"/>
      <c r="G52" s="85">
        <v>7.1783064516129036E-2</v>
      </c>
      <c r="H52" s="85">
        <v>-7.7758069075086478E-3</v>
      </c>
      <c r="I52" s="85">
        <v>3.1375849771690861E-2</v>
      </c>
      <c r="J52" s="85">
        <v>0.37011215519854512</v>
      </c>
    </row>
    <row r="53" spans="1:215">
      <c r="A53" s="90">
        <v>1979</v>
      </c>
      <c r="B53" s="84">
        <v>0.18519490167516386</v>
      </c>
      <c r="C53" s="85">
        <v>0.41969999999999996</v>
      </c>
      <c r="D53" s="83">
        <f t="shared" si="4"/>
        <v>0.23209592134013107</v>
      </c>
      <c r="E53" s="85"/>
      <c r="F53" s="85"/>
      <c r="G53" s="85">
        <v>0.10054274193548388</v>
      </c>
      <c r="H53" s="85">
        <v>6.7072031247235459E-3</v>
      </c>
      <c r="I53" s="85">
        <v>-2.0091101436615355E-2</v>
      </c>
      <c r="J53" s="85">
        <v>1.2654867256637168</v>
      </c>
    </row>
    <row r="54" spans="1:215">
      <c r="A54" s="90">
        <v>1980</v>
      </c>
      <c r="B54" s="84">
        <v>0.3173524550676301</v>
      </c>
      <c r="C54" s="85">
        <v>0.42409999999999998</v>
      </c>
      <c r="D54" s="83">
        <f t="shared" si="4"/>
        <v>0.33870196405410402</v>
      </c>
      <c r="E54" s="85"/>
      <c r="F54" s="85"/>
      <c r="G54" s="85">
        <v>0.1139188</v>
      </c>
      <c r="H54" s="85">
        <v>-2.989744251999403E-2</v>
      </c>
      <c r="I54" s="85">
        <v>-3.3156783371910456E-2</v>
      </c>
      <c r="J54" s="85">
        <v>0.15185546875</v>
      </c>
    </row>
    <row r="55" spans="1:215">
      <c r="A55" s="90">
        <v>1981</v>
      </c>
      <c r="B55" s="84">
        <v>-4.7023902474955762E-2</v>
      </c>
      <c r="C55" s="85">
        <v>-4.1399999999999999E-2</v>
      </c>
      <c r="D55" s="83">
        <f t="shared" si="4"/>
        <v>-4.5899121979964611E-2</v>
      </c>
      <c r="E55" s="85"/>
      <c r="F55" s="85"/>
      <c r="G55" s="85">
        <v>0.14036184738955823</v>
      </c>
      <c r="H55" s="85">
        <v>8.1992153358923542E-2</v>
      </c>
      <c r="I55" s="85">
        <v>8.4623994808912056E-2</v>
      </c>
      <c r="J55" s="85">
        <v>-0.32598558711318359</v>
      </c>
    </row>
    <row r="56" spans="1:215">
      <c r="A56" s="90">
        <v>1982</v>
      </c>
      <c r="B56" s="84">
        <v>0.20419055079559353</v>
      </c>
      <c r="C56" s="85">
        <v>0.27110000000000001</v>
      </c>
      <c r="D56" s="83">
        <f t="shared" si="4"/>
        <v>0.21757244063647482</v>
      </c>
      <c r="E56" s="85"/>
      <c r="F56" s="85"/>
      <c r="G56" s="85">
        <v>0.10603413654618475</v>
      </c>
      <c r="H56" s="85">
        <v>0.32814549486295586</v>
      </c>
      <c r="I56" s="85">
        <v>0.2905245565590866</v>
      </c>
      <c r="J56" s="85">
        <v>0.15622641509433977</v>
      </c>
    </row>
    <row r="57" spans="1:215">
      <c r="A57" s="90">
        <v>1983</v>
      </c>
      <c r="B57" s="84">
        <v>0.22337155858930619</v>
      </c>
      <c r="C57" s="85">
        <v>0.35859999999999997</v>
      </c>
      <c r="D57" s="83">
        <f t="shared" si="4"/>
        <v>0.25041724687144495</v>
      </c>
      <c r="E57" s="85"/>
      <c r="F57" s="85"/>
      <c r="G57" s="85">
        <v>8.61764E-2</v>
      </c>
      <c r="H57" s="85">
        <v>3.2002094451429264E-2</v>
      </c>
      <c r="I57" s="85">
        <v>0.16194289622798344</v>
      </c>
      <c r="J57" s="85">
        <v>-0.16797214969538743</v>
      </c>
    </row>
    <row r="58" spans="1:215">
      <c r="A58" s="90">
        <v>1984</v>
      </c>
      <c r="B58" s="84">
        <v>6.14614199963621E-2</v>
      </c>
      <c r="C58" s="85">
        <v>-0.1452</v>
      </c>
      <c r="D58" s="83">
        <f t="shared" si="4"/>
        <v>2.0129135997089691E-2</v>
      </c>
      <c r="E58" s="85"/>
      <c r="F58" s="85"/>
      <c r="G58" s="85">
        <v>9.5402811244979929E-2</v>
      </c>
      <c r="H58" s="85">
        <v>0.13733364344102345</v>
      </c>
      <c r="I58" s="85">
        <v>0.15619207332454216</v>
      </c>
      <c r="J58" s="85">
        <v>-0.193776150627615</v>
      </c>
    </row>
    <row r="59" spans="1:215">
      <c r="A59" s="90">
        <v>1985</v>
      </c>
      <c r="B59" s="84">
        <v>0.31235149485768948</v>
      </c>
      <c r="C59" s="85">
        <v>0.25140000000000001</v>
      </c>
      <c r="D59" s="83">
        <f t="shared" si="4"/>
        <v>0.30016119588615159</v>
      </c>
      <c r="E59" s="85"/>
      <c r="F59" s="85"/>
      <c r="G59" s="85">
        <v>7.4711290322580642E-2</v>
      </c>
      <c r="H59" s="85">
        <v>0.2571248821260641</v>
      </c>
      <c r="I59" s="85">
        <v>0.23862641849916477</v>
      </c>
      <c r="J59" s="85">
        <v>6.0006487187804103E-2</v>
      </c>
    </row>
    <row r="60" spans="1:215">
      <c r="A60" s="90">
        <v>1986</v>
      </c>
      <c r="B60" s="84">
        <v>0.18494578758046187</v>
      </c>
      <c r="C60" s="85">
        <v>2.1600000000000001E-2</v>
      </c>
      <c r="D60" s="83">
        <f t="shared" si="4"/>
        <v>0.15227663006436951</v>
      </c>
      <c r="E60" s="85"/>
      <c r="F60" s="85"/>
      <c r="G60" s="85">
        <v>5.9692800000000004E-2</v>
      </c>
      <c r="H60" s="85">
        <v>0.24284215141767618</v>
      </c>
      <c r="I60" s="85">
        <v>0.21354060117746398</v>
      </c>
      <c r="J60" s="85">
        <v>0.18956548347613222</v>
      </c>
    </row>
    <row r="61" spans="1:215">
      <c r="A61" s="90">
        <v>1987</v>
      </c>
      <c r="B61" s="84">
        <v>5.8127216418218712E-2</v>
      </c>
      <c r="C61" s="85">
        <v>-0.14029999999999998</v>
      </c>
      <c r="D61" s="83">
        <f t="shared" si="4"/>
        <v>1.8441773134574981E-2</v>
      </c>
      <c r="E61" s="85"/>
      <c r="F61" s="85"/>
      <c r="G61" s="85">
        <v>5.7773600000000001E-2</v>
      </c>
      <c r="H61" s="85">
        <v>-4.9605089379262279E-2</v>
      </c>
      <c r="I61" s="85">
        <v>2.8125853555458283E-2</v>
      </c>
      <c r="J61" s="85">
        <v>0.24527331189710622</v>
      </c>
    </row>
    <row r="62" spans="1:215">
      <c r="A62" s="90">
        <v>1988</v>
      </c>
      <c r="B62" s="84">
        <v>0.16537192812044688</v>
      </c>
      <c r="C62" s="85">
        <v>0.17370000000000002</v>
      </c>
      <c r="D62" s="83">
        <f t="shared" si="4"/>
        <v>0.16703754249635749</v>
      </c>
      <c r="E62" s="85"/>
      <c r="F62" s="85"/>
      <c r="G62" s="85">
        <v>6.6684400000000005E-2</v>
      </c>
      <c r="H62" s="85">
        <v>8.2235958434841674E-2</v>
      </c>
      <c r="I62" s="85">
        <v>0.14382285179475657</v>
      </c>
      <c r="J62" s="85">
        <v>-0.15255112580045449</v>
      </c>
    </row>
    <row r="63" spans="1:215">
      <c r="A63" s="90">
        <v>1989</v>
      </c>
      <c r="B63" s="84">
        <v>0.31475183638196724</v>
      </c>
      <c r="C63" s="85">
        <v>6.9500000000000006E-2</v>
      </c>
      <c r="D63" s="83">
        <f t="shared" si="4"/>
        <v>0.26570146910557385</v>
      </c>
      <c r="E63" s="85"/>
      <c r="F63" s="85"/>
      <c r="G63" s="85">
        <v>8.111560000000001E-2</v>
      </c>
      <c r="H63" s="85">
        <v>0.17693647159446219</v>
      </c>
      <c r="I63" s="85">
        <v>0.15948974901357249</v>
      </c>
      <c r="J63" s="85">
        <v>-2.8397318708104802E-2</v>
      </c>
    </row>
    <row r="64" spans="1:215">
      <c r="A64" s="90">
        <v>1990</v>
      </c>
      <c r="B64" s="84">
        <v>-3.0644516129032118E-2</v>
      </c>
      <c r="C64" s="85">
        <v>-0.2792</v>
      </c>
      <c r="D64" s="83">
        <f t="shared" si="4"/>
        <v>-8.0355612903225682E-2</v>
      </c>
      <c r="E64" s="85"/>
      <c r="F64" s="85"/>
      <c r="G64" s="85">
        <v>7.4964799999999998E-2</v>
      </c>
      <c r="H64" s="85">
        <v>6.2353753335533363E-2</v>
      </c>
      <c r="I64" s="85">
        <v>6.2807165619478592E-2</v>
      </c>
      <c r="J64" s="85">
        <v>-3.1108881083793394E-2</v>
      </c>
    </row>
    <row r="65" spans="1:10">
      <c r="A65" s="90">
        <v>1991</v>
      </c>
      <c r="B65" s="84">
        <v>0.30234843134879757</v>
      </c>
      <c r="C65" s="85">
        <v>0.46270000000000006</v>
      </c>
      <c r="D65" s="83">
        <f t="shared" si="4"/>
        <v>0.33441874507903807</v>
      </c>
      <c r="E65" s="85"/>
      <c r="F65" s="85"/>
      <c r="G65" s="85">
        <v>5.3756000000000005E-2</v>
      </c>
      <c r="H65" s="85">
        <v>0.15004510019517303</v>
      </c>
      <c r="I65" s="85">
        <v>0.18928042873950041</v>
      </c>
      <c r="J65" s="85">
        <v>-8.5577421025375466E-2</v>
      </c>
    </row>
    <row r="66" spans="1:10">
      <c r="A66" s="90">
        <v>1992</v>
      </c>
      <c r="B66" s="84">
        <v>7.493727972380064E-2</v>
      </c>
      <c r="C66" s="85">
        <v>0.25509999999999999</v>
      </c>
      <c r="D66" s="83">
        <f t="shared" si="4"/>
        <v>0.11096982377904049</v>
      </c>
      <c r="E66" s="85"/>
      <c r="F66" s="85"/>
      <c r="G66" s="85">
        <v>3.4313147410358569E-2</v>
      </c>
      <c r="H66" s="85">
        <v>9.3616373162079422E-2</v>
      </c>
      <c r="I66" s="85">
        <v>0.11305244549445928</v>
      </c>
      <c r="J66" s="85">
        <v>-5.7341073198357684E-2</v>
      </c>
    </row>
    <row r="67" spans="1:10">
      <c r="A67" s="90">
        <v>1993</v>
      </c>
      <c r="B67" s="84">
        <v>9.96705147919488E-2</v>
      </c>
      <c r="C67" s="85">
        <v>0.25730000000000003</v>
      </c>
      <c r="D67" s="83">
        <f t="shared" ref="D67:D98" si="63">(B67*$B$103)+(C67*$C$103)</f>
        <v>0.13119641183355904</v>
      </c>
      <c r="E67" s="85"/>
      <c r="F67" s="85"/>
      <c r="G67" s="85">
        <v>2.9971199999999996E-2</v>
      </c>
      <c r="H67" s="85">
        <v>0.14210957589263107</v>
      </c>
      <c r="I67" s="85">
        <v>0.15472450683005834</v>
      </c>
      <c r="J67" s="85">
        <v>0.17677981375788532</v>
      </c>
    </row>
    <row r="68" spans="1:10">
      <c r="A68" s="90">
        <v>1994</v>
      </c>
      <c r="B68" s="84">
        <v>1.3259206774573897E-2</v>
      </c>
      <c r="C68" s="85">
        <v>-5.0099999999999999E-2</v>
      </c>
      <c r="D68" s="83">
        <f t="shared" si="63"/>
        <v>5.873654196591211E-4</v>
      </c>
      <c r="E68" s="85"/>
      <c r="F68" s="85"/>
      <c r="G68" s="85">
        <v>4.2522489959839357E-2</v>
      </c>
      <c r="H68" s="85">
        <v>-8.0366555509985921E-2</v>
      </c>
      <c r="I68" s="85">
        <v>-9.6826953788543557E-3</v>
      </c>
      <c r="J68" s="85">
        <v>-2.1697511167836581E-2</v>
      </c>
    </row>
    <row r="69" spans="1:10">
      <c r="A69" s="90">
        <v>1995</v>
      </c>
      <c r="B69" s="84">
        <v>0.37195198902606308</v>
      </c>
      <c r="C69" s="85">
        <v>0.32270000000000004</v>
      </c>
      <c r="D69" s="83">
        <f t="shared" si="63"/>
        <v>0.36210159122085045</v>
      </c>
      <c r="E69" s="85"/>
      <c r="F69" s="85"/>
      <c r="G69" s="85">
        <v>5.4896E-2</v>
      </c>
      <c r="H69" s="85">
        <v>0.23480780112538907</v>
      </c>
      <c r="I69" s="85">
        <v>0.21287256523842943</v>
      </c>
      <c r="J69" s="85">
        <v>9.7847358121330164E-3</v>
      </c>
    </row>
    <row r="70" spans="1:10">
      <c r="A70" s="90">
        <v>1996</v>
      </c>
      <c r="B70" s="84">
        <v>0.22680966018865789</v>
      </c>
      <c r="C70" s="85">
        <v>0.14630000000000001</v>
      </c>
      <c r="D70" s="83">
        <f t="shared" si="63"/>
        <v>0.21070772815092634</v>
      </c>
      <c r="E70" s="85"/>
      <c r="F70" s="85"/>
      <c r="G70" s="85">
        <v>5.005396825396826E-2</v>
      </c>
      <c r="H70" s="85">
        <v>1.428607793401844E-2</v>
      </c>
      <c r="I70" s="85">
        <v>3.4156893562299034E-2</v>
      </c>
      <c r="J70" s="85">
        <v>-4.5865633074935408E-2</v>
      </c>
    </row>
    <row r="71" spans="1:10">
      <c r="A71" s="90">
        <v>1997</v>
      </c>
      <c r="B71" s="84">
        <v>0.33103653103653097</v>
      </c>
      <c r="C71" s="85">
        <v>0.22170000000000001</v>
      </c>
      <c r="D71" s="83">
        <f t="shared" si="63"/>
        <v>0.30916922482922476</v>
      </c>
      <c r="E71" s="85"/>
      <c r="F71" s="85"/>
      <c r="G71" s="85">
        <v>5.0620800000000001E-2</v>
      </c>
      <c r="H71" s="85">
        <v>9.939130272977531E-2</v>
      </c>
      <c r="I71" s="85">
        <v>0.12754162725001839</v>
      </c>
      <c r="J71" s="85">
        <v>-0.21408259986459044</v>
      </c>
    </row>
    <row r="72" spans="1:10">
      <c r="A72" s="90">
        <v>1998</v>
      </c>
      <c r="B72" s="84">
        <v>0.28337953278443584</v>
      </c>
      <c r="C72" s="85">
        <v>-0.1346</v>
      </c>
      <c r="D72" s="83">
        <f t="shared" si="63"/>
        <v>0.19978362622754869</v>
      </c>
      <c r="E72" s="85"/>
      <c r="F72" s="85"/>
      <c r="G72" s="85">
        <v>4.7759600000000006E-2</v>
      </c>
      <c r="H72" s="85">
        <v>0.14921431922606215</v>
      </c>
      <c r="I72" s="85">
        <v>7.6274756292817242E-2</v>
      </c>
      <c r="J72" s="85">
        <v>-8.2701585113713616E-3</v>
      </c>
    </row>
    <row r="73" spans="1:10">
      <c r="A73" s="90">
        <v>1999</v>
      </c>
      <c r="B73" s="84">
        <v>0.20885350992084475</v>
      </c>
      <c r="C73" s="85">
        <v>0.38240000000000002</v>
      </c>
      <c r="D73" s="83">
        <f t="shared" si="63"/>
        <v>0.24356280793667581</v>
      </c>
      <c r="E73" s="85"/>
      <c r="F73" s="85"/>
      <c r="G73" s="85">
        <v>4.6384063745019917E-2</v>
      </c>
      <c r="H73" s="85">
        <v>-8.2542147962685761E-2</v>
      </c>
      <c r="I73" s="85">
        <v>9.0685450376237486E-3</v>
      </c>
      <c r="J73" s="85">
        <v>8.5128561501042199E-3</v>
      </c>
    </row>
    <row r="74" spans="1:10">
      <c r="A74" s="90">
        <v>2000</v>
      </c>
      <c r="B74" s="84">
        <v>-9.0318189552492781E-2</v>
      </c>
      <c r="C74" s="85">
        <v>-9.2899999999999996E-2</v>
      </c>
      <c r="D74" s="83">
        <f t="shared" si="63"/>
        <v>-9.0834551641994221E-2</v>
      </c>
      <c r="E74" s="85"/>
      <c r="F74" s="85"/>
      <c r="G74" s="85">
        <v>5.8198007968127491E-2</v>
      </c>
      <c r="H74" s="85">
        <v>0.16655267125397488</v>
      </c>
      <c r="I74" s="85">
        <v>9.3878146518094577E-2</v>
      </c>
      <c r="J74" s="85">
        <v>-5.4435831180017269E-2</v>
      </c>
    </row>
    <row r="75" spans="1:10">
      <c r="A75" s="90">
        <v>2001</v>
      </c>
      <c r="B75" s="84">
        <v>-0.11849759142000185</v>
      </c>
      <c r="C75" s="85">
        <v>0.32140000000000002</v>
      </c>
      <c r="D75" s="83">
        <f t="shared" si="63"/>
        <v>-3.0518073136001495E-2</v>
      </c>
      <c r="E75" s="85"/>
      <c r="F75" s="85"/>
      <c r="G75" s="85">
        <v>3.3993548387096777E-2</v>
      </c>
      <c r="H75" s="85">
        <v>5.5721811892492555E-2</v>
      </c>
      <c r="I75" s="85">
        <v>8.5387489183019236E-2</v>
      </c>
      <c r="J75" s="85">
        <v>7.4694844233922364E-3</v>
      </c>
    </row>
    <row r="76" spans="1:10">
      <c r="A76" s="90">
        <v>2002</v>
      </c>
      <c r="B76" s="84">
        <v>-0.21966047957912699</v>
      </c>
      <c r="C76" s="85">
        <v>-3.5799999999999998E-2</v>
      </c>
      <c r="D76" s="83">
        <f t="shared" si="63"/>
        <v>-0.1828883836633016</v>
      </c>
      <c r="E76" s="85"/>
      <c r="F76" s="85"/>
      <c r="G76" s="85">
        <v>1.60532E-2</v>
      </c>
      <c r="H76" s="85">
        <v>0.15116400378109285</v>
      </c>
      <c r="I76" s="85">
        <v>0.12143658327667134</v>
      </c>
      <c r="J76" s="85">
        <v>0.2556962025316456</v>
      </c>
    </row>
    <row r="77" spans="1:10">
      <c r="A77" s="90">
        <v>2003</v>
      </c>
      <c r="B77" s="84">
        <v>0.28355800050010233</v>
      </c>
      <c r="C77" s="85">
        <v>0.91909999999999992</v>
      </c>
      <c r="D77" s="83">
        <f t="shared" si="63"/>
        <v>0.41066640040008184</v>
      </c>
      <c r="E77" s="85"/>
      <c r="F77" s="85"/>
      <c r="G77" s="85">
        <v>1.00836E-2</v>
      </c>
      <c r="H77" s="85">
        <v>3.7531858817758529E-3</v>
      </c>
      <c r="I77" s="85">
        <v>0.12316378506833342</v>
      </c>
      <c r="J77" s="85">
        <v>0.1988767281105992</v>
      </c>
    </row>
    <row r="78" spans="1:10">
      <c r="A78" s="90">
        <v>2004</v>
      </c>
      <c r="B78" s="84">
        <v>0.10742775944096193</v>
      </c>
      <c r="C78" s="85">
        <v>0.17489999999999997</v>
      </c>
      <c r="D78" s="83">
        <f t="shared" si="63"/>
        <v>0.12092220755276953</v>
      </c>
      <c r="E78" s="85"/>
      <c r="F78" s="85"/>
      <c r="G78" s="85">
        <v>1.3746400000000001E-2</v>
      </c>
      <c r="H78" s="85">
        <v>4.490683702274547E-2</v>
      </c>
      <c r="I78" s="85">
        <v>0.10345924468934715</v>
      </c>
      <c r="J78" s="85">
        <v>4.6486486486486456E-2</v>
      </c>
    </row>
    <row r="79" spans="1:10">
      <c r="A79" s="90">
        <v>2005</v>
      </c>
      <c r="B79" s="84">
        <v>4.8344775232688535E-2</v>
      </c>
      <c r="C79" s="85">
        <v>3.9300000000000002E-2</v>
      </c>
      <c r="D79" s="83">
        <f t="shared" si="63"/>
        <v>4.6535820186150829E-2</v>
      </c>
      <c r="E79" s="85"/>
      <c r="F79" s="85"/>
      <c r="G79" s="85">
        <v>3.1491600000000002E-2</v>
      </c>
      <c r="H79" s="85">
        <v>2.8675329597779506E-2</v>
      </c>
      <c r="I79" s="85">
        <v>5.2983848835185088E-2</v>
      </c>
      <c r="J79" s="85">
        <v>0.1776859504132231</v>
      </c>
    </row>
    <row r="80" spans="1:10">
      <c r="A80" s="90">
        <v>2006</v>
      </c>
      <c r="B80" s="84">
        <v>0.15612557979315703</v>
      </c>
      <c r="C80" s="85">
        <v>0.18469999999999998</v>
      </c>
      <c r="D80" s="83">
        <f t="shared" si="63"/>
        <v>0.16184046383452561</v>
      </c>
      <c r="E80" s="85"/>
      <c r="F80" s="85"/>
      <c r="G80" s="85">
        <v>4.7300000000000002E-2</v>
      </c>
      <c r="H80" s="85">
        <v>1.9610012417568386E-2</v>
      </c>
      <c r="I80" s="85">
        <v>5.1964610076620635E-2</v>
      </c>
      <c r="J80" s="85">
        <v>0.23196881091617927</v>
      </c>
    </row>
    <row r="81" spans="1:10">
      <c r="A81" s="90">
        <v>2007</v>
      </c>
      <c r="B81" s="84">
        <v>5.4847352464217694E-2</v>
      </c>
      <c r="C81" s="85">
        <v>-9.1499999999999998E-2</v>
      </c>
      <c r="D81" s="83">
        <f t="shared" si="63"/>
        <v>2.5577881971374158E-2</v>
      </c>
      <c r="E81" s="85"/>
      <c r="F81" s="85"/>
      <c r="G81" s="85">
        <v>4.3619521912350592E-2</v>
      </c>
      <c r="H81" s="85">
        <v>0.10209921930012807</v>
      </c>
      <c r="I81" s="85">
        <v>4.8445754357525184E-2</v>
      </c>
      <c r="J81" s="85">
        <v>0.31922468354430378</v>
      </c>
    </row>
    <row r="82" spans="1:10">
      <c r="A82" s="90">
        <v>2008</v>
      </c>
      <c r="B82" s="84">
        <v>-0.36552344111798191</v>
      </c>
      <c r="C82" s="85">
        <v>-0.44840000000000002</v>
      </c>
      <c r="D82" s="83">
        <f t="shared" si="63"/>
        <v>-0.3820987528943855</v>
      </c>
      <c r="E82" s="85"/>
      <c r="F82" s="85"/>
      <c r="G82" s="85">
        <v>1.3713147410358567E-2</v>
      </c>
      <c r="H82" s="85">
        <v>0.20101279926977011</v>
      </c>
      <c r="I82" s="85">
        <v>-3.540309867144642E-2</v>
      </c>
      <c r="J82" s="85">
        <v>4.3178410794602717E-2</v>
      </c>
    </row>
    <row r="83" spans="1:10">
      <c r="A83" s="90">
        <v>2009</v>
      </c>
      <c r="B83" s="84">
        <v>0.25935233877663982</v>
      </c>
      <c r="C83" s="85">
        <v>0.47479999999999994</v>
      </c>
      <c r="D83" s="83">
        <f t="shared" si="63"/>
        <v>0.30244187102131181</v>
      </c>
      <c r="E83" s="85"/>
      <c r="F83" s="85"/>
      <c r="G83" s="85">
        <v>1.5051999999999999E-3</v>
      </c>
      <c r="H83" s="85">
        <v>-0.11116695313259162</v>
      </c>
      <c r="I83" s="85">
        <v>0.20209649577883115</v>
      </c>
      <c r="J83" s="85">
        <v>0.25035929864903705</v>
      </c>
    </row>
    <row r="84" spans="1:10">
      <c r="A84" s="90">
        <v>2010</v>
      </c>
      <c r="B84" s="84">
        <v>0.14821092278719414</v>
      </c>
      <c r="C84" s="85">
        <v>0.28239999999999998</v>
      </c>
      <c r="D84" s="83">
        <f t="shared" si="63"/>
        <v>0.17504873822975531</v>
      </c>
      <c r="E84" s="85"/>
      <c r="F84" s="85"/>
      <c r="G84" s="85">
        <v>1.3844621513944221E-3</v>
      </c>
      <c r="H84" s="85">
        <v>8.4629338803557719E-2</v>
      </c>
      <c r="I84" s="85">
        <v>9.4104971085132647E-2</v>
      </c>
      <c r="J84" s="85">
        <v>0.29241379310344828</v>
      </c>
    </row>
    <row r="85" spans="1:10">
      <c r="A85" s="90">
        <v>2011</v>
      </c>
      <c r="B85" s="84">
        <v>2.09837473362805E-2</v>
      </c>
      <c r="C85" s="85">
        <v>-0.14150000000000001</v>
      </c>
      <c r="D85" s="83">
        <f t="shared" si="63"/>
        <v>-1.1513002130975593E-2</v>
      </c>
      <c r="E85" s="85"/>
      <c r="F85" s="85"/>
      <c r="G85" s="85">
        <v>5.2839999999999994E-4</v>
      </c>
      <c r="H85" s="85">
        <v>0.16035334999461354</v>
      </c>
      <c r="I85" s="85">
        <v>0.12262911319384322</v>
      </c>
      <c r="J85" s="85">
        <v>0.1202419067947349</v>
      </c>
    </row>
    <row r="86" spans="1:10">
      <c r="A86" s="90">
        <v>2012</v>
      </c>
      <c r="B86" s="84">
        <v>0.15890585241730293</v>
      </c>
      <c r="C86" s="85">
        <v>0.18729999999999999</v>
      </c>
      <c r="D86" s="83">
        <f t="shared" si="63"/>
        <v>0.16458468193384235</v>
      </c>
      <c r="E86" s="85"/>
      <c r="F86" s="85"/>
      <c r="G86" s="85">
        <v>8.7599999999999993E-4</v>
      </c>
      <c r="H86" s="85">
        <v>2.971571978018946E-2</v>
      </c>
      <c r="I86" s="85">
        <v>9.3270633454791169E-2</v>
      </c>
      <c r="J86" s="85">
        <v>5.6843442362654706E-2</v>
      </c>
    </row>
    <row r="87" spans="1:10">
      <c r="A87" s="90">
        <v>2013</v>
      </c>
      <c r="B87" s="84">
        <v>0.32145085858125483</v>
      </c>
      <c r="C87" s="85">
        <v>0.50680000000000003</v>
      </c>
      <c r="D87" s="83">
        <f t="shared" si="63"/>
        <v>0.35852068686500382</v>
      </c>
      <c r="E87" s="85"/>
      <c r="F87" s="85"/>
      <c r="G87" s="85">
        <v>5.708E-4</v>
      </c>
      <c r="H87" s="85">
        <v>-9.104568794347262E-2</v>
      </c>
      <c r="I87" s="85">
        <v>-9.8278909816801388E-3</v>
      </c>
      <c r="J87" s="85">
        <v>-0.27614182692307687</v>
      </c>
    </row>
    <row r="88" spans="1:10">
      <c r="A88" s="90">
        <v>2014</v>
      </c>
      <c r="B88" s="84">
        <v>0.13524421649462237</v>
      </c>
      <c r="C88" s="85">
        <v>1.5900000000000001E-2</v>
      </c>
      <c r="D88" s="83">
        <f t="shared" si="63"/>
        <v>0.1113753731956979</v>
      </c>
      <c r="E88" s="85"/>
      <c r="F88" s="85"/>
      <c r="G88" s="85">
        <v>3.2719999999999998E-4</v>
      </c>
      <c r="H88" s="85">
        <v>0.10746180452004755</v>
      </c>
      <c r="I88" s="85">
        <v>0.10781775226724913</v>
      </c>
      <c r="J88" s="85">
        <v>1.2453300124533051E-3</v>
      </c>
    </row>
    <row r="89" spans="1:10">
      <c r="A89" s="90">
        <v>2015</v>
      </c>
      <c r="B89" s="84">
        <v>1.3788916411676138E-2</v>
      </c>
      <c r="C89" s="85">
        <v>-9.2100000000000015E-2</v>
      </c>
      <c r="D89" s="83">
        <f t="shared" si="63"/>
        <v>-7.3888668706590874E-3</v>
      </c>
      <c r="E89" s="85"/>
      <c r="F89" s="85"/>
      <c r="G89" s="85">
        <v>5.2031872509960154E-4</v>
      </c>
      <c r="H89" s="85">
        <v>1.2842996709792224E-2</v>
      </c>
      <c r="I89" s="85">
        <v>-1.5008531794429472E-2</v>
      </c>
      <c r="J89" s="85">
        <v>-0.12106135986733002</v>
      </c>
    </row>
    <row r="90" spans="1:10">
      <c r="A90" s="90">
        <v>2016</v>
      </c>
      <c r="B90" s="84">
        <v>0.11773080874798171</v>
      </c>
      <c r="C90" s="85">
        <v>0.17499999999999999</v>
      </c>
      <c r="D90" s="83">
        <f t="shared" si="63"/>
        <v>0.12918464699838536</v>
      </c>
      <c r="E90" s="85"/>
      <c r="F90" s="85"/>
      <c r="G90" s="85">
        <v>3.1612000000000003E-3</v>
      </c>
      <c r="H90" s="85">
        <v>6.9055046987477921E-3</v>
      </c>
      <c r="I90" s="85">
        <v>0.115244739105062</v>
      </c>
      <c r="J90" s="85">
        <v>8.1037735849056602E-2</v>
      </c>
    </row>
    <row r="91" spans="1:10">
      <c r="A91" s="90">
        <v>2017</v>
      </c>
      <c r="B91" s="84">
        <v>0.2160548143449928</v>
      </c>
      <c r="C91" s="85">
        <v>0.1547</v>
      </c>
      <c r="D91" s="83">
        <f t="shared" si="63"/>
        <v>0.20378385147599423</v>
      </c>
      <c r="E91" s="85"/>
      <c r="F91" s="85"/>
      <c r="G91" s="85">
        <v>9.3411999999999992E-3</v>
      </c>
      <c r="H91" s="85">
        <v>2.8017162707789457E-2</v>
      </c>
      <c r="I91" s="85">
        <v>9.2339050572547543E-2</v>
      </c>
      <c r="J91" s="85">
        <v>0.12662535997905566</v>
      </c>
    </row>
    <row r="92" spans="1:10">
      <c r="A92" s="90">
        <v>2018</v>
      </c>
      <c r="B92" s="84">
        <v>-4.2268692890885438E-2</v>
      </c>
      <c r="C92" s="85">
        <v>-0.16260000000000002</v>
      </c>
      <c r="D92" s="83">
        <f t="shared" si="63"/>
        <v>-6.6334954312708361E-2</v>
      </c>
      <c r="E92" s="85"/>
      <c r="F92" s="85"/>
      <c r="G92" s="85">
        <v>1.936305220883534E-2</v>
      </c>
      <c r="H92" s="85">
        <v>-1.6692385713402633E-4</v>
      </c>
      <c r="I92" s="85">
        <v>-3.2694196838362347E-2</v>
      </c>
      <c r="J92" s="85">
        <v>-9.2951200619674212E-3</v>
      </c>
    </row>
    <row r="93" spans="1:10">
      <c r="A93" s="90">
        <v>2019</v>
      </c>
      <c r="B93" s="84">
        <v>0.31211679996808755</v>
      </c>
      <c r="C93" s="85">
        <v>0.12269999999999999</v>
      </c>
      <c r="D93" s="83">
        <f t="shared" si="63"/>
        <v>0.27423343997447003</v>
      </c>
      <c r="E93" s="85"/>
      <c r="F93" s="85"/>
      <c r="G93" s="85">
        <v>2.0624799999999999E-2</v>
      </c>
      <c r="H93" s="85">
        <v>9.6356307415483927E-2</v>
      </c>
      <c r="I93" s="85">
        <v>0.15247765775278477</v>
      </c>
      <c r="J93" s="85">
        <v>0.19077404222048466</v>
      </c>
    </row>
    <row r="94" spans="1:10">
      <c r="A94" s="90">
        <v>2020</v>
      </c>
      <c r="B94" s="84">
        <v>0.18023201827422478</v>
      </c>
      <c r="C94" s="85">
        <v>0.34729999999999994</v>
      </c>
      <c r="D94" s="83">
        <f t="shared" si="63"/>
        <v>0.21364561461937978</v>
      </c>
      <c r="E94" s="85"/>
      <c r="F94" s="85"/>
      <c r="G94" s="85">
        <v>3.547410358565737E-3</v>
      </c>
      <c r="H94" s="85">
        <v>0.1133189764661412</v>
      </c>
      <c r="I94" s="85">
        <v>0.10601187472880466</v>
      </c>
      <c r="J94" s="85">
        <v>0.24169402495075509</v>
      </c>
    </row>
    <row r="95" spans="1:10">
      <c r="A95" s="90">
        <v>2021</v>
      </c>
      <c r="B95" s="84">
        <v>0.28468851751964158</v>
      </c>
      <c r="C95" s="85">
        <v>0.21690000000000001</v>
      </c>
      <c r="D95" s="83">
        <f t="shared" si="63"/>
        <v>0.27113081401571326</v>
      </c>
      <c r="E95" s="85"/>
      <c r="F95" s="85"/>
      <c r="G95" s="85">
        <v>4.5019920318725102E-4</v>
      </c>
      <c r="H95" s="85">
        <v>-4.416034448604475E-2</v>
      </c>
      <c r="I95" s="85">
        <v>9.3344457198752777E-3</v>
      </c>
      <c r="J95" s="85">
        <v>-3.7544286394162185E-2</v>
      </c>
    </row>
    <row r="96" spans="1:10">
      <c r="A96" s="90">
        <v>2022</v>
      </c>
      <c r="B96" s="84">
        <v>-0.18037505927178585</v>
      </c>
      <c r="C96" s="85">
        <v>-0.23379999999999998</v>
      </c>
      <c r="D96" s="83">
        <f t="shared" si="63"/>
        <v>-0.19106004741742869</v>
      </c>
      <c r="E96" s="85"/>
      <c r="F96" s="85"/>
      <c r="G96" s="85">
        <v>2.0247791164658632E-2</v>
      </c>
      <c r="H96" s="85">
        <v>-0.1782817153825067</v>
      </c>
      <c r="I96" s="85">
        <v>-0.15144078553554258</v>
      </c>
      <c r="J96" s="85">
        <v>5.494203615185933E-3</v>
      </c>
    </row>
    <row r="97" spans="1:14">
      <c r="A97" s="90">
        <v>2023</v>
      </c>
      <c r="B97" s="84">
        <v>0.26060684985024096</v>
      </c>
      <c r="C97" s="86">
        <v>5.1699999999999996E-2</v>
      </c>
      <c r="D97" s="83">
        <f t="shared" si="63"/>
        <v>0.21882547988019277</v>
      </c>
      <c r="E97" s="85"/>
      <c r="F97" s="85"/>
      <c r="G97" s="85">
        <v>5.0703614457831322E-2</v>
      </c>
      <c r="H97" s="85">
        <v>3.8800000000000001E-2</v>
      </c>
      <c r="I97" s="86">
        <v>8.7356722013658433E-2</v>
      </c>
      <c r="J97" s="85">
        <v>0.13262116824217252</v>
      </c>
    </row>
    <row r="98" spans="1:14" ht="17" thickBot="1">
      <c r="A98" s="91">
        <v>2024</v>
      </c>
      <c r="B98" s="87">
        <v>0.24878611262526726</v>
      </c>
      <c r="C98" s="88">
        <v>0.12369999999999999</v>
      </c>
      <c r="D98" s="87">
        <f t="shared" si="63"/>
        <v>0.22376889010021381</v>
      </c>
      <c r="E98" s="89"/>
      <c r="F98" s="89"/>
      <c r="G98" s="89">
        <v>4.9699999999999994E-2</v>
      </c>
      <c r="H98" s="89">
        <v>-1.6371801436629807E-2</v>
      </c>
      <c r="I98" s="88">
        <v>1.7363556037785111E-2</v>
      </c>
      <c r="J98" s="89">
        <v>0.25957034171004567</v>
      </c>
    </row>
    <row r="100" spans="1:14">
      <c r="A100" s="92" t="s">
        <v>110</v>
      </c>
      <c r="B100" s="97">
        <f>AVERAGE(B2:B98)</f>
        <v>0.11794145831193953</v>
      </c>
      <c r="C100" s="97">
        <f>AVERAGE(C2:C98)</f>
        <v>0.17562577319587619</v>
      </c>
      <c r="D100" s="93">
        <f>AVERAGE(D74:D98)</f>
        <v>9.7978009207496303E-2</v>
      </c>
      <c r="E100" s="93"/>
      <c r="F100" s="93"/>
      <c r="H100" s="97">
        <f>AVERAGE(H2:H98)</f>
        <v>4.7917109451754321E-2</v>
      </c>
      <c r="I100" s="97">
        <f>AVERAGE(I2:I98)</f>
        <v>6.8998801439579302E-2</v>
      </c>
      <c r="N100" s="103"/>
    </row>
    <row r="101" spans="1:14">
      <c r="A101" s="92" t="s">
        <v>88</v>
      </c>
      <c r="B101" s="98">
        <f>STDEV(B2:B98)</f>
        <v>0.19494932721029923</v>
      </c>
      <c r="C101" s="98">
        <f>STDEV(C2:C98)</f>
        <v>0.37916606527745828</v>
      </c>
      <c r="D101" s="94">
        <f>STDEV(D74:D98)</f>
        <v>0.18738185894736581</v>
      </c>
      <c r="E101" s="95"/>
      <c r="F101" s="95"/>
      <c r="H101" s="98">
        <f>STDEV(H2:H98)</f>
        <v>7.9376195700859811E-2</v>
      </c>
      <c r="I101" s="98">
        <f>STDEV(I2:I98)</f>
        <v>7.690324651231692E-2</v>
      </c>
    </row>
    <row r="102" spans="1:14">
      <c r="A102" s="92" t="s">
        <v>111</v>
      </c>
      <c r="B102" s="99">
        <f>(B100-AVERAGE($G$2:$G$98))/B101</f>
        <v>0.43287434687278475</v>
      </c>
      <c r="C102" s="99">
        <f>(C100-AVERAGE($G$2:$G$98))/C101</f>
        <v>0.37469829339664296</v>
      </c>
      <c r="D102" s="96">
        <f>(D100-AVERAGE($G$74:$G$98))/D101</f>
        <v>0.42659402942549257</v>
      </c>
      <c r="H102" s="99">
        <f>(H100-AVERAGE($G$2:$G$98))/H101</f>
        <v>0.18096374741106783</v>
      </c>
      <c r="I102" s="99">
        <f>(I100-AVERAGE($G$2:$G$98))/I101</f>
        <v>0.46091559751524669</v>
      </c>
    </row>
    <row r="103" spans="1:14" ht="17" thickBot="1">
      <c r="A103" s="92" t="s">
        <v>113</v>
      </c>
      <c r="B103" s="100">
        <v>0.8</v>
      </c>
      <c r="C103" s="100">
        <f>1-B103</f>
        <v>0.19999999999999996</v>
      </c>
    </row>
    <row r="104" spans="1:14">
      <c r="A104" s="92" t="s">
        <v>114</v>
      </c>
      <c r="B104" s="206">
        <f>CORREL(B2:B98,C2:C98)</f>
        <v>0.72634753326445556</v>
      </c>
      <c r="C104" s="207"/>
      <c r="H104" s="206">
        <f>CORREL(H2:H98,I2:I98)</f>
        <v>0.65653332683947729</v>
      </c>
      <c r="I104" s="206"/>
    </row>
    <row r="107" spans="1:14" ht="17" thickBot="1">
      <c r="H107" s="208" t="s">
        <v>234</v>
      </c>
      <c r="I107" s="208"/>
    </row>
    <row r="108" spans="1:14">
      <c r="A108" s="92">
        <v>1</v>
      </c>
      <c r="B108" s="205" t="s">
        <v>115</v>
      </c>
      <c r="C108" s="205"/>
      <c r="D108" s="205"/>
      <c r="E108" s="205"/>
      <c r="F108" s="92" t="s">
        <v>118</v>
      </c>
      <c r="H108" s="105">
        <f>CORREL(H2:H98,D2:D98)</f>
        <v>-2.3740834070659012E-2</v>
      </c>
      <c r="I108" s="104">
        <f>CORREL(D2:D98,I2:I98)</f>
        <v>0.40117864042314855</v>
      </c>
      <c r="J108"/>
    </row>
    <row r="109" spans="1:14">
      <c r="A109" s="92">
        <v>2</v>
      </c>
      <c r="B109" s="205" t="s">
        <v>116</v>
      </c>
      <c r="C109" s="205"/>
      <c r="D109" s="205"/>
      <c r="E109" s="205"/>
      <c r="F109" s="92" t="s">
        <v>119</v>
      </c>
    </row>
    <row r="110" spans="1:14">
      <c r="A110" s="92">
        <v>3</v>
      </c>
      <c r="B110" s="205" t="s">
        <v>117</v>
      </c>
      <c r="C110" s="205"/>
      <c r="D110" s="205"/>
      <c r="E110" s="205"/>
      <c r="F110" s="92" t="s">
        <v>120</v>
      </c>
    </row>
    <row r="111" spans="1:14">
      <c r="A111" s="92" t="s">
        <v>123</v>
      </c>
    </row>
    <row r="112" spans="1:14">
      <c r="A112" s="92" t="s">
        <v>121</v>
      </c>
      <c r="B112" s="93">
        <f>D100</f>
        <v>9.7978009207496303E-2</v>
      </c>
    </row>
    <row r="113" spans="1:2">
      <c r="A113" s="92" t="s">
        <v>122</v>
      </c>
      <c r="B113" s="93">
        <f>D101</f>
        <v>0.18738185894736581</v>
      </c>
    </row>
    <row r="115" spans="1:2">
      <c r="A115" s="92" t="s">
        <v>124</v>
      </c>
    </row>
    <row r="116" spans="1:2">
      <c r="A116" s="103" t="s">
        <v>445</v>
      </c>
      <c r="B116" s="93">
        <f>H100</f>
        <v>4.7917109451754321E-2</v>
      </c>
    </row>
    <row r="117" spans="1:2">
      <c r="A117" s="103" t="s">
        <v>446</v>
      </c>
      <c r="B117" s="93">
        <f>H101</f>
        <v>7.9376195700859811E-2</v>
      </c>
    </row>
  </sheetData>
  <mergeCells count="6">
    <mergeCell ref="B110:E110"/>
    <mergeCell ref="H104:I104"/>
    <mergeCell ref="B104:C104"/>
    <mergeCell ref="B109:E109"/>
    <mergeCell ref="B108:E108"/>
    <mergeCell ref="H107:I107"/>
  </mergeCells>
  <phoneticPr fontId="37" type="noConversion"/>
  <printOptions gridLinesSet="0"/>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091BA-EC87-C141-99EC-80A51BEDDF78}">
  <sheetPr codeName="Sheet3"/>
  <dimension ref="A1:HF54"/>
  <sheetViews>
    <sheetView showGridLines="0" topLeftCell="FQ25" zoomScaleNormal="100" workbookViewId="0">
      <selection activeCell="GX53" sqref="GX53"/>
    </sheetView>
  </sheetViews>
  <sheetFormatPr baseColWidth="10" defaultColWidth="10.28515625" defaultRowHeight="14"/>
  <cols>
    <col min="1" max="1" width="8.140625" style="107" bestFit="1" customWidth="1"/>
    <col min="2" max="101" width="11" style="124" customWidth="1"/>
    <col min="102" max="102" width="10.28515625" style="107"/>
    <col min="103" max="103" width="11.85546875" style="107" bestFit="1" customWidth="1"/>
    <col min="104" max="104" width="7.42578125" style="107" customWidth="1"/>
    <col min="105" max="105" width="17.85546875" style="107" bestFit="1" customWidth="1"/>
    <col min="106" max="106" width="19" style="107" bestFit="1" customWidth="1"/>
    <col min="107" max="108" width="17.85546875" style="107" bestFit="1" customWidth="1"/>
    <col min="109" max="109" width="19" style="107" bestFit="1" customWidth="1"/>
    <col min="110" max="112" width="16.7109375" style="107" bestFit="1" customWidth="1"/>
    <col min="113" max="113" width="17.85546875" style="107" bestFit="1" customWidth="1"/>
    <col min="114" max="114" width="16.7109375" style="107" bestFit="1" customWidth="1"/>
    <col min="115" max="115" width="19" style="107" bestFit="1" customWidth="1"/>
    <col min="116" max="188" width="14.28515625" style="107" bestFit="1" customWidth="1"/>
    <col min="189" max="192" width="17.85546875" style="107" bestFit="1" customWidth="1"/>
    <col min="193" max="193" width="19" style="107" bestFit="1" customWidth="1"/>
    <col min="194" max="194" width="17.85546875" style="107" bestFit="1" customWidth="1"/>
    <col min="195" max="195" width="16.7109375" style="107" bestFit="1" customWidth="1"/>
    <col min="196" max="196" width="19" style="107" bestFit="1" customWidth="1"/>
    <col min="197" max="197" width="17.85546875" style="107" bestFit="1" customWidth="1"/>
    <col min="198" max="198" width="19" style="107" bestFit="1" customWidth="1"/>
    <col min="199" max="199" width="17.85546875" style="107" bestFit="1" customWidth="1"/>
    <col min="200" max="201" width="16.7109375" style="107" bestFit="1" customWidth="1"/>
    <col min="202" max="203" width="17.85546875" style="107" bestFit="1" customWidth="1"/>
    <col min="204" max="204" width="16.7109375" style="107" bestFit="1" customWidth="1"/>
    <col min="205" max="205" width="10.28515625" style="107"/>
    <col min="206" max="206" width="10.42578125" style="107" bestFit="1" customWidth="1"/>
    <col min="207" max="207" width="10.28515625" style="107"/>
    <col min="208" max="208" width="7.140625" style="107" customWidth="1"/>
    <col min="209" max="210" width="17.85546875" style="107" bestFit="1" customWidth="1"/>
    <col min="211" max="214" width="14.42578125" style="107" bestFit="1" customWidth="1"/>
    <col min="215" max="16384" width="10.28515625" style="107"/>
  </cols>
  <sheetData>
    <row r="1" spans="1:214" ht="40" customHeight="1" thickBot="1">
      <c r="A1" s="125" t="s">
        <v>125</v>
      </c>
      <c r="B1" s="125" t="s">
        <v>335</v>
      </c>
      <c r="C1" s="125" t="s">
        <v>336</v>
      </c>
      <c r="D1" s="125" t="s">
        <v>337</v>
      </c>
      <c r="E1" s="125" t="s">
        <v>338</v>
      </c>
      <c r="F1" s="125" t="s">
        <v>339</v>
      </c>
      <c r="G1" s="125" t="s">
        <v>340</v>
      </c>
      <c r="H1" s="125" t="s">
        <v>341</v>
      </c>
      <c r="I1" s="125" t="s">
        <v>342</v>
      </c>
      <c r="J1" s="125" t="s">
        <v>343</v>
      </c>
      <c r="K1" s="125" t="s">
        <v>344</v>
      </c>
      <c r="L1" s="125" t="s">
        <v>345</v>
      </c>
      <c r="M1" s="125" t="s">
        <v>346</v>
      </c>
      <c r="N1" s="125" t="s">
        <v>347</v>
      </c>
      <c r="O1" s="125" t="s">
        <v>348</v>
      </c>
      <c r="P1" s="125" t="s">
        <v>349</v>
      </c>
      <c r="Q1" s="125" t="s">
        <v>350</v>
      </c>
      <c r="R1" s="125" t="s">
        <v>351</v>
      </c>
      <c r="S1" s="125" t="s">
        <v>352</v>
      </c>
      <c r="T1" s="125" t="s">
        <v>353</v>
      </c>
      <c r="U1" s="125" t="s">
        <v>354</v>
      </c>
      <c r="V1" s="125" t="s">
        <v>355</v>
      </c>
      <c r="W1" s="125" t="s">
        <v>356</v>
      </c>
      <c r="X1" s="125" t="s">
        <v>357</v>
      </c>
      <c r="Y1" s="125" t="s">
        <v>358</v>
      </c>
      <c r="Z1" s="125" t="s">
        <v>359</v>
      </c>
      <c r="AA1" s="125" t="s">
        <v>360</v>
      </c>
      <c r="AB1" s="125" t="s">
        <v>361</v>
      </c>
      <c r="AC1" s="125" t="s">
        <v>362</v>
      </c>
      <c r="AD1" s="125" t="s">
        <v>363</v>
      </c>
      <c r="AE1" s="125" t="s">
        <v>364</v>
      </c>
      <c r="AF1" s="125" t="s">
        <v>365</v>
      </c>
      <c r="AG1" s="125" t="s">
        <v>366</v>
      </c>
      <c r="AH1" s="125" t="s">
        <v>367</v>
      </c>
      <c r="AI1" s="125" t="s">
        <v>368</v>
      </c>
      <c r="AJ1" s="125" t="s">
        <v>369</v>
      </c>
      <c r="AK1" s="125" t="s">
        <v>370</v>
      </c>
      <c r="AL1" s="125" t="s">
        <v>371</v>
      </c>
      <c r="AM1" s="125" t="s">
        <v>372</v>
      </c>
      <c r="AN1" s="125" t="s">
        <v>373</v>
      </c>
      <c r="AO1" s="125" t="s">
        <v>374</v>
      </c>
      <c r="AP1" s="125" t="s">
        <v>375</v>
      </c>
      <c r="AQ1" s="125" t="s">
        <v>376</v>
      </c>
      <c r="AR1" s="125" t="s">
        <v>377</v>
      </c>
      <c r="AS1" s="125" t="s">
        <v>378</v>
      </c>
      <c r="AT1" s="125" t="s">
        <v>379</v>
      </c>
      <c r="AU1" s="125" t="s">
        <v>380</v>
      </c>
      <c r="AV1" s="125" t="s">
        <v>381</v>
      </c>
      <c r="AW1" s="125" t="s">
        <v>382</v>
      </c>
      <c r="AX1" s="125" t="s">
        <v>383</v>
      </c>
      <c r="AY1" s="125" t="s">
        <v>384</v>
      </c>
      <c r="AZ1" s="125" t="s">
        <v>385</v>
      </c>
      <c r="BA1" s="125" t="s">
        <v>386</v>
      </c>
      <c r="BB1" s="125" t="s">
        <v>387</v>
      </c>
      <c r="BC1" s="125" t="s">
        <v>388</v>
      </c>
      <c r="BD1" s="125" t="s">
        <v>389</v>
      </c>
      <c r="BE1" s="125" t="s">
        <v>390</v>
      </c>
      <c r="BF1" s="125" t="s">
        <v>391</v>
      </c>
      <c r="BG1" s="125" t="s">
        <v>392</v>
      </c>
      <c r="BH1" s="125" t="s">
        <v>393</v>
      </c>
      <c r="BI1" s="125" t="s">
        <v>394</v>
      </c>
      <c r="BJ1" s="125" t="s">
        <v>395</v>
      </c>
      <c r="BK1" s="125" t="s">
        <v>396</v>
      </c>
      <c r="BL1" s="125" t="s">
        <v>397</v>
      </c>
      <c r="BM1" s="125" t="s">
        <v>398</v>
      </c>
      <c r="BN1" s="125" t="s">
        <v>399</v>
      </c>
      <c r="BO1" s="125" t="s">
        <v>400</v>
      </c>
      <c r="BP1" s="125" t="s">
        <v>401</v>
      </c>
      <c r="BQ1" s="125" t="s">
        <v>402</v>
      </c>
      <c r="BR1" s="125" t="s">
        <v>403</v>
      </c>
      <c r="BS1" s="125" t="s">
        <v>404</v>
      </c>
      <c r="BT1" s="125" t="s">
        <v>405</v>
      </c>
      <c r="BU1" s="125" t="s">
        <v>406</v>
      </c>
      <c r="BV1" s="125" t="s">
        <v>407</v>
      </c>
      <c r="BW1" s="125" t="s">
        <v>408</v>
      </c>
      <c r="BX1" s="125" t="s">
        <v>409</v>
      </c>
      <c r="BY1" s="125" t="s">
        <v>410</v>
      </c>
      <c r="BZ1" s="125" t="s">
        <v>411</v>
      </c>
      <c r="CA1" s="125" t="s">
        <v>412</v>
      </c>
      <c r="CB1" s="125" t="s">
        <v>413</v>
      </c>
      <c r="CC1" s="125" t="s">
        <v>414</v>
      </c>
      <c r="CD1" s="125" t="s">
        <v>415</v>
      </c>
      <c r="CE1" s="125" t="s">
        <v>416</v>
      </c>
      <c r="CF1" s="125" t="s">
        <v>417</v>
      </c>
      <c r="CG1" s="125" t="s">
        <v>418</v>
      </c>
      <c r="CH1" s="125" t="s">
        <v>419</v>
      </c>
      <c r="CI1" s="125" t="s">
        <v>420</v>
      </c>
      <c r="CJ1" s="125" t="s">
        <v>421</v>
      </c>
      <c r="CK1" s="125" t="s">
        <v>422</v>
      </c>
      <c r="CL1" s="125" t="s">
        <v>423</v>
      </c>
      <c r="CM1" s="125" t="s">
        <v>424</v>
      </c>
      <c r="CN1" s="125" t="s">
        <v>425</v>
      </c>
      <c r="CO1" s="125" t="s">
        <v>426</v>
      </c>
      <c r="CP1" s="125" t="s">
        <v>427</v>
      </c>
      <c r="CQ1" s="125" t="s">
        <v>428</v>
      </c>
      <c r="CR1" s="125" t="s">
        <v>429</v>
      </c>
      <c r="CS1" s="125" t="s">
        <v>430</v>
      </c>
      <c r="CT1" s="125" t="s">
        <v>431</v>
      </c>
      <c r="CU1" s="125" t="s">
        <v>432</v>
      </c>
      <c r="CV1" s="125" t="s">
        <v>433</v>
      </c>
      <c r="CW1" s="125" t="s">
        <v>434</v>
      </c>
      <c r="CY1" s="133" t="s">
        <v>125</v>
      </c>
      <c r="CZ1" s="134" t="s">
        <v>439</v>
      </c>
      <c r="DA1" s="132">
        <f>Dashboard!$C$5</f>
        <v>870000</v>
      </c>
      <c r="DB1" s="132">
        <f>Dashboard!$C$5</f>
        <v>870000</v>
      </c>
      <c r="DC1" s="132">
        <f>Dashboard!$C$5</f>
        <v>870000</v>
      </c>
      <c r="DD1" s="132">
        <f>Dashboard!$C$5</f>
        <v>870000</v>
      </c>
      <c r="DE1" s="132">
        <f>Dashboard!$C$5</f>
        <v>870000</v>
      </c>
      <c r="DF1" s="132">
        <f>Dashboard!$C$5</f>
        <v>870000</v>
      </c>
      <c r="DG1" s="132">
        <f>Dashboard!$C$5</f>
        <v>870000</v>
      </c>
      <c r="DH1" s="132">
        <f>Dashboard!$C$5</f>
        <v>870000</v>
      </c>
      <c r="DI1" s="132">
        <f>Dashboard!$C$5</f>
        <v>870000</v>
      </c>
      <c r="DJ1" s="132">
        <f>Dashboard!$C$5</f>
        <v>870000</v>
      </c>
      <c r="DK1" s="132">
        <f>Dashboard!$C$5</f>
        <v>870000</v>
      </c>
      <c r="DL1" s="132">
        <f>Dashboard!$C$5</f>
        <v>870000</v>
      </c>
      <c r="DM1" s="132">
        <f>Dashboard!$C$5</f>
        <v>870000</v>
      </c>
      <c r="DN1" s="132">
        <f>Dashboard!$C$5</f>
        <v>870000</v>
      </c>
      <c r="DO1" s="132">
        <f>Dashboard!$C$5</f>
        <v>870000</v>
      </c>
      <c r="DP1" s="132">
        <f>Dashboard!$C$5</f>
        <v>870000</v>
      </c>
      <c r="DQ1" s="132">
        <f>Dashboard!$C$5</f>
        <v>870000</v>
      </c>
      <c r="DR1" s="132">
        <f>Dashboard!$C$5</f>
        <v>870000</v>
      </c>
      <c r="DS1" s="132">
        <f>Dashboard!$C$5</f>
        <v>870000</v>
      </c>
      <c r="DT1" s="132">
        <f>Dashboard!$C$5</f>
        <v>870000</v>
      </c>
      <c r="DU1" s="132">
        <f>Dashboard!$C$5</f>
        <v>870000</v>
      </c>
      <c r="DV1" s="132">
        <f>Dashboard!$C$5</f>
        <v>870000</v>
      </c>
      <c r="DW1" s="132">
        <f>Dashboard!$C$5</f>
        <v>870000</v>
      </c>
      <c r="DX1" s="132">
        <f>Dashboard!$C$5</f>
        <v>870000</v>
      </c>
      <c r="DY1" s="132">
        <f>Dashboard!$C$5</f>
        <v>870000</v>
      </c>
      <c r="DZ1" s="132">
        <f>Dashboard!$C$5</f>
        <v>870000</v>
      </c>
      <c r="EA1" s="132">
        <f>Dashboard!$C$5</f>
        <v>870000</v>
      </c>
      <c r="EB1" s="132">
        <f>Dashboard!$C$5</f>
        <v>870000</v>
      </c>
      <c r="EC1" s="132">
        <f>Dashboard!$C$5</f>
        <v>870000</v>
      </c>
      <c r="ED1" s="132">
        <f>Dashboard!$C$5</f>
        <v>870000</v>
      </c>
      <c r="EE1" s="132">
        <f>Dashboard!$C$5</f>
        <v>870000</v>
      </c>
      <c r="EF1" s="132">
        <f>Dashboard!$C$5</f>
        <v>870000</v>
      </c>
      <c r="EG1" s="132">
        <f>Dashboard!$C$5</f>
        <v>870000</v>
      </c>
      <c r="EH1" s="132">
        <f>Dashboard!$C$5</f>
        <v>870000</v>
      </c>
      <c r="EI1" s="132">
        <f>Dashboard!$C$5</f>
        <v>870000</v>
      </c>
      <c r="EJ1" s="132">
        <f>Dashboard!$C$5</f>
        <v>870000</v>
      </c>
      <c r="EK1" s="132">
        <f>Dashboard!$C$5</f>
        <v>870000</v>
      </c>
      <c r="EL1" s="132">
        <f>Dashboard!$C$5</f>
        <v>870000</v>
      </c>
      <c r="EM1" s="132">
        <f>Dashboard!$C$5</f>
        <v>870000</v>
      </c>
      <c r="EN1" s="132">
        <f>Dashboard!$C$5</f>
        <v>870000</v>
      </c>
      <c r="EO1" s="132">
        <f>Dashboard!$C$5</f>
        <v>870000</v>
      </c>
      <c r="EP1" s="132">
        <f>Dashboard!$C$5</f>
        <v>870000</v>
      </c>
      <c r="EQ1" s="132">
        <f>Dashboard!$C$5</f>
        <v>870000</v>
      </c>
      <c r="ER1" s="132">
        <f>Dashboard!$C$5</f>
        <v>870000</v>
      </c>
      <c r="ES1" s="132">
        <f>Dashboard!$C$5</f>
        <v>870000</v>
      </c>
      <c r="ET1" s="132">
        <f>Dashboard!$C$5</f>
        <v>870000</v>
      </c>
      <c r="EU1" s="132">
        <f>Dashboard!$C$5</f>
        <v>870000</v>
      </c>
      <c r="EV1" s="132">
        <f>Dashboard!$C$5</f>
        <v>870000</v>
      </c>
      <c r="EW1" s="132">
        <f>Dashboard!$C$5</f>
        <v>870000</v>
      </c>
      <c r="EX1" s="132">
        <f>Dashboard!$C$5</f>
        <v>870000</v>
      </c>
      <c r="EY1" s="132">
        <f>Dashboard!$C$5</f>
        <v>870000</v>
      </c>
      <c r="EZ1" s="132">
        <f>Dashboard!$C$5</f>
        <v>870000</v>
      </c>
      <c r="FA1" s="132">
        <f>Dashboard!$C$5</f>
        <v>870000</v>
      </c>
      <c r="FB1" s="132">
        <f>Dashboard!$C$5</f>
        <v>870000</v>
      </c>
      <c r="FC1" s="132">
        <f>Dashboard!$C$5</f>
        <v>870000</v>
      </c>
      <c r="FD1" s="132">
        <f>Dashboard!$C$5</f>
        <v>870000</v>
      </c>
      <c r="FE1" s="132">
        <f>Dashboard!$C$5</f>
        <v>870000</v>
      </c>
      <c r="FF1" s="132">
        <f>Dashboard!$C$5</f>
        <v>870000</v>
      </c>
      <c r="FG1" s="132">
        <f>Dashboard!$C$5</f>
        <v>870000</v>
      </c>
      <c r="FH1" s="132">
        <f>Dashboard!$C$5</f>
        <v>870000</v>
      </c>
      <c r="FI1" s="132">
        <f>Dashboard!$C$5</f>
        <v>870000</v>
      </c>
      <c r="FJ1" s="132">
        <f>Dashboard!$C$5</f>
        <v>870000</v>
      </c>
      <c r="FK1" s="132">
        <f>Dashboard!$C$5</f>
        <v>870000</v>
      </c>
      <c r="FL1" s="132">
        <f>Dashboard!$C$5</f>
        <v>870000</v>
      </c>
      <c r="FM1" s="132">
        <f>Dashboard!$C$5</f>
        <v>870000</v>
      </c>
      <c r="FN1" s="132">
        <f>Dashboard!$C$5</f>
        <v>870000</v>
      </c>
      <c r="FO1" s="132">
        <f>Dashboard!$C$5</f>
        <v>870000</v>
      </c>
      <c r="FP1" s="132">
        <f>Dashboard!$C$5</f>
        <v>870000</v>
      </c>
      <c r="FQ1" s="132">
        <f>Dashboard!$C$5</f>
        <v>870000</v>
      </c>
      <c r="FR1" s="132">
        <f>Dashboard!$C$5</f>
        <v>870000</v>
      </c>
      <c r="FS1" s="132">
        <f>Dashboard!$C$5</f>
        <v>870000</v>
      </c>
      <c r="FT1" s="132">
        <f>Dashboard!$C$5</f>
        <v>870000</v>
      </c>
      <c r="FU1" s="132">
        <f>Dashboard!$C$5</f>
        <v>870000</v>
      </c>
      <c r="FV1" s="132">
        <f>Dashboard!$C$5</f>
        <v>870000</v>
      </c>
      <c r="FW1" s="132">
        <f>Dashboard!$C$5</f>
        <v>870000</v>
      </c>
      <c r="FX1" s="132">
        <f>Dashboard!$C$5</f>
        <v>870000</v>
      </c>
      <c r="FY1" s="132">
        <f>Dashboard!$C$5</f>
        <v>870000</v>
      </c>
      <c r="FZ1" s="132">
        <f>Dashboard!$C$5</f>
        <v>870000</v>
      </c>
      <c r="GA1" s="132">
        <f>Dashboard!$C$5</f>
        <v>870000</v>
      </c>
      <c r="GB1" s="132">
        <f>Dashboard!$C$5</f>
        <v>870000</v>
      </c>
      <c r="GC1" s="132">
        <f>Dashboard!$C$5</f>
        <v>870000</v>
      </c>
      <c r="GD1" s="132">
        <f>Dashboard!$C$5</f>
        <v>870000</v>
      </c>
      <c r="GE1" s="132">
        <f>Dashboard!$C$5</f>
        <v>870000</v>
      </c>
      <c r="GF1" s="132">
        <f>Dashboard!$C$5</f>
        <v>870000</v>
      </c>
      <c r="GG1" s="132">
        <f>Dashboard!$C$5</f>
        <v>870000</v>
      </c>
      <c r="GH1" s="132">
        <f>Dashboard!$C$5</f>
        <v>870000</v>
      </c>
      <c r="GI1" s="132">
        <f>Dashboard!$C$5</f>
        <v>870000</v>
      </c>
      <c r="GJ1" s="132">
        <f>Dashboard!$C$5</f>
        <v>870000</v>
      </c>
      <c r="GK1" s="132">
        <f>Dashboard!$C$5</f>
        <v>870000</v>
      </c>
      <c r="GL1" s="132">
        <f>Dashboard!$C$5</f>
        <v>870000</v>
      </c>
      <c r="GM1" s="132">
        <f>Dashboard!$C$5</f>
        <v>870000</v>
      </c>
      <c r="GN1" s="132">
        <f>Dashboard!$C$5</f>
        <v>870000</v>
      </c>
      <c r="GO1" s="132">
        <f>Dashboard!$C$5</f>
        <v>870000</v>
      </c>
      <c r="GP1" s="132">
        <f>Dashboard!$C$5</f>
        <v>870000</v>
      </c>
      <c r="GQ1" s="132">
        <f>Dashboard!$C$5</f>
        <v>870000</v>
      </c>
      <c r="GR1" s="132">
        <f>Dashboard!$C$5</f>
        <v>870000</v>
      </c>
      <c r="GS1" s="132">
        <f>Dashboard!$C$5</f>
        <v>870000</v>
      </c>
      <c r="GT1" s="132">
        <f>Dashboard!$C$5</f>
        <v>870000</v>
      </c>
      <c r="GU1" s="132">
        <f>Dashboard!$C$5</f>
        <v>870000</v>
      </c>
      <c r="GV1" s="132">
        <f>Dashboard!$C$5</f>
        <v>870000</v>
      </c>
      <c r="GW1" s="116" t="s">
        <v>125</v>
      </c>
      <c r="GX1" s="133" t="s">
        <v>442</v>
      </c>
      <c r="HC1" s="135" t="s">
        <v>125</v>
      </c>
      <c r="HD1" s="135">
        <v>0.25</v>
      </c>
      <c r="HE1" s="135">
        <v>0.5</v>
      </c>
      <c r="HF1" s="135">
        <v>0.75</v>
      </c>
    </row>
    <row r="2" spans="1:214" ht="16">
      <c r="A2" s="145">
        <f>Dashboard!C3</f>
        <v>51</v>
      </c>
      <c r="B2" s="121">
        <f ca="1">(Dashboard!$C$7*'Equity and Bond Returns'!N2)+(Dashboard!$C$8*'Equity and Bond Returns'!DL2)</f>
        <v>1.3736338214617817E-2</v>
      </c>
      <c r="C2" s="121">
        <f ca="1">(Dashboard!$C$7*'Equity and Bond Returns'!O2)+(Dashboard!$C$8*'Equity and Bond Returns'!DM2)</f>
        <v>-2.3793102115836559E-2</v>
      </c>
      <c r="D2" s="121">
        <f ca="1">(Dashboard!$C$7*'Equity and Bond Returns'!P2)+(Dashboard!$C$8*'Equity and Bond Returns'!DN2)</f>
        <v>0.17714667696195452</v>
      </c>
      <c r="E2" s="121">
        <f ca="1">(Dashboard!$C$7*'Equity and Bond Returns'!Q2)+(Dashboard!$C$8*'Equity and Bond Returns'!DO2)</f>
        <v>4.1509274464022802E-3</v>
      </c>
      <c r="F2" s="121">
        <f ca="1">(Dashboard!$C$7*'Equity and Bond Returns'!R2)+(Dashboard!$C$8*'Equity and Bond Returns'!DP2)</f>
        <v>-6.4268658418484129E-2</v>
      </c>
      <c r="G2" s="121">
        <f ca="1">(Dashboard!$C$7*'Equity and Bond Returns'!S2)+(Dashboard!$C$8*'Equity and Bond Returns'!DQ2)</f>
        <v>0.16298031630196183</v>
      </c>
      <c r="H2" s="121">
        <f ca="1">(Dashboard!$C$7*'Equity and Bond Returns'!T2)+(Dashboard!$C$8*'Equity and Bond Returns'!DR2)</f>
        <v>0.10040032907429737</v>
      </c>
      <c r="I2" s="121">
        <f ca="1">(Dashboard!$C$7*'Equity and Bond Returns'!U2)+(Dashboard!$C$8*'Equity and Bond Returns'!DS2)</f>
        <v>-0.19748496371330213</v>
      </c>
      <c r="J2" s="121">
        <f ca="1">(Dashboard!$C$7*'Equity and Bond Returns'!V2)+(Dashboard!$C$8*'Equity and Bond Returns'!DT2)</f>
        <v>-8.2646165534142231E-4</v>
      </c>
      <c r="K2" s="121">
        <f ca="1">(Dashboard!$C$7*'Equity and Bond Returns'!W2)+(Dashboard!$C$8*'Equity and Bond Returns'!DU2)</f>
        <v>0.16747845151241555</v>
      </c>
      <c r="L2" s="121">
        <f ca="1">(Dashboard!$C$7*'Equity and Bond Returns'!X2)+(Dashboard!$C$8*'Equity and Bond Returns'!DV2)</f>
        <v>0.40780893901872561</v>
      </c>
      <c r="M2" s="121">
        <f ca="1">(Dashboard!$C$7*'Equity and Bond Returns'!Y2)+(Dashboard!$C$8*'Equity and Bond Returns'!DW2)</f>
        <v>-0.31703031787227159</v>
      </c>
      <c r="N2" s="121">
        <f ca="1">(Dashboard!$C$7*'Equity and Bond Returns'!Z2)+(Dashboard!$C$8*'Equity and Bond Returns'!DX2)</f>
        <v>-2.6966058252826941E-2</v>
      </c>
      <c r="O2" s="121">
        <f ca="1">(Dashboard!$C$7*'Equity and Bond Returns'!AA2)+(Dashboard!$C$8*'Equity and Bond Returns'!DY2)</f>
        <v>-0.31264345975432384</v>
      </c>
      <c r="P2" s="121">
        <f ca="1">(Dashboard!$C$7*'Equity and Bond Returns'!AB2)+(Dashboard!$C$8*'Equity and Bond Returns'!DZ2)</f>
        <v>-2.3726854638010164E-2</v>
      </c>
      <c r="Q2" s="121">
        <f ca="1">(Dashboard!$C$7*'Equity and Bond Returns'!AC2)+(Dashboard!$C$8*'Equity and Bond Returns'!EA2)</f>
        <v>0.33982854356666092</v>
      </c>
      <c r="R2" s="121">
        <f ca="1">(Dashboard!$C$7*'Equity and Bond Returns'!AD2)+(Dashboard!$C$8*'Equity and Bond Returns'!EB2)</f>
        <v>0.23625405519176973</v>
      </c>
      <c r="S2" s="121">
        <f ca="1">(Dashboard!$C$7*'Equity and Bond Returns'!AE2)+(Dashboard!$C$8*'Equity and Bond Returns'!EC2)</f>
        <v>0.15313728697138676</v>
      </c>
      <c r="T2" s="121">
        <f ca="1">(Dashboard!$C$7*'Equity and Bond Returns'!AF2)+(Dashboard!$C$8*'Equity and Bond Returns'!ED2)</f>
        <v>2.6124884210827502E-2</v>
      </c>
      <c r="U2" s="121">
        <f ca="1">(Dashboard!$C$7*'Equity and Bond Returns'!AG2)+(Dashboard!$C$8*'Equity and Bond Returns'!EE2)</f>
        <v>0.15231956561301299</v>
      </c>
      <c r="V2" s="121">
        <f ca="1">(Dashboard!$C$7*'Equity and Bond Returns'!AH2)+(Dashboard!$C$8*'Equity and Bond Returns'!EF2)</f>
        <v>0.18761277867431994</v>
      </c>
      <c r="W2" s="121">
        <f ca="1">(Dashboard!$C$7*'Equity and Bond Returns'!AI2)+(Dashboard!$C$8*'Equity and Bond Returns'!EG2)</f>
        <v>-4.4141101365559057E-2</v>
      </c>
      <c r="X2" s="121">
        <f ca="1">(Dashboard!$C$7*'Equity and Bond Returns'!AJ2)+(Dashboard!$C$8*'Equity and Bond Returns'!EH2)</f>
        <v>-5.240152697747405E-2</v>
      </c>
      <c r="Y2" s="121">
        <f ca="1">(Dashboard!$C$7*'Equity and Bond Returns'!AK2)+(Dashboard!$C$8*'Equity and Bond Returns'!EI2)</f>
        <v>0.15243101664328196</v>
      </c>
      <c r="Z2" s="121">
        <f ca="1">(Dashboard!$C$7*'Equity and Bond Returns'!AL2)+(Dashboard!$C$8*'Equity and Bond Returns'!EJ2)</f>
        <v>2.983025153544426E-2</v>
      </c>
      <c r="AA2" s="121">
        <f ca="1">(Dashboard!$C$7*'Equity and Bond Returns'!AM2)+(Dashboard!$C$8*'Equity and Bond Returns'!EK2)</f>
        <v>-0.24446022573467319</v>
      </c>
      <c r="AB2" s="121">
        <f ca="1">(Dashboard!$C$7*'Equity and Bond Returns'!AN2)+(Dashboard!$C$8*'Equity and Bond Returns'!EL2)</f>
        <v>0.13764995943215708</v>
      </c>
      <c r="AC2" s="121">
        <f ca="1">(Dashboard!$C$7*'Equity and Bond Returns'!AO2)+(Dashboard!$C$8*'Equity and Bond Returns'!EM2)</f>
        <v>0.10273873703673145</v>
      </c>
      <c r="AD2" s="121">
        <f ca="1">(Dashboard!$C$7*'Equity and Bond Returns'!AP2)+(Dashboard!$C$8*'Equity and Bond Returns'!EN2)</f>
        <v>0.19192558224018202</v>
      </c>
      <c r="AE2" s="121">
        <f ca="1">(Dashboard!$C$7*'Equity and Bond Returns'!AQ2)+(Dashboard!$C$8*'Equity and Bond Returns'!EO2)</f>
        <v>0.17419002550850304</v>
      </c>
      <c r="AF2" s="121">
        <f ca="1">(Dashboard!$C$7*'Equity and Bond Returns'!AR2)+(Dashboard!$C$8*'Equity and Bond Returns'!EP2)</f>
        <v>-2.0410083635234576E-2</v>
      </c>
      <c r="AG2" s="121">
        <f ca="1">(Dashboard!$C$7*'Equity and Bond Returns'!AS2)+(Dashboard!$C$8*'Equity and Bond Returns'!EQ2)</f>
        <v>0.11371223052687011</v>
      </c>
      <c r="AH2" s="121">
        <f ca="1">(Dashboard!$C$7*'Equity and Bond Returns'!AT2)+(Dashboard!$C$8*'Equity and Bond Returns'!ER2)</f>
        <v>9.9510762616688009E-3</v>
      </c>
      <c r="AI2" s="121">
        <f ca="1">(Dashboard!$C$7*'Equity and Bond Returns'!AU2)+(Dashboard!$C$8*'Equity and Bond Returns'!ES2)</f>
        <v>0.19542393928727139</v>
      </c>
      <c r="AJ2" s="121">
        <f ca="1">(Dashboard!$C$7*'Equity and Bond Returns'!AV2)+(Dashboard!$C$8*'Equity and Bond Returns'!ET2)</f>
        <v>-1.2185496072548247E-2</v>
      </c>
      <c r="AK2" s="121">
        <f ca="1">(Dashboard!$C$7*'Equity and Bond Returns'!AW2)+(Dashboard!$C$8*'Equity and Bond Returns'!EU2)</f>
        <v>7.1880739961595358E-2</v>
      </c>
      <c r="AL2" s="121">
        <f ca="1">(Dashboard!$C$7*'Equity and Bond Returns'!AX2)+(Dashboard!$C$8*'Equity and Bond Returns'!EV2)</f>
        <v>-8.2736149123705971E-2</v>
      </c>
      <c r="AM2" s="121">
        <f ca="1">(Dashboard!$C$7*'Equity and Bond Returns'!AY2)+(Dashboard!$C$8*'Equity and Bond Returns'!EW2)</f>
        <v>7.1679341008197561E-2</v>
      </c>
      <c r="AN2" s="121">
        <f ca="1">(Dashboard!$C$7*'Equity and Bond Returns'!AZ2)+(Dashboard!$C$8*'Equity and Bond Returns'!EX2)</f>
        <v>-5.6178380788461553E-2</v>
      </c>
      <c r="AO2" s="121">
        <f ca="1">(Dashboard!$C$7*'Equity and Bond Returns'!BA2)+(Dashboard!$C$8*'Equity and Bond Returns'!EY2)</f>
        <v>-0.17431980229412977</v>
      </c>
      <c r="AP2" s="121">
        <f ca="1">(Dashboard!$C$7*'Equity and Bond Returns'!BB2)+(Dashboard!$C$8*'Equity and Bond Returns'!EZ2)</f>
        <v>-3.298992203039907E-2</v>
      </c>
      <c r="AQ2" s="121">
        <f ca="1">(Dashboard!$C$7*'Equity and Bond Returns'!BC2)+(Dashboard!$C$8*'Equity and Bond Returns'!FA2)</f>
        <v>-7.0931189509161052E-3</v>
      </c>
      <c r="AR2" s="121">
        <f ca="1">(Dashboard!$C$7*'Equity and Bond Returns'!BD2)+(Dashboard!$C$8*'Equity and Bond Returns'!FB2)</f>
        <v>3.7131562023487961E-2</v>
      </c>
      <c r="AS2" s="121">
        <f ca="1">(Dashboard!$C$7*'Equity and Bond Returns'!BE2)+(Dashboard!$C$8*'Equity and Bond Returns'!FC2)</f>
        <v>0.30598099133961448</v>
      </c>
      <c r="AT2" s="121">
        <f ca="1">(Dashboard!$C$7*'Equity and Bond Returns'!BF2)+(Dashboard!$C$8*'Equity and Bond Returns'!FD2)</f>
        <v>-0.10734334317573742</v>
      </c>
      <c r="AU2" s="121">
        <f ca="1">(Dashboard!$C$7*'Equity and Bond Returns'!BG2)+(Dashboard!$C$8*'Equity and Bond Returns'!FE2)</f>
        <v>-0.11367836063008525</v>
      </c>
      <c r="AV2" s="121">
        <f ca="1">(Dashboard!$C$7*'Equity and Bond Returns'!BH2)+(Dashboard!$C$8*'Equity and Bond Returns'!FF2)</f>
        <v>4.9573585205657064E-2</v>
      </c>
      <c r="AW2" s="121">
        <f ca="1">(Dashboard!$C$7*'Equity and Bond Returns'!BI2)+(Dashboard!$C$8*'Equity and Bond Returns'!FG2)</f>
        <v>-0.105177417831472</v>
      </c>
      <c r="AX2" s="121">
        <f ca="1">(Dashboard!$C$7*'Equity and Bond Returns'!BJ2)+(Dashboard!$C$8*'Equity and Bond Returns'!FH2)</f>
        <v>-0.10836129397943269</v>
      </c>
      <c r="AY2" s="121">
        <f ca="1">(Dashboard!$C$7*'Equity and Bond Returns'!BK2)+(Dashboard!$C$8*'Equity and Bond Returns'!FI2)</f>
        <v>0.12415808704471205</v>
      </c>
      <c r="AZ2" s="121">
        <f ca="1">(Dashboard!$C$7*'Equity and Bond Returns'!BL2)+(Dashboard!$C$8*'Equity and Bond Returns'!FJ2)</f>
        <v>-9.9464382379345156E-2</v>
      </c>
      <c r="BA2" s="121">
        <f ca="1">(Dashboard!$C$7*'Equity and Bond Returns'!BM2)+(Dashboard!$C$8*'Equity and Bond Returns'!FK2)</f>
        <v>0.1256001052849619</v>
      </c>
      <c r="BB2" s="121">
        <f ca="1">(Dashboard!$C$7*'Equity and Bond Returns'!BN2)+(Dashboard!$C$8*'Equity and Bond Returns'!FL2)</f>
        <v>8.8971025115529762E-2</v>
      </c>
      <c r="BC2" s="121">
        <f ca="1">(Dashboard!$C$7*'Equity and Bond Returns'!BO2)+(Dashboard!$C$8*'Equity and Bond Returns'!FM2)</f>
        <v>-0.14433772691380983</v>
      </c>
      <c r="BD2" s="121">
        <f ca="1">(Dashboard!$C$7*'Equity and Bond Returns'!BP2)+(Dashboard!$C$8*'Equity and Bond Returns'!FN2)</f>
        <v>6.7979901126521969E-2</v>
      </c>
      <c r="BE2" s="121">
        <f ca="1">(Dashboard!$C$7*'Equity and Bond Returns'!BQ2)+(Dashboard!$C$8*'Equity and Bond Returns'!FO2)</f>
        <v>0.1339869175523048</v>
      </c>
      <c r="BF2" s="121">
        <f ca="1">(Dashboard!$C$7*'Equity and Bond Returns'!BR2)+(Dashboard!$C$8*'Equity and Bond Returns'!FP2)</f>
        <v>0.32161431310141436</v>
      </c>
      <c r="BG2" s="121">
        <f ca="1">(Dashboard!$C$7*'Equity and Bond Returns'!BS2)+(Dashboard!$C$8*'Equity and Bond Returns'!FQ2)</f>
        <v>0.42431040781744989</v>
      </c>
      <c r="BH2" s="121">
        <f ca="1">(Dashboard!$C$7*'Equity and Bond Returns'!BT2)+(Dashboard!$C$8*'Equity and Bond Returns'!FR2)</f>
        <v>0.33712872118911436</v>
      </c>
      <c r="BI2" s="121">
        <f ca="1">(Dashboard!$C$7*'Equity and Bond Returns'!BU2)+(Dashboard!$C$8*'Equity and Bond Returns'!FS2)</f>
        <v>-0.14985312173776644</v>
      </c>
      <c r="BJ2" s="121">
        <f ca="1">(Dashboard!$C$7*'Equity and Bond Returns'!BV2)+(Dashboard!$C$8*'Equity and Bond Returns'!FT2)</f>
        <v>0.13952383857520234</v>
      </c>
      <c r="BK2" s="121">
        <f ca="1">(Dashboard!$C$7*'Equity and Bond Returns'!BW2)+(Dashboard!$C$8*'Equity and Bond Returns'!FU2)</f>
        <v>-6.662860313683483E-2</v>
      </c>
      <c r="BL2" s="121">
        <f ca="1">(Dashboard!$C$7*'Equity and Bond Returns'!BX2)+(Dashboard!$C$8*'Equity and Bond Returns'!FV2)</f>
        <v>8.3241939224871581E-2</v>
      </c>
      <c r="BM2" s="121">
        <f ca="1">(Dashboard!$C$7*'Equity and Bond Returns'!BY2)+(Dashboard!$C$8*'Equity and Bond Returns'!FW2)</f>
        <v>0.16425860535354891</v>
      </c>
      <c r="BN2" s="121">
        <f ca="1">(Dashboard!$C$7*'Equity and Bond Returns'!BZ2)+(Dashboard!$C$8*'Equity and Bond Returns'!FX2)</f>
        <v>9.2763184921152916E-2</v>
      </c>
      <c r="BO2" s="121">
        <f ca="1">(Dashboard!$C$7*'Equity and Bond Returns'!CA2)+(Dashboard!$C$8*'Equity and Bond Returns'!FY2)</f>
        <v>0.19464047327781198</v>
      </c>
      <c r="BP2" s="121">
        <f ca="1">(Dashboard!$C$7*'Equity and Bond Returns'!CB2)+(Dashboard!$C$8*'Equity and Bond Returns'!FZ2)</f>
        <v>0.26431839015819814</v>
      </c>
      <c r="BQ2" s="121">
        <f ca="1">(Dashboard!$C$7*'Equity and Bond Returns'!CC2)+(Dashboard!$C$8*'Equity and Bond Returns'!GA2)</f>
        <v>0.25777585316437757</v>
      </c>
      <c r="BR2" s="121">
        <f ca="1">(Dashboard!$C$7*'Equity and Bond Returns'!CD2)+(Dashboard!$C$8*'Equity and Bond Returns'!GB2)</f>
        <v>0.1456027421455017</v>
      </c>
      <c r="BS2" s="121">
        <f ca="1">(Dashboard!$C$7*'Equity and Bond Returns'!CE2)+(Dashboard!$C$8*'Equity and Bond Returns'!GC2)</f>
        <v>6.2841380917686498E-2</v>
      </c>
      <c r="BT2" s="121">
        <f ca="1">(Dashboard!$C$7*'Equity and Bond Returns'!CF2)+(Dashboard!$C$8*'Equity and Bond Returns'!GD2)</f>
        <v>0.15566753197139022</v>
      </c>
      <c r="BU2" s="121">
        <f ca="1">(Dashboard!$C$7*'Equity and Bond Returns'!CG2)+(Dashboard!$C$8*'Equity and Bond Returns'!GE2)</f>
        <v>6.5644356601462228E-3</v>
      </c>
      <c r="BV2" s="121">
        <f ca="1">(Dashboard!$C$7*'Equity and Bond Returns'!CH2)+(Dashboard!$C$8*'Equity and Bond Returns'!GF2)</f>
        <v>-4.0922364847704146E-2</v>
      </c>
      <c r="BW2" s="121">
        <f ca="1">(Dashboard!$C$7*'Equity and Bond Returns'!CI2)+(Dashboard!$C$8*'Equity and Bond Returns'!GG2)</f>
        <v>-6.9931643125080989E-2</v>
      </c>
      <c r="BX2" s="121">
        <f ca="1">(Dashboard!$C$7*'Equity and Bond Returns'!CJ2)+(Dashboard!$C$8*'Equity and Bond Returns'!GH2)</f>
        <v>8.5779990793427782E-2</v>
      </c>
      <c r="BY2" s="121">
        <f ca="1">(Dashboard!$C$7*'Equity and Bond Returns'!CK2)+(Dashboard!$C$8*'Equity and Bond Returns'!GI2)</f>
        <v>0.17708486357170194</v>
      </c>
      <c r="BZ2" s="121">
        <f ca="1">(Dashboard!$C$7*'Equity and Bond Returns'!CL2)+(Dashboard!$C$8*'Equity and Bond Returns'!GJ2)</f>
        <v>0.27974307315399605</v>
      </c>
      <c r="CA2" s="121">
        <f ca="1">(Dashboard!$C$7*'Equity and Bond Returns'!CM2)+(Dashboard!$C$8*'Equity and Bond Returns'!GK2)</f>
        <v>-3.0707003511561644E-2</v>
      </c>
      <c r="CB2" s="121">
        <f ca="1">(Dashboard!$C$7*'Equity and Bond Returns'!CN2)+(Dashboard!$C$8*'Equity and Bond Returns'!GL2)</f>
        <v>0.24663708264041426</v>
      </c>
      <c r="CC2" s="121">
        <f ca="1">(Dashboard!$C$7*'Equity and Bond Returns'!CO2)+(Dashboard!$C$8*'Equity and Bond Returns'!GM2)</f>
        <v>-0.12830431780979767</v>
      </c>
      <c r="CD2" s="121">
        <f ca="1">(Dashboard!$C$7*'Equity and Bond Returns'!CP2)+(Dashboard!$C$8*'Equity and Bond Returns'!GN2)</f>
        <v>9.8163014055970527E-2</v>
      </c>
      <c r="CE2" s="121">
        <f ca="1">(Dashboard!$C$7*'Equity and Bond Returns'!CQ2)+(Dashboard!$C$8*'Equity and Bond Returns'!GO2)</f>
        <v>3.5797872882570261E-2</v>
      </c>
      <c r="CF2" s="121">
        <f ca="1">(Dashboard!$C$7*'Equity and Bond Returns'!CR2)+(Dashboard!$C$8*'Equity and Bond Returns'!GP2)</f>
        <v>4.3523445188798436E-2</v>
      </c>
      <c r="CG2" s="121">
        <f ca="1">(Dashboard!$C$7*'Equity and Bond Returns'!CS2)+(Dashboard!$C$8*'Equity and Bond Returns'!GQ2)</f>
        <v>0.17174961857996679</v>
      </c>
      <c r="CH2" s="121">
        <f ca="1">(Dashboard!$C$7*'Equity and Bond Returns'!CT2)+(Dashboard!$C$8*'Equity and Bond Returns'!GR2)</f>
        <v>-6.5872077977345081E-2</v>
      </c>
      <c r="CI2" s="121">
        <f ca="1">(Dashboard!$C$7*'Equity and Bond Returns'!CU2)+(Dashboard!$C$8*'Equity and Bond Returns'!GS2)</f>
        <v>4.892528042729441E-2</v>
      </c>
      <c r="CJ2" s="121">
        <f ca="1">(Dashboard!$C$7*'Equity and Bond Returns'!CV2)+(Dashboard!$C$8*'Equity and Bond Returns'!GT2)</f>
        <v>1.002175543283659E-2</v>
      </c>
      <c r="CK2" s="121">
        <f ca="1">(Dashboard!$C$7*'Equity and Bond Returns'!CW2)+(Dashboard!$C$8*'Equity and Bond Returns'!GU2)</f>
        <v>5.3247921879985616E-2</v>
      </c>
      <c r="CL2" s="121">
        <f ca="1">(Dashboard!$C$7*'Equity and Bond Returns'!CX2)+(Dashboard!$C$8*'Equity and Bond Returns'!GV2)</f>
        <v>0.20327190733664544</v>
      </c>
      <c r="CM2" s="121">
        <f ca="1">(Dashboard!$C$7*'Equity and Bond Returns'!CY2)+(Dashboard!$C$8*'Equity and Bond Returns'!GW2)</f>
        <v>-6.3838171845065655E-2</v>
      </c>
      <c r="CN2" s="121">
        <f ca="1">(Dashboard!$C$7*'Equity and Bond Returns'!CZ2)+(Dashboard!$C$8*'Equity and Bond Returns'!GX2)</f>
        <v>0.19678294983802785</v>
      </c>
      <c r="CO2" s="121">
        <f ca="1">(Dashboard!$C$7*'Equity and Bond Returns'!DA2)+(Dashboard!$C$8*'Equity and Bond Returns'!GY2)</f>
        <v>0.34281619374701122</v>
      </c>
      <c r="CP2" s="121">
        <f ca="1">(Dashboard!$C$7*'Equity and Bond Returns'!DB2)+(Dashboard!$C$8*'Equity and Bond Returns'!GZ2)</f>
        <v>0.3425190583207951</v>
      </c>
      <c r="CQ2" s="121">
        <f ca="1">(Dashboard!$C$7*'Equity and Bond Returns'!DC2)+(Dashboard!$C$8*'Equity and Bond Returns'!HA2)</f>
        <v>5.3108756607718771E-2</v>
      </c>
      <c r="CR2" s="121">
        <f ca="1">(Dashboard!$C$7*'Equity and Bond Returns'!DD2)+(Dashboard!$C$8*'Equity and Bond Returns'!HB2)</f>
        <v>0.27237471357789445</v>
      </c>
      <c r="CS2" s="121">
        <f ca="1">(Dashboard!$C$7*'Equity and Bond Returns'!DE2)+(Dashboard!$C$8*'Equity and Bond Returns'!HC2)</f>
        <v>0.14356766132556195</v>
      </c>
      <c r="CT2" s="121">
        <f ca="1">(Dashboard!$C$7*'Equity and Bond Returns'!DF2)+(Dashboard!$C$8*'Equity and Bond Returns'!HD2)</f>
        <v>-3.4896188685713071E-2</v>
      </c>
      <c r="CU2" s="121">
        <f ca="1">(Dashboard!$C$7*'Equity and Bond Returns'!DG2)+(Dashboard!$C$8*'Equity and Bond Returns'!HE2)</f>
        <v>0.14941083439660618</v>
      </c>
      <c r="CV2" s="121">
        <f ca="1">(Dashboard!$C$7*'Equity and Bond Returns'!DH2)+(Dashboard!$C$8*'Equity and Bond Returns'!HF2)</f>
        <v>1.2066852838619737E-2</v>
      </c>
      <c r="CW2" s="121">
        <f ca="1">(Dashboard!$C$7*'Equity and Bond Returns'!DI2)+(Dashboard!$C$8*'Equity and Bond Returns'!HG2)</f>
        <v>0.22120684780043604</v>
      </c>
      <c r="CY2" s="147">
        <f>Dashboard!C3</f>
        <v>51</v>
      </c>
      <c r="CZ2" s="148">
        <v>1</v>
      </c>
      <c r="DA2" s="128">
        <f ca="1">MAX(DA1*(1+B2)-(Dashboard!$C$11)/(1-Dashboard!$C$17)*((1+Dashboard!$C$12)^$CZ2),0)</f>
        <v>860706.86424671754</v>
      </c>
      <c r="DB2" s="128">
        <f ca="1">MAX(DB1*(1+C2)-(Dashboard!$C$11)/(1-Dashboard!$C$17)*((1+Dashboard!$C$12)^$CZ2),0)</f>
        <v>828056.25115922221</v>
      </c>
      <c r="DC2" s="128">
        <f ca="1">MAX(DC1*(1+D2)-(Dashboard!$C$11)/(1-Dashboard!$C$17)*((1+Dashboard!$C$12)^$CZ2),0)</f>
        <v>1002873.8589569004</v>
      </c>
      <c r="DD2" s="128">
        <f ca="1">MAX(DD1*(1+E2)-(Dashboard!$C$11)/(1-Dashboard!$C$17)*((1+Dashboard!$C$12)^$CZ2),0)</f>
        <v>852367.55687836988</v>
      </c>
      <c r="DE2" s="128">
        <f ca="1">MAX(DE1*(1+F2)-(Dashboard!$C$11)/(1-Dashboard!$C$17)*((1+Dashboard!$C$12)^$CZ2),0)</f>
        <v>792842.51717591879</v>
      </c>
      <c r="DF2" s="128">
        <f ca="1">MAX(DF1*(1+G2)-(Dashboard!$C$11)/(1-Dashboard!$C$17)*((1+Dashboard!$C$12)^$CZ2),0)</f>
        <v>990549.12518270686</v>
      </c>
      <c r="DG2" s="128">
        <f ca="1">MAX(DG1*(1+H2)-(Dashboard!$C$11)/(1-Dashboard!$C$17)*((1+Dashboard!$C$12)^$CZ2),0)</f>
        <v>936104.53629463876</v>
      </c>
      <c r="DH2" s="128">
        <f ca="1">MAX(DH1*(1+I2)-(Dashboard!$C$11)/(1-Dashboard!$C$17)*((1+Dashboard!$C$12)^$CZ2),0)</f>
        <v>676944.33156942716</v>
      </c>
      <c r="DI2" s="128">
        <f ca="1">MAX(DI1*(1+J2)-(Dashboard!$C$11)/(1-Dashboard!$C$17)*((1+Dashboard!$C$12)^$CZ2),0)</f>
        <v>848037.22835985303</v>
      </c>
      <c r="DJ2" s="128">
        <f ca="1">MAX(DJ1*(1+K2)-(Dashboard!$C$11)/(1-Dashboard!$C$17)*((1+Dashboard!$C$12)^$CZ2),0)</f>
        <v>994462.50281580142</v>
      </c>
      <c r="DK2" s="128">
        <f ca="1">MAX(DK1*(1+L2)-(Dashboard!$C$11)/(1-Dashboard!$C$17)*((1+Dashboard!$C$12)^$CZ2),0)</f>
        <v>1203550.0269462913</v>
      </c>
      <c r="DL2" s="128">
        <f ca="1">MAX(DL1*(1+M2)-(Dashboard!$C$11)/(1-Dashboard!$C$17)*((1+Dashboard!$C$12)^$CZ2),0)</f>
        <v>572939.87345112371</v>
      </c>
      <c r="DM2" s="128">
        <f ca="1">MAX(DM1*(1+N2)-(Dashboard!$C$11)/(1-Dashboard!$C$17)*((1+Dashboard!$C$12)^$CZ2),0)</f>
        <v>825295.7793200406</v>
      </c>
      <c r="DN2" s="128">
        <f ca="1">MAX(DN1*(1+O2)-(Dashboard!$C$11)/(1-Dashboard!$C$17)*((1+Dashboard!$C$12)^$CZ2),0)</f>
        <v>576756.44001373823</v>
      </c>
      <c r="DO2" s="128">
        <f ca="1">MAX(DO1*(1+P2)-(Dashboard!$C$11)/(1-Dashboard!$C$17)*((1+Dashboard!$C$12)^$CZ2),0)</f>
        <v>828113.88646493119</v>
      </c>
      <c r="DP2" s="128">
        <f ca="1">MAX(DP1*(1+Q2)-(Dashboard!$C$11)/(1-Dashboard!$C$17)*((1+Dashboard!$C$12)^$CZ2),0)</f>
        <v>1144407.0829029949</v>
      </c>
      <c r="DQ2" s="128">
        <f ca="1">MAX(DQ1*(1+R2)-(Dashboard!$C$11)/(1-Dashboard!$C$17)*((1+Dashboard!$C$12)^$CZ2),0)</f>
        <v>1054297.2780168396</v>
      </c>
      <c r="DR2" s="128">
        <f ca="1">MAX(DR1*(1+S2)-(Dashboard!$C$11)/(1-Dashboard!$C$17)*((1+Dashboard!$C$12)^$CZ2),0)</f>
        <v>981985.68966510647</v>
      </c>
      <c r="DS2" s="128">
        <f ca="1">MAX(DS1*(1+T2)-(Dashboard!$C$11)/(1-Dashboard!$C$17)*((1+Dashboard!$C$12)^$CZ2),0)</f>
        <v>871484.89926341991</v>
      </c>
      <c r="DT2" s="128">
        <f ca="1">MAX(DT1*(1+U2)-(Dashboard!$C$11)/(1-Dashboard!$C$17)*((1+Dashboard!$C$12)^$CZ2),0)</f>
        <v>981274.27208332124</v>
      </c>
      <c r="DU2" s="128">
        <f ca="1">MAX(DU1*(1+V2)-(Dashboard!$C$11)/(1-Dashboard!$C$17)*((1+Dashboard!$C$12)^$CZ2),0)</f>
        <v>1011979.3674466584</v>
      </c>
      <c r="DV2" s="128">
        <f ca="1">MAX(DV1*(1+W2)-(Dashboard!$C$11)/(1-Dashboard!$C$17)*((1+Dashboard!$C$12)^$CZ2),0)</f>
        <v>810353.49181196361</v>
      </c>
      <c r="DW2" s="128">
        <f ca="1">MAX(DW1*(1+X2)-(Dashboard!$C$11)/(1-Dashboard!$C$17)*((1+Dashboard!$C$12)^$CZ2),0)</f>
        <v>803166.9215295976</v>
      </c>
      <c r="DX2" s="128">
        <f ca="1">MAX(DX1*(1+Y2)-(Dashboard!$C$11)/(1-Dashboard!$C$17)*((1+Dashboard!$C$12)^$CZ2),0)</f>
        <v>981371.23447965516</v>
      </c>
      <c r="DY2" s="128">
        <f ca="1">MAX(DY1*(1+Z2)-(Dashboard!$C$11)/(1-Dashboard!$C$17)*((1+Dashboard!$C$12)^$CZ2),0)</f>
        <v>874708.56883583649</v>
      </c>
      <c r="DZ2" s="128">
        <f ca="1">MAX(DZ1*(1+AA2)-(Dashboard!$C$11)/(1-Dashboard!$C$17)*((1+Dashboard!$C$12)^$CZ2),0)</f>
        <v>636075.85361083434</v>
      </c>
      <c r="EA2" s="128">
        <f ca="1">MAX(EA1*(1+AB2)-(Dashboard!$C$11)/(1-Dashboard!$C$17)*((1+Dashboard!$C$12)^$CZ2),0)</f>
        <v>968511.71470597654</v>
      </c>
      <c r="EB2" s="128">
        <f ca="1">MAX(EB1*(1+AC2)-(Dashboard!$C$11)/(1-Dashboard!$C$17)*((1+Dashboard!$C$12)^$CZ2),0)</f>
        <v>938138.95122195629</v>
      </c>
      <c r="EC2" s="128">
        <f ca="1">MAX(EC1*(1+AD2)-(Dashboard!$C$11)/(1-Dashboard!$C$17)*((1+Dashboard!$C$12)^$CZ2),0)</f>
        <v>1015731.5065489584</v>
      </c>
      <c r="ED2" s="128">
        <f ca="1">MAX(ED1*(1+AE2)-(Dashboard!$C$11)/(1-Dashboard!$C$17)*((1+Dashboard!$C$12)^$CZ2),0)</f>
        <v>1000301.5721923978</v>
      </c>
      <c r="EE2" s="128">
        <f ca="1">MAX(EE1*(1+AF2)-(Dashboard!$C$11)/(1-Dashboard!$C$17)*((1+Dashboard!$C$12)^$CZ2),0)</f>
        <v>830999.47723734588</v>
      </c>
      <c r="EF2" s="128">
        <f ca="1">MAX(EF1*(1+AG2)-(Dashboard!$C$11)/(1-Dashboard!$C$17)*((1+Dashboard!$C$12)^$CZ2),0)</f>
        <v>947685.89055837691</v>
      </c>
      <c r="EG2" s="128">
        <f ca="1">MAX(EG1*(1+AH2)-(Dashboard!$C$11)/(1-Dashboard!$C$17)*((1+Dashboard!$C$12)^$CZ2),0)</f>
        <v>857413.68634765188</v>
      </c>
      <c r="EH2" s="128">
        <f ca="1">MAX(EH1*(1+AI2)-(Dashboard!$C$11)/(1-Dashboard!$C$17)*((1+Dashboard!$C$12)^$CZ2),0)</f>
        <v>1018775.0771799261</v>
      </c>
      <c r="EI2" s="128">
        <f ca="1">MAX(EI1*(1+AJ2)-(Dashboard!$C$11)/(1-Dashboard!$C$17)*((1+Dashboard!$C$12)^$CZ2),0)</f>
        <v>838154.86841688305</v>
      </c>
      <c r="EJ2" s="128">
        <f ca="1">MAX(EJ1*(1+AK2)-(Dashboard!$C$11)/(1-Dashboard!$C$17)*((1+Dashboard!$C$12)^$CZ2),0)</f>
        <v>911292.49376658793</v>
      </c>
      <c r="EK2" s="128">
        <f ca="1">MAX(EK1*(1+AL2)-(Dashboard!$C$11)/(1-Dashboard!$C$17)*((1+Dashboard!$C$12)^$CZ2),0)</f>
        <v>776775.80026237585</v>
      </c>
      <c r="EL2" s="128">
        <f ca="1">MAX(EL1*(1+AM2)-(Dashboard!$C$11)/(1-Dashboard!$C$17)*((1+Dashboard!$C$12)^$CZ2),0)</f>
        <v>911117.27667713189</v>
      </c>
      <c r="EM2" s="128">
        <f ca="1">MAX(EM1*(1+AN2)-(Dashboard!$C$11)/(1-Dashboard!$C$17)*((1+Dashboard!$C$12)^$CZ2),0)</f>
        <v>799881.05871403846</v>
      </c>
      <c r="EN2" s="128">
        <f ca="1">MAX(EN1*(1+AO2)-(Dashboard!$C$11)/(1-Dashboard!$C$17)*((1+Dashboard!$C$12)^$CZ2),0)</f>
        <v>697098.02200410713</v>
      </c>
      <c r="EO2" s="128">
        <f ca="1">MAX(EO1*(1+AP2)-(Dashboard!$C$11)/(1-Dashboard!$C$17)*((1+Dashboard!$C$12)^$CZ2),0)</f>
        <v>820055.01783355279</v>
      </c>
      <c r="EP2" s="128">
        <f ca="1">MAX(EP1*(1+AQ2)-(Dashboard!$C$11)/(1-Dashboard!$C$17)*((1+Dashboard!$C$12)^$CZ2),0)</f>
        <v>842585.23651270301</v>
      </c>
      <c r="EQ2" s="128">
        <f ca="1">MAX(EQ1*(1+AR2)-(Dashboard!$C$11)/(1-Dashboard!$C$17)*((1+Dashboard!$C$12)^$CZ2),0)</f>
        <v>881060.70896043454</v>
      </c>
      <c r="ER2" s="128">
        <f ca="1">MAX(ER1*(1+AS2)-(Dashboard!$C$11)/(1-Dashboard!$C$17)*((1+Dashboard!$C$12)^$CZ2),0)</f>
        <v>1114959.7124654646</v>
      </c>
      <c r="ES2" s="128">
        <f ca="1">MAX(ES1*(1+AT2)-(Dashboard!$C$11)/(1-Dashboard!$C$17)*((1+Dashboard!$C$12)^$CZ2),0)</f>
        <v>755367.54143710842</v>
      </c>
      <c r="ET2" s="128">
        <f ca="1">MAX(ET1*(1+AU2)-(Dashboard!$C$11)/(1-Dashboard!$C$17)*((1+Dashboard!$C$12)^$CZ2),0)</f>
        <v>749856.07625182578</v>
      </c>
      <c r="EU2" s="128">
        <f ca="1">MAX(EU1*(1+AV2)-(Dashboard!$C$11)/(1-Dashboard!$C$17)*((1+Dashboard!$C$12)^$CZ2),0)</f>
        <v>891885.26912892167</v>
      </c>
      <c r="EV2" s="128">
        <f ca="1">MAX(EV1*(1+AW2)-(Dashboard!$C$11)/(1-Dashboard!$C$17)*((1+Dashboard!$C$12)^$CZ2),0)</f>
        <v>757251.89648661937</v>
      </c>
      <c r="EW2" s="128">
        <f ca="1">MAX(EW1*(1+AX2)-(Dashboard!$C$11)/(1-Dashboard!$C$17)*((1+Dashboard!$C$12)^$CZ2),0)</f>
        <v>754481.92423789355</v>
      </c>
      <c r="EX2" s="128">
        <f ca="1">MAX(EX1*(1+AY2)-(Dashboard!$C$11)/(1-Dashboard!$C$17)*((1+Dashboard!$C$12)^$CZ2),0)</f>
        <v>956773.78572889953</v>
      </c>
      <c r="EY2" s="128">
        <f ca="1">MAX(EY1*(1+AZ2)-(Dashboard!$C$11)/(1-Dashboard!$C$17)*((1+Dashboard!$C$12)^$CZ2),0)</f>
        <v>762222.23732996965</v>
      </c>
      <c r="EZ2" s="128">
        <f ca="1">MAX(EZ1*(1+BA2)-(Dashboard!$C$11)/(1-Dashboard!$C$17)*((1+Dashboard!$C$12)^$CZ2),0)</f>
        <v>958028.34159791691</v>
      </c>
      <c r="FA2" s="128">
        <f ca="1">MAX(FA1*(1+BB2)-(Dashboard!$C$11)/(1-Dashboard!$C$17)*((1+Dashboard!$C$12)^$CZ2),0)</f>
        <v>926161.04185051087</v>
      </c>
      <c r="FB2" s="128">
        <f ca="1">MAX(FB1*(1+BC2)-(Dashboard!$C$11)/(1-Dashboard!$C$17)*((1+Dashboard!$C$12)^$CZ2),0)</f>
        <v>723182.42758498539</v>
      </c>
      <c r="FC2" s="128">
        <f ca="1">MAX(FC1*(1+BD2)-(Dashboard!$C$11)/(1-Dashboard!$C$17)*((1+Dashboard!$C$12)^$CZ2),0)</f>
        <v>907898.7639800742</v>
      </c>
      <c r="FD2" s="128">
        <f ca="1">MAX(FD1*(1+BE2)-(Dashboard!$C$11)/(1-Dashboard!$C$17)*((1+Dashboard!$C$12)^$CZ2),0)</f>
        <v>965324.8682705051</v>
      </c>
      <c r="FE2" s="128">
        <f ca="1">MAX(FE1*(1+BF2)-(Dashboard!$C$11)/(1-Dashboard!$C$17)*((1+Dashboard!$C$12)^$CZ2),0)</f>
        <v>1128560.7023982306</v>
      </c>
      <c r="FF2" s="128">
        <f ca="1">MAX(FF1*(1+BG2)-(Dashboard!$C$11)/(1-Dashboard!$C$17)*((1+Dashboard!$C$12)^$CZ2),0)</f>
        <v>1217906.3048011812</v>
      </c>
      <c r="FG2" s="128">
        <f ca="1">MAX(FG1*(1+BH2)-(Dashboard!$C$11)/(1-Dashboard!$C$17)*((1+Dashboard!$C$12)^$CZ2),0)</f>
        <v>1142058.2374345295</v>
      </c>
      <c r="FH2" s="128">
        <f ca="1">MAX(FH1*(1+BI2)-(Dashboard!$C$11)/(1-Dashboard!$C$17)*((1+Dashboard!$C$12)^$CZ2),0)</f>
        <v>718384.03408814315</v>
      </c>
      <c r="FI2" s="128">
        <f ca="1">MAX(FI1*(1+BJ2)-(Dashboard!$C$11)/(1-Dashboard!$C$17)*((1+Dashboard!$C$12)^$CZ2),0)</f>
        <v>970141.98956042598</v>
      </c>
      <c r="FJ2" s="128">
        <f ca="1">MAX(FJ1*(1+BK2)-(Dashboard!$C$11)/(1-Dashboard!$C$17)*((1+Dashboard!$C$12)^$CZ2),0)</f>
        <v>790789.36527095374</v>
      </c>
      <c r="FK2" s="128">
        <f ca="1">MAX(FK1*(1+BL2)-(Dashboard!$C$11)/(1-Dashboard!$C$17)*((1+Dashboard!$C$12)^$CZ2),0)</f>
        <v>921176.73712563829</v>
      </c>
      <c r="FL2" s="128">
        <f ca="1">MAX(FL1*(1+BM2)-(Dashboard!$C$11)/(1-Dashboard!$C$17)*((1+Dashboard!$C$12)^$CZ2),0)</f>
        <v>991661.23665758746</v>
      </c>
      <c r="FM2" s="128">
        <f ca="1">MAX(FM1*(1+BN2)-(Dashboard!$C$11)/(1-Dashboard!$C$17)*((1+Dashboard!$C$12)^$CZ2),0)</f>
        <v>929460.22088140307</v>
      </c>
      <c r="FN2" s="128">
        <f ca="1">MAX(FN1*(1+BO2)-(Dashboard!$C$11)/(1-Dashboard!$C$17)*((1+Dashboard!$C$12)^$CZ2),0)</f>
        <v>1018093.4617516964</v>
      </c>
      <c r="FO2" s="128">
        <f ca="1">MAX(FO1*(1+BP2)-(Dashboard!$C$11)/(1-Dashboard!$C$17)*((1+Dashboard!$C$12)^$CZ2),0)</f>
        <v>1078713.2494376323</v>
      </c>
      <c r="FP2" s="128">
        <f ca="1">MAX(FP1*(1+BQ2)-(Dashboard!$C$11)/(1-Dashboard!$C$17)*((1+Dashboard!$C$12)^$CZ2),0)</f>
        <v>1073021.2422530083</v>
      </c>
      <c r="FQ2" s="128">
        <f ca="1">MAX(FQ1*(1+BR2)-(Dashboard!$C$11)/(1-Dashboard!$C$17)*((1+Dashboard!$C$12)^$CZ2),0)</f>
        <v>975430.63566658646</v>
      </c>
      <c r="FR2" s="128">
        <f ca="1">MAX(FR1*(1+BS2)-(Dashboard!$C$11)/(1-Dashboard!$C$17)*((1+Dashboard!$C$12)^$CZ2),0)</f>
        <v>903428.25139838725</v>
      </c>
      <c r="FS2" s="128">
        <f ca="1">MAX(FS1*(1+BT2)-(Dashboard!$C$11)/(1-Dashboard!$C$17)*((1+Dashboard!$C$12)^$CZ2),0)</f>
        <v>984187.00281510956</v>
      </c>
      <c r="FT2" s="128">
        <f ca="1">MAX(FT1*(1+BU2)-(Dashboard!$C$11)/(1-Dashboard!$C$17)*((1+Dashboard!$C$12)^$CZ2),0)</f>
        <v>854467.3090243272</v>
      </c>
      <c r="FU2" s="128">
        <f ca="1">MAX(FU1*(1+BV2)-(Dashboard!$C$11)/(1-Dashboard!$C$17)*((1+Dashboard!$C$12)^$CZ2),0)</f>
        <v>813153.79258249735</v>
      </c>
      <c r="FV2" s="128">
        <f ca="1">MAX(FV1*(1+BW2)-(Dashboard!$C$11)/(1-Dashboard!$C$17)*((1+Dashboard!$C$12)^$CZ2),0)</f>
        <v>787915.72048117954</v>
      </c>
      <c r="FW2" s="128">
        <f ca="1">MAX(FW1*(1+BX2)-(Dashboard!$C$11)/(1-Dashboard!$C$17)*((1+Dashboard!$C$12)^$CZ2),0)</f>
        <v>923384.84199028218</v>
      </c>
      <c r="FX2" s="128">
        <f ca="1">MAX(FX1*(1+BY2)-(Dashboard!$C$11)/(1-Dashboard!$C$17)*((1+Dashboard!$C$12)^$CZ2),0)</f>
        <v>1002820.0813073807</v>
      </c>
      <c r="FY2" s="128">
        <f ca="1">MAX(FY1*(1+BZ2)-(Dashboard!$C$11)/(1-Dashboard!$C$17)*((1+Dashboard!$C$12)^$CZ2),0)</f>
        <v>1092132.7236439765</v>
      </c>
      <c r="FZ2" s="128">
        <f ca="1">MAX(FZ1*(1+CA2)-(Dashboard!$C$11)/(1-Dashboard!$C$17)*((1+Dashboard!$C$12)^$CZ2),0)</f>
        <v>822041.15694494138</v>
      </c>
      <c r="GA2" s="128">
        <f ca="1">MAX(GA1*(1+CB2)-(Dashboard!$C$11)/(1-Dashboard!$C$17)*((1+Dashboard!$C$12)^$CZ2),0)</f>
        <v>1063330.5118971604</v>
      </c>
      <c r="GB2" s="128">
        <f ca="1">MAX(GB1*(1+CC2)-(Dashboard!$C$11)/(1-Dashboard!$C$17)*((1+Dashboard!$C$12)^$CZ2),0)</f>
        <v>737131.49350547604</v>
      </c>
      <c r="GC2" s="128">
        <f ca="1">MAX(GC1*(1+CD2)-(Dashboard!$C$11)/(1-Dashboard!$C$17)*((1+Dashboard!$C$12)^$CZ2),0)</f>
        <v>934158.07222869445</v>
      </c>
      <c r="GD2" s="128">
        <f ca="1">MAX(GD1*(1+CE2)-(Dashboard!$C$11)/(1-Dashboard!$C$17)*((1+Dashboard!$C$12)^$CZ2),0)</f>
        <v>879900.39940783614</v>
      </c>
      <c r="GE2" s="128">
        <f ca="1">MAX(GE1*(1+CF2)-(Dashboard!$C$11)/(1-Dashboard!$C$17)*((1+Dashboard!$C$12)^$CZ2),0)</f>
        <v>886621.64731425466</v>
      </c>
      <c r="GF2" s="128">
        <f ca="1">MAX(GF1*(1+CG2)-(Dashboard!$C$11)/(1-Dashboard!$C$17)*((1+Dashboard!$C$12)^$CZ2),0)</f>
        <v>998178.41816457105</v>
      </c>
      <c r="GG2" s="128">
        <f ca="1">MAX(GG1*(1+CH2)-(Dashboard!$C$11)/(1-Dashboard!$C$17)*((1+Dashboard!$C$12)^$CZ2),0)</f>
        <v>791447.54215970985</v>
      </c>
      <c r="GH2" s="128">
        <f ca="1">MAX(GH1*(1+CI2)-(Dashboard!$C$11)/(1-Dashboard!$C$17)*((1+Dashboard!$C$12)^$CZ2),0)</f>
        <v>891321.24397174607</v>
      </c>
      <c r="GI2" s="128">
        <f ca="1">MAX(GI1*(1+CJ2)-(Dashboard!$C$11)/(1-Dashboard!$C$17)*((1+Dashboard!$C$12)^$CZ2),0)</f>
        <v>857475.17722656776</v>
      </c>
      <c r="GJ2" s="128">
        <f ca="1">MAX(GJ1*(1+CK2)-(Dashboard!$C$11)/(1-Dashboard!$C$17)*((1+Dashboard!$C$12)^$CZ2),0)</f>
        <v>895081.94203558739</v>
      </c>
      <c r="GK2" s="128">
        <f ca="1">MAX(GK1*(1+CL2)-(Dashboard!$C$11)/(1-Dashboard!$C$17)*((1+Dashboard!$C$12)^$CZ2),0)</f>
        <v>1025602.8093828815</v>
      </c>
      <c r="GL2" s="128">
        <f ca="1">MAX(GL1*(1+CM2)-(Dashboard!$C$11)/(1-Dashboard!$C$17)*((1+Dashboard!$C$12)^$CZ2),0)</f>
        <v>793217.04049479286</v>
      </c>
      <c r="GM2" s="128">
        <f ca="1">MAX(GM1*(1+CN2)-(Dashboard!$C$11)/(1-Dashboard!$C$17)*((1+Dashboard!$C$12)^$CZ2),0)</f>
        <v>1019957.4163590842</v>
      </c>
      <c r="GN2" s="128">
        <f ca="1">MAX(GN1*(1+CO2)-(Dashboard!$C$11)/(1-Dashboard!$C$17)*((1+Dashboard!$C$12)^$CZ2),0)</f>
        <v>1147006.3385598999</v>
      </c>
      <c r="GO2" s="128">
        <f ca="1">MAX(GO1*(1+CP2)-(Dashboard!$C$11)/(1-Dashboard!$C$17)*((1+Dashboard!$C$12)^$CZ2),0)</f>
        <v>1146747.8307390918</v>
      </c>
      <c r="GP2" s="128">
        <f ca="1">MAX(GP1*(1+CQ2)-(Dashboard!$C$11)/(1-Dashboard!$C$17)*((1+Dashboard!$C$12)^$CZ2),0)</f>
        <v>894960.86824871541</v>
      </c>
      <c r="GQ2" s="128">
        <f ca="1">MAX(GQ1*(1+CR2)-(Dashboard!$C$11)/(1-Dashboard!$C$17)*((1+Dashboard!$C$12)^$CZ2),0)</f>
        <v>1085722.2508127682</v>
      </c>
      <c r="GR2" s="128">
        <f ca="1">MAX(GR1*(1+CS2)-(Dashboard!$C$11)/(1-Dashboard!$C$17)*((1+Dashboard!$C$12)^$CZ2),0)</f>
        <v>973660.11535323877</v>
      </c>
      <c r="GS2" s="128">
        <f ca="1">MAX(GS1*(1+CT2)-(Dashboard!$C$11)/(1-Dashboard!$C$17)*((1+Dashboard!$C$12)^$CZ2),0)</f>
        <v>818396.56584342965</v>
      </c>
      <c r="GT2" s="128">
        <f ca="1">MAX(GT1*(1+CU2)-(Dashboard!$C$11)/(1-Dashboard!$C$17)*((1+Dashboard!$C$12)^$CZ2),0)</f>
        <v>978743.67592504725</v>
      </c>
      <c r="GU2" s="128">
        <f ca="1">MAX(GU1*(1+CV2)-(Dashboard!$C$11)/(1-Dashboard!$C$17)*((1+Dashboard!$C$12)^$CZ2),0)</f>
        <v>859254.41196959908</v>
      </c>
      <c r="GV2" s="128">
        <f ca="1">MAX(GV1*(1+CW2)-(Dashboard!$C$11)/(1-Dashboard!$C$17)*((1+Dashboard!$C$12)^$CZ2),0)</f>
        <v>1041206.2075863795</v>
      </c>
      <c r="GW2" s="118">
        <f>Dashboard!C3</f>
        <v>51</v>
      </c>
      <c r="GX2" s="129">
        <f ca="1">COUNTIF(DA2:GV2,"&gt;0")</f>
        <v>100</v>
      </c>
      <c r="HC2" s="129">
        <f t="shared" ref="HC2:HC33" si="0">GW2</f>
        <v>51</v>
      </c>
      <c r="HD2" s="136">
        <f t="shared" ref="HD2:HF21" ca="1" si="1">PERCENTILE($CY2:$GV2,HD$1)</f>
        <v>818811.17884096038</v>
      </c>
      <c r="HE2" s="136">
        <f t="shared" ca="1" si="1"/>
        <v>905663.50768923073</v>
      </c>
      <c r="HF2" s="136">
        <f t="shared" ca="1" si="1"/>
        <v>993762.18627624796</v>
      </c>
    </row>
    <row r="3" spans="1:214" ht="16">
      <c r="A3" s="145">
        <f>A2+1</f>
        <v>52</v>
      </c>
      <c r="B3" s="122">
        <f ca="1">(Dashboard!$C$7*'Equity and Bond Returns'!N3)+(Dashboard!$C$8*'Equity and Bond Returns'!DL3)</f>
        <v>0.26692029262623812</v>
      </c>
      <c r="C3" s="122">
        <f ca="1">(Dashboard!$C$7*'Equity and Bond Returns'!O3)+(Dashboard!$C$8*'Equity and Bond Returns'!DM3)</f>
        <v>0.16494584741535209</v>
      </c>
      <c r="D3" s="122">
        <f ca="1">(Dashboard!$C$7*'Equity and Bond Returns'!P3)+(Dashboard!$C$8*'Equity and Bond Returns'!DN3)</f>
        <v>3.3876810852648265E-2</v>
      </c>
      <c r="E3" s="122">
        <f ca="1">(Dashboard!$C$7*'Equity and Bond Returns'!Q3)+(Dashboard!$C$8*'Equity and Bond Returns'!DO3)</f>
        <v>9.7819470385649143E-3</v>
      </c>
      <c r="F3" s="122">
        <f ca="1">(Dashboard!$C$7*'Equity and Bond Returns'!R3)+(Dashboard!$C$8*'Equity and Bond Returns'!DP3)</f>
        <v>0.29973844127075305</v>
      </c>
      <c r="G3" s="122">
        <f ca="1">(Dashboard!$C$7*'Equity and Bond Returns'!S3)+(Dashboard!$C$8*'Equity and Bond Returns'!DQ3)</f>
        <v>-1.1437517946021988E-2</v>
      </c>
      <c r="H3" s="122">
        <f ca="1">(Dashboard!$C$7*'Equity and Bond Returns'!T3)+(Dashboard!$C$8*'Equity and Bond Returns'!DR3)</f>
        <v>-4.4880505757041757E-3</v>
      </c>
      <c r="I3" s="122">
        <f ca="1">(Dashboard!$C$7*'Equity and Bond Returns'!U3)+(Dashboard!$C$8*'Equity and Bond Returns'!DS3)</f>
        <v>9.8847495369675076E-2</v>
      </c>
      <c r="J3" s="122">
        <f ca="1">(Dashboard!$C$7*'Equity and Bond Returns'!V3)+(Dashboard!$C$8*'Equity and Bond Returns'!DT3)</f>
        <v>1.9508916542144449E-2</v>
      </c>
      <c r="K3" s="122">
        <f ca="1">(Dashboard!$C$7*'Equity and Bond Returns'!W3)+(Dashboard!$C$8*'Equity and Bond Returns'!DU3)</f>
        <v>-0.33217640338006249</v>
      </c>
      <c r="L3" s="122">
        <f ca="1">(Dashboard!$C$7*'Equity and Bond Returns'!X3)+(Dashboard!$C$8*'Equity and Bond Returns'!DV3)</f>
        <v>2.3391232180210011E-2</v>
      </c>
      <c r="M3" s="122">
        <f ca="1">(Dashboard!$C$7*'Equity and Bond Returns'!Y3)+(Dashboard!$C$8*'Equity and Bond Returns'!DW3)</f>
        <v>0.15488269081034442</v>
      </c>
      <c r="N3" s="122">
        <f ca="1">(Dashboard!$C$7*'Equity and Bond Returns'!Z3)+(Dashboard!$C$8*'Equity and Bond Returns'!DX3)</f>
        <v>3.1203479610809326E-2</v>
      </c>
      <c r="O3" s="122">
        <f ca="1">(Dashboard!$C$7*'Equity and Bond Returns'!AA3)+(Dashboard!$C$8*'Equity and Bond Returns'!DY3)</f>
        <v>0.22122446866380749</v>
      </c>
      <c r="P3" s="122">
        <f ca="1">(Dashboard!$C$7*'Equity and Bond Returns'!AB3)+(Dashboard!$C$8*'Equity and Bond Returns'!DZ3)</f>
        <v>6.4370223267912249E-3</v>
      </c>
      <c r="Q3" s="122">
        <f ca="1">(Dashboard!$C$7*'Equity and Bond Returns'!AC3)+(Dashboard!$C$8*'Equity and Bond Returns'!EA3)</f>
        <v>0.14961267396257219</v>
      </c>
      <c r="R3" s="122">
        <f ca="1">(Dashboard!$C$7*'Equity and Bond Returns'!AD3)+(Dashboard!$C$8*'Equity and Bond Returns'!EB3)</f>
        <v>6.0622829203026508E-2</v>
      </c>
      <c r="S3" s="122">
        <f ca="1">(Dashboard!$C$7*'Equity and Bond Returns'!AE3)+(Dashboard!$C$8*'Equity and Bond Returns'!EC3)</f>
        <v>0.3628357319706868</v>
      </c>
      <c r="T3" s="122">
        <f ca="1">(Dashboard!$C$7*'Equity and Bond Returns'!AF3)+(Dashboard!$C$8*'Equity and Bond Returns'!ED3)</f>
        <v>0.16917192512050525</v>
      </c>
      <c r="U3" s="122">
        <f ca="1">(Dashboard!$C$7*'Equity and Bond Returns'!AG3)+(Dashboard!$C$8*'Equity and Bond Returns'!EE3)</f>
        <v>0.15932776385598374</v>
      </c>
      <c r="V3" s="122">
        <f ca="1">(Dashboard!$C$7*'Equity and Bond Returns'!AH3)+(Dashboard!$C$8*'Equity and Bond Returns'!EF3)</f>
        <v>-7.9437855704994308E-3</v>
      </c>
      <c r="W3" s="122">
        <f ca="1">(Dashboard!$C$7*'Equity and Bond Returns'!AI3)+(Dashboard!$C$8*'Equity and Bond Returns'!EG3)</f>
        <v>0.10359930003706086</v>
      </c>
      <c r="X3" s="122">
        <f ca="1">(Dashboard!$C$7*'Equity and Bond Returns'!AJ3)+(Dashboard!$C$8*'Equity and Bond Returns'!EH3)</f>
        <v>-2.5730622389983551E-2</v>
      </c>
      <c r="Y3" s="122">
        <f ca="1">(Dashboard!$C$7*'Equity and Bond Returns'!AK3)+(Dashboard!$C$8*'Equity and Bond Returns'!EI3)</f>
        <v>-1.116249747040186E-2</v>
      </c>
      <c r="Z3" s="122">
        <f ca="1">(Dashboard!$C$7*'Equity and Bond Returns'!AL3)+(Dashboard!$C$8*'Equity and Bond Returns'!EJ3)</f>
        <v>-0.11490321024907761</v>
      </c>
      <c r="AA3" s="122">
        <f ca="1">(Dashboard!$C$7*'Equity and Bond Returns'!AM3)+(Dashboard!$C$8*'Equity and Bond Returns'!EK3)</f>
        <v>-0.17741380250803843</v>
      </c>
      <c r="AB3" s="122">
        <f ca="1">(Dashboard!$C$7*'Equity and Bond Returns'!AN3)+(Dashboard!$C$8*'Equity and Bond Returns'!EL3)</f>
        <v>0.20122354401160497</v>
      </c>
      <c r="AC3" s="122">
        <f ca="1">(Dashboard!$C$7*'Equity and Bond Returns'!AO3)+(Dashboard!$C$8*'Equity and Bond Returns'!EM3)</f>
        <v>0.14068585971875275</v>
      </c>
      <c r="AD3" s="122">
        <f ca="1">(Dashboard!$C$7*'Equity and Bond Returns'!AP3)+(Dashboard!$C$8*'Equity and Bond Returns'!EN3)</f>
        <v>0.24559617865606451</v>
      </c>
      <c r="AE3" s="122">
        <f ca="1">(Dashboard!$C$7*'Equity and Bond Returns'!AQ3)+(Dashboard!$C$8*'Equity and Bond Returns'!EO3)</f>
        <v>0.22146287208342419</v>
      </c>
      <c r="AF3" s="122">
        <f ca="1">(Dashboard!$C$7*'Equity and Bond Returns'!AR3)+(Dashboard!$C$8*'Equity and Bond Returns'!EP3)</f>
        <v>-9.3780853266360181E-2</v>
      </c>
      <c r="AG3" s="122">
        <f ca="1">(Dashboard!$C$7*'Equity and Bond Returns'!AS3)+(Dashboard!$C$8*'Equity and Bond Returns'!EQ3)</f>
        <v>0.17458158529239756</v>
      </c>
      <c r="AH3" s="122">
        <f ca="1">(Dashboard!$C$7*'Equity and Bond Returns'!AT3)+(Dashboard!$C$8*'Equity and Bond Returns'!ER3)</f>
        <v>0.20738622476845014</v>
      </c>
      <c r="AI3" s="122">
        <f ca="1">(Dashboard!$C$7*'Equity and Bond Returns'!AU3)+(Dashboard!$C$8*'Equity and Bond Returns'!ES3)</f>
        <v>0.18724765486830394</v>
      </c>
      <c r="AJ3" s="122">
        <f ca="1">(Dashboard!$C$7*'Equity and Bond Returns'!AV3)+(Dashboard!$C$8*'Equity and Bond Returns'!ET3)</f>
        <v>1.7598189527246077E-2</v>
      </c>
      <c r="AK3" s="122">
        <f ca="1">(Dashboard!$C$7*'Equity and Bond Returns'!AW3)+(Dashboard!$C$8*'Equity and Bond Returns'!EU3)</f>
        <v>0.32926180984296305</v>
      </c>
      <c r="AL3" s="122">
        <f ca="1">(Dashboard!$C$7*'Equity and Bond Returns'!AX3)+(Dashboard!$C$8*'Equity and Bond Returns'!EV3)</f>
        <v>0.18637766938702613</v>
      </c>
      <c r="AM3" s="122">
        <f ca="1">(Dashboard!$C$7*'Equity and Bond Returns'!AY3)+(Dashboard!$C$8*'Equity and Bond Returns'!EW3)</f>
        <v>-0.20900026010607867</v>
      </c>
      <c r="AN3" s="122">
        <f ca="1">(Dashboard!$C$7*'Equity and Bond Returns'!AZ3)+(Dashboard!$C$8*'Equity and Bond Returns'!EX3)</f>
        <v>0.30322310862282453</v>
      </c>
      <c r="AO3" s="122">
        <f ca="1">(Dashboard!$C$7*'Equity and Bond Returns'!BA3)+(Dashboard!$C$8*'Equity and Bond Returns'!EY3)</f>
        <v>5.3823334781290824E-2</v>
      </c>
      <c r="AP3" s="122">
        <f ca="1">(Dashboard!$C$7*'Equity and Bond Returns'!BB3)+(Dashboard!$C$8*'Equity and Bond Returns'!EZ3)</f>
        <v>0.42609048556059842</v>
      </c>
      <c r="AQ3" s="122">
        <f ca="1">(Dashboard!$C$7*'Equity and Bond Returns'!BC3)+(Dashboard!$C$8*'Equity and Bond Returns'!FA3)</f>
        <v>6.2102636668958183E-2</v>
      </c>
      <c r="AR3" s="122">
        <f ca="1">(Dashboard!$C$7*'Equity and Bond Returns'!BD3)+(Dashboard!$C$8*'Equity and Bond Returns'!FB3)</f>
        <v>-8.4048282758161341E-2</v>
      </c>
      <c r="AS3" s="122">
        <f ca="1">(Dashboard!$C$7*'Equity and Bond Returns'!BE3)+(Dashboard!$C$8*'Equity and Bond Returns'!FC3)</f>
        <v>0.1016914724650068</v>
      </c>
      <c r="AT3" s="122">
        <f ca="1">(Dashboard!$C$7*'Equity and Bond Returns'!BF3)+(Dashboard!$C$8*'Equity and Bond Returns'!FD3)</f>
        <v>-0.15040784523485373</v>
      </c>
      <c r="AU3" s="122">
        <f ca="1">(Dashboard!$C$7*'Equity and Bond Returns'!BG3)+(Dashboard!$C$8*'Equity and Bond Returns'!FE3)</f>
        <v>0.17879091141889256</v>
      </c>
      <c r="AV3" s="122">
        <f ca="1">(Dashboard!$C$7*'Equity and Bond Returns'!BH3)+(Dashboard!$C$8*'Equity and Bond Returns'!FF3)</f>
        <v>2.8218443059827687E-2</v>
      </c>
      <c r="AW3" s="122">
        <f ca="1">(Dashboard!$C$7*'Equity and Bond Returns'!BI3)+(Dashboard!$C$8*'Equity and Bond Returns'!FG3)</f>
        <v>0.25023886210665353</v>
      </c>
      <c r="AX3" s="122">
        <f ca="1">(Dashboard!$C$7*'Equity and Bond Returns'!BJ3)+(Dashboard!$C$8*'Equity and Bond Returns'!FH3)</f>
        <v>0.1426451496674018</v>
      </c>
      <c r="AY3" s="122">
        <f ca="1">(Dashboard!$C$7*'Equity and Bond Returns'!BK3)+(Dashboard!$C$8*'Equity and Bond Returns'!FI3)</f>
        <v>6.6491883790041562E-2</v>
      </c>
      <c r="AZ3" s="122">
        <f ca="1">(Dashboard!$C$7*'Equity and Bond Returns'!BL3)+(Dashboard!$C$8*'Equity and Bond Returns'!FJ3)</f>
        <v>0.14760127968768269</v>
      </c>
      <c r="BA3" s="122">
        <f ca="1">(Dashboard!$C$7*'Equity and Bond Returns'!BM3)+(Dashboard!$C$8*'Equity and Bond Returns'!FK3)</f>
        <v>0.15324933094372023</v>
      </c>
      <c r="BB3" s="122">
        <f ca="1">(Dashboard!$C$7*'Equity and Bond Returns'!BN3)+(Dashboard!$C$8*'Equity and Bond Returns'!FL3)</f>
        <v>-8.8095644968845574E-2</v>
      </c>
      <c r="BC3" s="122">
        <f ca="1">(Dashboard!$C$7*'Equity and Bond Returns'!BO3)+(Dashboard!$C$8*'Equity and Bond Returns'!FM3)</f>
        <v>-7.4907592698890496E-2</v>
      </c>
      <c r="BD3" s="122">
        <f ca="1">(Dashboard!$C$7*'Equity and Bond Returns'!BP3)+(Dashboard!$C$8*'Equity and Bond Returns'!FN3)</f>
        <v>-0.14753891987347051</v>
      </c>
      <c r="BE3" s="122">
        <f ca="1">(Dashboard!$C$7*'Equity and Bond Returns'!BQ3)+(Dashboard!$C$8*'Equity and Bond Returns'!FO3)</f>
        <v>-3.4042665208127952E-2</v>
      </c>
      <c r="BF3" s="122">
        <f ca="1">(Dashboard!$C$7*'Equity and Bond Returns'!BR3)+(Dashboard!$C$8*'Equity and Bond Returns'!FP3)</f>
        <v>0.13134711336698865</v>
      </c>
      <c r="BG3" s="122">
        <f ca="1">(Dashboard!$C$7*'Equity and Bond Returns'!BS3)+(Dashboard!$C$8*'Equity and Bond Returns'!FQ3)</f>
        <v>-0.10704092698098157</v>
      </c>
      <c r="BH3" s="122">
        <f ca="1">(Dashboard!$C$7*'Equity and Bond Returns'!BT3)+(Dashboard!$C$8*'Equity and Bond Returns'!FR3)</f>
        <v>0.18431436131730913</v>
      </c>
      <c r="BI3" s="122">
        <f ca="1">(Dashboard!$C$7*'Equity and Bond Returns'!BU3)+(Dashboard!$C$8*'Equity and Bond Returns'!FS3)</f>
        <v>-2.4612083540754545E-2</v>
      </c>
      <c r="BJ3" s="122">
        <f ca="1">(Dashboard!$C$7*'Equity and Bond Returns'!BV3)+(Dashboard!$C$8*'Equity and Bond Returns'!FT3)</f>
        <v>0.11941745462843262</v>
      </c>
      <c r="BK3" s="122">
        <f ca="1">(Dashboard!$C$7*'Equity and Bond Returns'!BW3)+(Dashboard!$C$8*'Equity and Bond Returns'!FU3)</f>
        <v>0.27432140269881433</v>
      </c>
      <c r="BL3" s="122">
        <f ca="1">(Dashboard!$C$7*'Equity and Bond Returns'!BX3)+(Dashboard!$C$8*'Equity and Bond Returns'!FV3)</f>
        <v>1.7520748106748391E-2</v>
      </c>
      <c r="BM3" s="122">
        <f ca="1">(Dashboard!$C$7*'Equity and Bond Returns'!BY3)+(Dashboard!$C$8*'Equity and Bond Returns'!FW3)</f>
        <v>0.16026712503507393</v>
      </c>
      <c r="BN3" s="122">
        <f ca="1">(Dashboard!$C$7*'Equity and Bond Returns'!BZ3)+(Dashboard!$C$8*'Equity and Bond Returns'!FX3)</f>
        <v>0.15430168690106641</v>
      </c>
      <c r="BO3" s="122">
        <f ca="1">(Dashboard!$C$7*'Equity and Bond Returns'!CA3)+(Dashboard!$C$8*'Equity and Bond Returns'!FY3)</f>
        <v>-0.1944695710968746</v>
      </c>
      <c r="BP3" s="122">
        <f ca="1">(Dashboard!$C$7*'Equity and Bond Returns'!CB3)+(Dashboard!$C$8*'Equity and Bond Returns'!FZ3)</f>
        <v>1.676590065974249E-2</v>
      </c>
      <c r="BQ3" s="122">
        <f ca="1">(Dashboard!$C$7*'Equity and Bond Returns'!CC3)+(Dashboard!$C$8*'Equity and Bond Returns'!GA3)</f>
        <v>2.1747603577516216E-2</v>
      </c>
      <c r="BR3" s="122">
        <f ca="1">(Dashboard!$C$7*'Equity and Bond Returns'!CD3)+(Dashboard!$C$8*'Equity and Bond Returns'!GB3)</f>
        <v>0.29469296168034925</v>
      </c>
      <c r="BS3" s="122">
        <f ca="1">(Dashboard!$C$7*'Equity and Bond Returns'!CE3)+(Dashboard!$C$8*'Equity and Bond Returns'!GC3)</f>
        <v>0.10929554310618682</v>
      </c>
      <c r="BT3" s="122">
        <f ca="1">(Dashboard!$C$7*'Equity and Bond Returns'!CF3)+(Dashboard!$C$8*'Equity and Bond Returns'!GD3)</f>
        <v>7.8984306875280755E-2</v>
      </c>
      <c r="BU3" s="122">
        <f ca="1">(Dashboard!$C$7*'Equity and Bond Returns'!CG3)+(Dashboard!$C$8*'Equity and Bond Returns'!GE3)</f>
        <v>0.16104889527737573</v>
      </c>
      <c r="BV3" s="122">
        <f ca="1">(Dashboard!$C$7*'Equity and Bond Returns'!CH3)+(Dashboard!$C$8*'Equity and Bond Returns'!GF3)</f>
        <v>-5.9693813624676233E-2</v>
      </c>
      <c r="BW3" s="122">
        <f ca="1">(Dashboard!$C$7*'Equity and Bond Returns'!CI3)+(Dashboard!$C$8*'Equity and Bond Returns'!GG3)</f>
        <v>-0.10276132214135821</v>
      </c>
      <c r="BX3" s="122">
        <f ca="1">(Dashboard!$C$7*'Equity and Bond Returns'!CJ3)+(Dashboard!$C$8*'Equity and Bond Returns'!GH3)</f>
        <v>0.19172879564642242</v>
      </c>
      <c r="BY3" s="122">
        <f ca="1">(Dashboard!$C$7*'Equity and Bond Returns'!CK3)+(Dashboard!$C$8*'Equity and Bond Returns'!GI3)</f>
        <v>0.11762720067466866</v>
      </c>
      <c r="BZ3" s="122">
        <f ca="1">(Dashboard!$C$7*'Equity and Bond Returns'!CL3)+(Dashboard!$C$8*'Equity and Bond Returns'!GJ3)</f>
        <v>3.5973868687732932E-2</v>
      </c>
      <c r="CA3" s="122">
        <f ca="1">(Dashboard!$C$7*'Equity and Bond Returns'!CM3)+(Dashboard!$C$8*'Equity and Bond Returns'!GK3)</f>
        <v>0.2932550309412485</v>
      </c>
      <c r="CB3" s="122">
        <f ca="1">(Dashboard!$C$7*'Equity and Bond Returns'!CN3)+(Dashboard!$C$8*'Equity and Bond Returns'!GL3)</f>
        <v>-1.2591997620758464E-2</v>
      </c>
      <c r="CC3" s="122">
        <f ca="1">(Dashboard!$C$7*'Equity and Bond Returns'!CO3)+(Dashboard!$C$8*'Equity and Bond Returns'!GM3)</f>
        <v>0.13113479395436145</v>
      </c>
      <c r="CD3" s="122">
        <f ca="1">(Dashboard!$C$7*'Equity and Bond Returns'!CP3)+(Dashboard!$C$8*'Equity and Bond Returns'!GN3)</f>
        <v>0.10527373775745222</v>
      </c>
      <c r="CE3" s="122">
        <f ca="1">(Dashboard!$C$7*'Equity and Bond Returns'!CQ3)+(Dashboard!$C$8*'Equity and Bond Returns'!GO3)</f>
        <v>0.26369665789641394</v>
      </c>
      <c r="CF3" s="122">
        <f ca="1">(Dashboard!$C$7*'Equity and Bond Returns'!CR3)+(Dashboard!$C$8*'Equity and Bond Returns'!GP3)</f>
        <v>6.2678847430764906E-3</v>
      </c>
      <c r="CG3" s="122">
        <f ca="1">(Dashboard!$C$7*'Equity and Bond Returns'!CS3)+(Dashboard!$C$8*'Equity and Bond Returns'!GQ3)</f>
        <v>0.23539431449459405</v>
      </c>
      <c r="CH3" s="122">
        <f ca="1">(Dashboard!$C$7*'Equity and Bond Returns'!CT3)+(Dashboard!$C$8*'Equity and Bond Returns'!GR3)</f>
        <v>2.0347956896668164E-2</v>
      </c>
      <c r="CI3" s="122">
        <f ca="1">(Dashboard!$C$7*'Equity and Bond Returns'!CU3)+(Dashboard!$C$8*'Equity and Bond Returns'!GS3)</f>
        <v>9.5330187110905185E-2</v>
      </c>
      <c r="CJ3" s="122">
        <f ca="1">(Dashboard!$C$7*'Equity and Bond Returns'!CV3)+(Dashboard!$C$8*'Equity and Bond Returns'!GT3)</f>
        <v>9.1373115434385865E-2</v>
      </c>
      <c r="CK3" s="122">
        <f ca="1">(Dashboard!$C$7*'Equity and Bond Returns'!CW3)+(Dashboard!$C$8*'Equity and Bond Returns'!GU3)</f>
        <v>0.34517443697296307</v>
      </c>
      <c r="CL3" s="122">
        <f ca="1">(Dashboard!$C$7*'Equity and Bond Returns'!CX3)+(Dashboard!$C$8*'Equity and Bond Returns'!GV3)</f>
        <v>-0.15889007281876616</v>
      </c>
      <c r="CM3" s="122">
        <f ca="1">(Dashboard!$C$7*'Equity and Bond Returns'!CY3)+(Dashboard!$C$8*'Equity and Bond Returns'!GW3)</f>
        <v>0.19477700957074609</v>
      </c>
      <c r="CN3" s="122">
        <f ca="1">(Dashboard!$C$7*'Equity and Bond Returns'!CZ3)+(Dashboard!$C$8*'Equity and Bond Returns'!GX3)</f>
        <v>0.10414873859264992</v>
      </c>
      <c r="CO3" s="122">
        <f ca="1">(Dashboard!$C$7*'Equity and Bond Returns'!DA3)+(Dashboard!$C$8*'Equity and Bond Returns'!GY3)</f>
        <v>3.3212943652286983E-2</v>
      </c>
      <c r="CP3" s="122">
        <f ca="1">(Dashboard!$C$7*'Equity and Bond Returns'!DB3)+(Dashboard!$C$8*'Equity and Bond Returns'!GZ3)</f>
        <v>0.27958499446012242</v>
      </c>
      <c r="CQ3" s="122">
        <f ca="1">(Dashboard!$C$7*'Equity and Bond Returns'!DC3)+(Dashboard!$C$8*'Equity and Bond Returns'!HA3)</f>
        <v>8.1599399166165001E-2</v>
      </c>
      <c r="CR3" s="122">
        <f ca="1">(Dashboard!$C$7*'Equity and Bond Returns'!DD3)+(Dashboard!$C$8*'Equity and Bond Returns'!HB3)</f>
        <v>6.9225049562262359E-2</v>
      </c>
      <c r="CS3" s="122">
        <f ca="1">(Dashboard!$C$7*'Equity and Bond Returns'!DE3)+(Dashboard!$C$8*'Equity and Bond Returns'!HC3)</f>
        <v>-3.7241594910783535E-2</v>
      </c>
      <c r="CT3" s="122">
        <f ca="1">(Dashboard!$C$7*'Equity and Bond Returns'!DF3)+(Dashboard!$C$8*'Equity and Bond Returns'!HD3)</f>
        <v>-1.9389830540226995E-3</v>
      </c>
      <c r="CU3" s="122">
        <f ca="1">(Dashboard!$C$7*'Equity and Bond Returns'!DG3)+(Dashboard!$C$8*'Equity and Bond Returns'!HE3)</f>
        <v>-2.2317105271307439E-2</v>
      </c>
      <c r="CV3" s="122">
        <f ca="1">(Dashboard!$C$7*'Equity and Bond Returns'!DH3)+(Dashboard!$C$8*'Equity and Bond Returns'!HF3)</f>
        <v>-3.373488203824708E-3</v>
      </c>
      <c r="CW3" s="122">
        <f ca="1">(Dashboard!$C$7*'Equity and Bond Returns'!DI3)+(Dashboard!$C$8*'Equity and Bond Returns'!HG3)</f>
        <v>-6.2336703197406473E-2</v>
      </c>
      <c r="CY3" s="147">
        <f>CY2+1</f>
        <v>52</v>
      </c>
      <c r="CZ3" s="148">
        <v>2</v>
      </c>
      <c r="DA3" s="126">
        <f ca="1">MAX(DA2*(1+B3)-(Dashboard!$C$11)/(1-Dashboard!$C$17)*((1+Dashboard!$C$12)^$CZ3),0)</f>
        <v>1068565.9298168633</v>
      </c>
      <c r="DB3" s="126">
        <f ca="1">MAX(DB2*(1+C3)-(Dashboard!$C$11)/(1-Dashboard!$C$17)*((1+Dashboard!$C$12)^$CZ3),0)</f>
        <v>942759.62871425971</v>
      </c>
      <c r="DC3" s="126">
        <f ca="1">MAX(DC2*(1+D3)-(Dashboard!$C$11)/(1-Dashboard!$C$17)*((1+Dashboard!$C$12)^$CZ3),0)</f>
        <v>1014966.9644858489</v>
      </c>
      <c r="DD3" s="126">
        <f ca="1">MAX(DD2*(1+E3)-(Dashboard!$C$11)/(1-Dashboard!$C$17)*((1+Dashboard!$C$12)^$CZ3),0)</f>
        <v>838824.30867714505</v>
      </c>
      <c r="DE3" s="126">
        <f ca="1">MAX(DE2*(1+F3)-(Dashboard!$C$11)/(1-Dashboard!$C$17)*((1+Dashboard!$C$12)^$CZ3),0)</f>
        <v>1008606.834947409</v>
      </c>
      <c r="DF3" s="126">
        <f ca="1">MAX(DF2*(1+G3)-(Dashboard!$C$11)/(1-Dashboard!$C$17)*((1+Dashboard!$C$12)^$CZ3),0)</f>
        <v>957338.63928701321</v>
      </c>
      <c r="DG3" s="126">
        <f ca="1">MAX(DG2*(1+H3)-(Dashboard!$C$11)/(1-Dashboard!$C$17)*((1+Dashboard!$C$12)^$CZ3),0)</f>
        <v>910022.18929160223</v>
      </c>
      <c r="DH3" s="126">
        <f ca="1">MAX(DH2*(1+I3)-(Dashboard!$C$11)/(1-Dashboard!$C$17)*((1+Dashboard!$C$12)^$CZ3),0)</f>
        <v>721977.52074976393</v>
      </c>
      <c r="DI3" s="126">
        <f ca="1">MAX(DI2*(1+J3)-(Dashboard!$C$11)/(1-Dashboard!$C$17)*((1+Dashboard!$C$12)^$CZ3),0)</f>
        <v>842700.45337255695</v>
      </c>
      <c r="DJ3" s="126">
        <f ca="1">MAX(DJ2*(1+K3)-(Dashboard!$C$11)/(1-Dashboard!$C$17)*((1+Dashboard!$C$12)^$CZ3),0)</f>
        <v>642244.46283411328</v>
      </c>
      <c r="DK3" s="126">
        <f ca="1">MAX(DK2*(1+L3)-(Dashboard!$C$11)/(1-Dashboard!$C$17)*((1+Dashboard!$C$12)^$CZ3),0)</f>
        <v>1209821.4825670901</v>
      </c>
      <c r="DL3" s="126">
        <f ca="1">MAX(DL2*(1+M3)-(Dashboard!$C$11)/(1-Dashboard!$C$17)*((1+Dashboard!$C$12)^$CZ3),0)</f>
        <v>639797.28022377193</v>
      </c>
      <c r="DM3" s="126">
        <f ca="1">MAX(DM2*(1+N3)-(Dashboard!$C$11)/(1-Dashboard!$C$17)*((1+Dashboard!$C$12)^$CZ3),0)</f>
        <v>829166.81684294052</v>
      </c>
      <c r="DN3" s="126">
        <f ca="1">MAX(DN2*(1+O3)-(Dashboard!$C$11)/(1-Dashboard!$C$17)*((1+Dashboard!$C$12)^$CZ3),0)</f>
        <v>682468.0145042066</v>
      </c>
      <c r="DO3" s="126">
        <f ca="1">MAX(DO2*(1+P3)-(Dashboard!$C$11)/(1-Dashboard!$C$17)*((1+Dashboard!$C$12)^$CZ3),0)</f>
        <v>811563.41154123191</v>
      </c>
      <c r="DP3" s="126">
        <f ca="1">MAX(DP2*(1+Q3)-(Dashboard!$C$11)/(1-Dashboard!$C$17)*((1+Dashboard!$C$12)^$CZ3),0)</f>
        <v>1293743.8241778191</v>
      </c>
      <c r="DQ3" s="126">
        <f ca="1">MAX(DQ2*(1+R3)-(Dashboard!$C$11)/(1-Dashboard!$C$17)*((1+Dashboard!$C$12)^$CZ3),0)</f>
        <v>1096330.6993312701</v>
      </c>
      <c r="DR3" s="126">
        <f ca="1">MAX(DR2*(1+S3)-(Dashboard!$C$11)/(1-Dashboard!$C$17)*((1+Dashboard!$C$12)^$CZ3),0)</f>
        <v>1316404.123659485</v>
      </c>
      <c r="DS3" s="126">
        <f ca="1">MAX(DS2*(1+T3)-(Dashboard!$C$11)/(1-Dashboard!$C$17)*((1+Dashboard!$C$12)^$CZ3),0)</f>
        <v>997034.61488526221</v>
      </c>
      <c r="DT3" s="126">
        <f ca="1">MAX(DT2*(1+U3)-(Dashboard!$C$11)/(1-Dashboard!$C$17)*((1+Dashboard!$C$12)^$CZ3),0)</f>
        <v>1115737.4450837651</v>
      </c>
      <c r="DU3" s="126">
        <f ca="1">MAX(DU2*(1+V3)-(Dashboard!$C$11)/(1-Dashboard!$C$17)*((1+Dashboard!$C$12)^$CZ3),0)</f>
        <v>982059.35784989246</v>
      </c>
      <c r="DV3" s="126">
        <f ca="1">MAX(DV2*(1+W3)-(Dashboard!$C$11)/(1-Dashboard!$C$17)*((1+Dashboard!$C$12)^$CZ3),0)</f>
        <v>872424.48384627129</v>
      </c>
      <c r="DW3" s="126">
        <f ca="1">MAX(DW2*(1+X3)-(Dashboard!$C$11)/(1-Dashboard!$C$17)*((1+Dashboard!$C$12)^$CZ3),0)</f>
        <v>760619.87425559398</v>
      </c>
      <c r="DX3" s="126">
        <f ca="1">MAX(DX2*(1+Y3)-(Dashboard!$C$11)/(1-Dashboard!$C$17)*((1+Dashboard!$C$12)^$CZ3),0)</f>
        <v>948535.61805725086</v>
      </c>
      <c r="DY3" s="126">
        <f ca="1">MAX(DY2*(1+Z3)-(Dashboard!$C$11)/(1-Dashboard!$C$17)*((1+Dashboard!$C$12)^$CZ3),0)</f>
        <v>752320.68374422262</v>
      </c>
      <c r="DZ3" s="126">
        <f ca="1">MAX(DZ2*(1+AA3)-(Dashboard!$C$11)/(1-Dashboard!$C$17)*((1+Dashboard!$C$12)^$CZ3),0)</f>
        <v>501346.15523818985</v>
      </c>
      <c r="EA3" s="126">
        <f ca="1">MAX(EA2*(1+AB3)-(Dashboard!$C$11)/(1-Dashboard!$C$17)*((1+Dashboard!$C$12)^$CZ3),0)</f>
        <v>1141518.0118558696</v>
      </c>
      <c r="EB3" s="126">
        <f ca="1">MAX(EB2*(1+AC3)-(Dashboard!$C$11)/(1-Dashboard!$C$17)*((1+Dashboard!$C$12)^$CZ3),0)</f>
        <v>1048240.7736102664</v>
      </c>
      <c r="EC3" s="126">
        <f ca="1">MAX(EC2*(1+AD3)-(Dashboard!$C$11)/(1-Dashboard!$C$17)*((1+Dashboard!$C$12)^$CZ3),0)</f>
        <v>1243310.22059795</v>
      </c>
      <c r="ED3" s="126">
        <f ca="1">MAX(ED2*(1+AE3)-(Dashboard!$C$11)/(1-Dashboard!$C$17)*((1+Dashboard!$C$12)^$CZ3),0)</f>
        <v>1199950.1688196908</v>
      </c>
      <c r="EE3" s="126">
        <f ca="1">MAX(EE2*(1+AF3)-(Dashboard!$C$11)/(1-Dashboard!$C$17)*((1+Dashboard!$C$12)^$CZ3),0)</f>
        <v>731186.57469812827</v>
      </c>
      <c r="EF3" s="126">
        <f ca="1">MAX(EF2*(1+AG3)-(Dashboard!$C$11)/(1-Dashboard!$C$17)*((1+Dashboard!$C$12)^$CZ3),0)</f>
        <v>1091253.3331912959</v>
      </c>
      <c r="EG3" s="126">
        <f ca="1">MAX(EG2*(1+AH3)-(Dashboard!$C$11)/(1-Dashboard!$C$17)*((1+Dashboard!$C$12)^$CZ3),0)</f>
        <v>1013348.4113240914</v>
      </c>
      <c r="EH3" s="126">
        <f ca="1">MAX(EH2*(1+AI3)-(Dashboard!$C$11)/(1-Dashboard!$C$17)*((1+Dashboard!$C$12)^$CZ3),0)</f>
        <v>1187657.2587201425</v>
      </c>
      <c r="EI3" s="126">
        <f ca="1">MAX(EI2*(1+AJ3)-(Dashboard!$C$11)/(1-Dashboard!$C$17)*((1+Dashboard!$C$12)^$CZ3),0)</f>
        <v>831023.81414446735</v>
      </c>
      <c r="EJ3" s="126">
        <f ca="1">MAX(EJ2*(1+AK3)-(Dashboard!$C$11)/(1-Dashboard!$C$17)*((1+Dashboard!$C$12)^$CZ3),0)</f>
        <v>1189465.2470604819</v>
      </c>
      <c r="EK3" s="126">
        <f ca="1">MAX(EK2*(1+AL3)-(Dashboard!$C$11)/(1-Dashboard!$C$17)*((1+Dashboard!$C$12)^$CZ3),0)</f>
        <v>899668.40105151956</v>
      </c>
      <c r="EL3" s="126">
        <f ca="1">MAX(EL2*(1+AM3)-(Dashboard!$C$11)/(1-Dashboard!$C$17)*((1+Dashboard!$C$12)^$CZ3),0)</f>
        <v>698812.46636446926</v>
      </c>
      <c r="EM3" s="126">
        <f ca="1">MAX(EM2*(1+AN3)-(Dashboard!$C$11)/(1-Dashboard!$C$17)*((1+Dashboard!$C$12)^$CZ3),0)</f>
        <v>1020542.4173658253</v>
      </c>
      <c r="EN3" s="126">
        <f ca="1">MAX(EN2*(1+AO3)-(Dashboard!$C$11)/(1-Dashboard!$C$17)*((1+Dashboard!$C$12)^$CZ3),0)</f>
        <v>712737.09971780982</v>
      </c>
      <c r="EO3" s="126">
        <f ca="1">MAX(EO2*(1+AP3)-(Dashboard!$C$11)/(1-Dashboard!$C$17)*((1+Dashboard!$C$12)^$CZ3),0)</f>
        <v>1147591.5960686565</v>
      </c>
      <c r="EP3" s="126">
        <f ca="1">MAX(EP2*(1+AQ3)-(Dashboard!$C$11)/(1-Dashboard!$C$17)*((1+Dashboard!$C$12)^$CZ3),0)</f>
        <v>873030.93881847954</v>
      </c>
      <c r="EQ3" s="126">
        <f ca="1">MAX(EQ2*(1+AR3)-(Dashboard!$C$11)/(1-Dashboard!$C$17)*((1+Dashboard!$C$12)^$CZ3),0)</f>
        <v>785128.00686662178</v>
      </c>
      <c r="ER3" s="126">
        <f ca="1">MAX(ER2*(1+AS3)-(Dashboard!$C$11)/(1-Dashboard!$C$17)*((1+Dashboard!$C$12)^$CZ3),0)</f>
        <v>1206460.5448652385</v>
      </c>
      <c r="ES3" s="126">
        <f ca="1">MAX(ES2*(1+AT3)-(Dashboard!$C$11)/(1-Dashboard!$C$17)*((1+Dashboard!$C$12)^$CZ3),0)</f>
        <v>619873.27466920391</v>
      </c>
      <c r="ET3" s="126">
        <f ca="1">MAX(ET2*(1+AU3)-(Dashboard!$C$11)/(1-Dashboard!$C$17)*((1+Dashboard!$C$12)^$CZ3),0)</f>
        <v>862042.46505788434</v>
      </c>
      <c r="EU3" s="126">
        <f ca="1">MAX(EU2*(1+AV3)-(Dashboard!$C$11)/(1-Dashboard!$C$17)*((1+Dashboard!$C$12)^$CZ3),0)</f>
        <v>895171.82031173538</v>
      </c>
      <c r="EV3" s="126">
        <f ca="1">MAX(EV2*(1+AW3)-(Dashboard!$C$11)/(1-Dashboard!$C$17)*((1+Dashboard!$C$12)^$CZ3),0)</f>
        <v>924864.68689153646</v>
      </c>
      <c r="EW3" s="126">
        <f ca="1">MAX(EW2*(1+AX3)-(Dashboard!$C$11)/(1-Dashboard!$C$17)*((1+Dashboard!$C$12)^$CZ3),0)</f>
        <v>840224.04874215706</v>
      </c>
      <c r="EX3" s="126">
        <f ca="1">MAX(EX2*(1+AY3)-(Dashboard!$C$11)/(1-Dashboard!$C$17)*((1+Dashboard!$C$12)^$CZ3),0)</f>
        <v>998510.4146029437</v>
      </c>
      <c r="EY3" s="126">
        <f ca="1">MAX(EY2*(1+AZ3)-(Dashboard!$C$11)/(1-Dashboard!$C$17)*((1+Dashboard!$C$12)^$CZ3),0)</f>
        <v>852846.15246628178</v>
      </c>
      <c r="EZ3" s="126">
        <f ca="1">MAX(EZ2*(1+BA3)-(Dashboard!$C$11)/(1-Dashboard!$C$17)*((1+Dashboard!$C$12)^$CZ3),0)</f>
        <v>1082964.4814729195</v>
      </c>
      <c r="FA3" s="126">
        <f ca="1">MAX(FA2*(1+BB3)-(Dashboard!$C$11)/(1-Dashboard!$C$17)*((1+Dashboard!$C$12)^$CZ3),0)</f>
        <v>822689.2250236721</v>
      </c>
      <c r="FB3" s="126">
        <f ca="1">MAX(FB2*(1+BC3)-(Dashboard!$C$11)/(1-Dashboard!$C$17)*((1+Dashboard!$C$12)^$CZ3),0)</f>
        <v>647129.5103524545</v>
      </c>
      <c r="FC3" s="126">
        <f ca="1">MAX(FC2*(1+BD3)-(Dashboard!$C$11)/(1-Dashboard!$C$17)*((1+Dashboard!$C$12)^$CZ3),0)</f>
        <v>752067.29848799517</v>
      </c>
      <c r="FD3" s="126">
        <f ca="1">MAX(FD2*(1+BE3)-(Dashboard!$C$11)/(1-Dashboard!$C$17)*((1+Dashboard!$C$12)^$CZ3),0)</f>
        <v>910581.57446289214</v>
      </c>
      <c r="FE3" s="126">
        <f ca="1">MAX(FE2*(1+BF3)-(Dashboard!$C$11)/(1-Dashboard!$C$17)*((1+Dashboard!$C$12)^$CZ3),0)</f>
        <v>1254912.8304176591</v>
      </c>
      <c r="FF3" s="126">
        <f ca="1">MAX(FF2*(1+BG3)-(Dashboard!$C$11)/(1-Dashboard!$C$17)*((1+Dashboard!$C$12)^$CZ3),0)</f>
        <v>1065659.4224592808</v>
      </c>
      <c r="FG3" s="126">
        <f ca="1">MAX(FG2*(1+BH3)-(Dashboard!$C$11)/(1-Dashboard!$C$17)*((1+Dashboard!$C$12)^$CZ3),0)</f>
        <v>1330674.9095544463</v>
      </c>
      <c r="FH3" s="126">
        <f ca="1">MAX(FH2*(1+BI3)-(Dashboard!$C$11)/(1-Dashboard!$C$17)*((1+Dashboard!$C$12)^$CZ3),0)</f>
        <v>678822.04372682155</v>
      </c>
      <c r="FI3" s="126">
        <f ca="1">MAX(FI2*(1+BJ3)-(Dashboard!$C$11)/(1-Dashboard!$C$17)*((1+Dashboard!$C$12)^$CZ3),0)</f>
        <v>1064112.8140818954</v>
      </c>
      <c r="FJ3" s="126">
        <f ca="1">MAX(FJ2*(1+BK3)-(Dashboard!$C$11)/(1-Dashboard!$C$17)*((1+Dashboard!$C$12)^$CZ3),0)</f>
        <v>985838.75069138687</v>
      </c>
      <c r="FK3" s="126">
        <f ca="1">MAX(FK2*(1+BL3)-(Dashboard!$C$11)/(1-Dashboard!$C$17)*((1+Dashboard!$C$12)^$CZ3),0)</f>
        <v>915435.38019861293</v>
      </c>
      <c r="FL3" s="126">
        <f ca="1">MAX(FL2*(1+BM3)-(Dashboard!$C$11)/(1-Dashboard!$C$17)*((1+Dashboard!$C$12)^$CZ3),0)</f>
        <v>1128710.8695654252</v>
      </c>
      <c r="FM3" s="126">
        <f ca="1">MAX(FM2*(1+BN3)-(Dashboard!$C$11)/(1-Dashboard!$C$17)*((1+Dashboard!$C$12)^$CZ3),0)</f>
        <v>1050996.4383708413</v>
      </c>
      <c r="FN3" s="126">
        <f ca="1">MAX(FN2*(1+BO3)-(Dashboard!$C$11)/(1-Dashboard!$C$17)*((1+Dashboard!$C$12)^$CZ3),0)</f>
        <v>798224.20040831179</v>
      </c>
      <c r="FO3" s="126">
        <f ca="1">MAX(FO2*(1+BP3)-(Dashboard!$C$11)/(1-Dashboard!$C$17)*((1+Dashboard!$C$12)^$CZ3),0)</f>
        <v>1074917.7861180517</v>
      </c>
      <c r="FP3" s="126">
        <f ca="1">MAX(FP2*(1+BQ3)-(Dashboard!$C$11)/(1-Dashboard!$C$17)*((1+Dashboard!$C$12)^$CZ3),0)</f>
        <v>1074475.8203597807</v>
      </c>
      <c r="FQ3" s="126">
        <f ca="1">MAX(FQ2*(1+BR3)-(Dashboard!$C$11)/(1-Dashboard!$C$17)*((1+Dashboard!$C$12)^$CZ3),0)</f>
        <v>1241002.1161049185</v>
      </c>
      <c r="FR3" s="126">
        <f ca="1">MAX(FR2*(1+BS3)-(Dashboard!$C$11)/(1-Dashboard!$C$17)*((1+Dashboard!$C$12)^$CZ3),0)</f>
        <v>980287.87029244669</v>
      </c>
      <c r="FS3" s="126">
        <f ca="1">MAX(FS2*(1+BT3)-(Dashboard!$C$11)/(1-Dashboard!$C$17)*((1+Dashboard!$C$12)^$CZ3),0)</f>
        <v>1040041.2685681209</v>
      </c>
      <c r="FT3" s="126">
        <f ca="1">MAX(FT2*(1+BU3)-(Dashboard!$C$11)/(1-Dashboard!$C$17)*((1+Dashboard!$C$12)^$CZ3),0)</f>
        <v>970197.26269332704</v>
      </c>
      <c r="FU3" s="126">
        <f ca="1">MAX(FU2*(1+BV3)-(Dashboard!$C$11)/(1-Dashboard!$C$17)*((1+Dashboard!$C$12)^$CZ3),0)</f>
        <v>742732.47913987911</v>
      </c>
      <c r="FV3" s="126">
        <f ca="1">MAX(FV2*(1+BW3)-(Dashboard!$C$11)/(1-Dashboard!$C$17)*((1+Dashboard!$C$12)^$CZ3),0)</f>
        <v>685067.3968085727</v>
      </c>
      <c r="FW3" s="126">
        <f ca="1">MAX(FW2*(1+BX3)-(Dashboard!$C$11)/(1-Dashboard!$C$17)*((1+Dashboard!$C$12)^$CZ3),0)</f>
        <v>1078543.2431632411</v>
      </c>
      <c r="FX3" s="126">
        <f ca="1">MAX(FX2*(1+BY3)-(Dashboard!$C$11)/(1-Dashboard!$C$17)*((1+Dashboard!$C$12)^$CZ3),0)</f>
        <v>1098897.9377519113</v>
      </c>
      <c r="FY3" s="126">
        <f ca="1">MAX(FY2*(1+BZ3)-(Dashboard!$C$11)/(1-Dashboard!$C$17)*((1+Dashboard!$C$12)^$CZ3),0)</f>
        <v>1109539.900333921</v>
      </c>
      <c r="FZ3" s="126">
        <f ca="1">MAX(FZ2*(1+CA3)-(Dashboard!$C$11)/(1-Dashboard!$C$17)*((1+Dashboard!$C$12)^$CZ3),0)</f>
        <v>1041227.7993598098</v>
      </c>
      <c r="GA3" s="126">
        <f ca="1">MAX(GA2*(1+CB3)-(Dashboard!$C$11)/(1-Dashboard!$C$17)*((1+Dashboard!$C$12)^$CZ3),0)</f>
        <v>1028059.9941212714</v>
      </c>
      <c r="GB3" s="126">
        <f ca="1">MAX(GB2*(1+CC3)-(Dashboard!$C$11)/(1-Dashboard!$C$17)*((1+Dashboard!$C$12)^$CZ3),0)</f>
        <v>811914.01752358733</v>
      </c>
      <c r="GC3" s="126">
        <f ca="1">MAX(GC2*(1+CD3)-(Dashboard!$C$11)/(1-Dashboard!$C$17)*((1+Dashboard!$C$12)^$CZ3),0)</f>
        <v>1010619.3216485052</v>
      </c>
      <c r="GD3" s="126">
        <f ca="1">MAX(GD2*(1+CE3)-(Dashboard!$C$11)/(1-Dashboard!$C$17)*((1+Dashboard!$C$12)^$CZ3),0)</f>
        <v>1090046.1315134023</v>
      </c>
      <c r="GE3" s="126">
        <f ca="1">MAX(GE2*(1+CF3)-(Dashboard!$C$11)/(1-Dashboard!$C$17)*((1+Dashboard!$C$12)^$CZ3),0)</f>
        <v>870297.82711033698</v>
      </c>
      <c r="GF3" s="126">
        <f ca="1">MAX(GF2*(1+CG3)-(Dashboard!$C$11)/(1-Dashboard!$C$17)*((1+Dashboard!$C$12)^$CZ3),0)</f>
        <v>1211262.8801517184</v>
      </c>
      <c r="GG3" s="126">
        <f ca="1">MAX(GG2*(1+CH3)-(Dashboard!$C$11)/(1-Dashboard!$C$17)*((1+Dashboard!$C$12)^$CZ3),0)</f>
        <v>785670.82013354963</v>
      </c>
      <c r="GH3" s="126">
        <f ca="1">MAX(GH2*(1+CI3)-(Dashboard!$C$11)/(1-Dashboard!$C$17)*((1+Dashboard!$C$12)^$CZ3),0)</f>
        <v>954410.00243549736</v>
      </c>
      <c r="GI3" s="126">
        <f ca="1">MAX(GI2*(1+CJ3)-(Dashboard!$C$11)/(1-Dashboard!$C$17)*((1+Dashboard!$C$12)^$CZ3),0)</f>
        <v>913944.29307741148</v>
      </c>
      <c r="GJ3" s="126">
        <f ca="1">MAX(GJ2*(1+CK3)-(Dashboard!$C$11)/(1-Dashboard!$C$17)*((1+Dashboard!$C$12)^$CZ3),0)</f>
        <v>1182160.2849223877</v>
      </c>
      <c r="GK3" s="126">
        <f ca="1">MAX(GK2*(1+CL3)-(Dashboard!$C$11)/(1-Dashboard!$C$17)*((1+Dashboard!$C$12)^$CZ3),0)</f>
        <v>840763.64181690442</v>
      </c>
      <c r="GL3" s="126">
        <f ca="1">MAX(GL2*(1+CM3)-(Dashboard!$C$11)/(1-Dashboard!$C$17)*((1+Dashboard!$C$12)^$CZ3),0)</f>
        <v>925836.4210829261</v>
      </c>
      <c r="GM3" s="126">
        <f ca="1">MAX(GM2*(1+CN3)-(Dashboard!$C$11)/(1-Dashboard!$C$17)*((1+Dashboard!$C$12)^$CZ3),0)</f>
        <v>1104303.6321911009</v>
      </c>
      <c r="GN3" s="126">
        <f ca="1">MAX(GN2*(1+CO3)-(Dashboard!$C$11)/(1-Dashboard!$C$17)*((1+Dashboard!$C$12)^$CZ3),0)</f>
        <v>1163220.732951306</v>
      </c>
      <c r="GO3" s="126">
        <f ca="1">MAX(GO2*(1+CP3)-(Dashboard!$C$11)/(1-Dashboard!$C$17)*((1+Dashboard!$C$12)^$CZ3),0)</f>
        <v>1445480.2541434383</v>
      </c>
      <c r="GP3" s="126">
        <f ca="1">MAX(GP2*(1+CQ3)-(Dashboard!$C$11)/(1-Dashboard!$C$17)*((1+Dashboard!$C$12)^$CZ3),0)</f>
        <v>946108.07487503998</v>
      </c>
      <c r="GQ3" s="126">
        <f ca="1">MAX(GQ2*(1+CR3)-(Dashboard!$C$11)/(1-Dashboard!$C$17)*((1+Dashboard!$C$12)^$CZ3),0)</f>
        <v>1139000.3649361331</v>
      </c>
      <c r="GR3" s="126">
        <f ca="1">MAX(GR2*(1+CS3)-(Dashboard!$C$11)/(1-Dashboard!$C$17)*((1+Dashboard!$C$12)^$CZ3),0)</f>
        <v>915518.39725646668</v>
      </c>
      <c r="GS3" s="126">
        <f ca="1">MAX(GS2*(1+CT3)-(Dashboard!$C$11)/(1-Dashboard!$C$17)*((1+Dashboard!$C$12)^$CZ3),0)</f>
        <v>794928.64627078886</v>
      </c>
      <c r="GT3" s="126">
        <f ca="1">MAX(GT2*(1+CU3)-(Dashboard!$C$11)/(1-Dashboard!$C$17)*((1+Dashboard!$C$12)^$CZ3),0)</f>
        <v>935019.88777580147</v>
      </c>
      <c r="GU3" s="126">
        <f ca="1">MAX(GU2*(1+CV3)-(Dashboard!$C$11)/(1-Dashboard!$C$17)*((1+Dashboard!$C$12)^$CZ3),0)</f>
        <v>834474.66484673531</v>
      </c>
      <c r="GV3" s="126">
        <f ca="1">MAX(GV2*(1+CW3)-(Dashboard!$C$11)/(1-Dashboard!$C$17)*((1+Dashboard!$C$12)^$CZ3),0)</f>
        <v>954419.78275677015</v>
      </c>
      <c r="GW3" s="115">
        <f>GW2+1</f>
        <v>52</v>
      </c>
      <c r="GX3" s="130">
        <f t="shared" ref="GX3:GX51" ca="1" si="2">COUNTIF(DA3:GV3,"&gt;0")</f>
        <v>100</v>
      </c>
      <c r="HC3" s="130">
        <f t="shared" si="0"/>
        <v>52</v>
      </c>
      <c r="HD3" s="137">
        <f t="shared" ca="1" si="1"/>
        <v>829631.06616832223</v>
      </c>
      <c r="HE3" s="137">
        <f t="shared" ca="1" si="1"/>
        <v>954414.89259613375</v>
      </c>
      <c r="HF3" s="137">
        <f t="shared" ca="1" si="1"/>
        <v>1088275.7190032816</v>
      </c>
    </row>
    <row r="4" spans="1:214" ht="16">
      <c r="A4" s="145">
        <f t="shared" ref="A4:A51" si="3">A3+1</f>
        <v>53</v>
      </c>
      <c r="B4" s="122">
        <f ca="1">(Dashboard!$C$7*'Equity and Bond Returns'!N4)+(Dashboard!$C$8*'Equity and Bond Returns'!DL4)</f>
        <v>-3.1062621889147393E-2</v>
      </c>
      <c r="C4" s="122">
        <f ca="1">(Dashboard!$C$7*'Equity and Bond Returns'!O4)+(Dashboard!$C$8*'Equity and Bond Returns'!DM4)</f>
        <v>0.13820701299678018</v>
      </c>
      <c r="D4" s="122">
        <f ca="1">(Dashboard!$C$7*'Equity and Bond Returns'!P4)+(Dashboard!$C$8*'Equity and Bond Returns'!DN4)</f>
        <v>-0.16568171512864457</v>
      </c>
      <c r="E4" s="122">
        <f ca="1">(Dashboard!$C$7*'Equity and Bond Returns'!Q4)+(Dashboard!$C$8*'Equity and Bond Returns'!DO4)</f>
        <v>4.8762816702030823E-2</v>
      </c>
      <c r="F4" s="122">
        <f ca="1">(Dashboard!$C$7*'Equity and Bond Returns'!R4)+(Dashboard!$C$8*'Equity and Bond Returns'!DP4)</f>
        <v>0.30344524798970474</v>
      </c>
      <c r="G4" s="122">
        <f ca="1">(Dashboard!$C$7*'Equity and Bond Returns'!S4)+(Dashboard!$C$8*'Equity and Bond Returns'!DQ4)</f>
        <v>0.22148938889707337</v>
      </c>
      <c r="H4" s="122">
        <f ca="1">(Dashboard!$C$7*'Equity and Bond Returns'!T4)+(Dashboard!$C$8*'Equity and Bond Returns'!DR4)</f>
        <v>-0.10281146629132552</v>
      </c>
      <c r="I4" s="122">
        <f ca="1">(Dashboard!$C$7*'Equity and Bond Returns'!U4)+(Dashboard!$C$8*'Equity and Bond Returns'!DS4)</f>
        <v>9.9843362228756713E-2</v>
      </c>
      <c r="J4" s="122">
        <f ca="1">(Dashboard!$C$7*'Equity and Bond Returns'!V4)+(Dashboard!$C$8*'Equity and Bond Returns'!DT4)</f>
        <v>2.3757810115758816E-2</v>
      </c>
      <c r="K4" s="122">
        <f ca="1">(Dashboard!$C$7*'Equity and Bond Returns'!W4)+(Dashboard!$C$8*'Equity and Bond Returns'!DU4)</f>
        <v>0.13023412131997805</v>
      </c>
      <c r="L4" s="122">
        <f ca="1">(Dashboard!$C$7*'Equity and Bond Returns'!X4)+(Dashboard!$C$8*'Equity and Bond Returns'!DV4)</f>
        <v>-3.2860779451710571E-2</v>
      </c>
      <c r="M4" s="122">
        <f ca="1">(Dashboard!$C$7*'Equity and Bond Returns'!Y4)+(Dashboard!$C$8*'Equity and Bond Returns'!DW4)</f>
        <v>0.2010672796398878</v>
      </c>
      <c r="N4" s="122">
        <f ca="1">(Dashboard!$C$7*'Equity and Bond Returns'!Z4)+(Dashboard!$C$8*'Equity and Bond Returns'!DX4)</f>
        <v>0.15499761155897601</v>
      </c>
      <c r="O4" s="122">
        <f ca="1">(Dashboard!$C$7*'Equity and Bond Returns'!AA4)+(Dashboard!$C$8*'Equity and Bond Returns'!DY4)</f>
        <v>0.26735454495663008</v>
      </c>
      <c r="P4" s="122">
        <f ca="1">(Dashboard!$C$7*'Equity and Bond Returns'!AB4)+(Dashboard!$C$8*'Equity and Bond Returns'!DZ4)</f>
        <v>0.23219180896973246</v>
      </c>
      <c r="Q4" s="122">
        <f ca="1">(Dashboard!$C$7*'Equity and Bond Returns'!AC4)+(Dashboard!$C$8*'Equity and Bond Returns'!EA4)</f>
        <v>-0.14963707676569299</v>
      </c>
      <c r="R4" s="122">
        <f ca="1">(Dashboard!$C$7*'Equity and Bond Returns'!AD4)+(Dashboard!$C$8*'Equity and Bond Returns'!EB4)</f>
        <v>2.0529571556698049E-2</v>
      </c>
      <c r="S4" s="122">
        <f ca="1">(Dashboard!$C$7*'Equity and Bond Returns'!AE4)+(Dashboard!$C$8*'Equity and Bond Returns'!EC4)</f>
        <v>0.12444647643386872</v>
      </c>
      <c r="T4" s="122">
        <f ca="1">(Dashboard!$C$7*'Equity and Bond Returns'!AF4)+(Dashboard!$C$8*'Equity and Bond Returns'!ED4)</f>
        <v>0.10323671386098188</v>
      </c>
      <c r="U4" s="122">
        <f ca="1">(Dashboard!$C$7*'Equity and Bond Returns'!AG4)+(Dashboard!$C$8*'Equity and Bond Returns'!EE4)</f>
        <v>0.21730919034152704</v>
      </c>
      <c r="V4" s="122">
        <f ca="1">(Dashboard!$C$7*'Equity and Bond Returns'!AH4)+(Dashboard!$C$8*'Equity and Bond Returns'!EF4)</f>
        <v>0.15296115977099717</v>
      </c>
      <c r="W4" s="122">
        <f ca="1">(Dashboard!$C$7*'Equity and Bond Returns'!AI4)+(Dashboard!$C$8*'Equity and Bond Returns'!EG4)</f>
        <v>0.1690458407781886</v>
      </c>
      <c r="X4" s="122">
        <f ca="1">(Dashboard!$C$7*'Equity and Bond Returns'!AJ4)+(Dashboard!$C$8*'Equity and Bond Returns'!EH4)</f>
        <v>8.8613578945293536E-2</v>
      </c>
      <c r="Y4" s="122">
        <f ca="1">(Dashboard!$C$7*'Equity and Bond Returns'!AK4)+(Dashboard!$C$8*'Equity and Bond Returns'!EI4)</f>
        <v>-2.3576703285445519E-2</v>
      </c>
      <c r="Z4" s="122">
        <f ca="1">(Dashboard!$C$7*'Equity and Bond Returns'!AL4)+(Dashboard!$C$8*'Equity and Bond Returns'!EJ4)</f>
        <v>0.14101145377655341</v>
      </c>
      <c r="AA4" s="122">
        <f ca="1">(Dashboard!$C$7*'Equity and Bond Returns'!AM4)+(Dashboard!$C$8*'Equity and Bond Returns'!EK4)</f>
        <v>0.14597867941258291</v>
      </c>
      <c r="AB4" s="122">
        <f ca="1">(Dashboard!$C$7*'Equity and Bond Returns'!AN4)+(Dashboard!$C$8*'Equity and Bond Returns'!EL4)</f>
        <v>5.869203718324946E-2</v>
      </c>
      <c r="AC4" s="122">
        <f ca="1">(Dashboard!$C$7*'Equity and Bond Returns'!AO4)+(Dashboard!$C$8*'Equity and Bond Returns'!EM4)</f>
        <v>-2.2218532311123911E-2</v>
      </c>
      <c r="AD4" s="122">
        <f ca="1">(Dashboard!$C$7*'Equity and Bond Returns'!AP4)+(Dashboard!$C$8*'Equity and Bond Returns'!EN4)</f>
        <v>0.1480816713273046</v>
      </c>
      <c r="AE4" s="122">
        <f ca="1">(Dashboard!$C$7*'Equity and Bond Returns'!AQ4)+(Dashboard!$C$8*'Equity and Bond Returns'!EO4)</f>
        <v>9.7561748773218243E-2</v>
      </c>
      <c r="AF4" s="122">
        <f ca="1">(Dashboard!$C$7*'Equity and Bond Returns'!AR4)+(Dashboard!$C$8*'Equity and Bond Returns'!EP4)</f>
        <v>7.288659571902234E-2</v>
      </c>
      <c r="AG4" s="122">
        <f ca="1">(Dashboard!$C$7*'Equity and Bond Returns'!AS4)+(Dashboard!$C$8*'Equity and Bond Returns'!EQ4)</f>
        <v>2.1903097359234836E-2</v>
      </c>
      <c r="AH4" s="122">
        <f ca="1">(Dashboard!$C$7*'Equity and Bond Returns'!AT4)+(Dashboard!$C$8*'Equity and Bond Returns'!ER4)</f>
        <v>0.22173850331263814</v>
      </c>
      <c r="AI4" s="122">
        <f ca="1">(Dashboard!$C$7*'Equity and Bond Returns'!AU4)+(Dashboard!$C$8*'Equity and Bond Returns'!ES4)</f>
        <v>0.16779698154121436</v>
      </c>
      <c r="AJ4" s="122">
        <f ca="1">(Dashboard!$C$7*'Equity and Bond Returns'!AV4)+(Dashboard!$C$8*'Equity and Bond Returns'!ET4)</f>
        <v>0.12028606026453079</v>
      </c>
      <c r="AK4" s="122">
        <f ca="1">(Dashboard!$C$7*'Equity and Bond Returns'!AW4)+(Dashboard!$C$8*'Equity and Bond Returns'!EU4)</f>
        <v>0.21618276345288787</v>
      </c>
      <c r="AL4" s="122">
        <f ca="1">(Dashboard!$C$7*'Equity and Bond Returns'!AX4)+(Dashboard!$C$8*'Equity and Bond Returns'!EV4)</f>
        <v>0.22395957155461116</v>
      </c>
      <c r="AM4" s="122">
        <f ca="1">(Dashboard!$C$7*'Equity and Bond Returns'!AY4)+(Dashboard!$C$8*'Equity and Bond Returns'!EW4)</f>
        <v>0.10612633496937589</v>
      </c>
      <c r="AN4" s="122">
        <f ca="1">(Dashboard!$C$7*'Equity and Bond Returns'!AZ4)+(Dashboard!$C$8*'Equity and Bond Returns'!EX4)</f>
        <v>0.25843023971901757</v>
      </c>
      <c r="AO4" s="122">
        <f ca="1">(Dashboard!$C$7*'Equity and Bond Returns'!BA4)+(Dashboard!$C$8*'Equity and Bond Returns'!EY4)</f>
        <v>0.35510443041514173</v>
      </c>
      <c r="AP4" s="122">
        <f ca="1">(Dashboard!$C$7*'Equity and Bond Returns'!BB4)+(Dashboard!$C$8*'Equity and Bond Returns'!EZ4)</f>
        <v>0.13447889790428552</v>
      </c>
      <c r="AQ4" s="122">
        <f ca="1">(Dashboard!$C$7*'Equity and Bond Returns'!BC4)+(Dashboard!$C$8*'Equity and Bond Returns'!FA4)</f>
        <v>0.10792529582365488</v>
      </c>
      <c r="AR4" s="122">
        <f ca="1">(Dashboard!$C$7*'Equity and Bond Returns'!BD4)+(Dashboard!$C$8*'Equity and Bond Returns'!FB4)</f>
        <v>-0.11717891805574238</v>
      </c>
      <c r="AS4" s="122">
        <f ca="1">(Dashboard!$C$7*'Equity and Bond Returns'!BE4)+(Dashboard!$C$8*'Equity and Bond Returns'!FC4)</f>
        <v>0.16775804499002389</v>
      </c>
      <c r="AT4" s="122">
        <f ca="1">(Dashboard!$C$7*'Equity and Bond Returns'!BF4)+(Dashboard!$C$8*'Equity and Bond Returns'!FD4)</f>
        <v>-7.7259414193984965E-2</v>
      </c>
      <c r="AU4" s="122">
        <f ca="1">(Dashboard!$C$7*'Equity and Bond Returns'!BG4)+(Dashboard!$C$8*'Equity and Bond Returns'!FE4)</f>
        <v>0.11823371462928506</v>
      </c>
      <c r="AV4" s="122">
        <f ca="1">(Dashboard!$C$7*'Equity and Bond Returns'!BH4)+(Dashboard!$C$8*'Equity and Bond Returns'!FF4)</f>
        <v>-7.8791068463645482E-3</v>
      </c>
      <c r="AW4" s="122">
        <f ca="1">(Dashboard!$C$7*'Equity and Bond Returns'!BI4)+(Dashboard!$C$8*'Equity and Bond Returns'!FG4)</f>
        <v>0.31912081149047394</v>
      </c>
      <c r="AX4" s="122">
        <f ca="1">(Dashboard!$C$7*'Equity and Bond Returns'!BJ4)+(Dashboard!$C$8*'Equity and Bond Returns'!FH4)</f>
        <v>2.3589244854321571E-2</v>
      </c>
      <c r="AY4" s="122">
        <f ca="1">(Dashboard!$C$7*'Equity and Bond Returns'!BK4)+(Dashboard!$C$8*'Equity and Bond Returns'!FI4)</f>
        <v>-7.9320660855853015E-2</v>
      </c>
      <c r="AZ4" s="122">
        <f ca="1">(Dashboard!$C$7*'Equity and Bond Returns'!BL4)+(Dashboard!$C$8*'Equity and Bond Returns'!FJ4)</f>
        <v>1.2930859778411793E-2</v>
      </c>
      <c r="BA4" s="122">
        <f ca="1">(Dashboard!$C$7*'Equity and Bond Returns'!BM4)+(Dashboard!$C$8*'Equity and Bond Returns'!FK4)</f>
        <v>0.18668375554177796</v>
      </c>
      <c r="BB4" s="122">
        <f ca="1">(Dashboard!$C$7*'Equity and Bond Returns'!BN4)+(Dashboard!$C$8*'Equity and Bond Returns'!FL4)</f>
        <v>7.5952109411645208E-2</v>
      </c>
      <c r="BC4" s="122">
        <f ca="1">(Dashboard!$C$7*'Equity and Bond Returns'!BO4)+(Dashboard!$C$8*'Equity and Bond Returns'!FM4)</f>
        <v>0.22762131690925166</v>
      </c>
      <c r="BD4" s="122">
        <f ca="1">(Dashboard!$C$7*'Equity and Bond Returns'!BP4)+(Dashboard!$C$8*'Equity and Bond Returns'!FN4)</f>
        <v>0.31466617209167952</v>
      </c>
      <c r="BE4" s="122">
        <f ca="1">(Dashboard!$C$7*'Equity and Bond Returns'!BQ4)+(Dashboard!$C$8*'Equity and Bond Returns'!FO4)</f>
        <v>0.42080200288485947</v>
      </c>
      <c r="BF4" s="122">
        <f ca="1">(Dashboard!$C$7*'Equity and Bond Returns'!BR4)+(Dashboard!$C$8*'Equity and Bond Returns'!FP4)</f>
        <v>0.22435084814654388</v>
      </c>
      <c r="BG4" s="122">
        <f ca="1">(Dashboard!$C$7*'Equity and Bond Returns'!BS4)+(Dashboard!$C$8*'Equity and Bond Returns'!FQ4)</f>
        <v>-2.7064029681443745E-2</v>
      </c>
      <c r="BH4" s="122">
        <f ca="1">(Dashboard!$C$7*'Equity and Bond Returns'!BT4)+(Dashboard!$C$8*'Equity and Bond Returns'!FR4)</f>
        <v>0.17394386702087281</v>
      </c>
      <c r="BI4" s="122">
        <f ca="1">(Dashboard!$C$7*'Equity and Bond Returns'!BU4)+(Dashboard!$C$8*'Equity and Bond Returns'!FS4)</f>
        <v>0.11074300505310879</v>
      </c>
      <c r="BJ4" s="122">
        <f ca="1">(Dashboard!$C$7*'Equity and Bond Returns'!BV4)+(Dashboard!$C$8*'Equity and Bond Returns'!FT4)</f>
        <v>0.38447427607188911</v>
      </c>
      <c r="BK4" s="122">
        <f ca="1">(Dashboard!$C$7*'Equity and Bond Returns'!BW4)+(Dashboard!$C$8*'Equity and Bond Returns'!FU4)</f>
        <v>1.7861484644733708E-2</v>
      </c>
      <c r="BL4" s="122">
        <f ca="1">(Dashboard!$C$7*'Equity and Bond Returns'!BX4)+(Dashboard!$C$8*'Equity and Bond Returns'!FV4)</f>
        <v>-0.10434838418513297</v>
      </c>
      <c r="BM4" s="122">
        <f ca="1">(Dashboard!$C$7*'Equity and Bond Returns'!BY4)+(Dashboard!$C$8*'Equity and Bond Returns'!FW4)</f>
        <v>0.20603392550801189</v>
      </c>
      <c r="BN4" s="122">
        <f ca="1">(Dashboard!$C$7*'Equity and Bond Returns'!BZ4)+(Dashboard!$C$8*'Equity and Bond Returns'!FX4)</f>
        <v>-0.11224280541326415</v>
      </c>
      <c r="BO4" s="122">
        <f ca="1">(Dashboard!$C$7*'Equity and Bond Returns'!CA4)+(Dashboard!$C$8*'Equity and Bond Returns'!FY4)</f>
        <v>4.0386686078890524E-2</v>
      </c>
      <c r="BP4" s="122">
        <f ca="1">(Dashboard!$C$7*'Equity and Bond Returns'!CB4)+(Dashboard!$C$8*'Equity and Bond Returns'!FZ4)</f>
        <v>-3.9668188574207362E-2</v>
      </c>
      <c r="BQ4" s="122">
        <f ca="1">(Dashboard!$C$7*'Equity and Bond Returns'!CC4)+(Dashboard!$C$8*'Equity and Bond Returns'!GA4)</f>
        <v>-5.4653628426625037E-2</v>
      </c>
      <c r="BR4" s="122">
        <f ca="1">(Dashboard!$C$7*'Equity and Bond Returns'!CD4)+(Dashboard!$C$8*'Equity and Bond Returns'!GB4)</f>
        <v>0.31011906181132093</v>
      </c>
      <c r="BS4" s="122">
        <f ca="1">(Dashboard!$C$7*'Equity and Bond Returns'!CE4)+(Dashboard!$C$8*'Equity and Bond Returns'!GC4)</f>
        <v>0.21376779864294881</v>
      </c>
      <c r="BT4" s="122">
        <f ca="1">(Dashboard!$C$7*'Equity and Bond Returns'!CF4)+(Dashboard!$C$8*'Equity and Bond Returns'!GD4)</f>
        <v>2.2462497326347176E-2</v>
      </c>
      <c r="BU4" s="122">
        <f ca="1">(Dashboard!$C$7*'Equity and Bond Returns'!CG4)+(Dashboard!$C$8*'Equity and Bond Returns'!GE4)</f>
        <v>4.954392091869364E-2</v>
      </c>
      <c r="BV4" s="122">
        <f ca="1">(Dashboard!$C$7*'Equity and Bond Returns'!CH4)+(Dashboard!$C$8*'Equity and Bond Returns'!GF4)</f>
        <v>0.10124973192846431</v>
      </c>
      <c r="BW4" s="122">
        <f ca="1">(Dashboard!$C$7*'Equity and Bond Returns'!CI4)+(Dashboard!$C$8*'Equity and Bond Returns'!GG4)</f>
        <v>-0.12989559690755387</v>
      </c>
      <c r="BX4" s="122">
        <f ca="1">(Dashboard!$C$7*'Equity and Bond Returns'!CJ4)+(Dashboard!$C$8*'Equity and Bond Returns'!GH4)</f>
        <v>-0.17668464471567707</v>
      </c>
      <c r="BY4" s="122">
        <f ca="1">(Dashboard!$C$7*'Equity and Bond Returns'!CK4)+(Dashboard!$C$8*'Equity and Bond Returns'!GI4)</f>
        <v>-2.3603372540210981E-2</v>
      </c>
      <c r="BZ4" s="122">
        <f ca="1">(Dashboard!$C$7*'Equity and Bond Returns'!CL4)+(Dashboard!$C$8*'Equity and Bond Returns'!GJ4)</f>
        <v>0.19221148641866265</v>
      </c>
      <c r="CA4" s="122">
        <f ca="1">(Dashboard!$C$7*'Equity and Bond Returns'!CM4)+(Dashboard!$C$8*'Equity and Bond Returns'!GK4)</f>
        <v>2.3107643639425343E-2</v>
      </c>
      <c r="CB4" s="122">
        <f ca="1">(Dashboard!$C$7*'Equity and Bond Returns'!CN4)+(Dashboard!$C$8*'Equity and Bond Returns'!GL4)</f>
        <v>0.11004796441423917</v>
      </c>
      <c r="CC4" s="122">
        <f ca="1">(Dashboard!$C$7*'Equity and Bond Returns'!CO4)+(Dashboard!$C$8*'Equity and Bond Returns'!GM4)</f>
        <v>0.23197291269214157</v>
      </c>
      <c r="CD4" s="122">
        <f ca="1">(Dashboard!$C$7*'Equity and Bond Returns'!CP4)+(Dashboard!$C$8*'Equity and Bond Returns'!GN4)</f>
        <v>0.22117034781702094</v>
      </c>
      <c r="CE4" s="122">
        <f ca="1">(Dashboard!$C$7*'Equity and Bond Returns'!CQ4)+(Dashboard!$C$8*'Equity and Bond Returns'!GO4)</f>
        <v>7.4153813231696161E-2</v>
      </c>
      <c r="CF4" s="122">
        <f ca="1">(Dashboard!$C$7*'Equity and Bond Returns'!CR4)+(Dashboard!$C$8*'Equity and Bond Returns'!GP4)</f>
        <v>0.21850093694299025</v>
      </c>
      <c r="CG4" s="122">
        <f ca="1">(Dashboard!$C$7*'Equity and Bond Returns'!CS4)+(Dashboard!$C$8*'Equity and Bond Returns'!GQ4)</f>
        <v>0.28200134859748754</v>
      </c>
      <c r="CH4" s="122">
        <f ca="1">(Dashboard!$C$7*'Equity and Bond Returns'!CT4)+(Dashboard!$C$8*'Equity and Bond Returns'!GR4)</f>
        <v>0.13402089815466656</v>
      </c>
      <c r="CI4" s="122">
        <f ca="1">(Dashboard!$C$7*'Equity and Bond Returns'!CU4)+(Dashboard!$C$8*'Equity and Bond Returns'!GS4)</f>
        <v>6.0726645392095449E-2</v>
      </c>
      <c r="CJ4" s="122">
        <f ca="1">(Dashboard!$C$7*'Equity and Bond Returns'!CV4)+(Dashboard!$C$8*'Equity and Bond Returns'!GT4)</f>
        <v>0.23180123189532828</v>
      </c>
      <c r="CK4" s="122">
        <f ca="1">(Dashboard!$C$7*'Equity and Bond Returns'!CW4)+(Dashboard!$C$8*'Equity and Bond Returns'!GU4)</f>
        <v>-7.3880499416044493E-2</v>
      </c>
      <c r="CL4" s="122">
        <f ca="1">(Dashboard!$C$7*'Equity and Bond Returns'!CX4)+(Dashboard!$C$8*'Equity and Bond Returns'!GV4)</f>
        <v>0.19402701122017213</v>
      </c>
      <c r="CM4" s="122">
        <f ca="1">(Dashboard!$C$7*'Equity and Bond Returns'!CY4)+(Dashboard!$C$8*'Equity and Bond Returns'!GW4)</f>
        <v>0.15004611659147463</v>
      </c>
      <c r="CN4" s="122">
        <f ca="1">(Dashboard!$C$7*'Equity and Bond Returns'!CZ4)+(Dashboard!$C$8*'Equity and Bond Returns'!GX4)</f>
        <v>0.48723271641422394</v>
      </c>
      <c r="CO4" s="122">
        <f ca="1">(Dashboard!$C$7*'Equity and Bond Returns'!DA4)+(Dashboard!$C$8*'Equity and Bond Returns'!GY4)</f>
        <v>4.2279173948940901E-2</v>
      </c>
      <c r="CP4" s="122">
        <f ca="1">(Dashboard!$C$7*'Equity and Bond Returns'!DB4)+(Dashboard!$C$8*'Equity and Bond Returns'!GZ4)</f>
        <v>-0.21314094276056209</v>
      </c>
      <c r="CQ4" s="122">
        <f ca="1">(Dashboard!$C$7*'Equity and Bond Returns'!DC4)+(Dashboard!$C$8*'Equity and Bond Returns'!HA4)</f>
        <v>0.29846632564369335</v>
      </c>
      <c r="CR4" s="122">
        <f ca="1">(Dashboard!$C$7*'Equity and Bond Returns'!DD4)+(Dashboard!$C$8*'Equity and Bond Returns'!HB4)</f>
        <v>5.7802334825521537E-3</v>
      </c>
      <c r="CS4" s="122">
        <f ca="1">(Dashboard!$C$7*'Equity and Bond Returns'!DE4)+(Dashboard!$C$8*'Equity and Bond Returns'!HC4)</f>
        <v>0.18998522030752721</v>
      </c>
      <c r="CT4" s="122">
        <f ca="1">(Dashboard!$C$7*'Equity and Bond Returns'!DF4)+(Dashboard!$C$8*'Equity and Bond Returns'!HD4)</f>
        <v>0.28333291294453467</v>
      </c>
      <c r="CU4" s="122">
        <f ca="1">(Dashboard!$C$7*'Equity and Bond Returns'!DG4)+(Dashboard!$C$8*'Equity and Bond Returns'!HE4)</f>
        <v>0.16631466343349138</v>
      </c>
      <c r="CV4" s="122">
        <f ca="1">(Dashboard!$C$7*'Equity and Bond Returns'!DH4)+(Dashboard!$C$8*'Equity and Bond Returns'!HF4)</f>
        <v>-0.11327888818367066</v>
      </c>
      <c r="CW4" s="122">
        <f ca="1">(Dashboard!$C$7*'Equity and Bond Returns'!DI4)+(Dashboard!$C$8*'Equity and Bond Returns'!HG4)</f>
        <v>-1.5287849760694798E-2</v>
      </c>
      <c r="CY4" s="147">
        <f>CY3+1</f>
        <v>53</v>
      </c>
      <c r="CZ4" s="148">
        <v>3</v>
      </c>
      <c r="DA4" s="126">
        <f ca="1">MAX(DA3*(1+B4)-(Dashboard!$C$11)/(1-Dashboard!$C$17)*((1+Dashboard!$C$12)^$CZ4),0)</f>
        <v>1012835.9760003368</v>
      </c>
      <c r="DB4" s="126">
        <f ca="1">MAX(DB3*(1+C4)-(Dashboard!$C$11)/(1-Dashboard!$C$17)*((1+Dashboard!$C$12)^$CZ4),0)</f>
        <v>1050518.126597811</v>
      </c>
      <c r="DC4" s="126">
        <f ca="1">MAX(DC3*(1+D4)-(Dashboard!$C$11)/(1-Dashboard!$C$17)*((1+Dashboard!$C$12)^$CZ4),0)</f>
        <v>824268.00263591937</v>
      </c>
      <c r="DD4" s="126">
        <f ca="1">MAX(DD3*(1+E4)-(Dashboard!$C$11)/(1-Dashboard!$C$17)*((1+Dashboard!$C$12)^$CZ4),0)</f>
        <v>857190.25031137641</v>
      </c>
      <c r="DE4" s="126">
        <f ca="1">MAX(DE3*(1+F4)-(Dashboard!$C$11)/(1-Dashboard!$C$17)*((1+Dashboard!$C$12)^$CZ4),0)</f>
        <v>1292126.2917271366</v>
      </c>
      <c r="DF4" s="126">
        <f ca="1">MAX(DF3*(1+G4)-(Dashboard!$C$11)/(1-Dashboard!$C$17)*((1+Dashboard!$C$12)^$CZ4),0)</f>
        <v>1146841.4950952495</v>
      </c>
      <c r="DG4" s="126">
        <f ca="1">MAX(DG3*(1+H4)-(Dashboard!$C$11)/(1-Dashboard!$C$17)*((1+Dashboard!$C$12)^$CZ4),0)</f>
        <v>793923.97927789041</v>
      </c>
      <c r="DH4" s="126">
        <f ca="1">MAX(DH3*(1+I4)-(Dashboard!$C$11)/(1-Dashboard!$C$17)*((1+Dashboard!$C$12)^$CZ4),0)</f>
        <v>771524.68950000231</v>
      </c>
      <c r="DI4" s="126">
        <f ca="1">MAX(DI3*(1+J4)-(Dashboard!$C$11)/(1-Dashboard!$C$17)*((1+Dashboard!$C$12)^$CZ4),0)</f>
        <v>840183.67635324597</v>
      </c>
      <c r="DJ4" s="126">
        <f ca="1">MAX(DJ3*(1+K4)-(Dashboard!$C$11)/(1-Dashboard!$C$17)*((1+Dashboard!$C$12)^$CZ4),0)</f>
        <v>703349.11174893531</v>
      </c>
      <c r="DK4" s="126">
        <f ca="1">MAX(DK3*(1+L4)-(Dashboard!$C$11)/(1-Dashboard!$C$17)*((1+Dashboard!$C$12)^$CZ4),0)</f>
        <v>1147528.3112775113</v>
      </c>
      <c r="DL4" s="126">
        <f ca="1">MAX(DL3*(1+M4)-(Dashboard!$C$11)/(1-Dashboard!$C$17)*((1+Dashboard!$C$12)^$CZ4),0)</f>
        <v>745902.08450436476</v>
      </c>
      <c r="DM4" s="126">
        <f ca="1">MAX(DM3*(1+N4)-(Dashboard!$C$11)/(1-Dashboard!$C$17)*((1+Dashboard!$C$12)^$CZ4),0)</f>
        <v>935148.19866255519</v>
      </c>
      <c r="DN4" s="126">
        <f ca="1">MAX(DN3*(1+O4)-(Dashboard!$C$11)/(1-Dashboard!$C$17)*((1+Dashboard!$C$12)^$CZ4),0)</f>
        <v>842391.44559443358</v>
      </c>
      <c r="DO4" s="126">
        <f ca="1">MAX(DO3*(1+P4)-(Dashboard!$C$11)/(1-Dashboard!$C$17)*((1+Dashboard!$C$12)^$CZ4),0)</f>
        <v>977464.29378563794</v>
      </c>
      <c r="DP4" s="126">
        <f ca="1">MAX(DP3*(1+Q4)-(Dashboard!$C$11)/(1-Dashboard!$C$17)*((1+Dashboard!$C$12)^$CZ4),0)</f>
        <v>1077614.2858691816</v>
      </c>
      <c r="DQ4" s="126">
        <f ca="1">MAX(DQ3*(1+R4)-(Dashboard!$C$11)/(1-Dashboard!$C$17)*((1+Dashboard!$C$12)^$CZ4),0)</f>
        <v>1096300.4044979962</v>
      </c>
      <c r="DR4" s="126">
        <f ca="1">MAX(DR3*(1+S4)-(Dashboard!$C$11)/(1-Dashboard!$C$17)*((1+Dashboard!$C$12)^$CZ4),0)</f>
        <v>1457688.4840369227</v>
      </c>
      <c r="DS4" s="126">
        <f ca="1">MAX(DS3*(1+T4)-(Dashboard!$C$11)/(1-Dashboard!$C$17)*((1+Dashboard!$C$12)^$CZ4),0)</f>
        <v>1077427.6977566662</v>
      </c>
      <c r="DT4" s="126">
        <f ca="1">MAX(DT3*(1+U4)-(Dashboard!$C$11)/(1-Dashboard!$C$17)*((1+Dashboard!$C$12)^$CZ4),0)</f>
        <v>1335659.9515336419</v>
      </c>
      <c r="DU4" s="126">
        <f ca="1">MAX(DU3*(1+V4)-(Dashboard!$C$11)/(1-Dashboard!$C$17)*((1+Dashboard!$C$12)^$CZ4),0)</f>
        <v>1109738.8018155729</v>
      </c>
      <c r="DV4" s="126">
        <f ca="1">MAX(DV3*(1+W4)-(Dashboard!$C$11)/(1-Dashboard!$C$17)*((1+Dashboard!$C$12)^$CZ4),0)</f>
        <v>997366.71985854139</v>
      </c>
      <c r="DW4" s="126">
        <f ca="1">MAX(DW3*(1+X4)-(Dashboard!$C$11)/(1-Dashboard!$C$17)*((1+Dashboard!$C$12)^$CZ4),0)</f>
        <v>805483.62915530126</v>
      </c>
      <c r="DX4" s="126">
        <f ca="1">MAX(DX3*(1+Y4)-(Dashboard!$C$11)/(1-Dashboard!$C$17)*((1+Dashboard!$C$12)^$CZ4),0)</f>
        <v>903634.78085963835</v>
      </c>
      <c r="DY4" s="126">
        <f ca="1">MAX(DY3*(1+Z4)-(Dashboard!$C$11)/(1-Dashboard!$C$17)*((1+Dashboard!$C$12)^$CZ4),0)</f>
        <v>835869.02269016614</v>
      </c>
      <c r="DZ4" s="126">
        <f ca="1">MAX(DZ3*(1+AA4)-(Dashboard!$C$11)/(1-Dashboard!$C$17)*((1+Dashboard!$C$12)^$CZ4),0)</f>
        <v>551994.51053343667</v>
      </c>
      <c r="EA4" s="126">
        <f ca="1">MAX(EA3*(1+AB4)-(Dashboard!$C$11)/(1-Dashboard!$C$17)*((1+Dashboard!$C$12)^$CZ4),0)</f>
        <v>1185978.5350780634</v>
      </c>
      <c r="EB4" s="126">
        <f ca="1">MAX(EB3*(1+AC4)-(Dashboard!$C$11)/(1-Dashboard!$C$17)*((1+Dashboard!$C$12)^$CZ4),0)</f>
        <v>1002412.9077369692</v>
      </c>
      <c r="EC4" s="126">
        <f ca="1">MAX(EC3*(1+AD4)-(Dashboard!$C$11)/(1-Dashboard!$C$17)*((1+Dashboard!$C$12)^$CZ4),0)</f>
        <v>1404884.1816674143</v>
      </c>
      <c r="ED4" s="126">
        <f ca="1">MAX(ED3*(1+AE4)-(Dashboard!$C$11)/(1-Dashboard!$C$17)*((1+Dashboard!$C$12)^$CZ4),0)</f>
        <v>1294481.9113554584</v>
      </c>
      <c r="EE4" s="126">
        <f ca="1">MAX(EE3*(1+AF4)-(Dashboard!$C$11)/(1-Dashboard!$C$17)*((1+Dashboard!$C$12)^$CZ4),0)</f>
        <v>761942.78058832744</v>
      </c>
      <c r="EF4" s="126">
        <f ca="1">MAX(EF3*(1+AG4)-(Dashboard!$C$11)/(1-Dashboard!$C$17)*((1+Dashboard!$C$12)^$CZ4),0)</f>
        <v>1092617.6668167743</v>
      </c>
      <c r="EG4" s="126">
        <f ca="1">MAX(EG3*(1+AH4)-(Dashboard!$C$11)/(1-Dashboard!$C$17)*((1+Dashboard!$C$12)^$CZ4),0)</f>
        <v>1215509.2770103351</v>
      </c>
      <c r="EH4" s="126">
        <f ca="1">MAX(EH3*(1+AI4)-(Dashboard!$C$11)/(1-Dashboard!$C$17)*((1+Dashboard!$C$12)^$CZ4),0)</f>
        <v>1364405.0674638955</v>
      </c>
      <c r="EI4" s="126">
        <f ca="1">MAX(EI3*(1+AJ4)-(Dashboard!$C$11)/(1-Dashboard!$C$17)*((1+Dashboard!$C$12)^$CZ4),0)</f>
        <v>908446.90035890904</v>
      </c>
      <c r="EJ4" s="126">
        <f ca="1">MAX(EJ3*(1+AK4)-(Dashboard!$C$11)/(1-Dashboard!$C$17)*((1+Dashboard!$C$12)^$CZ4),0)</f>
        <v>1424069.636826189</v>
      </c>
      <c r="EK4" s="126">
        <f ca="1">MAX(EK3*(1+AL4)-(Dashboard!$C$11)/(1-Dashboard!$C$17)*((1+Dashboard!$C$12)^$CZ4),0)</f>
        <v>1078620.25631724</v>
      </c>
      <c r="EL4" s="126">
        <f ca="1">MAX(EL3*(1+AM4)-(Dashboard!$C$11)/(1-Dashboard!$C$17)*((1+Dashboard!$C$12)^$CZ4),0)</f>
        <v>750437.37787564064</v>
      </c>
      <c r="EM4" s="126">
        <f ca="1">MAX(EM3*(1+AN4)-(Dashboard!$C$11)/(1-Dashboard!$C$17)*((1+Dashboard!$C$12)^$CZ4),0)</f>
        <v>1261743.9445541012</v>
      </c>
      <c r="EN4" s="126">
        <f ca="1">MAX(EN3*(1+AO4)-(Dashboard!$C$11)/(1-Dashboard!$C$17)*((1+Dashboard!$C$12)^$CZ4),0)</f>
        <v>943295.7071738427</v>
      </c>
      <c r="EO4" s="126">
        <f ca="1">MAX(EO3*(1+AP4)-(Dashboard!$C$11)/(1-Dashboard!$C$17)*((1+Dashboard!$C$12)^$CZ4),0)</f>
        <v>1279380.9547771893</v>
      </c>
      <c r="EP4" s="126">
        <f ca="1">MAX(EP3*(1+AQ4)-(Dashboard!$C$11)/(1-Dashboard!$C$17)*((1+Dashboard!$C$12)^$CZ4),0)</f>
        <v>944715.56677866715</v>
      </c>
      <c r="EQ4" s="126">
        <f ca="1">MAX(EQ3*(1+AR4)-(Dashboard!$C$11)/(1-Dashboard!$C$17)*((1+Dashboard!$C$12)^$CZ4),0)</f>
        <v>670590.06211172964</v>
      </c>
      <c r="ER4" s="126">
        <f ca="1">MAX(ER3*(1+AS4)-(Dashboard!$C$11)/(1-Dashboard!$C$17)*((1+Dashboard!$C$12)^$CZ4),0)</f>
        <v>1386316.5128544297</v>
      </c>
      <c r="ES4" s="126">
        <f ca="1">MAX(ES3*(1+AT4)-(Dashboard!$C$11)/(1-Dashboard!$C$17)*((1+Dashboard!$C$12)^$CZ4),0)</f>
        <v>549444.73421875411</v>
      </c>
      <c r="ET4" s="126">
        <f ca="1">MAX(ET3*(1+AU4)-(Dashboard!$C$11)/(1-Dashboard!$C$17)*((1+Dashboard!$C$12)^$CZ4),0)</f>
        <v>941427.4534948637</v>
      </c>
      <c r="EU4" s="126">
        <f ca="1">MAX(EU3*(1+AV4)-(Dashboard!$C$11)/(1-Dashboard!$C$17)*((1+Dashboard!$C$12)^$CZ4),0)</f>
        <v>865581.17151864455</v>
      </c>
      <c r="EV4" s="126">
        <f ca="1">MAX(EV3*(1+AW4)-(Dashboard!$C$11)/(1-Dashboard!$C$17)*((1+Dashboard!$C$12)^$CZ4),0)</f>
        <v>1197470.7619162467</v>
      </c>
      <c r="EW4" s="126">
        <f ca="1">MAX(EW3*(1+AX4)-(Dashboard!$C$11)/(1-Dashboard!$C$17)*((1+Dashboard!$C$12)^$CZ4),0)</f>
        <v>837506.80518542521</v>
      </c>
      <c r="EX4" s="126">
        <f ca="1">MAX(EX3*(1+AY4)-(Dashboard!$C$11)/(1-Dashboard!$C$17)*((1+Dashboard!$C$12)^$CZ4),0)</f>
        <v>896770.41427018645</v>
      </c>
      <c r="EY4" s="126">
        <f ca="1">MAX(EY3*(1+AZ4)-(Dashboard!$C$11)/(1-Dashboard!$C$17)*((1+Dashboard!$C$12)^$CZ4),0)</f>
        <v>841336.69210138114</v>
      </c>
      <c r="EZ4" s="126">
        <f ca="1">MAX(EZ3*(1+BA4)-(Dashboard!$C$11)/(1-Dashboard!$C$17)*((1+Dashboard!$C$12)^$CZ4),0)</f>
        <v>1262598.8636176384</v>
      </c>
      <c r="FA4" s="126">
        <f ca="1">MAX(FA3*(1+BB4)-(Dashboard!$C$11)/(1-Dashboard!$C$17)*((1+Dashboard!$C$12)^$CZ4),0)</f>
        <v>862636.71267945156</v>
      </c>
      <c r="FB4" s="126">
        <f ca="1">MAX(FB3*(1+BC4)-(Dashboard!$C$11)/(1-Dashboard!$C$17)*((1+Dashboard!$C$12)^$CZ4),0)</f>
        <v>771892.48733471928</v>
      </c>
      <c r="FC4" s="126">
        <f ca="1">MAX(FC3*(1+BD4)-(Dashboard!$C$11)/(1-Dashboard!$C$17)*((1+Dashboard!$C$12)^$CZ4),0)</f>
        <v>966179.94208354317</v>
      </c>
      <c r="FD4" s="126">
        <f ca="1">MAX(FD3*(1+BE4)-(Dashboard!$C$11)/(1-Dashboard!$C$17)*((1+Dashboard!$C$12)^$CZ4),0)</f>
        <v>1271218.630411926</v>
      </c>
      <c r="FE4" s="126">
        <f ca="1">MAX(FE3*(1+BF4)-(Dashboard!$C$11)/(1-Dashboard!$C$17)*((1+Dashboard!$C$12)^$CZ4),0)</f>
        <v>1513916.0938968409</v>
      </c>
      <c r="FF4" s="126">
        <f ca="1">MAX(FF3*(1+BG4)-(Dashboard!$C$11)/(1-Dashboard!$C$17)*((1+Dashboard!$C$12)^$CZ4),0)</f>
        <v>1014280.8898445327</v>
      </c>
      <c r="FG4" s="126">
        <f ca="1">MAX(FG3*(1+BH4)-(Dashboard!$C$11)/(1-Dashboard!$C$17)*((1+Dashboard!$C$12)^$CZ4),0)</f>
        <v>1539600.154694997</v>
      </c>
      <c r="FH4" s="126">
        <f ca="1">MAX(FH3*(1+BI4)-(Dashboard!$C$11)/(1-Dashboard!$C$17)*((1+Dashboard!$C$12)^$CZ4),0)</f>
        <v>731459.34237042267</v>
      </c>
      <c r="FI4" s="126">
        <f ca="1">MAX(FI3*(1+BJ4)-(Dashboard!$C$11)/(1-Dashboard!$C$17)*((1+Dashboard!$C$12)^$CZ4),0)</f>
        <v>1450699.3235598528</v>
      </c>
      <c r="FJ4" s="126">
        <f ca="1">MAX(FJ3*(1+BK4)-(Dashboard!$C$11)/(1-Dashboard!$C$17)*((1+Dashboard!$C$12)^$CZ4),0)</f>
        <v>980909.80002404458</v>
      </c>
      <c r="FK4" s="126">
        <f ca="1">MAX(FK3*(1+BL4)-(Dashboard!$C$11)/(1-Dashboard!$C$17)*((1+Dashboard!$C$12)^$CZ4),0)</f>
        <v>797373.68307398481</v>
      </c>
      <c r="FL4" s="126">
        <f ca="1">MAX(FL3*(1+BM4)-(Dashboard!$C$11)/(1-Dashboard!$C$17)*((1+Dashboard!$C$12)^$CZ4),0)</f>
        <v>1338726.1064105514</v>
      </c>
      <c r="FM4" s="126">
        <f ca="1">MAX(FM3*(1+BN4)-(Dashboard!$C$11)/(1-Dashboard!$C$17)*((1+Dashboard!$C$12)^$CZ4),0)</f>
        <v>910492.15527374926</v>
      </c>
      <c r="FN4" s="126">
        <f ca="1">MAX(FN3*(1+BO4)-(Dashboard!$C$11)/(1-Dashboard!$C$17)*((1+Dashboard!$C$12)^$CZ4),0)</f>
        <v>807924.33623577573</v>
      </c>
      <c r="FO4" s="126">
        <f ca="1">MAX(FO3*(1+BP4)-(Dashboard!$C$11)/(1-Dashboard!$C$17)*((1+Dashboard!$C$12)^$CZ4),0)</f>
        <v>1009740.2503015513</v>
      </c>
      <c r="FP4" s="126">
        <f ca="1">MAX(FP3*(1+BQ4)-(Dashboard!$C$11)/(1-Dashboard!$C$17)*((1+Dashboard!$C$12)^$CZ4),0)</f>
        <v>993214.32374544407</v>
      </c>
      <c r="FQ4" s="126">
        <f ca="1">MAX(FQ3*(1+BR4)-(Dashboard!$C$11)/(1-Dashboard!$C$17)*((1+Dashboard!$C$12)^$CZ4),0)</f>
        <v>1603323.0336822399</v>
      </c>
      <c r="FR4" s="126">
        <f ca="1">MAX(FR3*(1+BS4)-(Dashboard!$C$11)/(1-Dashboard!$C$17)*((1+Dashboard!$C$12)^$CZ4),0)</f>
        <v>1167304.3559862478</v>
      </c>
      <c r="FS4" s="126">
        <f ca="1">MAX(FS3*(1+BT4)-(Dashboard!$C$11)/(1-Dashboard!$C$17)*((1+Dashboard!$C$12)^$CZ4),0)</f>
        <v>1040865.698407623</v>
      </c>
      <c r="FT4" s="126">
        <f ca="1">MAX(FT3*(1+BU4)-(Dashboard!$C$11)/(1-Dashboard!$C$17)*((1+Dashboard!$C$12)^$CZ4),0)</f>
        <v>995727.14477673825</v>
      </c>
      <c r="FU4" s="126">
        <f ca="1">MAX(FU3*(1+BV4)-(Dashboard!$C$11)/(1-Dashboard!$C$17)*((1+Dashboard!$C$12)^$CZ4),0)</f>
        <v>795396.44917235547</v>
      </c>
      <c r="FV4" s="126">
        <f ca="1">MAX(FV3*(1+BW4)-(Dashboard!$C$11)/(1-Dashboard!$C$17)*((1+Dashboard!$C$12)^$CZ4),0)</f>
        <v>573542.66400321899</v>
      </c>
      <c r="FW4" s="126">
        <f ca="1">MAX(FW3*(1+BX4)-(Dashboard!$C$11)/(1-Dashboard!$C$17)*((1+Dashboard!$C$12)^$CZ4),0)</f>
        <v>865443.71905944962</v>
      </c>
      <c r="FX4" s="126">
        <f ca="1">MAX(FX3*(1+BY4)-(Dashboard!$C$11)/(1-Dashboard!$C$17)*((1+Dashboard!$C$12)^$CZ4),0)</f>
        <v>1050422.7459684834</v>
      </c>
      <c r="FY4" s="126">
        <f ca="1">MAX(FY3*(1+BZ4)-(Dashboard!$C$11)/(1-Dashboard!$C$17)*((1+Dashboard!$C$12)^$CZ4),0)</f>
        <v>1300268.7194429187</v>
      </c>
      <c r="FZ4" s="126">
        <f ca="1">MAX(FZ3*(1+CA4)-(Dashboard!$C$11)/(1-Dashboard!$C$17)*((1+Dashboard!$C$12)^$CZ4),0)</f>
        <v>1042750.6259198794</v>
      </c>
      <c r="GA4" s="126">
        <f ca="1">MAX(GA3*(1+CB4)-(Dashboard!$C$11)/(1-Dashboard!$C$17)*((1+Dashboard!$C$12)^$CZ4),0)</f>
        <v>1118658.4093950321</v>
      </c>
      <c r="GB4" s="126">
        <f ca="1">MAX(GB3*(1+CC4)-(Dashboard!$C$11)/(1-Dashboard!$C$17)*((1+Dashboard!$C$12)^$CZ4),0)</f>
        <v>977718.58264911233</v>
      </c>
      <c r="GC4" s="126">
        <f ca="1">MAX(GC3*(1+CD4)-(Dashboard!$C$11)/(1-Dashboard!$C$17)*((1+Dashboard!$C$12)^$CZ4),0)</f>
        <v>1211600.8541531067</v>
      </c>
      <c r="GD4" s="126">
        <f ca="1">MAX(GD3*(1+CE4)-(Dashboard!$C$11)/(1-Dashboard!$C$17)*((1+Dashboard!$C$12)^$CZ4),0)</f>
        <v>1148339.7143885801</v>
      </c>
      <c r="GE4" s="126">
        <f ca="1">MAX(GE3*(1+CF4)-(Dashboard!$C$11)/(1-Dashboard!$C$17)*((1+Dashboard!$C$12)^$CZ4),0)</f>
        <v>1037921.223378394</v>
      </c>
      <c r="GF4" s="126">
        <f ca="1">MAX(GF3*(1+CG4)-(Dashboard!$C$11)/(1-Dashboard!$C$17)*((1+Dashboard!$C$12)^$CZ4),0)</f>
        <v>1530303.1514855798</v>
      </c>
      <c r="GG4" s="126">
        <f ca="1">MAX(GG3*(1+CH4)-(Dashboard!$C$11)/(1-Dashboard!$C$17)*((1+Dashboard!$C$12)^$CZ4),0)</f>
        <v>868429.63472676149</v>
      </c>
      <c r="GH4" s="126">
        <f ca="1">MAX(GH3*(1+CI4)-(Dashboard!$C$11)/(1-Dashboard!$C$17)*((1+Dashboard!$C$12)^$CZ4),0)</f>
        <v>989830.62583706668</v>
      </c>
      <c r="GI4" s="126">
        <f ca="1">MAX(GI3*(1+CJ4)-(Dashboard!$C$11)/(1-Dashboard!$C$17)*((1+Dashboard!$C$12)^$CZ4),0)</f>
        <v>1103260.2117214603</v>
      </c>
      <c r="GJ4" s="126">
        <f ca="1">MAX(GJ3*(1+CK4)-(Dashboard!$C$11)/(1-Dashboard!$C$17)*((1+Dashboard!$C$12)^$CZ4),0)</f>
        <v>1072284.1983075081</v>
      </c>
      <c r="GK4" s="126">
        <f ca="1">MAX(GK3*(1+CL4)-(Dashboard!$C$11)/(1-Dashboard!$C$17)*((1+Dashboard!$C$12)^$CZ4),0)</f>
        <v>981357.00400622562</v>
      </c>
      <c r="GL4" s="126">
        <f ca="1">MAX(GL3*(1+CM4)-(Dashboard!$C$11)/(1-Dashboard!$C$17)*((1+Dashboard!$C$12)^$CZ4),0)</f>
        <v>1042217.0862903683</v>
      </c>
      <c r="GM4" s="126">
        <f ca="1">MAX(GM3*(1+CN4)-(Dashboard!$C$11)/(1-Dashboard!$C$17)*((1+Dashboard!$C$12)^$CZ4),0)</f>
        <v>1619818.996274665</v>
      </c>
      <c r="GN4" s="126">
        <f ca="1">MAX(GN3*(1+CO4)-(Dashboard!$C$11)/(1-Dashboard!$C$17)*((1+Dashboard!$C$12)^$CZ4),0)</f>
        <v>1189863.2502857689</v>
      </c>
      <c r="GO4" s="126">
        <f ca="1">MAX(GO3*(1+CP4)-(Dashboard!$C$11)/(1-Dashboard!$C$17)*((1+Dashboard!$C$12)^$CZ4),0)</f>
        <v>1114851.735658529</v>
      </c>
      <c r="GP4" s="126">
        <f ca="1">MAX(GP3*(1+CQ4)-(Dashboard!$C$11)/(1-Dashboard!$C$17)*((1+Dashboard!$C$12)^$CZ4),0)</f>
        <v>1205951.9812698213</v>
      </c>
      <c r="GQ4" s="126">
        <f ca="1">MAX(GQ3*(1+CR4)-(Dashboard!$C$11)/(1-Dashboard!$C$17)*((1+Dashboard!$C$12)^$CZ4),0)</f>
        <v>1123046.5586071759</v>
      </c>
      <c r="GR4" s="126">
        <f ca="1">MAX(GR3*(1+CS4)-(Dashboard!$C$11)/(1-Dashboard!$C$17)*((1+Dashboard!$C$12)^$CZ4),0)</f>
        <v>1066915.8672798306</v>
      </c>
      <c r="GS4" s="126">
        <f ca="1">MAX(GS3*(1+CT4)-(Dashboard!$C$11)/(1-Dashboard!$C$17)*((1+Dashboard!$C$12)^$CZ4),0)</f>
        <v>997620.60082674713</v>
      </c>
      <c r="GT4" s="126">
        <f ca="1">MAX(GT3*(1+CU4)-(Dashboard!$C$11)/(1-Dashboard!$C$17)*((1+Dashboard!$C$12)^$CZ4),0)</f>
        <v>1067989.9113398548</v>
      </c>
      <c r="GU4" s="126">
        <f ca="1">MAX(GU3*(1+CV4)-(Dashboard!$C$11)/(1-Dashboard!$C$17)*((1+Dashboard!$C$12)^$CZ4),0)</f>
        <v>717408.80822045601</v>
      </c>
      <c r="GV4" s="126">
        <f ca="1">MAX(GV3*(1+CW4)-(Dashboard!$C$11)/(1-Dashboard!$C$17)*((1+Dashboard!$C$12)^$CZ4),0)</f>
        <v>917291.26213434967</v>
      </c>
      <c r="GW4" s="115">
        <f t="shared" ref="GW4:GW51" si="4">GW3+1</f>
        <v>53</v>
      </c>
      <c r="GX4" s="130">
        <f t="shared" ca="1" si="2"/>
        <v>100</v>
      </c>
      <c r="HC4" s="130">
        <f t="shared" si="0"/>
        <v>53</v>
      </c>
      <c r="HD4" s="137">
        <f t="shared" ca="1" si="1"/>
        <v>858551.86590339523</v>
      </c>
      <c r="HE4" s="137">
        <f t="shared" ca="1" si="1"/>
        <v>1011288.113150944</v>
      </c>
      <c r="HF4" s="137">
        <f t="shared" ca="1" si="1"/>
        <v>1181309.9903051094</v>
      </c>
    </row>
    <row r="5" spans="1:214" ht="16">
      <c r="A5" s="145">
        <f t="shared" si="3"/>
        <v>54</v>
      </c>
      <c r="B5" s="122">
        <f ca="1">(Dashboard!$C$7*'Equity and Bond Returns'!N5)+(Dashboard!$C$8*'Equity and Bond Returns'!DL5)</f>
        <v>6.9614741321098184E-2</v>
      </c>
      <c r="C5" s="122">
        <f ca="1">(Dashboard!$C$7*'Equity and Bond Returns'!O5)+(Dashboard!$C$8*'Equity and Bond Returns'!DM5)</f>
        <v>5.4468180024644819E-2</v>
      </c>
      <c r="D5" s="122">
        <f ca="1">(Dashboard!$C$7*'Equity and Bond Returns'!P5)+(Dashboard!$C$8*'Equity and Bond Returns'!DN5)</f>
        <v>9.3597584172457976E-2</v>
      </c>
      <c r="E5" s="122">
        <f ca="1">(Dashboard!$C$7*'Equity and Bond Returns'!Q5)+(Dashboard!$C$8*'Equity and Bond Returns'!DO5)</f>
        <v>0.14605548542665447</v>
      </c>
      <c r="F5" s="122">
        <f ca="1">(Dashboard!$C$7*'Equity and Bond Returns'!R5)+(Dashboard!$C$8*'Equity and Bond Returns'!DP5)</f>
        <v>7.697367730247226E-2</v>
      </c>
      <c r="G5" s="122">
        <f ca="1">(Dashboard!$C$7*'Equity and Bond Returns'!S5)+(Dashboard!$C$8*'Equity and Bond Returns'!DQ5)</f>
        <v>0.24001078895534489</v>
      </c>
      <c r="H5" s="122">
        <f ca="1">(Dashboard!$C$7*'Equity and Bond Returns'!T5)+(Dashboard!$C$8*'Equity and Bond Returns'!DR5)</f>
        <v>4.7627199751330666E-2</v>
      </c>
      <c r="I5" s="122">
        <f ca="1">(Dashboard!$C$7*'Equity and Bond Returns'!U5)+(Dashboard!$C$8*'Equity and Bond Returns'!DS5)</f>
        <v>0.37810486869930676</v>
      </c>
      <c r="J5" s="122">
        <f ca="1">(Dashboard!$C$7*'Equity and Bond Returns'!V5)+(Dashboard!$C$8*'Equity and Bond Returns'!DT5)</f>
        <v>3.1613008894230174E-2</v>
      </c>
      <c r="K5" s="122">
        <f ca="1">(Dashboard!$C$7*'Equity and Bond Returns'!W5)+(Dashboard!$C$8*'Equity and Bond Returns'!DU5)</f>
        <v>0.23619005331514853</v>
      </c>
      <c r="L5" s="122">
        <f ca="1">(Dashboard!$C$7*'Equity and Bond Returns'!X5)+(Dashboard!$C$8*'Equity and Bond Returns'!DV5)</f>
        <v>-1.0417472178647821E-2</v>
      </c>
      <c r="M5" s="122">
        <f ca="1">(Dashboard!$C$7*'Equity and Bond Returns'!Y5)+(Dashboard!$C$8*'Equity and Bond Returns'!DW5)</f>
        <v>0.34876427624498507</v>
      </c>
      <c r="N5" s="122">
        <f ca="1">(Dashboard!$C$7*'Equity and Bond Returns'!Z5)+(Dashboard!$C$8*'Equity and Bond Returns'!DX5)</f>
        <v>9.3645211962055039E-4</v>
      </c>
      <c r="O5" s="122">
        <f ca="1">(Dashboard!$C$7*'Equity and Bond Returns'!AA5)+(Dashboard!$C$8*'Equity and Bond Returns'!DY5)</f>
        <v>0.18001138039503117</v>
      </c>
      <c r="P5" s="122">
        <f ca="1">(Dashboard!$C$7*'Equity and Bond Returns'!AB5)+(Dashboard!$C$8*'Equity and Bond Returns'!DZ5)</f>
        <v>0.13697794922770104</v>
      </c>
      <c r="Q5" s="122">
        <f ca="1">(Dashboard!$C$7*'Equity and Bond Returns'!AC5)+(Dashboard!$C$8*'Equity and Bond Returns'!EA5)</f>
        <v>0.10273962954442108</v>
      </c>
      <c r="R5" s="122">
        <f ca="1">(Dashboard!$C$7*'Equity and Bond Returns'!AD5)+(Dashboard!$C$8*'Equity and Bond Returns'!EB5)</f>
        <v>0.11819886233460372</v>
      </c>
      <c r="S5" s="122">
        <f ca="1">(Dashboard!$C$7*'Equity and Bond Returns'!AE5)+(Dashboard!$C$8*'Equity and Bond Returns'!EC5)</f>
        <v>8.9186579251278528E-2</v>
      </c>
      <c r="T5" s="122">
        <f ca="1">(Dashboard!$C$7*'Equity and Bond Returns'!AF5)+(Dashboard!$C$8*'Equity and Bond Returns'!ED5)</f>
        <v>0.21669629252098283</v>
      </c>
      <c r="U5" s="122">
        <f ca="1">(Dashboard!$C$7*'Equity and Bond Returns'!AG5)+(Dashboard!$C$8*'Equity and Bond Returns'!EE5)</f>
        <v>8.379372504327473E-2</v>
      </c>
      <c r="V5" s="122">
        <f ca="1">(Dashboard!$C$7*'Equity and Bond Returns'!AH5)+(Dashboard!$C$8*'Equity and Bond Returns'!EF5)</f>
        <v>-5.2575988578654337E-3</v>
      </c>
      <c r="W5" s="122">
        <f ca="1">(Dashboard!$C$7*'Equity and Bond Returns'!AI5)+(Dashboard!$C$8*'Equity and Bond Returns'!EG5)</f>
        <v>4.8367654622356947E-2</v>
      </c>
      <c r="X5" s="122">
        <f ca="1">(Dashboard!$C$7*'Equity and Bond Returns'!AJ5)+(Dashboard!$C$8*'Equity and Bond Returns'!EH5)</f>
        <v>0.1243469247384531</v>
      </c>
      <c r="Y5" s="122">
        <f ca="1">(Dashboard!$C$7*'Equity and Bond Returns'!AK5)+(Dashboard!$C$8*'Equity and Bond Returns'!EI5)</f>
        <v>0.11166530088374446</v>
      </c>
      <c r="Z5" s="122">
        <f ca="1">(Dashboard!$C$7*'Equity and Bond Returns'!AL5)+(Dashboard!$C$8*'Equity and Bond Returns'!EJ5)</f>
        <v>0.24194710400500505</v>
      </c>
      <c r="AA5" s="122">
        <f ca="1">(Dashboard!$C$7*'Equity and Bond Returns'!AM5)+(Dashboard!$C$8*'Equity and Bond Returns'!EK5)</f>
        <v>-8.1661881751516716E-2</v>
      </c>
      <c r="AB5" s="122">
        <f ca="1">(Dashboard!$C$7*'Equity and Bond Returns'!AN5)+(Dashboard!$C$8*'Equity and Bond Returns'!EL5)</f>
        <v>-4.9647696457786335E-2</v>
      </c>
      <c r="AC5" s="122">
        <f ca="1">(Dashboard!$C$7*'Equity and Bond Returns'!AO5)+(Dashboard!$C$8*'Equity and Bond Returns'!EM5)</f>
        <v>0.1417248044166847</v>
      </c>
      <c r="AD5" s="122">
        <f ca="1">(Dashboard!$C$7*'Equity and Bond Returns'!AP5)+(Dashboard!$C$8*'Equity and Bond Returns'!EN5)</f>
        <v>0.14088547202754112</v>
      </c>
      <c r="AE5" s="122">
        <f ca="1">(Dashboard!$C$7*'Equity and Bond Returns'!AQ5)+(Dashboard!$C$8*'Equity and Bond Returns'!EO5)</f>
        <v>0.18137154828166707</v>
      </c>
      <c r="AF5" s="122">
        <f ca="1">(Dashboard!$C$7*'Equity and Bond Returns'!AR5)+(Dashboard!$C$8*'Equity and Bond Returns'!EP5)</f>
        <v>6.0732789034511292E-2</v>
      </c>
      <c r="AG5" s="122">
        <f ca="1">(Dashboard!$C$7*'Equity and Bond Returns'!AS5)+(Dashboard!$C$8*'Equity and Bond Returns'!EQ5)</f>
        <v>0.31972332998515807</v>
      </c>
      <c r="AH5" s="122">
        <f ca="1">(Dashboard!$C$7*'Equity and Bond Returns'!AT5)+(Dashboard!$C$8*'Equity and Bond Returns'!ER5)</f>
        <v>6.4987760265295458E-2</v>
      </c>
      <c r="AI5" s="122">
        <f ca="1">(Dashboard!$C$7*'Equity and Bond Returns'!AU5)+(Dashboard!$C$8*'Equity and Bond Returns'!ES5)</f>
        <v>-3.986187622079114E-2</v>
      </c>
      <c r="AJ5" s="122">
        <f ca="1">(Dashboard!$C$7*'Equity and Bond Returns'!AV5)+(Dashboard!$C$8*'Equity and Bond Returns'!ET5)</f>
        <v>-0.21091083757587448</v>
      </c>
      <c r="AK5" s="122">
        <f ca="1">(Dashboard!$C$7*'Equity and Bond Returns'!AW5)+(Dashboard!$C$8*'Equity and Bond Returns'!EU5)</f>
        <v>0.36053112632743228</v>
      </c>
      <c r="AL5" s="122">
        <f ca="1">(Dashboard!$C$7*'Equity and Bond Returns'!AX5)+(Dashboard!$C$8*'Equity and Bond Returns'!EV5)</f>
        <v>6.1166577420068147E-2</v>
      </c>
      <c r="AM5" s="122">
        <f ca="1">(Dashboard!$C$7*'Equity and Bond Returns'!AY5)+(Dashboard!$C$8*'Equity and Bond Returns'!EW5)</f>
        <v>-7.6363302675947452E-3</v>
      </c>
      <c r="AN5" s="122">
        <f ca="1">(Dashboard!$C$7*'Equity and Bond Returns'!AZ5)+(Dashboard!$C$8*'Equity and Bond Returns'!EX5)</f>
        <v>1.2266102846811268E-2</v>
      </c>
      <c r="AO5" s="122">
        <f ca="1">(Dashboard!$C$7*'Equity and Bond Returns'!BA5)+(Dashboard!$C$8*'Equity and Bond Returns'!EY5)</f>
        <v>8.0075931771133022E-2</v>
      </c>
      <c r="AP5" s="122">
        <f ca="1">(Dashboard!$C$7*'Equity and Bond Returns'!BB5)+(Dashboard!$C$8*'Equity and Bond Returns'!EZ5)</f>
        <v>9.8694477856290513E-2</v>
      </c>
      <c r="AQ5" s="122">
        <f ca="1">(Dashboard!$C$7*'Equity and Bond Returns'!BC5)+(Dashboard!$C$8*'Equity and Bond Returns'!FA5)</f>
        <v>0.27777295288926623</v>
      </c>
      <c r="AR5" s="122">
        <f ca="1">(Dashboard!$C$7*'Equity and Bond Returns'!BD5)+(Dashboard!$C$8*'Equity and Bond Returns'!FB5)</f>
        <v>0.1507012361652505</v>
      </c>
      <c r="AS5" s="122">
        <f ca="1">(Dashboard!$C$7*'Equity and Bond Returns'!BE5)+(Dashboard!$C$8*'Equity and Bond Returns'!FC5)</f>
        <v>-4.88178583495473E-3</v>
      </c>
      <c r="AT5" s="122">
        <f ca="1">(Dashboard!$C$7*'Equity and Bond Returns'!BF5)+(Dashboard!$C$8*'Equity and Bond Returns'!FD5)</f>
        <v>1.0847162906898909E-2</v>
      </c>
      <c r="AU5" s="122">
        <f ca="1">(Dashboard!$C$7*'Equity and Bond Returns'!BG5)+(Dashboard!$C$8*'Equity and Bond Returns'!FE5)</f>
        <v>3.5282058516602748E-3</v>
      </c>
      <c r="AV5" s="122">
        <f ca="1">(Dashboard!$C$7*'Equity and Bond Returns'!BH5)+(Dashboard!$C$8*'Equity and Bond Returns'!FF5)</f>
        <v>0.31399104837307668</v>
      </c>
      <c r="AW5" s="122">
        <f ca="1">(Dashboard!$C$7*'Equity and Bond Returns'!BI5)+(Dashboard!$C$8*'Equity and Bond Returns'!FG5)</f>
        <v>1.8267254331101455E-2</v>
      </c>
      <c r="AX5" s="122">
        <f ca="1">(Dashboard!$C$7*'Equity and Bond Returns'!BJ5)+(Dashboard!$C$8*'Equity and Bond Returns'!FH5)</f>
        <v>0.44694545180411155</v>
      </c>
      <c r="AY5" s="122">
        <f ca="1">(Dashboard!$C$7*'Equity and Bond Returns'!BK5)+(Dashboard!$C$8*'Equity and Bond Returns'!FI5)</f>
        <v>0.12959730396381294</v>
      </c>
      <c r="AZ5" s="122">
        <f ca="1">(Dashboard!$C$7*'Equity and Bond Returns'!BL5)+(Dashboard!$C$8*'Equity and Bond Returns'!FJ5)</f>
        <v>0.12563271909218637</v>
      </c>
      <c r="BA5" s="122">
        <f ca="1">(Dashboard!$C$7*'Equity and Bond Returns'!BM5)+(Dashboard!$C$8*'Equity and Bond Returns'!FK5)</f>
        <v>5.611766728374664E-2</v>
      </c>
      <c r="BB5" s="122">
        <f ca="1">(Dashboard!$C$7*'Equity and Bond Returns'!BN5)+(Dashboard!$C$8*'Equity and Bond Returns'!FL5)</f>
        <v>4.021444280373393E-2</v>
      </c>
      <c r="BC5" s="122">
        <f ca="1">(Dashboard!$C$7*'Equity and Bond Returns'!BO5)+(Dashboard!$C$8*'Equity and Bond Returns'!FM5)</f>
        <v>0.29909999219959027</v>
      </c>
      <c r="BD5" s="122">
        <f ca="1">(Dashboard!$C$7*'Equity and Bond Returns'!BP5)+(Dashboard!$C$8*'Equity and Bond Returns'!FN5)</f>
        <v>6.4724693742947998E-3</v>
      </c>
      <c r="BE5" s="122">
        <f ca="1">(Dashboard!$C$7*'Equity and Bond Returns'!BQ5)+(Dashboard!$C$8*'Equity and Bond Returns'!FO5)</f>
        <v>0.25240640218748894</v>
      </c>
      <c r="BF5" s="122">
        <f ca="1">(Dashboard!$C$7*'Equity and Bond Returns'!BR5)+(Dashboard!$C$8*'Equity and Bond Returns'!FP5)</f>
        <v>0.24895506785178653</v>
      </c>
      <c r="BG5" s="122">
        <f ca="1">(Dashboard!$C$7*'Equity and Bond Returns'!BS5)+(Dashboard!$C$8*'Equity and Bond Returns'!FQ5)</f>
        <v>0.10481837845531368</v>
      </c>
      <c r="BH5" s="122">
        <f ca="1">(Dashboard!$C$7*'Equity and Bond Returns'!BT5)+(Dashboard!$C$8*'Equity and Bond Returns'!FR5)</f>
        <v>0.16426831074130274</v>
      </c>
      <c r="BI5" s="122">
        <f ca="1">(Dashboard!$C$7*'Equity and Bond Returns'!BU5)+(Dashboard!$C$8*'Equity and Bond Returns'!FS5)</f>
        <v>-1.4982684360217588E-2</v>
      </c>
      <c r="BJ5" s="122">
        <f ca="1">(Dashboard!$C$7*'Equity and Bond Returns'!BV5)+(Dashboard!$C$8*'Equity and Bond Returns'!FT5)</f>
        <v>-5.6760648825945038E-2</v>
      </c>
      <c r="BK5" s="122">
        <f ca="1">(Dashboard!$C$7*'Equity and Bond Returns'!BW5)+(Dashboard!$C$8*'Equity and Bond Returns'!FU5)</f>
        <v>0.23032718003624733</v>
      </c>
      <c r="BL5" s="122">
        <f ca="1">(Dashboard!$C$7*'Equity and Bond Returns'!BX5)+(Dashboard!$C$8*'Equity and Bond Returns'!FV5)</f>
        <v>0.43484686343949053</v>
      </c>
      <c r="BM5" s="122">
        <f ca="1">(Dashboard!$C$7*'Equity and Bond Returns'!BY5)+(Dashboard!$C$8*'Equity and Bond Returns'!FW5)</f>
        <v>6.3396856510519656E-2</v>
      </c>
      <c r="BN5" s="122">
        <f ca="1">(Dashboard!$C$7*'Equity and Bond Returns'!BZ5)+(Dashboard!$C$8*'Equity and Bond Returns'!FX5)</f>
        <v>0.12489827592638511</v>
      </c>
      <c r="BO5" s="122">
        <f ca="1">(Dashboard!$C$7*'Equity and Bond Returns'!CA5)+(Dashboard!$C$8*'Equity and Bond Returns'!FY5)</f>
        <v>-0.16354583016470436</v>
      </c>
      <c r="BP5" s="122">
        <f ca="1">(Dashboard!$C$7*'Equity and Bond Returns'!CB5)+(Dashboard!$C$8*'Equity and Bond Returns'!FZ5)</f>
        <v>0.242483858509251</v>
      </c>
      <c r="BQ5" s="122">
        <f ca="1">(Dashboard!$C$7*'Equity and Bond Returns'!CC5)+(Dashboard!$C$8*'Equity and Bond Returns'!GA5)</f>
        <v>5.8127880080643235E-2</v>
      </c>
      <c r="BR5" s="122">
        <f ca="1">(Dashboard!$C$7*'Equity and Bond Returns'!CD5)+(Dashboard!$C$8*'Equity and Bond Returns'!GB5)</f>
        <v>0.37186473927805674</v>
      </c>
      <c r="BS5" s="122">
        <f ca="1">(Dashboard!$C$7*'Equity and Bond Returns'!CE5)+(Dashboard!$C$8*'Equity and Bond Returns'!GC5)</f>
        <v>0.42104697770608485</v>
      </c>
      <c r="BT5" s="122">
        <f ca="1">(Dashboard!$C$7*'Equity and Bond Returns'!CF5)+(Dashboard!$C$8*'Equity and Bond Returns'!GD5)</f>
        <v>0.10898447672717473</v>
      </c>
      <c r="BU5" s="122">
        <f ca="1">(Dashboard!$C$7*'Equity and Bond Returns'!CG5)+(Dashboard!$C$8*'Equity and Bond Returns'!GE5)</f>
        <v>-0.11359600346937057</v>
      </c>
      <c r="BV5" s="122">
        <f ca="1">(Dashboard!$C$7*'Equity and Bond Returns'!CH5)+(Dashboard!$C$8*'Equity and Bond Returns'!GF5)</f>
        <v>0.38241327711215978</v>
      </c>
      <c r="BW5" s="122">
        <f ca="1">(Dashboard!$C$7*'Equity and Bond Returns'!CI5)+(Dashboard!$C$8*'Equity and Bond Returns'!GG5)</f>
        <v>-0.31274993732209005</v>
      </c>
      <c r="BX5" s="122">
        <f ca="1">(Dashboard!$C$7*'Equity and Bond Returns'!CJ5)+(Dashboard!$C$8*'Equity and Bond Returns'!GH5)</f>
        <v>0.13969850414230345</v>
      </c>
      <c r="BY5" s="122">
        <f ca="1">(Dashboard!$C$7*'Equity and Bond Returns'!CK5)+(Dashboard!$C$8*'Equity and Bond Returns'!GI5)</f>
        <v>0.21231897081895898</v>
      </c>
      <c r="BZ5" s="122">
        <f ca="1">(Dashboard!$C$7*'Equity and Bond Returns'!CL5)+(Dashboard!$C$8*'Equity and Bond Returns'!GJ5)</f>
        <v>-0.11113820805163011</v>
      </c>
      <c r="CA5" s="122">
        <f ca="1">(Dashboard!$C$7*'Equity and Bond Returns'!CM5)+(Dashboard!$C$8*'Equity and Bond Returns'!GK5)</f>
        <v>0.15747412868906055</v>
      </c>
      <c r="CB5" s="122">
        <f ca="1">(Dashboard!$C$7*'Equity and Bond Returns'!CN5)+(Dashboard!$C$8*'Equity and Bond Returns'!GL5)</f>
        <v>0.17057455360146986</v>
      </c>
      <c r="CC5" s="122">
        <f ca="1">(Dashboard!$C$7*'Equity and Bond Returns'!CO5)+(Dashboard!$C$8*'Equity and Bond Returns'!GM5)</f>
        <v>0.19273837374581906</v>
      </c>
      <c r="CD5" s="122">
        <f ca="1">(Dashboard!$C$7*'Equity and Bond Returns'!CP5)+(Dashboard!$C$8*'Equity and Bond Returns'!GN5)</f>
        <v>-2.1352381079918981E-2</v>
      </c>
      <c r="CE5" s="122">
        <f ca="1">(Dashboard!$C$7*'Equity and Bond Returns'!CQ5)+(Dashboard!$C$8*'Equity and Bond Returns'!GO5)</f>
        <v>-3.9882005561420145E-2</v>
      </c>
      <c r="CF5" s="122">
        <f ca="1">(Dashboard!$C$7*'Equity and Bond Returns'!CR5)+(Dashboard!$C$8*'Equity and Bond Returns'!GP5)</f>
        <v>4.2319554676212678E-2</v>
      </c>
      <c r="CG5" s="122">
        <f ca="1">(Dashboard!$C$7*'Equity and Bond Returns'!CS5)+(Dashboard!$C$8*'Equity and Bond Returns'!GQ5)</f>
        <v>0.3171735420767583</v>
      </c>
      <c r="CH5" s="122">
        <f ca="1">(Dashboard!$C$7*'Equity and Bond Returns'!CT5)+(Dashboard!$C$8*'Equity and Bond Returns'!GR5)</f>
        <v>-7.9454810572814588E-2</v>
      </c>
      <c r="CI5" s="122">
        <f ca="1">(Dashboard!$C$7*'Equity and Bond Returns'!CU5)+(Dashboard!$C$8*'Equity and Bond Returns'!GS5)</f>
        <v>-0.13171008373441709</v>
      </c>
      <c r="CJ5" s="122">
        <f ca="1">(Dashboard!$C$7*'Equity and Bond Returns'!CV5)+(Dashboard!$C$8*'Equity and Bond Returns'!GT5)</f>
        <v>0.12592206934225825</v>
      </c>
      <c r="CK5" s="122">
        <f ca="1">(Dashboard!$C$7*'Equity and Bond Returns'!CW5)+(Dashboard!$C$8*'Equity and Bond Returns'!GU5)</f>
        <v>0.2355658763927872</v>
      </c>
      <c r="CL5" s="122">
        <f ca="1">(Dashboard!$C$7*'Equity and Bond Returns'!CX5)+(Dashboard!$C$8*'Equity and Bond Returns'!GV5)</f>
        <v>0.36222721481468667</v>
      </c>
      <c r="CM5" s="122">
        <f ca="1">(Dashboard!$C$7*'Equity and Bond Returns'!CY5)+(Dashboard!$C$8*'Equity and Bond Returns'!GW5)</f>
        <v>0.29290038839651727</v>
      </c>
      <c r="CN5" s="122">
        <f ca="1">(Dashboard!$C$7*'Equity and Bond Returns'!CZ5)+(Dashboard!$C$8*'Equity and Bond Returns'!GX5)</f>
        <v>0.14593224523830217</v>
      </c>
      <c r="CO5" s="122">
        <f ca="1">(Dashboard!$C$7*'Equity and Bond Returns'!DA5)+(Dashboard!$C$8*'Equity and Bond Returns'!GY5)</f>
        <v>5.7442455094370778E-3</v>
      </c>
      <c r="CP5" s="122">
        <f ca="1">(Dashboard!$C$7*'Equity and Bond Returns'!DB5)+(Dashboard!$C$8*'Equity and Bond Returns'!GZ5)</f>
        <v>0.19687087025499272</v>
      </c>
      <c r="CQ5" s="122">
        <f ca="1">(Dashboard!$C$7*'Equity and Bond Returns'!DC5)+(Dashboard!$C$8*'Equity and Bond Returns'!HA5)</f>
        <v>-1.6976622922339965E-3</v>
      </c>
      <c r="CR5" s="122">
        <f ca="1">(Dashboard!$C$7*'Equity and Bond Returns'!DD5)+(Dashboard!$C$8*'Equity and Bond Returns'!HB5)</f>
        <v>0.16639523126631142</v>
      </c>
      <c r="CS5" s="122">
        <f ca="1">(Dashboard!$C$7*'Equity and Bond Returns'!DE5)+(Dashboard!$C$8*'Equity and Bond Returns'!HC5)</f>
        <v>-4.9972263172961384E-2</v>
      </c>
      <c r="CT5" s="122">
        <f ca="1">(Dashboard!$C$7*'Equity and Bond Returns'!DF5)+(Dashboard!$C$8*'Equity and Bond Returns'!HD5)</f>
        <v>3.2631768954848962E-2</v>
      </c>
      <c r="CU5" s="122">
        <f ca="1">(Dashboard!$C$7*'Equity and Bond Returns'!DG5)+(Dashboard!$C$8*'Equity and Bond Returns'!HE5)</f>
        <v>-1.3494423049022332E-2</v>
      </c>
      <c r="CV5" s="122">
        <f ca="1">(Dashboard!$C$7*'Equity and Bond Returns'!DH5)+(Dashboard!$C$8*'Equity and Bond Returns'!HF5)</f>
        <v>-0.17662079827304852</v>
      </c>
      <c r="CW5" s="122">
        <f ca="1">(Dashboard!$C$7*'Equity and Bond Returns'!DI5)+(Dashboard!$C$8*'Equity and Bond Returns'!HG5)</f>
        <v>-0.43907284555798953</v>
      </c>
      <c r="CY5" s="147">
        <f t="shared" ref="CY5:CY51" si="5">CY4+1</f>
        <v>54</v>
      </c>
      <c r="CZ5" s="148">
        <v>4</v>
      </c>
      <c r="DA5" s="126">
        <f ca="1">MAX(DA4*(1+B5)-(Dashboard!$C$11)/(1-Dashboard!$C$17)*((1+Dashboard!$C$12)^$CZ5),0)</f>
        <v>1060130.6712640522</v>
      </c>
      <c r="DB5" s="126">
        <f ca="1">MAX(DB4*(1+C5)-(Dashboard!$C$11)/(1-Dashboard!$C$17)*((1+Dashboard!$C$12)^$CZ5),0)</f>
        <v>1084524.3178302434</v>
      </c>
      <c r="DC5" s="126">
        <f ca="1">MAX(DC4*(1+D5)-(Dashboard!$C$11)/(1-Dashboard!$C$17)*((1+Dashboard!$C$12)^$CZ5),0)</f>
        <v>878203.87718704867</v>
      </c>
      <c r="DD5" s="126">
        <f ca="1">MAX(DD4*(1+E5)-(Dashboard!$C$11)/(1-Dashboard!$C$17)*((1+Dashboard!$C$12)^$CZ5),0)</f>
        <v>959173.96921735001</v>
      </c>
      <c r="DE5" s="126">
        <f ca="1">MAX(DE4*(1+F5)-(Dashboard!$C$11)/(1-Dashboard!$C$17)*((1+Dashboard!$C$12)^$CZ5),0)</f>
        <v>1368372.3847343314</v>
      </c>
      <c r="DF5" s="126">
        <f ca="1">MAX(DF4*(1+G5)-(Dashboard!$C$11)/(1-Dashboard!$C$17)*((1+Dashboard!$C$12)^$CZ5),0)</f>
        <v>1398882.2079335377</v>
      </c>
      <c r="DG5" s="126">
        <f ca="1">MAX(DG4*(1+H5)-(Dashboard!$C$11)/(1-Dashboard!$C$17)*((1+Dashboard!$C$12)^$CZ5),0)</f>
        <v>808522.73602007981</v>
      </c>
      <c r="DH5" s="126">
        <f ca="1">MAX(DH4*(1+I5)-(Dashboard!$C$11)/(1-Dashboard!$C$17)*((1+Dashboard!$C$12)^$CZ5),0)</f>
        <v>1040028.3117154241</v>
      </c>
      <c r="DI5" s="126">
        <f ca="1">MAX(DI4*(1+J5)-(Dashboard!$C$11)/(1-Dashboard!$C$17)*((1+Dashboard!$C$12)^$CZ5),0)</f>
        <v>843530.79118033813</v>
      </c>
      <c r="DJ5" s="126">
        <f ca="1">MAX(DJ4*(1+K5)-(Dashboard!$C$11)/(1-Dashboard!$C$17)*((1+Dashboard!$C$12)^$CZ5),0)</f>
        <v>846259.55674582871</v>
      </c>
      <c r="DK5" s="126">
        <f ca="1">MAX(DK4*(1+L5)-(Dashboard!$C$11)/(1-Dashboard!$C$17)*((1+Dashboard!$C$12)^$CZ5),0)</f>
        <v>1112360.3478143171</v>
      </c>
      <c r="DL5" s="126">
        <f ca="1">MAX(DL4*(1+M5)-(Dashboard!$C$11)/(1-Dashboard!$C$17)*((1+Dashboard!$C$12)^$CZ5),0)</f>
        <v>982832.46594990534</v>
      </c>
      <c r="DM5" s="126">
        <f ca="1">MAX(DM4*(1+N5)-(Dashboard!$C$11)/(1-Dashboard!$C$17)*((1+Dashboard!$C$12)^$CZ5),0)</f>
        <v>912810.30096910207</v>
      </c>
      <c r="DN5" s="126">
        <f ca="1">MAX(DN4*(1+O5)-(Dashboard!$C$11)/(1-Dashboard!$C$17)*((1+Dashboard!$C$12)^$CZ5),0)</f>
        <v>970817.87334260345</v>
      </c>
      <c r="DO5" s="126">
        <f ca="1">MAX(DO4*(1+P5)-(Dashboard!$C$11)/(1-Dashboard!$C$17)*((1+Dashboard!$C$12)^$CZ5),0)</f>
        <v>1088141.7289854477</v>
      </c>
      <c r="DP5" s="126">
        <f ca="1">MAX(DP4*(1+Q5)-(Dashboard!$C$11)/(1-Dashboard!$C$17)*((1+Dashboard!$C$12)^$CZ5),0)</f>
        <v>1165114.3591849073</v>
      </c>
      <c r="DQ5" s="126">
        <f ca="1">MAX(DQ4*(1+R5)-(Dashboard!$C$11)/(1-Dashboard!$C$17)*((1+Dashboard!$C$12)^$CZ5),0)</f>
        <v>1202668.2458803754</v>
      </c>
      <c r="DR5" s="126">
        <f ca="1">MAX(DR4*(1+S5)-(Dashboard!$C$11)/(1-Dashboard!$C$17)*((1+Dashboard!$C$12)^$CZ5),0)</f>
        <v>1564481.1143359079</v>
      </c>
      <c r="DS5" s="126">
        <f ca="1">MAX(DS4*(1+T5)-(Dashboard!$C$11)/(1-Dashboard!$C$17)*((1+Dashboard!$C$12)^$CZ5),0)</f>
        <v>1287688.6661137037</v>
      </c>
      <c r="DT5" s="126">
        <f ca="1">MAX(DT4*(1+U5)-(Dashboard!$C$11)/(1-Dashboard!$C$17)*((1+Dashboard!$C$12)^$CZ5),0)</f>
        <v>1424366.2550575156</v>
      </c>
      <c r="DU5" s="126">
        <f ca="1">MAX(DU4*(1+V5)-(Dashboard!$C$11)/(1-Dashboard!$C$17)*((1+Dashboard!$C$12)^$CZ5),0)</f>
        <v>1080690.6211523684</v>
      </c>
      <c r="DV5" s="126">
        <f ca="1">MAX(DV4*(1+W5)-(Dashboard!$C$11)/(1-Dashboard!$C$17)*((1+Dashboard!$C$12)^$CZ5),0)</f>
        <v>1022393.3896902425</v>
      </c>
      <c r="DW5" s="126">
        <f ca="1">MAX(DW4*(1+X5)-(Dashboard!$C$11)/(1-Dashboard!$C$17)*((1+Dashboard!$C$12)^$CZ5),0)</f>
        <v>882429.42216168158</v>
      </c>
      <c r="DX5" s="126">
        <f ca="1">MAX(DX4*(1+Y5)-(Dashboard!$C$11)/(1-Dashboard!$C$17)*((1+Dashboard!$C$12)^$CZ5),0)</f>
        <v>981325.81134709646</v>
      </c>
      <c r="DY5" s="126">
        <f ca="1">MAX(DY4*(1+Z5)-(Dashboard!$C$11)/(1-Dashboard!$C$17)*((1+Dashboard!$C$12)^$CZ5),0)</f>
        <v>1014891.4928512956</v>
      </c>
      <c r="DZ5" s="126">
        <f ca="1">MAX(DZ4*(1+AA5)-(Dashboard!$C$11)/(1-Dashboard!$C$17)*((1+Dashboard!$C$12)^$CZ5),0)</f>
        <v>483703.98088051885</v>
      </c>
      <c r="EA5" s="126">
        <f ca="1">MAX(EA4*(1+AB5)-(Dashboard!$C$11)/(1-Dashboard!$C$17)*((1+Dashboard!$C$12)^$CZ5),0)</f>
        <v>1103883.8135568076</v>
      </c>
      <c r="EB5" s="126">
        <f ca="1">MAX(EB4*(1+AC5)-(Dashboard!$C$11)/(1-Dashboard!$C$17)*((1+Dashboard!$C$12)^$CZ5),0)</f>
        <v>1121266.0618245015</v>
      </c>
      <c r="EC5" s="126">
        <f ca="1">MAX(EC4*(1+AD5)-(Dashboard!$C$11)/(1-Dashboard!$C$17)*((1+Dashboard!$C$12)^$CZ5),0)</f>
        <v>1579598.333539404</v>
      </c>
      <c r="ED5" s="126">
        <f ca="1">MAX(ED4*(1+AE5)-(Dashboard!$C$11)/(1-Dashboard!$C$17)*((1+Dashboard!$C$12)^$CZ5),0)</f>
        <v>1506050.4806343599</v>
      </c>
      <c r="EE5" s="126">
        <f ca="1">MAX(EE4*(1+AF5)-(Dashboard!$C$11)/(1-Dashboard!$C$17)*((1+Dashboard!$C$12)^$CZ5),0)</f>
        <v>785004.07153191732</v>
      </c>
      <c r="EF5" s="126">
        <f ca="1">MAX(EF4*(1+AG5)-(Dashboard!$C$11)/(1-Dashboard!$C$17)*((1+Dashboard!$C$12)^$CZ5),0)</f>
        <v>1418739.4064457973</v>
      </c>
      <c r="EG5" s="126">
        <f ca="1">MAX(EG4*(1+AH5)-(Dashboard!$C$11)/(1-Dashboard!$C$17)*((1+Dashboard!$C$12)^$CZ5),0)</f>
        <v>1271288.8832986755</v>
      </c>
      <c r="EH5" s="126">
        <f ca="1">MAX(EH4*(1+AI5)-(Dashboard!$C$11)/(1-Dashboard!$C$17)*((1+Dashboard!$C$12)^$CZ5),0)</f>
        <v>1286803.7023433796</v>
      </c>
      <c r="EI5" s="126">
        <f ca="1">MAX(EI4*(1+AJ5)-(Dashboard!$C$11)/(1-Dashboard!$C$17)*((1+Dashboard!$C$12)^$CZ5),0)</f>
        <v>693631.98450475466</v>
      </c>
      <c r="EJ5" s="126">
        <f ca="1">MAX(EJ4*(1+AK5)-(Dashboard!$C$11)/(1-Dashboard!$C$17)*((1+Dashboard!$C$12)^$CZ5),0)</f>
        <v>1914277.4477535824</v>
      </c>
      <c r="EK5" s="126">
        <f ca="1">MAX(EK4*(1+AL5)-(Dashboard!$C$11)/(1-Dashboard!$C$17)*((1+Dashboard!$C$12)^$CZ5),0)</f>
        <v>1121382.1465258724</v>
      </c>
      <c r="EL5" s="126">
        <f ca="1">MAX(EL4*(1+AM5)-(Dashboard!$C$11)/(1-Dashboard!$C$17)*((1+Dashboard!$C$12)^$CZ5),0)</f>
        <v>721493.17100678454</v>
      </c>
      <c r="EM5" s="126">
        <f ca="1">MAX(EM4*(1+AN5)-(Dashboard!$C$11)/(1-Dashboard!$C$17)*((1+Dashboard!$C$12)^$CZ5),0)</f>
        <v>1254007.0063380932</v>
      </c>
      <c r="EN5" s="126">
        <f ca="1">MAX(EN4*(1+AO5)-(Dashboard!$C$11)/(1-Dashboard!$C$17)*((1+Dashboard!$C$12)^$CZ5),0)</f>
        <v>995617.37065524806</v>
      </c>
      <c r="EO5" s="126">
        <f ca="1">MAX(EO4*(1+AP5)-(Dashboard!$C$11)/(1-Dashboard!$C$17)*((1+Dashboard!$C$12)^$CZ5),0)</f>
        <v>1382435.1708819566</v>
      </c>
      <c r="EP5" s="126">
        <f ca="1">MAX(EP4*(1+AQ5)-(Dashboard!$C$11)/(1-Dashboard!$C$17)*((1+Dashboard!$C$12)^$CZ5),0)</f>
        <v>1183918.3801969844</v>
      </c>
      <c r="EQ5" s="126">
        <f ca="1">MAX(EQ4*(1+AR5)-(Dashboard!$C$11)/(1-Dashboard!$C$17)*((1+Dashboard!$C$12)^$CZ5),0)</f>
        <v>748435.19422584947</v>
      </c>
      <c r="ER5" s="126">
        <f ca="1">MAX(ER4*(1+AS5)-(Dashboard!$C$11)/(1-Dashboard!$C$17)*((1+Dashboard!$C$12)^$CZ5),0)</f>
        <v>1356335.1933329632</v>
      </c>
      <c r="ES5" s="126">
        <f ca="1">MAX(ES4*(1+AT5)-(Dashboard!$C$11)/(1-Dashboard!$C$17)*((1+Dashboard!$C$12)^$CZ5),0)</f>
        <v>532191.03155291278</v>
      </c>
      <c r="ET5" s="126">
        <f ca="1">MAX(ET4*(1+AU5)-(Dashboard!$C$11)/(1-Dashboard!$C$17)*((1+Dashboard!$C$12)^$CZ5),0)</f>
        <v>921535.38413894805</v>
      </c>
      <c r="EU5" s="126">
        <f ca="1">MAX(EU4*(1+AV5)-(Dashboard!$C$11)/(1-Dashboard!$C$17)*((1+Dashboard!$C$12)^$CZ5),0)</f>
        <v>1114152.2918095298</v>
      </c>
      <c r="EV5" s="126">
        <f ca="1">MAX(EV4*(1+AW5)-(Dashboard!$C$11)/(1-Dashboard!$C$17)*((1+Dashboard!$C$12)^$CZ5),0)</f>
        <v>1196131.6456719788</v>
      </c>
      <c r="EW5" s="126">
        <f ca="1">MAX(EW4*(1+AX5)-(Dashboard!$C$11)/(1-Dashboard!$C$17)*((1+Dashboard!$C$12)^$CZ5),0)</f>
        <v>1188613.0434117932</v>
      </c>
      <c r="EX5" s="126">
        <f ca="1">MAX(EX4*(1+AY5)-(Dashboard!$C$11)/(1-Dashboard!$C$17)*((1+Dashboard!$C$12)^$CZ5),0)</f>
        <v>989775.82302786433</v>
      </c>
      <c r="EY5" s="126">
        <f ca="1">MAX(EY4*(1+AZ5)-(Dashboard!$C$11)/(1-Dashboard!$C$17)*((1+Dashboard!$C$12)^$CZ5),0)</f>
        <v>923822.48919585336</v>
      </c>
      <c r="EZ5" s="126">
        <f ca="1">MAX(EZ4*(1+BA5)-(Dashboard!$C$11)/(1-Dashboard!$C$17)*((1+Dashboard!$C$12)^$CZ5),0)</f>
        <v>1310239.3473527196</v>
      </c>
      <c r="FA5" s="126">
        <f ca="1">MAX(FA4*(1+BB5)-(Dashboard!$C$11)/(1-Dashboard!$C$17)*((1+Dashboard!$C$12)^$CZ5),0)</f>
        <v>874113.54821565049</v>
      </c>
      <c r="FB5" s="126">
        <f ca="1">MAX(FB4*(1+BC5)-(Dashboard!$C$11)/(1-Dashboard!$C$17)*((1+Dashboard!$C$12)^$CZ5),0)</f>
        <v>979551.90506920614</v>
      </c>
      <c r="FC5" s="126">
        <f ca="1">MAX(FC4*(1+BD5)-(Dashboard!$C$11)/(1-Dashboard!$C$17)*((1+Dashboard!$C$12)^$CZ5),0)</f>
        <v>949219.89296248683</v>
      </c>
      <c r="FD5" s="126">
        <f ca="1">MAX(FD4*(1+BE5)-(Dashboard!$C$11)/(1-Dashboard!$C$17)*((1+Dashboard!$C$12)^$CZ5),0)</f>
        <v>1568868.7321016574</v>
      </c>
      <c r="FE5" s="126">
        <f ca="1">MAX(FE4*(1+BF5)-(Dashboard!$C$11)/(1-Dashboard!$C$17)*((1+Dashboard!$C$12)^$CZ5),0)</f>
        <v>1867599.5585685906</v>
      </c>
      <c r="FF5" s="126">
        <f ca="1">MAX(FF4*(1+BG5)-(Dashboard!$C$11)/(1-Dashboard!$C$17)*((1+Dashboard!$C$12)^$CZ5),0)</f>
        <v>1097382.5488099991</v>
      </c>
      <c r="FG5" s="126">
        <f ca="1">MAX(FG4*(1+BH5)-(Dashboard!$C$11)/(1-Dashboard!$C$17)*((1+Dashboard!$C$12)^$CZ5),0)</f>
        <v>1769294.0521175426</v>
      </c>
      <c r="FH5" s="126">
        <f ca="1">MAX(FH4*(1+BI5)-(Dashboard!$C$11)/(1-Dashboard!$C$17)*((1+Dashboard!$C$12)^$CZ5),0)</f>
        <v>697286.49871510442</v>
      </c>
      <c r="FI5" s="126">
        <f ca="1">MAX(FI4*(1+BJ5)-(Dashboard!$C$11)/(1-Dashboard!$C$17)*((1+Dashboard!$C$12)^$CZ5),0)</f>
        <v>1345143.069496986</v>
      </c>
      <c r="FJ5" s="126">
        <f ca="1">MAX(FJ4*(1+BK5)-(Dashboard!$C$11)/(1-Dashboard!$C$17)*((1+Dashboard!$C$12)^$CZ5),0)</f>
        <v>1183626.3689272522</v>
      </c>
      <c r="FK5" s="126">
        <f ca="1">MAX(FK4*(1+BL5)-(Dashboard!$C$11)/(1-Dashboard!$C$17)*((1+Dashboard!$C$12)^$CZ5),0)</f>
        <v>1120895.5089416516</v>
      </c>
      <c r="FL5" s="126">
        <f ca="1">MAX(FL4*(1+BM5)-(Dashboard!$C$11)/(1-Dashboard!$C$17)*((1+Dashboard!$C$12)^$CZ5),0)</f>
        <v>1400383.5140792977</v>
      </c>
      <c r="FM5" s="126">
        <f ca="1">MAX(FM4*(1+BN5)-(Dashboard!$C$11)/(1-Dashboard!$C$17)*((1+Dashboard!$C$12)^$CZ5),0)</f>
        <v>1000997.4365056891</v>
      </c>
      <c r="FN5" s="126">
        <f ca="1">MAX(FN4*(1+BO5)-(Dashboard!$C$11)/(1-Dashboard!$C$17)*((1+Dashboard!$C$12)^$CZ5),0)</f>
        <v>652578.06074957806</v>
      </c>
      <c r="FO5" s="126">
        <f ca="1">MAX(FO4*(1+BP5)-(Dashboard!$C$11)/(1-Dashboard!$C$17)*((1+Dashboard!$C$12)^$CZ5),0)</f>
        <v>1231372.3430805185</v>
      </c>
      <c r="FP5" s="126">
        <f ca="1">MAX(FP4*(1+BQ5)-(Dashboard!$C$11)/(1-Dashboard!$C$17)*((1+Dashboard!$C$12)^$CZ5),0)</f>
        <v>1027734.1476442465</v>
      </c>
      <c r="FQ5" s="126">
        <f ca="1">MAX(FQ4*(1+BR5)-(Dashboard!$C$11)/(1-Dashboard!$C$17)*((1+Dashboard!$C$12)^$CZ5),0)</f>
        <v>2176328.7163747391</v>
      </c>
      <c r="FR5" s="126">
        <f ca="1">MAX(FR4*(1+BS5)-(Dashboard!$C$11)/(1-Dashboard!$C$17)*((1+Dashboard!$C$12)^$CZ5),0)</f>
        <v>1635580.7079311551</v>
      </c>
      <c r="FS5" s="126">
        <f ca="1">MAX(FS4*(1+BT5)-(Dashboard!$C$11)/(1-Dashboard!$C$17)*((1+Dashboard!$C$12)^$CZ5),0)</f>
        <v>1131090.2826855932</v>
      </c>
      <c r="FT5" s="126">
        <f ca="1">MAX(FT4*(1+BU5)-(Dashboard!$C$11)/(1-Dashboard!$C$17)*((1+Dashboard!$C$12)^$CZ5),0)</f>
        <v>859402.90137788351</v>
      </c>
      <c r="FU5" s="126">
        <f ca="1">MAX(FU4*(1+BV5)-(Dashboard!$C$11)/(1-Dashboard!$C$17)*((1+Dashboard!$C$12)^$CZ5),0)</f>
        <v>1076352.9926974813</v>
      </c>
      <c r="FV5" s="126">
        <f ca="1">MAX(FV4*(1+BW5)-(Dashboard!$C$11)/(1-Dashboard!$C$17)*((1+Dashboard!$C$12)^$CZ5),0)</f>
        <v>370953.61257841764</v>
      </c>
      <c r="FW5" s="126">
        <f ca="1">MAX(FW4*(1+BX5)-(Dashboard!$C$11)/(1-Dashboard!$C$17)*((1+Dashboard!$C$12)^$CZ5),0)</f>
        <v>963131.29282515682</v>
      </c>
      <c r="FX5" s="126">
        <f ca="1">MAX(FX4*(1+BY5)-(Dashboard!$C$11)/(1-Dashboard!$C$17)*((1+Dashboard!$C$12)^$CZ5),0)</f>
        <v>1250233.8031110866</v>
      </c>
      <c r="FY5" s="126">
        <f ca="1">MAX(FY4*(1+BZ5)-(Dashboard!$C$11)/(1-Dashboard!$C$17)*((1+Dashboard!$C$12)^$CZ5),0)</f>
        <v>1132545.5647721949</v>
      </c>
      <c r="FZ5" s="126">
        <f ca="1">MAX(FZ4*(1+CA5)-(Dashboard!$C$11)/(1-Dashboard!$C$17)*((1+Dashboard!$C$12)^$CZ5),0)</f>
        <v>1183743.2529703351</v>
      </c>
      <c r="GA5" s="126">
        <f ca="1">MAX(GA4*(1+CB5)-(Dashboard!$C$11)/(1-Dashboard!$C$17)*((1+Dashboard!$C$12)^$CZ5),0)</f>
        <v>1286259.4490038699</v>
      </c>
      <c r="GB5" s="126">
        <f ca="1">MAX(GB4*(1+CC5)-(Dashboard!$C$11)/(1-Dashboard!$C$17)*((1+Dashboard!$C$12)^$CZ5),0)</f>
        <v>1142948.8530437194</v>
      </c>
      <c r="GC5" s="126">
        <f ca="1">MAX(GC4*(1+CD5)-(Dashboard!$C$11)/(1-Dashboard!$C$17)*((1+Dashboard!$C$12)^$CZ5),0)</f>
        <v>1162516.6717922243</v>
      </c>
      <c r="GD5" s="126">
        <f ca="1">MAX(GD4*(1+CE5)-(Dashboard!$C$11)/(1-Dashboard!$C$17)*((1+Dashboard!$C$12)^$CZ5),0)</f>
        <v>1079328.0043066852</v>
      </c>
      <c r="GE5" s="126">
        <f ca="1">MAX(GE4*(1+CF5)-(Dashboard!$C$11)/(1-Dashboard!$C$17)*((1+Dashboard!$C$12)^$CZ5),0)</f>
        <v>1058631.9681345075</v>
      </c>
      <c r="GF5" s="126">
        <f ca="1">MAX(GF4*(1+CG5)-(Dashboard!$C$11)/(1-Dashboard!$C$17)*((1+Dashboard!$C$12)^$CZ5),0)</f>
        <v>1992461.2032872371</v>
      </c>
      <c r="GG5" s="126">
        <f ca="1">MAX(GG4*(1+CH5)-(Dashboard!$C$11)/(1-Dashboard!$C$17)*((1+Dashboard!$C$12)^$CZ5),0)</f>
        <v>776215.10339747812</v>
      </c>
      <c r="GH5" s="126">
        <f ca="1">MAX(GH4*(1+CI5)-(Dashboard!$C$11)/(1-Dashboard!$C$17)*((1+Dashboard!$C$12)^$CZ5),0)</f>
        <v>836246.33201892627</v>
      </c>
      <c r="GI5" s="126">
        <f ca="1">MAX(GI4*(1+CJ5)-(Dashboard!$C$11)/(1-Dashboard!$C$17)*((1+Dashboard!$C$12)^$CZ5),0)</f>
        <v>1218971.4013981547</v>
      </c>
      <c r="GJ5" s="126">
        <f ca="1">MAX(GJ4*(1+CK5)-(Dashboard!$C$11)/(1-Dashboard!$C$17)*((1+Dashboard!$C$12)^$CZ5),0)</f>
        <v>1301664.1460177037</v>
      </c>
      <c r="GK5" s="126">
        <f ca="1">MAX(GK4*(1+CL5)-(Dashboard!$C$11)/(1-Dashboard!$C$17)*((1+Dashboard!$C$12)^$CZ5),0)</f>
        <v>1313617.5991000361</v>
      </c>
      <c r="GL5" s="126">
        <f ca="1">MAX(GL4*(1+CM5)-(Dashboard!$C$11)/(1-Dashboard!$C$17)*((1+Dashboard!$C$12)^$CZ5),0)</f>
        <v>1324269.256452054</v>
      </c>
      <c r="GM5" s="126">
        <f ca="1">MAX(GM4*(1+CN5)-(Dashboard!$C$11)/(1-Dashboard!$C$17)*((1+Dashboard!$C$12)^$CZ5),0)</f>
        <v>1832989.2000744301</v>
      </c>
      <c r="GN5" s="126">
        <f ca="1">MAX(GN4*(1+CO5)-(Dashboard!$C$11)/(1-Dashboard!$C$17)*((1+Dashboard!$C$12)^$CZ5),0)</f>
        <v>1173484.497711817</v>
      </c>
      <c r="GO5" s="126">
        <f ca="1">MAX(GO4*(1+CP5)-(Dashboard!$C$11)/(1-Dashboard!$C$17)*((1+Dashboard!$C$12)^$CZ5),0)</f>
        <v>1311119.9478566626</v>
      </c>
      <c r="GP5" s="126">
        <f ca="1">MAX(GP4*(1+CQ5)-(Dashboard!$C$11)/(1-Dashboard!$C$17)*((1+Dashboard!$C$12)^$CZ5),0)</f>
        <v>1180691.0628587247</v>
      </c>
      <c r="GQ5" s="126">
        <f ca="1">MAX(GQ4*(1+CR5)-(Dashboard!$C$11)/(1-Dashboard!$C$17)*((1+Dashboard!$C$12)^$CZ5),0)</f>
        <v>1286702.5312432023</v>
      </c>
      <c r="GR5" s="126">
        <f ca="1">MAX(GR4*(1+CS5)-(Dashboard!$C$11)/(1-Dashboard!$C$17)*((1+Dashboard!$C$12)^$CZ5),0)</f>
        <v>990386.04757046467</v>
      </c>
      <c r="GS5" s="126">
        <f ca="1">MAX(GS4*(1+CT5)-(Dashboard!$C$11)/(1-Dashboard!$C$17)*((1+Dashboard!$C$12)^$CZ5),0)</f>
        <v>1006961.1065712732</v>
      </c>
      <c r="GT5" s="126">
        <f ca="1">MAX(GT4*(1+CU5)-(Dashboard!$C$11)/(1-Dashboard!$C$17)*((1+Dashboard!$C$12)^$CZ5),0)</f>
        <v>1030364.3844578969</v>
      </c>
      <c r="GU5" s="126">
        <f ca="1">MAX(GU4*(1+CV5)-(Dashboard!$C$11)/(1-Dashboard!$C$17)*((1+Dashboard!$C$12)^$CZ5),0)</f>
        <v>567485.87261819269</v>
      </c>
      <c r="GV5" s="126">
        <f ca="1">MAX(GV4*(1+CW5)-(Dashboard!$C$11)/(1-Dashboard!$C$17)*((1+Dashboard!$C$12)^$CZ5),0)</f>
        <v>491319.95825729106</v>
      </c>
      <c r="GW5" s="115">
        <f t="shared" si="4"/>
        <v>54</v>
      </c>
      <c r="GX5" s="130">
        <f t="shared" ca="1" si="2"/>
        <v>100</v>
      </c>
      <c r="HC5" s="130">
        <f t="shared" si="0"/>
        <v>54</v>
      </c>
      <c r="HD5" s="137">
        <f t="shared" ca="1" si="1"/>
        <v>951708.41202620266</v>
      </c>
      <c r="HE5" s="137">
        <f t="shared" ca="1" si="1"/>
        <v>1108122.0806855625</v>
      </c>
      <c r="HF5" s="137">
        <f t="shared" ca="1" si="1"/>
        <v>1286778.4095683354</v>
      </c>
    </row>
    <row r="6" spans="1:214" ht="16">
      <c r="A6" s="145">
        <f t="shared" si="3"/>
        <v>55</v>
      </c>
      <c r="B6" s="122">
        <f ca="1">(Dashboard!$C$7*'Equity and Bond Returns'!N6)+(Dashboard!$C$8*'Equity and Bond Returns'!DL6)</f>
        <v>0.12356963070614796</v>
      </c>
      <c r="C6" s="122">
        <f ca="1">(Dashboard!$C$7*'Equity and Bond Returns'!O6)+(Dashboard!$C$8*'Equity and Bond Returns'!DM6)</f>
        <v>5.1784077848599348E-2</v>
      </c>
      <c r="D6" s="122">
        <f ca="1">(Dashboard!$C$7*'Equity and Bond Returns'!P6)+(Dashboard!$C$8*'Equity and Bond Returns'!DN6)</f>
        <v>0.25837426314521206</v>
      </c>
      <c r="E6" s="122">
        <f ca="1">(Dashboard!$C$7*'Equity and Bond Returns'!Q6)+(Dashboard!$C$8*'Equity and Bond Returns'!DO6)</f>
        <v>0.16849617394022101</v>
      </c>
      <c r="F6" s="122">
        <f ca="1">(Dashboard!$C$7*'Equity and Bond Returns'!R6)+(Dashboard!$C$8*'Equity and Bond Returns'!DP6)</f>
        <v>-5.0854058530166613E-2</v>
      </c>
      <c r="G6" s="122">
        <f ca="1">(Dashboard!$C$7*'Equity and Bond Returns'!S6)+(Dashboard!$C$8*'Equity and Bond Returns'!DQ6)</f>
        <v>-1.8464987511560685E-2</v>
      </c>
      <c r="H6" s="122">
        <f ca="1">(Dashboard!$C$7*'Equity and Bond Returns'!T6)+(Dashboard!$C$8*'Equity and Bond Returns'!DR6)</f>
        <v>-0.16333426333752787</v>
      </c>
      <c r="I6" s="122">
        <f ca="1">(Dashboard!$C$7*'Equity and Bond Returns'!U6)+(Dashboard!$C$8*'Equity and Bond Returns'!DS6)</f>
        <v>-5.6858844725485365E-2</v>
      </c>
      <c r="J6" s="122">
        <f ca="1">(Dashboard!$C$7*'Equity and Bond Returns'!V6)+(Dashboard!$C$8*'Equity and Bond Returns'!DT6)</f>
        <v>0.40759718112797505</v>
      </c>
      <c r="K6" s="122">
        <f ca="1">(Dashboard!$C$7*'Equity and Bond Returns'!W6)+(Dashboard!$C$8*'Equity and Bond Returns'!DU6)</f>
        <v>0.16113819618500361</v>
      </c>
      <c r="L6" s="122">
        <f ca="1">(Dashboard!$C$7*'Equity and Bond Returns'!X6)+(Dashboard!$C$8*'Equity and Bond Returns'!DV6)</f>
        <v>0.21238279224010437</v>
      </c>
      <c r="M6" s="122">
        <f ca="1">(Dashboard!$C$7*'Equity and Bond Returns'!Y6)+(Dashboard!$C$8*'Equity and Bond Returns'!DW6)</f>
        <v>8.3097468903306979E-2</v>
      </c>
      <c r="N6" s="122">
        <f ca="1">(Dashboard!$C$7*'Equity and Bond Returns'!Z6)+(Dashboard!$C$8*'Equity and Bond Returns'!DX6)</f>
        <v>0.12862796476251429</v>
      </c>
      <c r="O6" s="122">
        <f ca="1">(Dashboard!$C$7*'Equity and Bond Returns'!AA6)+(Dashboard!$C$8*'Equity and Bond Returns'!DY6)</f>
        <v>0.20606269504796682</v>
      </c>
      <c r="P6" s="122">
        <f ca="1">(Dashboard!$C$7*'Equity and Bond Returns'!AB6)+(Dashboard!$C$8*'Equity and Bond Returns'!DZ6)</f>
        <v>-3.6059775563770505E-2</v>
      </c>
      <c r="Q6" s="122">
        <f ca="1">(Dashboard!$C$7*'Equity and Bond Returns'!AC6)+(Dashboard!$C$8*'Equity and Bond Returns'!EA6)</f>
        <v>0.23750651641483969</v>
      </c>
      <c r="R6" s="122">
        <f ca="1">(Dashboard!$C$7*'Equity and Bond Returns'!AD6)+(Dashboard!$C$8*'Equity and Bond Returns'!EB6)</f>
        <v>0.23108580522462846</v>
      </c>
      <c r="S6" s="122">
        <f ca="1">(Dashboard!$C$7*'Equity and Bond Returns'!AE6)+(Dashboard!$C$8*'Equity and Bond Returns'!EC6)</f>
        <v>-3.4317317149611351E-2</v>
      </c>
      <c r="T6" s="122">
        <f ca="1">(Dashboard!$C$7*'Equity and Bond Returns'!AF6)+(Dashboard!$C$8*'Equity and Bond Returns'!ED6)</f>
        <v>5.2510049020888218E-2</v>
      </c>
      <c r="U6" s="122">
        <f ca="1">(Dashboard!$C$7*'Equity and Bond Returns'!AG6)+(Dashboard!$C$8*'Equity and Bond Returns'!EE6)</f>
        <v>-7.6086143137279474E-2</v>
      </c>
      <c r="V6" s="122">
        <f ca="1">(Dashboard!$C$7*'Equity and Bond Returns'!AH6)+(Dashboard!$C$8*'Equity and Bond Returns'!EF6)</f>
        <v>0.13195858305064151</v>
      </c>
      <c r="W6" s="122">
        <f ca="1">(Dashboard!$C$7*'Equity and Bond Returns'!AI6)+(Dashboard!$C$8*'Equity and Bond Returns'!EG6)</f>
        <v>7.0643931914714644E-2</v>
      </c>
      <c r="X6" s="122">
        <f ca="1">(Dashboard!$C$7*'Equity and Bond Returns'!AJ6)+(Dashboard!$C$8*'Equity and Bond Returns'!EH6)</f>
        <v>0.18838556866153364</v>
      </c>
      <c r="Y6" s="122">
        <f ca="1">(Dashboard!$C$7*'Equity and Bond Returns'!AK6)+(Dashboard!$C$8*'Equity and Bond Returns'!EI6)</f>
        <v>3.735471845535146E-2</v>
      </c>
      <c r="Z6" s="122">
        <f ca="1">(Dashboard!$C$7*'Equity and Bond Returns'!AL6)+(Dashboard!$C$8*'Equity and Bond Returns'!EJ6)</f>
        <v>0.32189304302441829</v>
      </c>
      <c r="AA6" s="122">
        <f ca="1">(Dashboard!$C$7*'Equity and Bond Returns'!AM6)+(Dashboard!$C$8*'Equity and Bond Returns'!EK6)</f>
        <v>0.2438894677405731</v>
      </c>
      <c r="AB6" s="122">
        <f ca="1">(Dashboard!$C$7*'Equity and Bond Returns'!AN6)+(Dashboard!$C$8*'Equity and Bond Returns'!EL6)</f>
        <v>-1.7474096280121754E-3</v>
      </c>
      <c r="AC6" s="122">
        <f ca="1">(Dashboard!$C$7*'Equity and Bond Returns'!AO6)+(Dashboard!$C$8*'Equity and Bond Returns'!EM6)</f>
        <v>0.14309876231722182</v>
      </c>
      <c r="AD6" s="122">
        <f ca="1">(Dashboard!$C$7*'Equity and Bond Returns'!AP6)+(Dashboard!$C$8*'Equity and Bond Returns'!EN6)</f>
        <v>6.8073139188496973E-2</v>
      </c>
      <c r="AE6" s="122">
        <f ca="1">(Dashboard!$C$7*'Equity and Bond Returns'!AQ6)+(Dashboard!$C$8*'Equity and Bond Returns'!EO6)</f>
        <v>0.15035309004573766</v>
      </c>
      <c r="AF6" s="122">
        <f ca="1">(Dashboard!$C$7*'Equity and Bond Returns'!AR6)+(Dashboard!$C$8*'Equity and Bond Returns'!EP6)</f>
        <v>0.11552064958222337</v>
      </c>
      <c r="AG6" s="122">
        <f ca="1">(Dashboard!$C$7*'Equity and Bond Returns'!AS6)+(Dashboard!$C$8*'Equity and Bond Returns'!EQ6)</f>
        <v>-0.12587548906595364</v>
      </c>
      <c r="AH6" s="122">
        <f ca="1">(Dashboard!$C$7*'Equity and Bond Returns'!AT6)+(Dashboard!$C$8*'Equity and Bond Returns'!ER6)</f>
        <v>0.16748464702718266</v>
      </c>
      <c r="AI6" s="122">
        <f ca="1">(Dashboard!$C$7*'Equity and Bond Returns'!AU6)+(Dashboard!$C$8*'Equity and Bond Returns'!ES6)</f>
        <v>0.12887618701771464</v>
      </c>
      <c r="AJ6" s="122">
        <f ca="1">(Dashboard!$C$7*'Equity and Bond Returns'!AV6)+(Dashboard!$C$8*'Equity and Bond Returns'!ET6)</f>
        <v>5.6210900567652822E-2</v>
      </c>
      <c r="AK6" s="122">
        <f ca="1">(Dashboard!$C$7*'Equity and Bond Returns'!AW6)+(Dashboard!$C$8*'Equity and Bond Returns'!EU6)</f>
        <v>0.19199568921967958</v>
      </c>
      <c r="AL6" s="122">
        <f ca="1">(Dashboard!$C$7*'Equity and Bond Returns'!AX6)+(Dashboard!$C$8*'Equity and Bond Returns'!EV6)</f>
        <v>-2.0703582543075943E-2</v>
      </c>
      <c r="AM6" s="122">
        <f ca="1">(Dashboard!$C$7*'Equity and Bond Returns'!AY6)+(Dashboard!$C$8*'Equity and Bond Returns'!EW6)</f>
        <v>0.24663174569852303</v>
      </c>
      <c r="AN6" s="122">
        <f ca="1">(Dashboard!$C$7*'Equity and Bond Returns'!AZ6)+(Dashboard!$C$8*'Equity and Bond Returns'!EX6)</f>
        <v>8.8469282775938254E-2</v>
      </c>
      <c r="AO6" s="122">
        <f ca="1">(Dashboard!$C$7*'Equity and Bond Returns'!BA6)+(Dashboard!$C$8*'Equity and Bond Returns'!EY6)</f>
        <v>0.28502440100320786</v>
      </c>
      <c r="AP6" s="122">
        <f ca="1">(Dashboard!$C$7*'Equity and Bond Returns'!BB6)+(Dashboard!$C$8*'Equity and Bond Returns'!EZ6)</f>
        <v>-0.12434841536440285</v>
      </c>
      <c r="AQ6" s="122">
        <f ca="1">(Dashboard!$C$7*'Equity and Bond Returns'!BC6)+(Dashboard!$C$8*'Equity and Bond Returns'!FA6)</f>
        <v>-8.6066064896885619E-2</v>
      </c>
      <c r="AR6" s="122">
        <f ca="1">(Dashboard!$C$7*'Equity and Bond Returns'!BD6)+(Dashboard!$C$8*'Equity and Bond Returns'!FB6)</f>
        <v>-3.8360458135643982E-2</v>
      </c>
      <c r="AS6" s="122">
        <f ca="1">(Dashboard!$C$7*'Equity and Bond Returns'!BE6)+(Dashboard!$C$8*'Equity and Bond Returns'!FC6)</f>
        <v>-0.11852301128750428</v>
      </c>
      <c r="AT6" s="122">
        <f ca="1">(Dashboard!$C$7*'Equity and Bond Returns'!BF6)+(Dashboard!$C$8*'Equity and Bond Returns'!FD6)</f>
        <v>0.17722675680138475</v>
      </c>
      <c r="AU6" s="122">
        <f ca="1">(Dashboard!$C$7*'Equity and Bond Returns'!BG6)+(Dashboard!$C$8*'Equity and Bond Returns'!FE6)</f>
        <v>8.45544998445866E-2</v>
      </c>
      <c r="AV6" s="122">
        <f ca="1">(Dashboard!$C$7*'Equity and Bond Returns'!BH6)+(Dashboard!$C$8*'Equity and Bond Returns'!FF6)</f>
        <v>0.14615300428711009</v>
      </c>
      <c r="AW6" s="122">
        <f ca="1">(Dashboard!$C$7*'Equity and Bond Returns'!BI6)+(Dashboard!$C$8*'Equity and Bond Returns'!FG6)</f>
        <v>0.28075958713095833</v>
      </c>
      <c r="AX6" s="122">
        <f ca="1">(Dashboard!$C$7*'Equity and Bond Returns'!BJ6)+(Dashboard!$C$8*'Equity and Bond Returns'!FH6)</f>
        <v>0.1288227481179198</v>
      </c>
      <c r="AY6" s="122">
        <f ca="1">(Dashboard!$C$7*'Equity and Bond Returns'!BK6)+(Dashboard!$C$8*'Equity and Bond Returns'!FI6)</f>
        <v>0.20206691630580198</v>
      </c>
      <c r="AZ6" s="122">
        <f ca="1">(Dashboard!$C$7*'Equity and Bond Returns'!BL6)+(Dashboard!$C$8*'Equity and Bond Returns'!FJ6)</f>
        <v>0.12728262724802059</v>
      </c>
      <c r="BA6" s="122">
        <f ca="1">(Dashboard!$C$7*'Equity and Bond Returns'!BM6)+(Dashboard!$C$8*'Equity and Bond Returns'!FK6)</f>
        <v>-8.0779898226461741E-2</v>
      </c>
      <c r="BB6" s="122">
        <f ca="1">(Dashboard!$C$7*'Equity and Bond Returns'!BN6)+(Dashboard!$C$8*'Equity and Bond Returns'!FL6)</f>
        <v>0.20355568620012715</v>
      </c>
      <c r="BC6" s="122">
        <f ca="1">(Dashboard!$C$7*'Equity and Bond Returns'!BO6)+(Dashboard!$C$8*'Equity and Bond Returns'!FM6)</f>
        <v>4.6489937386511325E-2</v>
      </c>
      <c r="BD6" s="122">
        <f ca="1">(Dashboard!$C$7*'Equity and Bond Returns'!BP6)+(Dashboard!$C$8*'Equity and Bond Returns'!FN6)</f>
        <v>4.6289770932646815E-2</v>
      </c>
      <c r="BE6" s="122">
        <f ca="1">(Dashboard!$C$7*'Equity and Bond Returns'!BQ6)+(Dashboard!$C$8*'Equity and Bond Returns'!FO6)</f>
        <v>-3.4376055738293818E-2</v>
      </c>
      <c r="BF6" s="122">
        <f ca="1">(Dashboard!$C$7*'Equity and Bond Returns'!BR6)+(Dashboard!$C$8*'Equity and Bond Returns'!FP6)</f>
        <v>5.602351343724668E-2</v>
      </c>
      <c r="BG6" s="122">
        <f ca="1">(Dashboard!$C$7*'Equity and Bond Returns'!BS6)+(Dashboard!$C$8*'Equity and Bond Returns'!FQ6)</f>
        <v>-2.7095561299231394E-2</v>
      </c>
      <c r="BH6" s="122">
        <f ca="1">(Dashboard!$C$7*'Equity and Bond Returns'!BT6)+(Dashboard!$C$8*'Equity and Bond Returns'!FR6)</f>
        <v>2.4111529185610471E-2</v>
      </c>
      <c r="BI6" s="122">
        <f ca="1">(Dashboard!$C$7*'Equity and Bond Returns'!BU6)+(Dashboard!$C$8*'Equity and Bond Returns'!FS6)</f>
        <v>0.10322007367264734</v>
      </c>
      <c r="BJ6" s="122">
        <f ca="1">(Dashboard!$C$7*'Equity and Bond Returns'!BV6)+(Dashboard!$C$8*'Equity and Bond Returns'!FT6)</f>
        <v>0.1960506050507686</v>
      </c>
      <c r="BK6" s="122">
        <f ca="1">(Dashboard!$C$7*'Equity and Bond Returns'!BW6)+(Dashboard!$C$8*'Equity and Bond Returns'!FU6)</f>
        <v>-4.8182612772289649E-2</v>
      </c>
      <c r="BL6" s="122">
        <f ca="1">(Dashboard!$C$7*'Equity and Bond Returns'!BX6)+(Dashboard!$C$8*'Equity and Bond Returns'!FV6)</f>
        <v>-0.21688472164630906</v>
      </c>
      <c r="BM6" s="122">
        <f ca="1">(Dashboard!$C$7*'Equity and Bond Returns'!BY6)+(Dashboard!$C$8*'Equity and Bond Returns'!FW6)</f>
        <v>0.10776817923136686</v>
      </c>
      <c r="BN6" s="122">
        <f ca="1">(Dashboard!$C$7*'Equity and Bond Returns'!BZ6)+(Dashboard!$C$8*'Equity and Bond Returns'!FX6)</f>
        <v>0.13971612256269145</v>
      </c>
      <c r="BO6" s="122">
        <f ca="1">(Dashboard!$C$7*'Equity and Bond Returns'!CA6)+(Dashboard!$C$8*'Equity and Bond Returns'!FY6)</f>
        <v>0.14845292086672909</v>
      </c>
      <c r="BP6" s="122">
        <f ca="1">(Dashboard!$C$7*'Equity and Bond Returns'!CB6)+(Dashboard!$C$8*'Equity and Bond Returns'!FZ6)</f>
        <v>0.17387549771825328</v>
      </c>
      <c r="BQ6" s="122">
        <f ca="1">(Dashboard!$C$7*'Equity and Bond Returns'!CC6)+(Dashboard!$C$8*'Equity and Bond Returns'!GA6)</f>
        <v>5.5585556162184149E-2</v>
      </c>
      <c r="BR6" s="122">
        <f ca="1">(Dashboard!$C$7*'Equity and Bond Returns'!CD6)+(Dashboard!$C$8*'Equity and Bond Returns'!GB6)</f>
        <v>-0.10267371267401412</v>
      </c>
      <c r="BS6" s="122">
        <f ca="1">(Dashboard!$C$7*'Equity and Bond Returns'!CE6)+(Dashboard!$C$8*'Equity and Bond Returns'!GC6)</f>
        <v>0.16169640453328563</v>
      </c>
      <c r="BT6" s="122">
        <f ca="1">(Dashboard!$C$7*'Equity and Bond Returns'!CF6)+(Dashboard!$C$8*'Equity and Bond Returns'!GD6)</f>
        <v>0.37853247224599501</v>
      </c>
      <c r="BU6" s="122">
        <f ca="1">(Dashboard!$C$7*'Equity and Bond Returns'!CG6)+(Dashboard!$C$8*'Equity and Bond Returns'!GE6)</f>
        <v>3.2997214976620871E-2</v>
      </c>
      <c r="BV6" s="122">
        <f ca="1">(Dashboard!$C$7*'Equity and Bond Returns'!CH6)+(Dashboard!$C$8*'Equity and Bond Returns'!GF6)</f>
        <v>1.5413474474187464E-3</v>
      </c>
      <c r="BW6" s="122">
        <f ca="1">(Dashboard!$C$7*'Equity and Bond Returns'!CI6)+(Dashboard!$C$8*'Equity and Bond Returns'!GG6)</f>
        <v>0.1411059525527916</v>
      </c>
      <c r="BX6" s="122">
        <f ca="1">(Dashboard!$C$7*'Equity and Bond Returns'!CJ6)+(Dashboard!$C$8*'Equity and Bond Returns'!GH6)</f>
        <v>0.23192250063926845</v>
      </c>
      <c r="BY6" s="122">
        <f ca="1">(Dashboard!$C$7*'Equity and Bond Returns'!CK6)+(Dashboard!$C$8*'Equity and Bond Returns'!GI6)</f>
        <v>9.4663991395450814E-2</v>
      </c>
      <c r="BZ6" s="122">
        <f ca="1">(Dashboard!$C$7*'Equity and Bond Returns'!CL6)+(Dashboard!$C$8*'Equity and Bond Returns'!GJ6)</f>
        <v>6.3424453344568976E-2</v>
      </c>
      <c r="CA6" s="122">
        <f ca="1">(Dashboard!$C$7*'Equity and Bond Returns'!CM6)+(Dashboard!$C$8*'Equity and Bond Returns'!GK6)</f>
        <v>-7.1458176713147109E-2</v>
      </c>
      <c r="CB6" s="122">
        <f ca="1">(Dashboard!$C$7*'Equity and Bond Returns'!CN6)+(Dashboard!$C$8*'Equity and Bond Returns'!GL6)</f>
        <v>0.17846285982678051</v>
      </c>
      <c r="CC6" s="122">
        <f ca="1">(Dashboard!$C$7*'Equity and Bond Returns'!CO6)+(Dashboard!$C$8*'Equity and Bond Returns'!GM6)</f>
        <v>-0.25135512941418592</v>
      </c>
      <c r="CD6" s="122">
        <f ca="1">(Dashboard!$C$7*'Equity and Bond Returns'!CP6)+(Dashboard!$C$8*'Equity and Bond Returns'!GN6)</f>
        <v>6.3137890164032359E-2</v>
      </c>
      <c r="CE6" s="122">
        <f ca="1">(Dashboard!$C$7*'Equity and Bond Returns'!CQ6)+(Dashboard!$C$8*'Equity and Bond Returns'!GO6)</f>
        <v>2.2884410845288347E-2</v>
      </c>
      <c r="CF6" s="122">
        <f ca="1">(Dashboard!$C$7*'Equity and Bond Returns'!CR6)+(Dashboard!$C$8*'Equity and Bond Returns'!GP6)</f>
        <v>-0.18975494036056212</v>
      </c>
      <c r="CG6" s="122">
        <f ca="1">(Dashboard!$C$7*'Equity and Bond Returns'!CS6)+(Dashboard!$C$8*'Equity and Bond Returns'!GQ6)</f>
        <v>-4.521648519768065E-2</v>
      </c>
      <c r="CH6" s="122">
        <f ca="1">(Dashboard!$C$7*'Equity and Bond Returns'!CT6)+(Dashboard!$C$8*'Equity and Bond Returns'!GR6)</f>
        <v>0.20948686385069534</v>
      </c>
      <c r="CI6" s="122">
        <f ca="1">(Dashboard!$C$7*'Equity and Bond Returns'!CU6)+(Dashboard!$C$8*'Equity and Bond Returns'!GS6)</f>
        <v>0.20562861530121018</v>
      </c>
      <c r="CJ6" s="122">
        <f ca="1">(Dashboard!$C$7*'Equity and Bond Returns'!CV6)+(Dashboard!$C$8*'Equity and Bond Returns'!GT6)</f>
        <v>9.2634855980251365E-3</v>
      </c>
      <c r="CK6" s="122">
        <f ca="1">(Dashboard!$C$7*'Equity and Bond Returns'!CW6)+(Dashboard!$C$8*'Equity and Bond Returns'!GU6)</f>
        <v>0.15042709254005604</v>
      </c>
      <c r="CL6" s="122">
        <f ca="1">(Dashboard!$C$7*'Equity and Bond Returns'!CX6)+(Dashboard!$C$8*'Equity and Bond Returns'!GV6)</f>
        <v>0.19888463759223451</v>
      </c>
      <c r="CM6" s="122">
        <f ca="1">(Dashboard!$C$7*'Equity and Bond Returns'!CY6)+(Dashboard!$C$8*'Equity and Bond Returns'!GW6)</f>
        <v>4.1235620198797153E-2</v>
      </c>
      <c r="CN6" s="122">
        <f ca="1">(Dashboard!$C$7*'Equity and Bond Returns'!CZ6)+(Dashboard!$C$8*'Equity and Bond Returns'!GX6)</f>
        <v>0.14624576656393215</v>
      </c>
      <c r="CO6" s="122">
        <f ca="1">(Dashboard!$C$7*'Equity and Bond Returns'!DA6)+(Dashboard!$C$8*'Equity and Bond Returns'!GY6)</f>
        <v>-0.15186354600972002</v>
      </c>
      <c r="CP6" s="122">
        <f ca="1">(Dashboard!$C$7*'Equity and Bond Returns'!DB6)+(Dashboard!$C$8*'Equity and Bond Returns'!GZ6)</f>
        <v>0.22191559328124727</v>
      </c>
      <c r="CQ6" s="122">
        <f ca="1">(Dashboard!$C$7*'Equity and Bond Returns'!DC6)+(Dashboard!$C$8*'Equity and Bond Returns'!HA6)</f>
        <v>-0.16308328453937432</v>
      </c>
      <c r="CR6" s="122">
        <f ca="1">(Dashboard!$C$7*'Equity and Bond Returns'!DD6)+(Dashboard!$C$8*'Equity and Bond Returns'!HB6)</f>
        <v>3.6129779084985263E-3</v>
      </c>
      <c r="CS6" s="122">
        <f ca="1">(Dashboard!$C$7*'Equity and Bond Returns'!DE6)+(Dashboard!$C$8*'Equity and Bond Returns'!HC6)</f>
        <v>-0.14543382495511781</v>
      </c>
      <c r="CT6" s="122">
        <f ca="1">(Dashboard!$C$7*'Equity and Bond Returns'!DF6)+(Dashboard!$C$8*'Equity and Bond Returns'!HD6)</f>
        <v>8.7272216829802726E-2</v>
      </c>
      <c r="CU6" s="122">
        <f ca="1">(Dashboard!$C$7*'Equity and Bond Returns'!DG6)+(Dashboard!$C$8*'Equity and Bond Returns'!HE6)</f>
        <v>6.2850292861290791E-2</v>
      </c>
      <c r="CV6" s="122">
        <f ca="1">(Dashboard!$C$7*'Equity and Bond Returns'!DH6)+(Dashboard!$C$8*'Equity and Bond Returns'!HF6)</f>
        <v>0.2380961724206368</v>
      </c>
      <c r="CW6" s="122">
        <f ca="1">(Dashboard!$C$7*'Equity and Bond Returns'!DI6)+(Dashboard!$C$8*'Equity and Bond Returns'!HG6)</f>
        <v>3.0565239619783705E-3</v>
      </c>
      <c r="CY6" s="147">
        <f t="shared" si="5"/>
        <v>55</v>
      </c>
      <c r="CZ6" s="148">
        <v>5</v>
      </c>
      <c r="DA6" s="126">
        <f ca="1">MAX(DA5*(1+B6)-(Dashboard!$C$11)/(1-Dashboard!$C$17)*((1+Dashboard!$C$12)^$CZ6),0)</f>
        <v>1167220.5990299745</v>
      </c>
      <c r="DB6" s="126">
        <f ca="1">MAX(DB5*(1+C6)-(Dashboard!$C$11)/(1-Dashboard!$C$17)*((1+Dashboard!$C$12)^$CZ6),0)</f>
        <v>1116775.3817510265</v>
      </c>
      <c r="DC6" s="126">
        <f ca="1">MAX(DC5*(1+D6)-(Dashboard!$C$11)/(1-Dashboard!$C$17)*((1+Dashboard!$C$12)^$CZ6),0)</f>
        <v>1081199.1290640833</v>
      </c>
      <c r="DD6" s="126">
        <f ca="1">MAX(DD5*(1+E6)-(Dashboard!$C$11)/(1-Dashboard!$C$17)*((1+Dashboard!$C$12)^$CZ6),0)</f>
        <v>1096881.0853910914</v>
      </c>
      <c r="DE6" s="126">
        <f ca="1">MAX(DE5*(1+F6)-(Dashboard!$C$11)/(1-Dashboard!$C$17)*((1+Dashboard!$C$12)^$CZ6),0)</f>
        <v>1274875.0676075506</v>
      </c>
      <c r="DF6" s="126">
        <f ca="1">MAX(DF5*(1+G6)-(Dashboard!$C$11)/(1-Dashboard!$C$17)*((1+Dashboard!$C$12)^$CZ6),0)</f>
        <v>1349141.837651463</v>
      </c>
      <c r="DG6" s="126">
        <f ca="1">MAX(DG5*(1+H6)-(Dashboard!$C$11)/(1-Dashboard!$C$17)*((1+Dashboard!$C$12)^$CZ6),0)</f>
        <v>652553.24275816011</v>
      </c>
      <c r="DH6" s="126">
        <f ca="1">MAX(DH5*(1+I6)-(Dashboard!$C$11)/(1-Dashboard!$C$17)*((1+Dashboard!$C$12)^$CZ6),0)</f>
        <v>956983.47564705054</v>
      </c>
      <c r="DI6" s="126">
        <f ca="1">MAX(DI5*(1+J6)-(Dashboard!$C$11)/(1-Dashboard!$C$17)*((1+Dashboard!$C$12)^$CZ6),0)</f>
        <v>1163441.536077657</v>
      </c>
      <c r="DJ6" s="126">
        <f ca="1">MAX(DJ5*(1+K6)-(Dashboard!$C$11)/(1-Dashboard!$C$17)*((1+Dashboard!$C$12)^$CZ6),0)</f>
        <v>958714.26744173467</v>
      </c>
      <c r="DK6" s="126">
        <f ca="1">MAX(DK5*(1+L6)-(Dashboard!$C$11)/(1-Dashboard!$C$17)*((1+Dashboard!$C$12)^$CZ6),0)</f>
        <v>1324696.5166778581</v>
      </c>
      <c r="DL6" s="126">
        <f ca="1">MAX(DL5*(1+M6)-(Dashboard!$C$11)/(1-Dashboard!$C$17)*((1+Dashboard!$C$12)^$CZ6),0)</f>
        <v>1040593.3284439006</v>
      </c>
      <c r="DM6" s="126">
        <f ca="1">MAX(DM5*(1+N6)-(Dashboard!$C$11)/(1-Dashboard!$C$17)*((1+Dashboard!$C$12)^$CZ6),0)</f>
        <v>1006313.2044145784</v>
      </c>
      <c r="DN6" s="126">
        <f ca="1">MAX(DN5*(1+O6)-(Dashboard!$C$11)/(1-Dashboard!$C$17)*((1+Dashboard!$C$12)^$CZ6),0)</f>
        <v>1146957.1929418787</v>
      </c>
      <c r="DO6" s="126">
        <f ca="1">MAX(DO5*(1+P6)-(Dashboard!$C$11)/(1-Dashboard!$C$17)*((1+Dashboard!$C$12)^$CZ6),0)</f>
        <v>1024993.5546742218</v>
      </c>
      <c r="DP6" s="126">
        <f ca="1">MAX(DP5*(1+Q6)-(Dashboard!$C$11)/(1-Dashboard!$C$17)*((1+Dashboard!$C$12)^$CZ6),0)</f>
        <v>1417926.5840773855</v>
      </c>
      <c r="DQ6" s="126">
        <f ca="1">MAX(DQ5*(1+R6)-(Dashboard!$C$11)/(1-Dashboard!$C$17)*((1+Dashboard!$C$12)^$CZ6),0)</f>
        <v>1456677.778115296</v>
      </c>
      <c r="DR6" s="126">
        <f ca="1">MAX(DR5*(1+S6)-(Dashboard!$C$11)/(1-Dashboard!$C$17)*((1+Dashboard!$C$12)^$CZ6),0)</f>
        <v>1486882.2919782277</v>
      </c>
      <c r="DS6" s="126">
        <f ca="1">MAX(DS5*(1+T6)-(Dashboard!$C$11)/(1-Dashboard!$C$17)*((1+Dashboard!$C$12)^$CZ6),0)</f>
        <v>1331395.2333125393</v>
      </c>
      <c r="DT6" s="126">
        <f ca="1">MAX(DT5*(1+U6)-(Dashboard!$C$11)/(1-Dashboard!$C$17)*((1+Dashboard!$C$12)^$CZ6),0)</f>
        <v>1292081.6925128615</v>
      </c>
      <c r="DU6" s="126">
        <f ca="1">MAX(DU5*(1+V6)-(Dashboard!$C$11)/(1-Dashboard!$C$17)*((1+Dashboard!$C$12)^$CZ6),0)</f>
        <v>1199386.9964533153</v>
      </c>
      <c r="DV6" s="126">
        <f ca="1">MAX(DV5*(1+W6)-(Dashboard!$C$11)/(1-Dashboard!$C$17)*((1+Dashboard!$C$12)^$CZ6),0)</f>
        <v>1070709.2509191369</v>
      </c>
      <c r="DW6" s="126">
        <f ca="1">MAX(DW5*(1+X6)-(Dashboard!$C$11)/(1-Dashboard!$C$17)*((1+Dashboard!$C$12)^$CZ6),0)</f>
        <v>1024756.362876841</v>
      </c>
      <c r="DX6" s="126">
        <f ca="1">MAX(DX5*(1+Y6)-(Dashboard!$C$11)/(1-Dashboard!$C$17)*((1+Dashboard!$C$12)^$CZ6),0)</f>
        <v>994072.93296049919</v>
      </c>
      <c r="DY6" s="126">
        <f ca="1">MAX(DY5*(1+Z6)-(Dashboard!$C$11)/(1-Dashboard!$C$17)*((1+Dashboard!$C$12)^$CZ6),0)</f>
        <v>1317667.9760423563</v>
      </c>
      <c r="DZ6" s="126">
        <f ca="1">MAX(DZ5*(1+AA6)-(Dashboard!$C$11)/(1-Dashboard!$C$17)*((1+Dashboard!$C$12)^$CZ6),0)</f>
        <v>577764.25953902747</v>
      </c>
      <c r="EA6" s="126">
        <f ca="1">MAX(EA5*(1+AB6)-(Dashboard!$C$11)/(1-Dashboard!$C$17)*((1+Dashboard!$C$12)^$CZ6),0)</f>
        <v>1078044.8485703543</v>
      </c>
      <c r="EB6" s="126">
        <f ca="1">MAX(EB5*(1+AC6)-(Dashboard!$C$11)/(1-Dashboard!$C$17)*((1+Dashboard!$C$12)^$CZ6),0)</f>
        <v>1257807.8197174557</v>
      </c>
      <c r="EC6" s="126">
        <f ca="1">MAX(EC5*(1+AD6)-(Dashboard!$C$11)/(1-Dashboard!$C$17)*((1+Dashboard!$C$12)^$CZ6),0)</f>
        <v>1663216.5229779123</v>
      </c>
      <c r="ED6" s="126">
        <f ca="1">MAX(ED5*(1+AE6)-(Dashboard!$C$11)/(1-Dashboard!$C$17)*((1+Dashboard!$C$12)^$CZ6),0)</f>
        <v>1708579.7963801669</v>
      </c>
      <c r="EE6" s="126">
        <f ca="1">MAX(EE5*(1+AF6)-(Dashboard!$C$11)/(1-Dashboard!$C$17)*((1+Dashboard!$C$12)^$CZ6),0)</f>
        <v>851778.22401753708</v>
      </c>
      <c r="EF6" s="126">
        <f ca="1">MAX(EF5*(1+AG6)-(Dashboard!$C$11)/(1-Dashboard!$C$17)*((1+Dashboard!$C$12)^$CZ6),0)</f>
        <v>1216244.8620198544</v>
      </c>
      <c r="EG6" s="126">
        <f ca="1">MAX(EG5*(1+AH6)-(Dashboard!$C$11)/(1-Dashboard!$C$17)*((1+Dashboard!$C$12)^$CZ6),0)</f>
        <v>1460300.2254050979</v>
      </c>
      <c r="EH6" s="126">
        <f ca="1">MAX(EH5*(1+AI6)-(Dashboard!$C$11)/(1-Dashboard!$C$17)*((1+Dashboard!$C$12)^$CZ6),0)</f>
        <v>1428732.0291592353</v>
      </c>
      <c r="EI6" s="126">
        <f ca="1">MAX(EI5*(1+AJ6)-(Dashboard!$C$11)/(1-Dashboard!$C$17)*((1+Dashboard!$C$12)^$CZ6),0)</f>
        <v>708711.63523385755</v>
      </c>
      <c r="EJ6" s="126">
        <f ca="1">MAX(EJ5*(1+AK6)-(Dashboard!$C$11)/(1-Dashboard!$C$17)*((1+Dashboard!$C$12)^$CZ6),0)</f>
        <v>2257900.437910283</v>
      </c>
      <c r="EK6" s="126">
        <f ca="1">MAX(EK5*(1+AL6)-(Dashboard!$C$11)/(1-Dashboard!$C$17)*((1+Dashboard!$C$12)^$CZ6),0)</f>
        <v>1074255.4909105049</v>
      </c>
      <c r="EL6" s="126">
        <f ca="1">MAX(EL5*(1+AM6)-(Dashboard!$C$11)/(1-Dashboard!$C$17)*((1+Dashboard!$C$12)^$CZ6),0)</f>
        <v>875526.26349931327</v>
      </c>
      <c r="EM6" s="126">
        <f ca="1">MAX(EM5*(1+AN6)-(Dashboard!$C$11)/(1-Dashboard!$C$17)*((1+Dashboard!$C$12)^$CZ6),0)</f>
        <v>1341038.0790023885</v>
      </c>
      <c r="EN6" s="126">
        <f ca="1">MAX(EN5*(1+AO6)-(Dashboard!$C$11)/(1-Dashboard!$C$17)*((1+Dashboard!$C$12)^$CZ6),0)</f>
        <v>1255482.5875722116</v>
      </c>
      <c r="EO6" s="126">
        <f ca="1">MAX(EO5*(1+AP6)-(Dashboard!$C$11)/(1-Dashboard!$C$17)*((1+Dashboard!$C$12)^$CZ6),0)</f>
        <v>1186621.5202563303</v>
      </c>
      <c r="EP6" s="126">
        <f ca="1">MAX(EP5*(1+AQ6)-(Dashboard!$C$11)/(1-Dashboard!$C$17)*((1+Dashboard!$C$12)^$CZ6),0)</f>
        <v>1058113.1562718977</v>
      </c>
      <c r="EQ6" s="126">
        <f ca="1">MAX(EQ5*(1+AR6)-(Dashboard!$C$11)/(1-Dashboard!$C$17)*((1+Dashboard!$C$12)^$CZ6),0)</f>
        <v>695814.84950806864</v>
      </c>
      <c r="ER6" s="126">
        <f ca="1">MAX(ER5*(1+AS6)-(Dashboard!$C$11)/(1-Dashboard!$C$17)*((1+Dashboard!$C$12)^$CZ6),0)</f>
        <v>1171668.2341214835</v>
      </c>
      <c r="ES6" s="126">
        <f ca="1">MAX(ES5*(1+AT6)-(Dashboard!$C$11)/(1-Dashboard!$C$17)*((1+Dashboard!$C$12)^$CZ6),0)</f>
        <v>602599.49429138144</v>
      </c>
      <c r="ET6" s="126">
        <f ca="1">MAX(ET5*(1+AU6)-(Dashboard!$C$11)/(1-Dashboard!$C$17)*((1+Dashboard!$C$12)^$CZ6),0)</f>
        <v>975545.31985146832</v>
      </c>
      <c r="EU6" s="126">
        <f ca="1">MAX(EU5*(1+AV6)-(Dashboard!$C$11)/(1-Dashboard!$C$17)*((1+Dashboard!$C$12)^$CZ6),0)</f>
        <v>1253078.9687084241</v>
      </c>
      <c r="EV6" s="126">
        <f ca="1">MAX(EV5*(1+AW6)-(Dashboard!$C$11)/(1-Dashboard!$C$17)*((1+Dashboard!$C$12)^$CZ6),0)</f>
        <v>1508047.0448826798</v>
      </c>
      <c r="EW6" s="126">
        <f ca="1">MAX(EW5*(1+AX6)-(Dashboard!$C$11)/(1-Dashboard!$C$17)*((1+Dashboard!$C$12)^$CZ6),0)</f>
        <v>1317823.4143304673</v>
      </c>
      <c r="EX6" s="126">
        <f ca="1">MAX(EX5*(1+AY6)-(Dashboard!$C$11)/(1-Dashboard!$C$17)*((1+Dashboard!$C$12)^$CZ6),0)</f>
        <v>1165866.7436387048</v>
      </c>
      <c r="EY6" s="126">
        <f ca="1">MAX(EY5*(1+AZ6)-(Dashboard!$C$11)/(1-Dashboard!$C$17)*((1+Dashboard!$C$12)^$CZ6),0)</f>
        <v>1017499.0149490702</v>
      </c>
      <c r="EZ6" s="126">
        <f ca="1">MAX(EZ5*(1+BA6)-(Dashboard!$C$11)/(1-Dashboard!$C$17)*((1+Dashboard!$C$12)^$CZ6),0)</f>
        <v>1180488.318438824</v>
      </c>
      <c r="FA6" s="126">
        <f ca="1">MAX(FA5*(1+BB6)-(Dashboard!$C$11)/(1-Dashboard!$C$17)*((1+Dashboard!$C$12)^$CZ6),0)</f>
        <v>1028134.3035570775</v>
      </c>
      <c r="FB6" s="126">
        <f ca="1">MAX(FB5*(1+BC6)-(Dashboard!$C$11)/(1-Dashboard!$C$17)*((1+Dashboard!$C$12)^$CZ6),0)</f>
        <v>1001181.1840202739</v>
      </c>
      <c r="FC6" s="126">
        <f ca="1">MAX(FC5*(1+BD6)-(Dashboard!$C$11)/(1-Dashboard!$C$17)*((1+Dashboard!$C$12)^$CZ6),0)</f>
        <v>969249.03658999444</v>
      </c>
      <c r="FD6" s="126">
        <f ca="1">MAX(FD5*(1+BE6)-(Dashboard!$C$11)/(1-Dashboard!$C$17)*((1+Dashboard!$C$12)^$CZ6),0)</f>
        <v>1491027.1853384271</v>
      </c>
      <c r="FE6" s="126">
        <f ca="1">MAX(FE5*(1+BF6)-(Dashboard!$C$11)/(1-Dashboard!$C$17)*((1+Dashboard!$C$12)^$CZ6),0)</f>
        <v>1948319.0197510165</v>
      </c>
      <c r="FF6" s="126">
        <f ca="1">MAX(FF5*(1+BG6)-(Dashboard!$C$11)/(1-Dashboard!$C$17)*((1+Dashboard!$C$12)^$CZ6),0)</f>
        <v>1043738.3249075735</v>
      </c>
      <c r="FG6" s="126">
        <f ca="1">MAX(FG5*(1+BH6)-(Dashboard!$C$11)/(1-Dashboard!$C$17)*((1+Dashboard!$C$12)^$CZ6),0)</f>
        <v>1788044.4095106642</v>
      </c>
      <c r="FH6" s="126">
        <f ca="1">MAX(FH5*(1+BI6)-(Dashboard!$C$11)/(1-Dashboard!$C$17)*((1+Dashboard!$C$12)^$CZ6),0)</f>
        <v>745350.4347009823</v>
      </c>
      <c r="FI6" s="126">
        <f ca="1">MAX(FI5*(1+BJ6)-(Dashboard!$C$11)/(1-Dashboard!$C$17)*((1+Dashboard!$C$12)^$CZ6),0)</f>
        <v>1584949.1543692809</v>
      </c>
      <c r="FJ6" s="126">
        <f ca="1">MAX(FJ5*(1+BK6)-(Dashboard!$C$11)/(1-Dashboard!$C$17)*((1+Dashboard!$C$12)^$CZ6),0)</f>
        <v>1102686.1301437218</v>
      </c>
      <c r="FK6" s="126">
        <f ca="1">MAX(FK5*(1+BL6)-(Dashboard!$C$11)/(1-Dashboard!$C$17)*((1+Dashboard!$C$12)^$CZ6),0)</f>
        <v>853880.37070780608</v>
      </c>
      <c r="FL6" s="126">
        <f ca="1">MAX(FL5*(1+BM6)-(Dashboard!$C$11)/(1-Dashboard!$C$17)*((1+Dashboard!$C$12)^$CZ6),0)</f>
        <v>1527390.2678348096</v>
      </c>
      <c r="FM6" s="126">
        <f ca="1">MAX(FM5*(1+BN6)-(Dashboard!$C$11)/(1-Dashboard!$C$17)*((1+Dashboard!$C$12)^$CZ6),0)</f>
        <v>1116942.8892470205</v>
      </c>
      <c r="FN6" s="126">
        <f ca="1">MAX(FN5*(1+BO6)-(Dashboard!$C$11)/(1-Dashboard!$C$17)*((1+Dashboard!$C$12)^$CZ6),0)</f>
        <v>725545.1521789612</v>
      </c>
      <c r="FO6" s="126">
        <f ca="1">MAX(FO5*(1+BP6)-(Dashboard!$C$11)/(1-Dashboard!$C$17)*((1+Dashboard!$C$12)^$CZ6),0)</f>
        <v>1421567.7943276979</v>
      </c>
      <c r="FP6" s="126">
        <f ca="1">MAX(FP5*(1+BQ6)-(Dashboard!$C$11)/(1-Dashboard!$C$17)*((1+Dashboard!$C$12)^$CZ6),0)</f>
        <v>1060951.2940454828</v>
      </c>
      <c r="FQ6" s="126">
        <f ca="1">MAX(FQ5*(1+BR6)-(Dashboard!$C$11)/(1-Dashboard!$C$17)*((1+Dashboard!$C$12)^$CZ6),0)</f>
        <v>1928966.9392830357</v>
      </c>
      <c r="FR6" s="126">
        <f ca="1">MAX(FR5*(1+BS6)-(Dashboard!$C$11)/(1-Dashboard!$C$17)*((1+Dashboard!$C$12)^$CZ6),0)</f>
        <v>1876138.1999451914</v>
      </c>
      <c r="FS6" s="126">
        <f ca="1">MAX(FS5*(1+BT6)-(Dashboard!$C$11)/(1-Dashboard!$C$17)*((1+Dashboard!$C$12)^$CZ6),0)</f>
        <v>1535334.6559415548</v>
      </c>
      <c r="FT6" s="126">
        <f ca="1">MAX(FT5*(1+BU6)-(Dashboard!$C$11)/(1-Dashboard!$C$17)*((1+Dashboard!$C$12)^$CZ6),0)</f>
        <v>863850.77588374377</v>
      </c>
      <c r="FU6" s="126">
        <f ca="1">MAX(FU5*(1+BV6)-(Dashboard!$C$11)/(1-Dashboard!$C$17)*((1+Dashboard!$C$12)^$CZ6),0)</f>
        <v>1054101.9988528597</v>
      </c>
      <c r="FV6" s="126">
        <f ca="1">MAX(FV5*(1+BW6)-(Dashboard!$C$11)/(1-Dashboard!$C$17)*((1+Dashboard!$C$12)^$CZ6),0)</f>
        <v>399387.34765175695</v>
      </c>
      <c r="FW6" s="126">
        <f ca="1">MAX(FW5*(1+BX6)-(Dashboard!$C$11)/(1-Dashboard!$C$17)*((1+Dashboard!$C$12)^$CZ6),0)</f>
        <v>1162593.0829186614</v>
      </c>
      <c r="FX6" s="126">
        <f ca="1">MAX(FX5*(1+BY6)-(Dashboard!$C$11)/(1-Dashboard!$C$17)*((1+Dashboard!$C$12)^$CZ6),0)</f>
        <v>1344675.8973086588</v>
      </c>
      <c r="FY6" s="126">
        <f ca="1">MAX(FY5*(1+BZ6)-(Dashboard!$C$11)/(1-Dashboard!$C$17)*((1+Dashboard!$C$12)^$CZ6),0)</f>
        <v>1180466.6203232501</v>
      </c>
      <c r="FZ6" s="126">
        <f ca="1">MAX(FZ5*(1+CA6)-(Dashboard!$C$11)/(1-Dashboard!$C$17)*((1+Dashboard!$C$12)^$CZ6),0)</f>
        <v>1075245.0906341479</v>
      </c>
      <c r="GA6" s="126">
        <f ca="1">MAX(GA5*(1+CB6)-(Dashboard!$C$11)/(1-Dashboard!$C$17)*((1+Dashboard!$C$12)^$CZ6),0)</f>
        <v>1491898.9609698821</v>
      </c>
      <c r="GB6" s="126">
        <f ca="1">MAX(GB5*(1+CC6)-(Dashboard!$C$11)/(1-Dashboard!$C$17)*((1+Dashboard!$C$12)^$CZ6),0)</f>
        <v>831752.76839068241</v>
      </c>
      <c r="GC6" s="126">
        <f ca="1">MAX(GC5*(1+CD6)-(Dashboard!$C$11)/(1-Dashboard!$C$17)*((1+Dashboard!$C$12)^$CZ6),0)</f>
        <v>1212005.4939472608</v>
      </c>
      <c r="GD6" s="126">
        <f ca="1">MAX(GD5*(1+CE6)-(Dashboard!$C$11)/(1-Dashboard!$C$17)*((1+Dashboard!$C$12)^$CZ6),0)</f>
        <v>1080117.7620116272</v>
      </c>
      <c r="GE6" s="126">
        <f ca="1">MAX(GE5*(1+CF6)-(Dashboard!$C$11)/(1-Dashboard!$C$17)*((1+Dashboard!$C$12)^$CZ6),0)</f>
        <v>833841.29437492206</v>
      </c>
      <c r="GF6" s="126">
        <f ca="1">MAX(GF5*(1+CG6)-(Dashboard!$C$11)/(1-Dashboard!$C$17)*((1+Dashboard!$C$12)^$CZ6),0)</f>
        <v>1878459.0829994094</v>
      </c>
      <c r="GG6" s="126">
        <f ca="1">MAX(GG5*(1+CH6)-(Dashboard!$C$11)/(1-Dashboard!$C$17)*((1+Dashboard!$C$12)^$CZ6),0)</f>
        <v>914911.94329932146</v>
      </c>
      <c r="GH6" s="126">
        <f ca="1">MAX(GH5*(1+CI6)-(Dashboard!$C$11)/(1-Dashboard!$C$17)*((1+Dashboard!$C$12)^$CZ6),0)</f>
        <v>984292.47954025655</v>
      </c>
      <c r="GI6" s="126">
        <f ca="1">MAX(GI5*(1+CJ6)-(Dashboard!$C$11)/(1-Dashboard!$C$17)*((1+Dashboard!$C$12)^$CZ6),0)</f>
        <v>1206353.2976369737</v>
      </c>
      <c r="GJ6" s="126">
        <f ca="1">MAX(GJ5*(1+CK6)-(Dashboard!$C$11)/(1-Dashboard!$C$17)*((1+Dashboard!$C$12)^$CZ6),0)</f>
        <v>1473559.6711843447</v>
      </c>
      <c r="GK6" s="126">
        <f ca="1">MAX(GK5*(1+CL6)-(Dashboard!$C$11)/(1-Dashboard!$C$17)*((1+Dashboard!$C$12)^$CZ6),0)</f>
        <v>1550965.9314493907</v>
      </c>
      <c r="GL6" s="126">
        <f ca="1">MAX(GL5*(1+CM6)-(Dashboard!$C$11)/(1-Dashboard!$C$17)*((1+Dashboard!$C$12)^$CZ6),0)</f>
        <v>1354966.2927696169</v>
      </c>
      <c r="GM6" s="126">
        <f ca="1">MAX(GM5*(1+CN6)-(Dashboard!$C$11)/(1-Dashboard!$C$17)*((1+Dashboard!$C$12)^$CZ6),0)</f>
        <v>2077146.0829602862</v>
      </c>
      <c r="GN6" s="126">
        <f ca="1">MAX(GN5*(1+CO6)-(Dashboard!$C$11)/(1-Dashboard!$C$17)*((1+Dashboard!$C$12)^$CZ6),0)</f>
        <v>971364.95291942789</v>
      </c>
      <c r="GO6" s="126">
        <f ca="1">MAX(GO5*(1+CP6)-(Dashboard!$C$11)/(1-Dashboard!$C$17)*((1+Dashboard!$C$12)^$CZ6),0)</f>
        <v>1578167.8811657145</v>
      </c>
      <c r="GP6" s="126">
        <f ca="1">MAX(GP5*(1+CQ6)-(Dashboard!$C$11)/(1-Dashboard!$C$17)*((1+Dashboard!$C$12)^$CZ6),0)</f>
        <v>964230.05851900147</v>
      </c>
      <c r="GQ6" s="126">
        <f ca="1">MAX(GQ5*(1+CR6)-(Dashboard!$C$11)/(1-Dashboard!$C$17)*((1+Dashboard!$C$12)^$CZ6),0)</f>
        <v>1267441.3312809558</v>
      </c>
      <c r="GR6" s="126">
        <f ca="1">MAX(GR5*(1+CS6)-(Dashboard!$C$11)/(1-Dashboard!$C$17)*((1+Dashboard!$C$12)^$CZ6),0)</f>
        <v>822440.38870767318</v>
      </c>
      <c r="GS6" s="126">
        <f ca="1">MAX(GS5*(1+CT6)-(Dashboard!$C$11)/(1-Dashboard!$C$17)*((1+Dashboard!$C$12)^$CZ6),0)</f>
        <v>1070930.806820702</v>
      </c>
      <c r="GT6" s="126">
        <f ca="1">MAX(GT5*(1+CU6)-(Dashboard!$C$11)/(1-Dashboard!$C$17)*((1+Dashboard!$C$12)^$CZ6),0)</f>
        <v>1071213.059992482</v>
      </c>
      <c r="GU6" s="126">
        <f ca="1">MAX(GU5*(1+CV6)-(Dashboard!$C$11)/(1-Dashboard!$C$17)*((1+Dashboard!$C$12)^$CZ6),0)</f>
        <v>678692.05900893186</v>
      </c>
      <c r="GV6" s="126">
        <f ca="1">MAX(GV5*(1+CW6)-(Dashboard!$C$11)/(1-Dashboard!$C$17)*((1+Dashboard!$C$12)^$CZ6),0)</f>
        <v>468911.66170026519</v>
      </c>
      <c r="GW6" s="115">
        <f t="shared" si="4"/>
        <v>55</v>
      </c>
      <c r="GX6" s="130">
        <f t="shared" ca="1" si="2"/>
        <v>100</v>
      </c>
      <c r="HC6" s="130">
        <f t="shared" si="0"/>
        <v>55</v>
      </c>
      <c r="HD6" s="137">
        <f t="shared" ca="1" si="1"/>
        <v>977732.10977366543</v>
      </c>
      <c r="HE6" s="137">
        <f t="shared" ca="1" si="1"/>
        <v>1131950.0410944496</v>
      </c>
      <c r="HF6" s="137">
        <f t="shared" ca="1" si="1"/>
        <v>1348025.3525657619</v>
      </c>
    </row>
    <row r="7" spans="1:214" ht="16">
      <c r="A7" s="145">
        <f t="shared" si="3"/>
        <v>56</v>
      </c>
      <c r="B7" s="122">
        <f ca="1">(Dashboard!$C$7*'Equity and Bond Returns'!N7)+(Dashboard!$C$8*'Equity and Bond Returns'!DL7)</f>
        <v>3.6749583743919616E-2</v>
      </c>
      <c r="C7" s="122">
        <f ca="1">(Dashboard!$C$7*'Equity and Bond Returns'!O7)+(Dashboard!$C$8*'Equity and Bond Returns'!DM7)</f>
        <v>-0.28524666068090027</v>
      </c>
      <c r="D7" s="122">
        <f ca="1">(Dashboard!$C$7*'Equity and Bond Returns'!P7)+(Dashboard!$C$8*'Equity and Bond Returns'!DN7)</f>
        <v>0.2734554353887666</v>
      </c>
      <c r="E7" s="122">
        <f ca="1">(Dashboard!$C$7*'Equity and Bond Returns'!Q7)+(Dashboard!$C$8*'Equity and Bond Returns'!DO7)</f>
        <v>1.0392199812278596E-2</v>
      </c>
      <c r="F7" s="122">
        <f ca="1">(Dashboard!$C$7*'Equity and Bond Returns'!R7)+(Dashboard!$C$8*'Equity and Bond Returns'!DP7)</f>
        <v>4.3220812543659712E-2</v>
      </c>
      <c r="G7" s="122">
        <f ca="1">(Dashboard!$C$7*'Equity and Bond Returns'!S7)+(Dashboard!$C$8*'Equity and Bond Returns'!DQ7)</f>
        <v>0.30011006072152968</v>
      </c>
      <c r="H7" s="122">
        <f ca="1">(Dashboard!$C$7*'Equity and Bond Returns'!T7)+(Dashboard!$C$8*'Equity and Bond Returns'!DR7)</f>
        <v>-0.14076430715029503</v>
      </c>
      <c r="I7" s="122">
        <f ca="1">(Dashboard!$C$7*'Equity and Bond Returns'!U7)+(Dashboard!$C$8*'Equity and Bond Returns'!DS7)</f>
        <v>0.13942160207750687</v>
      </c>
      <c r="J7" s="122">
        <f ca="1">(Dashboard!$C$7*'Equity and Bond Returns'!V7)+(Dashboard!$C$8*'Equity and Bond Returns'!DT7)</f>
        <v>3.7135667746190315E-2</v>
      </c>
      <c r="K7" s="122">
        <f ca="1">(Dashboard!$C$7*'Equity and Bond Returns'!W7)+(Dashboard!$C$8*'Equity and Bond Returns'!DU7)</f>
        <v>-6.0917676334069575E-2</v>
      </c>
      <c r="L7" s="122">
        <f ca="1">(Dashboard!$C$7*'Equity and Bond Returns'!X7)+(Dashboard!$C$8*'Equity and Bond Returns'!DV7)</f>
        <v>0.34665027418271677</v>
      </c>
      <c r="M7" s="122">
        <f ca="1">(Dashboard!$C$7*'Equity and Bond Returns'!Y7)+(Dashboard!$C$8*'Equity and Bond Returns'!DW7)</f>
        <v>0.34738838653393289</v>
      </c>
      <c r="N7" s="122">
        <f ca="1">(Dashboard!$C$7*'Equity and Bond Returns'!Z7)+(Dashboard!$C$8*'Equity and Bond Returns'!DX7)</f>
        <v>0.17764447416098125</v>
      </c>
      <c r="O7" s="122">
        <f ca="1">(Dashboard!$C$7*'Equity and Bond Returns'!AA7)+(Dashboard!$C$8*'Equity and Bond Returns'!DY7)</f>
        <v>0.32380029952487621</v>
      </c>
      <c r="P7" s="122">
        <f ca="1">(Dashboard!$C$7*'Equity and Bond Returns'!AB7)+(Dashboard!$C$8*'Equity and Bond Returns'!DZ7)</f>
        <v>0.13394364558820349</v>
      </c>
      <c r="Q7" s="122">
        <f ca="1">(Dashboard!$C$7*'Equity and Bond Returns'!AC7)+(Dashboard!$C$8*'Equity and Bond Returns'!EA7)</f>
        <v>5.206901406315486E-2</v>
      </c>
      <c r="R7" s="122">
        <f ca="1">(Dashboard!$C$7*'Equity and Bond Returns'!AD7)+(Dashboard!$C$8*'Equity and Bond Returns'!EB7)</f>
        <v>0.16472223683199308</v>
      </c>
      <c r="S7" s="122">
        <f ca="1">(Dashboard!$C$7*'Equity and Bond Returns'!AE7)+(Dashboard!$C$8*'Equity and Bond Returns'!EC7)</f>
        <v>-0.11721281798385651</v>
      </c>
      <c r="T7" s="122">
        <f ca="1">(Dashboard!$C$7*'Equity and Bond Returns'!AF7)+(Dashboard!$C$8*'Equity and Bond Returns'!ED7)</f>
        <v>4.0557175803802373E-3</v>
      </c>
      <c r="U7" s="122">
        <f ca="1">(Dashboard!$C$7*'Equity and Bond Returns'!AG7)+(Dashboard!$C$8*'Equity and Bond Returns'!EE7)</f>
        <v>-1.765423979190802E-2</v>
      </c>
      <c r="V7" s="122">
        <f ca="1">(Dashboard!$C$7*'Equity and Bond Returns'!AH7)+(Dashboard!$C$8*'Equity and Bond Returns'!EF7)</f>
        <v>0.26426467829268768</v>
      </c>
      <c r="W7" s="122">
        <f ca="1">(Dashboard!$C$7*'Equity and Bond Returns'!AI7)+(Dashboard!$C$8*'Equity and Bond Returns'!EG7)</f>
        <v>0.16821461362939905</v>
      </c>
      <c r="X7" s="122">
        <f ca="1">(Dashboard!$C$7*'Equity and Bond Returns'!AJ7)+(Dashboard!$C$8*'Equity and Bond Returns'!EH7)</f>
        <v>0.22551377452579999</v>
      </c>
      <c r="Y7" s="122">
        <f ca="1">(Dashboard!$C$7*'Equity and Bond Returns'!AK7)+(Dashboard!$C$8*'Equity and Bond Returns'!EI7)</f>
        <v>8.7307423639343226E-2</v>
      </c>
      <c r="Z7" s="122">
        <f ca="1">(Dashboard!$C$7*'Equity and Bond Returns'!AL7)+(Dashboard!$C$8*'Equity and Bond Returns'!EJ7)</f>
        <v>5.0248668668907988E-2</v>
      </c>
      <c r="AA7" s="122">
        <f ca="1">(Dashboard!$C$7*'Equity and Bond Returns'!AM7)+(Dashboard!$C$8*'Equity and Bond Returns'!EK7)</f>
        <v>-0.23017650478796575</v>
      </c>
      <c r="AB7" s="122">
        <f ca="1">(Dashboard!$C$7*'Equity and Bond Returns'!AN7)+(Dashboard!$C$8*'Equity and Bond Returns'!EL7)</f>
        <v>-1.2988189564816677E-2</v>
      </c>
      <c r="AC7" s="122">
        <f ca="1">(Dashboard!$C$7*'Equity and Bond Returns'!AO7)+(Dashboard!$C$8*'Equity and Bond Returns'!EM7)</f>
        <v>0.22188484207225953</v>
      </c>
      <c r="AD7" s="122">
        <f ca="1">(Dashboard!$C$7*'Equity and Bond Returns'!AP7)+(Dashboard!$C$8*'Equity and Bond Returns'!EN7)</f>
        <v>-0.12827585910641262</v>
      </c>
      <c r="AE7" s="122">
        <f ca="1">(Dashboard!$C$7*'Equity and Bond Returns'!AQ7)+(Dashboard!$C$8*'Equity and Bond Returns'!EO7)</f>
        <v>8.934498778684577E-2</v>
      </c>
      <c r="AF7" s="122">
        <f ca="1">(Dashboard!$C$7*'Equity and Bond Returns'!AR7)+(Dashboard!$C$8*'Equity and Bond Returns'!EP7)</f>
        <v>0.25294480576733908</v>
      </c>
      <c r="AG7" s="122">
        <f ca="1">(Dashboard!$C$7*'Equity and Bond Returns'!AS7)+(Dashboard!$C$8*'Equity and Bond Returns'!EQ7)</f>
        <v>0.23666376793009111</v>
      </c>
      <c r="AH7" s="122">
        <f ca="1">(Dashboard!$C$7*'Equity and Bond Returns'!AT7)+(Dashboard!$C$8*'Equity and Bond Returns'!ER7)</f>
        <v>0.21633510956999935</v>
      </c>
      <c r="AI7" s="122">
        <f ca="1">(Dashboard!$C$7*'Equity and Bond Returns'!AU7)+(Dashboard!$C$8*'Equity and Bond Returns'!ES7)</f>
        <v>-4.8990637495769984E-2</v>
      </c>
      <c r="AJ7" s="122">
        <f ca="1">(Dashboard!$C$7*'Equity and Bond Returns'!AV7)+(Dashboard!$C$8*'Equity and Bond Returns'!ET7)</f>
        <v>-0.13554072879371756</v>
      </c>
      <c r="AK7" s="122">
        <f ca="1">(Dashboard!$C$7*'Equity and Bond Returns'!AW7)+(Dashboard!$C$8*'Equity and Bond Returns'!EU7)</f>
        <v>-6.7160330813159419E-2</v>
      </c>
      <c r="AL7" s="122">
        <f ca="1">(Dashboard!$C$7*'Equity and Bond Returns'!AX7)+(Dashboard!$C$8*'Equity and Bond Returns'!EV7)</f>
        <v>9.4146130902607206E-2</v>
      </c>
      <c r="AM7" s="122">
        <f ca="1">(Dashboard!$C$7*'Equity and Bond Returns'!AY7)+(Dashboard!$C$8*'Equity and Bond Returns'!EW7)</f>
        <v>0.16176019346165157</v>
      </c>
      <c r="AN7" s="122">
        <f ca="1">(Dashboard!$C$7*'Equity and Bond Returns'!AZ7)+(Dashboard!$C$8*'Equity and Bond Returns'!EX7)</f>
        <v>0.10906317836669843</v>
      </c>
      <c r="AO7" s="122">
        <f ca="1">(Dashboard!$C$7*'Equity and Bond Returns'!BA7)+(Dashboard!$C$8*'Equity and Bond Returns'!EY7)</f>
        <v>0.26341574453692768</v>
      </c>
      <c r="AP7" s="122">
        <f ca="1">(Dashboard!$C$7*'Equity and Bond Returns'!BB7)+(Dashboard!$C$8*'Equity and Bond Returns'!EZ7)</f>
        <v>-0.25785003895333758</v>
      </c>
      <c r="AQ7" s="122">
        <f ca="1">(Dashboard!$C$7*'Equity and Bond Returns'!BC7)+(Dashboard!$C$8*'Equity and Bond Returns'!FA7)</f>
        <v>-0.11412780194652</v>
      </c>
      <c r="AR7" s="122">
        <f ca="1">(Dashboard!$C$7*'Equity and Bond Returns'!BD7)+(Dashboard!$C$8*'Equity and Bond Returns'!FB7)</f>
        <v>-6.2459046508261902E-2</v>
      </c>
      <c r="AS7" s="122">
        <f ca="1">(Dashboard!$C$7*'Equity and Bond Returns'!BE7)+(Dashboard!$C$8*'Equity and Bond Returns'!FC7)</f>
        <v>0.10527148991192001</v>
      </c>
      <c r="AT7" s="122">
        <f ca="1">(Dashboard!$C$7*'Equity and Bond Returns'!BF7)+(Dashboard!$C$8*'Equity and Bond Returns'!FD7)</f>
        <v>-0.10123380506684872</v>
      </c>
      <c r="AU7" s="122">
        <f ca="1">(Dashboard!$C$7*'Equity and Bond Returns'!BG7)+(Dashboard!$C$8*'Equity and Bond Returns'!FE7)</f>
        <v>0.18546541852907772</v>
      </c>
      <c r="AV7" s="122">
        <f ca="1">(Dashboard!$C$7*'Equity and Bond Returns'!BH7)+(Dashboard!$C$8*'Equity and Bond Returns'!FF7)</f>
        <v>-0.12613629658432901</v>
      </c>
      <c r="AW7" s="122">
        <f ca="1">(Dashboard!$C$7*'Equity and Bond Returns'!BI7)+(Dashboard!$C$8*'Equity and Bond Returns'!FG7)</f>
        <v>0.42698241901845457</v>
      </c>
      <c r="AX7" s="122">
        <f ca="1">(Dashboard!$C$7*'Equity and Bond Returns'!BJ7)+(Dashboard!$C$8*'Equity and Bond Returns'!FH7)</f>
        <v>0.11775071609703966</v>
      </c>
      <c r="AY7" s="122">
        <f ca="1">(Dashboard!$C$7*'Equity and Bond Returns'!BK7)+(Dashboard!$C$8*'Equity and Bond Returns'!FI7)</f>
        <v>0.39684460766150653</v>
      </c>
      <c r="AZ7" s="122">
        <f ca="1">(Dashboard!$C$7*'Equity and Bond Returns'!BL7)+(Dashboard!$C$8*'Equity and Bond Returns'!FJ7)</f>
        <v>0.11058036983739966</v>
      </c>
      <c r="BA7" s="122">
        <f ca="1">(Dashboard!$C$7*'Equity and Bond Returns'!BM7)+(Dashboard!$C$8*'Equity and Bond Returns'!FK7)</f>
        <v>-0.15995744922084329</v>
      </c>
      <c r="BB7" s="122">
        <f ca="1">(Dashboard!$C$7*'Equity and Bond Returns'!BN7)+(Dashboard!$C$8*'Equity and Bond Returns'!FL7)</f>
        <v>-3.9071347417885212E-2</v>
      </c>
      <c r="BC7" s="122">
        <f ca="1">(Dashboard!$C$7*'Equity and Bond Returns'!BO7)+(Dashboard!$C$8*'Equity and Bond Returns'!FM7)</f>
        <v>0.18726565072966389</v>
      </c>
      <c r="BD7" s="122">
        <f ca="1">(Dashboard!$C$7*'Equity and Bond Returns'!BP7)+(Dashboard!$C$8*'Equity and Bond Returns'!FN7)</f>
        <v>-9.2478859377034706E-2</v>
      </c>
      <c r="BE7" s="122">
        <f ca="1">(Dashboard!$C$7*'Equity and Bond Returns'!BQ7)+(Dashboard!$C$8*'Equity and Bond Returns'!FO7)</f>
        <v>7.4394366878210827E-2</v>
      </c>
      <c r="BF7" s="122">
        <f ca="1">(Dashboard!$C$7*'Equity and Bond Returns'!BR7)+(Dashboard!$C$8*'Equity and Bond Returns'!FP7)</f>
        <v>2.3512739321609639E-2</v>
      </c>
      <c r="BG7" s="122">
        <f ca="1">(Dashboard!$C$7*'Equity and Bond Returns'!BS7)+(Dashboard!$C$8*'Equity and Bond Returns'!FQ7)</f>
        <v>0.32582830528751738</v>
      </c>
      <c r="BH7" s="122">
        <f ca="1">(Dashboard!$C$7*'Equity and Bond Returns'!BT7)+(Dashboard!$C$8*'Equity and Bond Returns'!FR7)</f>
        <v>0.20062248866979862</v>
      </c>
      <c r="BI7" s="122">
        <f ca="1">(Dashboard!$C$7*'Equity and Bond Returns'!BU7)+(Dashboard!$C$8*'Equity and Bond Returns'!FS7)</f>
        <v>9.8634658340587045E-2</v>
      </c>
      <c r="BJ7" s="122">
        <f ca="1">(Dashboard!$C$7*'Equity and Bond Returns'!BV7)+(Dashboard!$C$8*'Equity and Bond Returns'!FT7)</f>
        <v>1.3692989677023057E-2</v>
      </c>
      <c r="BK7" s="122">
        <f ca="1">(Dashboard!$C$7*'Equity and Bond Returns'!BW7)+(Dashboard!$C$8*'Equity and Bond Returns'!FU7)</f>
        <v>-6.2626781627865447E-2</v>
      </c>
      <c r="BL7" s="122">
        <f ca="1">(Dashboard!$C$7*'Equity and Bond Returns'!BX7)+(Dashboard!$C$8*'Equity and Bond Returns'!FV7)</f>
        <v>8.4239759898669983E-2</v>
      </c>
      <c r="BM7" s="122">
        <f ca="1">(Dashboard!$C$7*'Equity and Bond Returns'!BY7)+(Dashboard!$C$8*'Equity and Bond Returns'!FW7)</f>
        <v>0.14514888990395494</v>
      </c>
      <c r="BN7" s="122">
        <f ca="1">(Dashboard!$C$7*'Equity and Bond Returns'!BZ7)+(Dashboard!$C$8*'Equity and Bond Returns'!FX7)</f>
        <v>7.9516845282356766E-2</v>
      </c>
      <c r="BO7" s="122">
        <f ca="1">(Dashboard!$C$7*'Equity and Bond Returns'!CA7)+(Dashboard!$C$8*'Equity and Bond Returns'!FY7)</f>
        <v>-2.5134124995378815E-2</v>
      </c>
      <c r="BP7" s="122">
        <f ca="1">(Dashboard!$C$7*'Equity and Bond Returns'!CB7)+(Dashboard!$C$8*'Equity and Bond Returns'!FZ7)</f>
        <v>0.2598715767436735</v>
      </c>
      <c r="BQ7" s="122">
        <f ca="1">(Dashboard!$C$7*'Equity and Bond Returns'!CC7)+(Dashboard!$C$8*'Equity and Bond Returns'!GA7)</f>
        <v>-2.1808724014174816E-2</v>
      </c>
      <c r="BR7" s="122">
        <f ca="1">(Dashboard!$C$7*'Equity and Bond Returns'!CD7)+(Dashboard!$C$8*'Equity and Bond Returns'!GB7)</f>
        <v>9.1082875966359667E-2</v>
      </c>
      <c r="BS7" s="122">
        <f ca="1">(Dashboard!$C$7*'Equity and Bond Returns'!CE7)+(Dashboard!$C$8*'Equity and Bond Returns'!GC7)</f>
        <v>0.1086187109081193</v>
      </c>
      <c r="BT7" s="122">
        <f ca="1">(Dashboard!$C$7*'Equity and Bond Returns'!CF7)+(Dashboard!$C$8*'Equity and Bond Returns'!GD7)</f>
        <v>4.1099520328724895E-2</v>
      </c>
      <c r="BU7" s="122">
        <f ca="1">(Dashboard!$C$7*'Equity and Bond Returns'!CG7)+(Dashboard!$C$8*'Equity and Bond Returns'!GE7)</f>
        <v>0.29909064718576472</v>
      </c>
      <c r="BV7" s="122">
        <f ca="1">(Dashboard!$C$7*'Equity and Bond Returns'!CH7)+(Dashboard!$C$8*'Equity and Bond Returns'!GF7)</f>
        <v>4.8266142258324596E-2</v>
      </c>
      <c r="BW7" s="122">
        <f ca="1">(Dashboard!$C$7*'Equity and Bond Returns'!CI7)+(Dashboard!$C$8*'Equity and Bond Returns'!GG7)</f>
        <v>9.0012666235543631E-2</v>
      </c>
      <c r="BX7" s="122">
        <f ca="1">(Dashboard!$C$7*'Equity and Bond Returns'!CJ7)+(Dashboard!$C$8*'Equity and Bond Returns'!GH7)</f>
        <v>0.43348159190781393</v>
      </c>
      <c r="BY7" s="122">
        <f ca="1">(Dashboard!$C$7*'Equity and Bond Returns'!CK7)+(Dashboard!$C$8*'Equity and Bond Returns'!GI7)</f>
        <v>3.1927525204643765E-2</v>
      </c>
      <c r="BZ7" s="122">
        <f ca="1">(Dashboard!$C$7*'Equity and Bond Returns'!CL7)+(Dashboard!$C$8*'Equity and Bond Returns'!GJ7)</f>
        <v>1.842058337217832E-2</v>
      </c>
      <c r="CA7" s="122">
        <f ca="1">(Dashboard!$C$7*'Equity and Bond Returns'!CM7)+(Dashboard!$C$8*'Equity and Bond Returns'!GK7)</f>
        <v>0.10154017058122068</v>
      </c>
      <c r="CB7" s="122">
        <f ca="1">(Dashboard!$C$7*'Equity and Bond Returns'!CN7)+(Dashboard!$C$8*'Equity and Bond Returns'!GL7)</f>
        <v>0.27148966869462704</v>
      </c>
      <c r="CC7" s="122">
        <f ca="1">(Dashboard!$C$7*'Equity and Bond Returns'!CO7)+(Dashboard!$C$8*'Equity and Bond Returns'!GM7)</f>
        <v>0.10630437887775332</v>
      </c>
      <c r="CD7" s="122">
        <f ca="1">(Dashboard!$C$7*'Equity and Bond Returns'!CP7)+(Dashboard!$C$8*'Equity and Bond Returns'!GN7)</f>
        <v>0.35718332333702812</v>
      </c>
      <c r="CE7" s="122">
        <f ca="1">(Dashboard!$C$7*'Equity and Bond Returns'!CQ7)+(Dashboard!$C$8*'Equity and Bond Returns'!GO7)</f>
        <v>2.5403133697677265E-2</v>
      </c>
      <c r="CF7" s="122">
        <f ca="1">(Dashboard!$C$7*'Equity and Bond Returns'!CR7)+(Dashboard!$C$8*'Equity and Bond Returns'!GP7)</f>
        <v>0.25893677349701982</v>
      </c>
      <c r="CG7" s="122">
        <f ca="1">(Dashboard!$C$7*'Equity and Bond Returns'!CS7)+(Dashboard!$C$8*'Equity and Bond Returns'!GQ7)</f>
        <v>0.18895077551253903</v>
      </c>
      <c r="CH7" s="122">
        <f ca="1">(Dashboard!$C$7*'Equity and Bond Returns'!CT7)+(Dashboard!$C$8*'Equity and Bond Returns'!GR7)</f>
        <v>-8.3241606397447251E-2</v>
      </c>
      <c r="CI7" s="122">
        <f ca="1">(Dashboard!$C$7*'Equity and Bond Returns'!CU7)+(Dashboard!$C$8*'Equity and Bond Returns'!GS7)</f>
        <v>3.8244630044056753E-2</v>
      </c>
      <c r="CJ7" s="122">
        <f ca="1">(Dashboard!$C$7*'Equity and Bond Returns'!CV7)+(Dashboard!$C$8*'Equity and Bond Returns'!GT7)</f>
        <v>-0.28799678564004283</v>
      </c>
      <c r="CK7" s="122">
        <f ca="1">(Dashboard!$C$7*'Equity and Bond Returns'!CW7)+(Dashboard!$C$8*'Equity and Bond Returns'!GU7)</f>
        <v>6.4605603089083391E-2</v>
      </c>
      <c r="CL7" s="122">
        <f ca="1">(Dashboard!$C$7*'Equity and Bond Returns'!CX7)+(Dashboard!$C$8*'Equity and Bond Returns'!GV7)</f>
        <v>0.11696279423151333</v>
      </c>
      <c r="CM7" s="122">
        <f ca="1">(Dashboard!$C$7*'Equity and Bond Returns'!CY7)+(Dashboard!$C$8*'Equity and Bond Returns'!GW7)</f>
        <v>0.18832787601653769</v>
      </c>
      <c r="CN7" s="122">
        <f ca="1">(Dashboard!$C$7*'Equity and Bond Returns'!CZ7)+(Dashboard!$C$8*'Equity and Bond Returns'!GX7)</f>
        <v>-0.3153421513641963</v>
      </c>
      <c r="CO7" s="122">
        <f ca="1">(Dashboard!$C$7*'Equity and Bond Returns'!DA7)+(Dashboard!$C$8*'Equity and Bond Returns'!GY7)</f>
        <v>0.14931489109697732</v>
      </c>
      <c r="CP7" s="122">
        <f ca="1">(Dashboard!$C$7*'Equity and Bond Returns'!DB7)+(Dashboard!$C$8*'Equity and Bond Returns'!GZ7)</f>
        <v>-1.5388449551380363E-2</v>
      </c>
      <c r="CQ7" s="122">
        <f ca="1">(Dashboard!$C$7*'Equity and Bond Returns'!DC7)+(Dashboard!$C$8*'Equity and Bond Returns'!HA7)</f>
        <v>0.34500822356189148</v>
      </c>
      <c r="CR7" s="122">
        <f ca="1">(Dashboard!$C$7*'Equity and Bond Returns'!DD7)+(Dashboard!$C$8*'Equity and Bond Returns'!HB7)</f>
        <v>-0.14809964047584176</v>
      </c>
      <c r="CS7" s="122">
        <f ca="1">(Dashboard!$C$7*'Equity and Bond Returns'!DE7)+(Dashboard!$C$8*'Equity and Bond Returns'!HC7)</f>
        <v>0.23011269597283973</v>
      </c>
      <c r="CT7" s="122">
        <f ca="1">(Dashboard!$C$7*'Equity and Bond Returns'!DF7)+(Dashboard!$C$8*'Equity and Bond Returns'!HD7)</f>
        <v>5.7479123598518429E-2</v>
      </c>
      <c r="CU7" s="122">
        <f ca="1">(Dashboard!$C$7*'Equity and Bond Returns'!DG7)+(Dashboard!$C$8*'Equity and Bond Returns'!HE7)</f>
        <v>0.21864722642993764</v>
      </c>
      <c r="CV7" s="122">
        <f ca="1">(Dashboard!$C$7*'Equity and Bond Returns'!DH7)+(Dashboard!$C$8*'Equity and Bond Returns'!HF7)</f>
        <v>-5.4298310161530541E-2</v>
      </c>
      <c r="CW7" s="122">
        <f ca="1">(Dashboard!$C$7*'Equity and Bond Returns'!DI7)+(Dashboard!$C$8*'Equity and Bond Returns'!HG7)</f>
        <v>-8.2142272031663577E-2</v>
      </c>
      <c r="CY7" s="147">
        <f t="shared" si="5"/>
        <v>56</v>
      </c>
      <c r="CZ7" s="148">
        <v>6</v>
      </c>
      <c r="DA7" s="126">
        <f ca="1">MAX(DA6*(1+B7)-(Dashboard!$C$11)/(1-Dashboard!$C$17)*((1+Dashboard!$C$12)^$CZ7),0)</f>
        <v>1185488.1415657441</v>
      </c>
      <c r="DB7" s="126">
        <f ca="1">MAX(DB6*(1+C7)-(Dashboard!$C$11)/(1-Dashboard!$C$17)*((1+Dashboard!$C$12)^$CZ7),0)</f>
        <v>773591.60475999792</v>
      </c>
      <c r="DC7" s="126">
        <f ca="1">MAX(DC6*(1+D7)-(Dashboard!$C$11)/(1-Dashboard!$C$17)*((1+Dashboard!$C$12)^$CZ7),0)</f>
        <v>1352231.5790283468</v>
      </c>
      <c r="DD7" s="126">
        <f ca="1">MAX(DD6*(1+E7)-(Dashboard!$C$11)/(1-Dashboard!$C$17)*((1+Dashboard!$C$12)^$CZ7),0)</f>
        <v>1083652.7641848742</v>
      </c>
      <c r="DE7" s="126">
        <f ca="1">MAX(DE6*(1+F7)-(Dashboard!$C$11)/(1-Dashboard!$C$17)*((1+Dashboard!$C$12)^$CZ7),0)</f>
        <v>1305348.8753052915</v>
      </c>
      <c r="DF7" s="126">
        <f ca="1">MAX(DF6*(1+G7)-(Dashboard!$C$11)/(1-Dashboard!$C$17)*((1+Dashboard!$C$12)^$CZ7),0)</f>
        <v>1729405.5478550892</v>
      </c>
      <c r="DG7" s="126">
        <f ca="1">MAX(DG6*(1+H7)-(Dashboard!$C$11)/(1-Dashboard!$C$17)*((1+Dashboard!$C$12)^$CZ7),0)</f>
        <v>536069.70904671878</v>
      </c>
      <c r="DH7" s="126">
        <f ca="1">MAX(DH6*(1+I7)-(Dashboard!$C$11)/(1-Dashboard!$C$17)*((1+Dashboard!$C$12)^$CZ7),0)</f>
        <v>1065780.3163675526</v>
      </c>
      <c r="DI7" s="126">
        <f ca="1">MAX(DI6*(1+J7)-(Dashboard!$C$11)/(1-Dashboard!$C$17)*((1+Dashboard!$C$12)^$CZ7),0)</f>
        <v>1182019.3857876435</v>
      </c>
      <c r="DJ7" s="126">
        <f ca="1">MAX(DJ6*(1+K7)-(Dashboard!$C$11)/(1-Dashboard!$C$17)*((1+Dashboard!$C$12)^$CZ7),0)</f>
        <v>875684.29338495387</v>
      </c>
      <c r="DK7" s="126">
        <f ca="1">MAX(DK6*(1+L7)-(Dashboard!$C$11)/(1-Dashboard!$C$17)*((1+Dashboard!$C$12)^$CZ7),0)</f>
        <v>1759275.5987772169</v>
      </c>
      <c r="DL7" s="126">
        <f ca="1">MAX(DL6*(1+M7)-(Dashboard!$C$11)/(1-Dashboard!$C$17)*((1+Dashboard!$C$12)^$CZ7),0)</f>
        <v>1377456.0372340914</v>
      </c>
      <c r="DM7" s="126">
        <f ca="1">MAX(DM6*(1+N7)-(Dashboard!$C$11)/(1-Dashboard!$C$17)*((1+Dashboard!$C$12)^$CZ7),0)</f>
        <v>1160451.8558381477</v>
      </c>
      <c r="DN7" s="126">
        <f ca="1">MAX(DN6*(1+O7)-(Dashboard!$C$11)/(1-Dashboard!$C$17)*((1+Dashboard!$C$12)^$CZ7),0)</f>
        <v>1493714.9469427597</v>
      </c>
      <c r="DO7" s="126">
        <f ca="1">MAX(DO6*(1+P7)-(Dashboard!$C$11)/(1-Dashboard!$C$17)*((1+Dashboard!$C$12)^$CZ7),0)</f>
        <v>1137657.599475788</v>
      </c>
      <c r="DP7" s="126">
        <f ca="1">MAX(DP6*(1+Q7)-(Dashboard!$C$11)/(1-Dashboard!$C$17)*((1+Dashboard!$C$12)^$CZ7),0)</f>
        <v>1467129.2947083213</v>
      </c>
      <c r="DQ7" s="126">
        <f ca="1">MAX(DQ6*(1+R7)-(Dashboard!$C$11)/(1-Dashboard!$C$17)*((1+Dashboard!$C$12)^$CZ7),0)</f>
        <v>1671997.6714539947</v>
      </c>
      <c r="DR7" s="126">
        <f ca="1">MAX(DR6*(1+S7)-(Dashboard!$C$11)/(1-Dashboard!$C$17)*((1+Dashboard!$C$12)^$CZ7),0)</f>
        <v>1287973.2999092536</v>
      </c>
      <c r="DS7" s="126">
        <f ca="1">MAX(DS6*(1+T7)-(Dashboard!$C$11)/(1-Dashboard!$C$17)*((1+Dashboard!$C$12)^$CZ7),0)</f>
        <v>1312167.6677508086</v>
      </c>
      <c r="DT7" s="126">
        <f ca="1">MAX(DT6*(1+U7)-(Dashboard!$C$11)/(1-Dashboard!$C$17)*((1+Dashboard!$C$12)^$CZ7),0)</f>
        <v>1244643.6438665944</v>
      </c>
      <c r="DU7" s="126">
        <f ca="1">MAX(DU6*(1+V7)-(Dashboard!$C$11)/(1-Dashboard!$C$17)*((1+Dashboard!$C$12)^$CZ7),0)</f>
        <v>1491715.2866035728</v>
      </c>
      <c r="DV7" s="126">
        <f ca="1">MAX(DV6*(1+W7)-(Dashboard!$C$11)/(1-Dashboard!$C$17)*((1+Dashboard!$C$12)^$CZ7),0)</f>
        <v>1226190.8652560124</v>
      </c>
      <c r="DW7" s="126">
        <f ca="1">MAX(DW6*(1+X7)-(Dashboard!$C$11)/(1-Dashboard!$C$17)*((1+Dashboard!$C$12)^$CZ7),0)</f>
        <v>1231225.7096226171</v>
      </c>
      <c r="DX7" s="126">
        <f ca="1">MAX(DX6*(1+Y7)-(Dashboard!$C$11)/(1-Dashboard!$C$17)*((1+Dashboard!$C$12)^$CZ7),0)</f>
        <v>1056235.5510309753</v>
      </c>
      <c r="DY7" s="126">
        <f ca="1">MAX(DY6*(1+Z7)-(Dashboard!$C$11)/(1-Dashboard!$C$17)*((1+Dashboard!$C$12)^$CZ7),0)</f>
        <v>1359251.7089702289</v>
      </c>
      <c r="DZ7" s="126">
        <f ca="1">MAX(DZ6*(1+AA7)-(Dashboard!$C$11)/(1-Dashboard!$C$17)*((1+Dashboard!$C$12)^$CZ7),0)</f>
        <v>420149.17307101638</v>
      </c>
      <c r="EA7" s="126">
        <f ca="1">MAX(EA6*(1+AB7)-(Dashboard!$C$11)/(1-Dashboard!$C$17)*((1+Dashboard!$C$12)^$CZ7),0)</f>
        <v>1039415.6691018378</v>
      </c>
      <c r="EB7" s="126">
        <f ca="1">MAX(EB6*(1+AC7)-(Dashboard!$C$11)/(1-Dashboard!$C$17)*((1+Dashboard!$C$12)^$CZ7),0)</f>
        <v>1512268.9805368057</v>
      </c>
      <c r="EC7" s="126">
        <f ca="1">MAX(EC6*(1+AD7)-(Dashboard!$C$11)/(1-Dashboard!$C$17)*((1+Dashboard!$C$12)^$CZ7),0)</f>
        <v>1425238.6659970295</v>
      </c>
      <c r="ED7" s="126">
        <f ca="1">MAX(ED6*(1+AE7)-(Dashboard!$C$11)/(1-Dashboard!$C$17)*((1+Dashboard!$C$12)^$CZ7),0)</f>
        <v>1836605.5088046936</v>
      </c>
      <c r="EE7" s="126">
        <f ca="1">MAX(EE6*(1+AF7)-(Dashboard!$C$11)/(1-Dashboard!$C$17)*((1+Dashboard!$C$12)^$CZ7),0)</f>
        <v>1042603.7728325916</v>
      </c>
      <c r="EF7" s="126">
        <f ca="1">MAX(EF6*(1+AG7)-(Dashboard!$C$11)/(1-Dashboard!$C$17)*((1+Dashboard!$C$12)^$CZ7),0)</f>
        <v>1479458.6251751762</v>
      </c>
      <c r="EG7" s="126">
        <f ca="1">MAX(EG6*(1+AH7)-(Dashboard!$C$11)/(1-Dashboard!$C$17)*((1+Dashboard!$C$12)^$CZ7),0)</f>
        <v>1751587.1060572937</v>
      </c>
      <c r="EH7" s="126">
        <f ca="1">MAX(EH6*(1+AI7)-(Dashboard!$C$11)/(1-Dashboard!$C$17)*((1+Dashboard!$C$12)^$CZ7),0)</f>
        <v>1334110.2076241886</v>
      </c>
      <c r="EI7" s="126">
        <f ca="1">MAX(EI6*(1+AJ7)-(Dashboard!$C$11)/(1-Dashboard!$C$17)*((1+Dashboard!$C$12)^$CZ7),0)</f>
        <v>588025.01507376251</v>
      </c>
      <c r="EJ7" s="126">
        <f ca="1">MAX(EJ6*(1+AK7)-(Dashboard!$C$11)/(1-Dashboard!$C$17)*((1+Dashboard!$C$12)^$CZ7),0)</f>
        <v>2081631.76894114</v>
      </c>
      <c r="EK7" s="126">
        <f ca="1">MAX(EK6*(1+AL7)-(Dashboard!$C$11)/(1-Dashboard!$C$17)*((1+Dashboard!$C$12)^$CZ7),0)</f>
        <v>1150765.1603646993</v>
      </c>
      <c r="EL7" s="126">
        <f ca="1">MAX(EL6*(1+AM7)-(Dashboard!$C$11)/(1-Dashboard!$C$17)*((1+Dashboard!$C$12)^$CZ7),0)</f>
        <v>992524.23264780839</v>
      </c>
      <c r="EM7" s="126">
        <f ca="1">MAX(EM6*(1+AN7)-(Dashboard!$C$11)/(1-Dashboard!$C$17)*((1+Dashboard!$C$12)^$CZ7),0)</f>
        <v>1462668.6255932502</v>
      </c>
      <c r="EN7" s="126">
        <f ca="1">MAX(EN6*(1+AO7)-(Dashboard!$C$11)/(1-Dashboard!$C$17)*((1+Dashboard!$C$12)^$CZ7),0)</f>
        <v>1561569.1395147836</v>
      </c>
      <c r="EO7" s="126">
        <f ca="1">MAX(EO6*(1+AP7)-(Dashboard!$C$11)/(1-Dashboard!$C$17)*((1+Dashboard!$C$12)^$CZ7),0)</f>
        <v>856023.78641945624</v>
      </c>
      <c r="EP7" s="126">
        <f ca="1">MAX(EP6*(1+AQ7)-(Dashboard!$C$11)/(1-Dashboard!$C$17)*((1+Dashboard!$C$12)^$CZ7),0)</f>
        <v>912725.6989199809</v>
      </c>
      <c r="EQ7" s="126">
        <f ca="1">MAX(EQ6*(1+AR7)-(Dashboard!$C$11)/(1-Dashboard!$C$17)*((1+Dashboard!$C$12)^$CZ7),0)</f>
        <v>627727.58884559432</v>
      </c>
      <c r="ER7" s="126">
        <f ca="1">MAX(ER6*(1+AS7)-(Dashboard!$C$11)/(1-Dashboard!$C$17)*((1+Dashboard!$C$12)^$CZ7),0)</f>
        <v>1270384.1661940098</v>
      </c>
      <c r="ES7" s="126">
        <f ca="1">MAX(ES6*(1+AT7)-(Dashboard!$C$11)/(1-Dashboard!$C$17)*((1+Dashboard!$C$12)^$CZ7),0)</f>
        <v>516968.72593699547</v>
      </c>
      <c r="ET7" s="126">
        <f ca="1">MAX(ET6*(1+AU7)-(Dashboard!$C$11)/(1-Dashboard!$C$17)*((1+Dashboard!$C$12)^$CZ7),0)</f>
        <v>1131847.9122758934</v>
      </c>
      <c r="EU7" s="126">
        <f ca="1">MAX(EU6*(1+AV7)-(Dashboard!$C$11)/(1-Dashboard!$C$17)*((1+Dashboard!$C$12)^$CZ7),0)</f>
        <v>1070392.8996519225</v>
      </c>
      <c r="EV7" s="126">
        <f ca="1">MAX(EV6*(1+AW7)-(Dashboard!$C$11)/(1-Dashboard!$C$17)*((1+Dashboard!$C$12)^$CZ7),0)</f>
        <v>2127329.2914844076</v>
      </c>
      <c r="EW7" s="126">
        <f ca="1">MAX(EW6*(1+AX7)-(Dashboard!$C$11)/(1-Dashboard!$C$17)*((1+Dashboard!$C$12)^$CZ7),0)</f>
        <v>1448370.736441415</v>
      </c>
      <c r="EX7" s="126">
        <f ca="1">MAX(EX6*(1+AY7)-(Dashboard!$C$11)/(1-Dashboard!$C$17)*((1+Dashboard!$C$12)^$CZ7),0)</f>
        <v>1603907.3454876943</v>
      </c>
      <c r="EY7" s="126">
        <f ca="1">MAX(EY6*(1+AZ7)-(Dashboard!$C$11)/(1-Dashboard!$C$17)*((1+Dashboard!$C$12)^$CZ7),0)</f>
        <v>1105387.1037154177</v>
      </c>
      <c r="EZ7" s="126">
        <f ca="1">MAX(EZ6*(1+BA7)-(Dashboard!$C$11)/(1-Dashboard!$C$17)*((1+Dashboard!$C$12)^$CZ7),0)</f>
        <v>967033.08957043651</v>
      </c>
      <c r="FA7" s="126">
        <f ca="1">MAX(FA6*(1+BB7)-(Dashboard!$C$11)/(1-Dashboard!$C$17)*((1+Dashboard!$C$12)^$CZ7),0)</f>
        <v>963336.38237464288</v>
      </c>
      <c r="FB7" s="126">
        <f ca="1">MAX(FB6*(1+BC7)-(Dashboard!$C$11)/(1-Dashboard!$C$17)*((1+Dashboard!$C$12)^$CZ7),0)</f>
        <v>1164040.7013282152</v>
      </c>
      <c r="FC7" s="126">
        <f ca="1">MAX(FC6*(1+BD7)-(Dashboard!$C$11)/(1-Dashboard!$C$17)*((1+Dashboard!$C$12)^$CZ7),0)</f>
        <v>854986.6626179514</v>
      </c>
      <c r="FD7" s="126">
        <f ca="1">MAX(FD6*(1+BE7)-(Dashboard!$C$11)/(1-Dashboard!$C$17)*((1+Dashboard!$C$12)^$CZ7),0)</f>
        <v>1577323.8801739693</v>
      </c>
      <c r="FE7" s="126">
        <f ca="1">MAX(FE6*(1+BF7)-(Dashboard!$C$11)/(1-Dashboard!$C$17)*((1+Dashboard!$C$12)^$CZ7),0)</f>
        <v>1969502.0083618457</v>
      </c>
      <c r="FF7" s="126">
        <f ca="1">MAX(FF6*(1+BG7)-(Dashboard!$C$11)/(1-Dashboard!$C$17)*((1+Dashboard!$C$12)^$CZ7),0)</f>
        <v>1359190.4858599298</v>
      </c>
      <c r="FG7" s="126">
        <f ca="1">MAX(FG6*(1+BH7)-(Dashboard!$C$11)/(1-Dashboard!$C$17)*((1+Dashboard!$C$12)^$CZ7),0)</f>
        <v>2122139.0001829034</v>
      </c>
      <c r="FH7" s="126">
        <f ca="1">MAX(FH6*(1+BI7)-(Dashboard!$C$11)/(1-Dashboard!$C$17)*((1+Dashboard!$C$12)^$CZ7),0)</f>
        <v>794240.49155581114</v>
      </c>
      <c r="FI7" s="126">
        <f ca="1">MAX(FI6*(1+BJ7)-(Dashboard!$C$11)/(1-Dashboard!$C$17)*((1+Dashboard!$C$12)^$CZ7),0)</f>
        <v>1582024.5181627553</v>
      </c>
      <c r="FJ7" s="126">
        <f ca="1">MAX(FJ6*(1+BK7)-(Dashboard!$C$11)/(1-Dashboard!$C$17)*((1+Dashboard!$C$12)^$CZ7),0)</f>
        <v>1009001.1180512244</v>
      </c>
      <c r="FK7" s="126">
        <f ca="1">MAX(FK6*(1+BL7)-(Dashboard!$C$11)/(1-Dashboard!$C$17)*((1+Dashboard!$C$12)^$CZ7),0)</f>
        <v>901183.71950250829</v>
      </c>
      <c r="FL7" s="126">
        <f ca="1">MAX(FL6*(1+BM7)-(Dashboard!$C$11)/(1-Dashboard!$C$17)*((1+Dashboard!$C$12)^$CZ7),0)</f>
        <v>1724461.9410452261</v>
      </c>
      <c r="FM7" s="126">
        <f ca="1">MAX(FM6*(1+BN7)-(Dashboard!$C$11)/(1-Dashboard!$C$17)*((1+Dashboard!$C$12)^$CZ7),0)</f>
        <v>1181131.3355445936</v>
      </c>
      <c r="FN7" s="126">
        <f ca="1">MAX(FN6*(1+BO7)-(Dashboard!$C$11)/(1-Dashboard!$C$17)*((1+Dashboard!$C$12)^$CZ7),0)</f>
        <v>682681.88101839344</v>
      </c>
      <c r="FO7" s="126">
        <f ca="1">MAX(FO6*(1+BP7)-(Dashboard!$C$11)/(1-Dashboard!$C$17)*((1+Dashboard!$C$12)^$CZ7),0)</f>
        <v>1766365.5298717523</v>
      </c>
      <c r="FP7" s="126">
        <f ca="1">MAX(FP6*(1+BQ7)-(Dashboard!$C$11)/(1-Dashboard!$C$17)*((1+Dashboard!$C$12)^$CZ7),0)</f>
        <v>1013185.9714652527</v>
      </c>
      <c r="FQ7" s="126">
        <f ca="1">MAX(FQ6*(1+BR7)-(Dashboard!$C$11)/(1-Dashboard!$C$17)*((1+Dashboard!$C$12)^$CZ7),0)</f>
        <v>2080035.4671410501</v>
      </c>
      <c r="FR7" s="126">
        <f ca="1">MAX(FR6*(1+BS7)-(Dashboard!$C$11)/(1-Dashboard!$C$17)*((1+Dashboard!$C$12)^$CZ7),0)</f>
        <v>2055294.584092807</v>
      </c>
      <c r="FS7" s="126">
        <f ca="1">MAX(FS6*(1+BT7)-(Dashboard!$C$11)/(1-Dashboard!$C$17)*((1+Dashboard!$C$12)^$CZ7),0)</f>
        <v>1573808.8452289102</v>
      </c>
      <c r="FT7" s="126">
        <f ca="1">MAX(FT6*(1+BU7)-(Dashboard!$C$11)/(1-Dashboard!$C$17)*((1+Dashboard!$C$12)^$CZ7),0)</f>
        <v>1097593.1348988269</v>
      </c>
      <c r="FU7" s="126">
        <f ca="1">MAX(FU6*(1+BV7)-(Dashboard!$C$11)/(1-Dashboard!$C$17)*((1+Dashboard!$C$12)^$CZ7),0)</f>
        <v>1080352.1072683656</v>
      </c>
      <c r="FV7" s="126">
        <f ca="1">MAX(FV6*(1+BW7)-(Dashboard!$C$11)/(1-Dashboard!$C$17)*((1+Dashboard!$C$12)^$CZ7),0)</f>
        <v>410709.93905872299</v>
      </c>
      <c r="FW7" s="126">
        <f ca="1">MAX(FW6*(1+BX7)-(Dashboard!$C$11)/(1-Dashboard!$C$17)*((1+Dashboard!$C$12)^$CZ7),0)</f>
        <v>1641928.4546273453</v>
      </c>
      <c r="FX7" s="126">
        <f ca="1">MAX(FX6*(1+BY7)-(Dashboard!$C$11)/(1-Dashboard!$C$17)*((1+Dashboard!$C$12)^$CZ7),0)</f>
        <v>1362980.7422961474</v>
      </c>
      <c r="FY7" s="126">
        <f ca="1">MAX(FY6*(1+BZ7)-(Dashboard!$C$11)/(1-Dashboard!$C$17)*((1+Dashboard!$C$12)^$CZ7),0)</f>
        <v>1177584.1755050772</v>
      </c>
      <c r="FZ7" s="126">
        <f ca="1">MAX(FZ6*(1+CA7)-(Dashboard!$C$11)/(1-Dashboard!$C$17)*((1+Dashboard!$C$12)^$CZ7),0)</f>
        <v>1159798.3319378488</v>
      </c>
      <c r="GA7" s="126">
        <f ca="1">MAX(GA6*(1+CB7)-(Dashboard!$C$11)/(1-Dashboard!$C$17)*((1+Dashboard!$C$12)^$CZ7),0)</f>
        <v>1872306.7869935432</v>
      </c>
      <c r="GB7" s="126">
        <f ca="1">MAX(GB6*(1+CC7)-(Dashboard!$C$11)/(1-Dashboard!$C$17)*((1+Dashboard!$C$12)^$CZ7),0)</f>
        <v>895544.40119839518</v>
      </c>
      <c r="GC7" s="126">
        <f ca="1">MAX(GC6*(1+CD7)-(Dashboard!$C$11)/(1-Dashboard!$C$17)*((1+Dashboard!$C$12)^$CZ7),0)</f>
        <v>1620286.3155621691</v>
      </c>
      <c r="GD7" s="126">
        <f ca="1">MAX(GD6*(1+CE7)-(Dashboard!$C$11)/(1-Dashboard!$C$17)*((1+Dashboard!$C$12)^$CZ7),0)</f>
        <v>1082928.8093133338</v>
      </c>
      <c r="GE7" s="126">
        <f ca="1">MAX(GE6*(1+CF7)-(Dashboard!$C$11)/(1-Dashboard!$C$17)*((1+Dashboard!$C$12)^$CZ7),0)</f>
        <v>1025126.1401330326</v>
      </c>
      <c r="GF7" s="126">
        <f ca="1">MAX(GF6*(1+CG7)-(Dashboard!$C$11)/(1-Dashboard!$C$17)*((1+Dashboard!$C$12)^$CZ7),0)</f>
        <v>2208768.05488481</v>
      </c>
      <c r="GG7" s="126">
        <f ca="1">MAX(GG6*(1+CH7)-(Dashboard!$C$11)/(1-Dashboard!$C$17)*((1+Dashboard!$C$12)^$CZ7),0)</f>
        <v>814125.87481096515</v>
      </c>
      <c r="GH7" s="126">
        <f ca="1">MAX(GH6*(1+CI7)-(Dashboard!$C$11)/(1-Dashboard!$C$17)*((1+Dashboard!$C$12)^$CZ7),0)</f>
        <v>997309.05265951029</v>
      </c>
      <c r="GI7" s="126">
        <f ca="1">MAX(GI6*(1+CJ7)-(Dashboard!$C$11)/(1-Dashboard!$C$17)*((1+Dashboard!$C$12)^$CZ7),0)</f>
        <v>834300.09695534874</v>
      </c>
      <c r="GJ7" s="126">
        <f ca="1">MAX(GJ6*(1+CK7)-(Dashboard!$C$11)/(1-Dashboard!$C$17)*((1+Dashboard!$C$12)^$CZ7),0)</f>
        <v>1544132.55381305</v>
      </c>
      <c r="GK7" s="126">
        <f ca="1">MAX(GK6*(1+CL7)-(Dashboard!$C$11)/(1-Dashboard!$C$17)*((1+Dashboard!$C$12)^$CZ7),0)</f>
        <v>1707743.9119336824</v>
      </c>
      <c r="GL7" s="126">
        <f ca="1">MAX(GL6*(1+CM7)-(Dashboard!$C$11)/(1-Dashboard!$C$17)*((1+Dashboard!$C$12)^$CZ7),0)</f>
        <v>1585516.8881450105</v>
      </c>
      <c r="GM7" s="126">
        <f ca="1">MAX(GM6*(1+CN7)-(Dashboard!$C$11)/(1-Dashboard!$C$17)*((1+Dashboard!$C$12)^$CZ7),0)</f>
        <v>1397507.0398459656</v>
      </c>
      <c r="GN7" s="126">
        <f ca="1">MAX(GN6*(1+CO7)-(Dashboard!$C$11)/(1-Dashboard!$C$17)*((1+Dashboard!$C$12)^$CZ7),0)</f>
        <v>1091776.8764641022</v>
      </c>
      <c r="GO7" s="126">
        <f ca="1">MAX(GO6*(1+CP7)-(Dashboard!$C$11)/(1-Dashboard!$C$17)*((1+Dashboard!$C$12)^$CZ7),0)</f>
        <v>1529254.9957268764</v>
      </c>
      <c r="GP7" s="126">
        <f ca="1">MAX(GP6*(1+CQ7)-(Dashboard!$C$11)/(1-Dashboard!$C$17)*((1+Dashboard!$C$12)^$CZ7),0)</f>
        <v>1272270.0294977101</v>
      </c>
      <c r="GQ7" s="126">
        <f ca="1">MAX(GQ6*(1+CR7)-(Dashboard!$C$11)/(1-Dashboard!$C$17)*((1+Dashboard!$C$12)^$CZ7),0)</f>
        <v>1055106.3971781135</v>
      </c>
      <c r="GR7" s="126">
        <f ca="1">MAX(GR6*(1+CS7)-(Dashboard!$C$11)/(1-Dashboard!$C$17)*((1+Dashboard!$C$12)^$CZ7),0)</f>
        <v>987067.03521423542</v>
      </c>
      <c r="GS7" s="126">
        <f ca="1">MAX(GS6*(1+CT7)-(Dashboard!$C$11)/(1-Dashboard!$C$17)*((1+Dashboard!$C$12)^$CZ7),0)</f>
        <v>1107859.6424154995</v>
      </c>
      <c r="GT7" s="126">
        <f ca="1">MAX(GT6*(1+CU7)-(Dashboard!$C$11)/(1-Dashboard!$C$17)*((1+Dashboard!$C$12)^$CZ7),0)</f>
        <v>1280803.4958594539</v>
      </c>
      <c r="GU7" s="126">
        <f ca="1">MAX(GU6*(1+CV7)-(Dashboard!$C$11)/(1-Dashboard!$C$17)*((1+Dashboard!$C$12)^$CZ7),0)</f>
        <v>617212.8984687865</v>
      </c>
      <c r="GV7" s="126">
        <f ca="1">MAX(GV6*(1+CW7)-(Dashboard!$C$11)/(1-Dashboard!$C$17)*((1+Dashboard!$C$12)^$CZ7),0)</f>
        <v>405766.86381015199</v>
      </c>
      <c r="GW7" s="115">
        <f t="shared" si="4"/>
        <v>56</v>
      </c>
      <c r="GX7" s="130">
        <f t="shared" ca="1" si="2"/>
        <v>100</v>
      </c>
      <c r="HC7" s="130">
        <f t="shared" si="0"/>
        <v>56</v>
      </c>
      <c r="HD7" s="137">
        <f t="shared" ca="1" si="1"/>
        <v>1000232.0690074388</v>
      </c>
      <c r="HE7" s="137">
        <f t="shared" ca="1" si="1"/>
        <v>1183753.7636766937</v>
      </c>
      <c r="HF7" s="137">
        <f t="shared" ca="1" si="1"/>
        <v>1525008.4919293588</v>
      </c>
    </row>
    <row r="8" spans="1:214" ht="16">
      <c r="A8" s="145">
        <f t="shared" si="3"/>
        <v>57</v>
      </c>
      <c r="B8" s="122">
        <f ca="1">(Dashboard!$C$7*'Equity and Bond Returns'!N8)+(Dashboard!$C$8*'Equity and Bond Returns'!DL8)</f>
        <v>0.19332012803456533</v>
      </c>
      <c r="C8" s="122">
        <f ca="1">(Dashboard!$C$7*'Equity and Bond Returns'!O8)+(Dashboard!$C$8*'Equity and Bond Returns'!DM8)</f>
        <v>-0.1470605970143411</v>
      </c>
      <c r="D8" s="122">
        <f ca="1">(Dashboard!$C$7*'Equity and Bond Returns'!P8)+(Dashboard!$C$8*'Equity and Bond Returns'!DN8)</f>
        <v>-0.10365323908378306</v>
      </c>
      <c r="E8" s="122">
        <f ca="1">(Dashboard!$C$7*'Equity and Bond Returns'!Q8)+(Dashboard!$C$8*'Equity and Bond Returns'!DO8)</f>
        <v>-7.3624838273199308E-2</v>
      </c>
      <c r="F8" s="122">
        <f ca="1">(Dashboard!$C$7*'Equity and Bond Returns'!R8)+(Dashboard!$C$8*'Equity and Bond Returns'!DP8)</f>
        <v>4.0171276292453123E-2</v>
      </c>
      <c r="G8" s="122">
        <f ca="1">(Dashboard!$C$7*'Equity and Bond Returns'!S8)+(Dashboard!$C$8*'Equity and Bond Returns'!DQ8)</f>
        <v>0.30952295446908812</v>
      </c>
      <c r="H8" s="122">
        <f ca="1">(Dashboard!$C$7*'Equity and Bond Returns'!T8)+(Dashboard!$C$8*'Equity and Bond Returns'!DR8)</f>
        <v>9.4752125834846573E-2</v>
      </c>
      <c r="I8" s="122">
        <f ca="1">(Dashboard!$C$7*'Equity and Bond Returns'!U8)+(Dashboard!$C$8*'Equity and Bond Returns'!DS8)</f>
        <v>-7.2275540467383659E-2</v>
      </c>
      <c r="J8" s="122">
        <f ca="1">(Dashboard!$C$7*'Equity and Bond Returns'!V8)+(Dashboard!$C$8*'Equity and Bond Returns'!DT8)</f>
        <v>-2.1438041783948425E-2</v>
      </c>
      <c r="K8" s="122">
        <f ca="1">(Dashboard!$C$7*'Equity and Bond Returns'!W8)+(Dashboard!$C$8*'Equity and Bond Returns'!DU8)</f>
        <v>9.1729733058176333E-2</v>
      </c>
      <c r="L8" s="122">
        <f ca="1">(Dashboard!$C$7*'Equity and Bond Returns'!X8)+(Dashboard!$C$8*'Equity and Bond Returns'!DV8)</f>
        <v>4.1549755499281554E-2</v>
      </c>
      <c r="M8" s="122">
        <f ca="1">(Dashboard!$C$7*'Equity and Bond Returns'!Y8)+(Dashboard!$C$8*'Equity and Bond Returns'!DW8)</f>
        <v>-0.12171504186223484</v>
      </c>
      <c r="N8" s="122">
        <f ca="1">(Dashboard!$C$7*'Equity and Bond Returns'!Z8)+(Dashboard!$C$8*'Equity and Bond Returns'!DX8)</f>
        <v>0.29633881040564103</v>
      </c>
      <c r="O8" s="122">
        <f ca="1">(Dashboard!$C$7*'Equity and Bond Returns'!AA8)+(Dashboard!$C$8*'Equity and Bond Returns'!DY8)</f>
        <v>0.32893627739194642</v>
      </c>
      <c r="P8" s="122">
        <f ca="1">(Dashboard!$C$7*'Equity and Bond Returns'!AB8)+(Dashboard!$C$8*'Equity and Bond Returns'!DZ8)</f>
        <v>0.17738526482824515</v>
      </c>
      <c r="Q8" s="122">
        <f ca="1">(Dashboard!$C$7*'Equity and Bond Returns'!AC8)+(Dashboard!$C$8*'Equity and Bond Returns'!EA8)</f>
        <v>0.14929499377812933</v>
      </c>
      <c r="R8" s="122">
        <f ca="1">(Dashboard!$C$7*'Equity and Bond Returns'!AD8)+(Dashboard!$C$8*'Equity and Bond Returns'!EB8)</f>
        <v>-0.17381601233074417</v>
      </c>
      <c r="S8" s="122">
        <f ca="1">(Dashboard!$C$7*'Equity and Bond Returns'!AE8)+(Dashboard!$C$8*'Equity and Bond Returns'!EC8)</f>
        <v>-4.6206728894437089E-2</v>
      </c>
      <c r="T8" s="122">
        <f ca="1">(Dashboard!$C$7*'Equity and Bond Returns'!AF8)+(Dashboard!$C$8*'Equity and Bond Returns'!ED8)</f>
        <v>0.17953104638842995</v>
      </c>
      <c r="U8" s="122">
        <f ca="1">(Dashboard!$C$7*'Equity and Bond Returns'!AG8)+(Dashboard!$C$8*'Equity and Bond Returns'!EE8)</f>
        <v>0.31722675282801949</v>
      </c>
      <c r="V8" s="122">
        <f ca="1">(Dashboard!$C$7*'Equity and Bond Returns'!AH8)+(Dashboard!$C$8*'Equity and Bond Returns'!EF8)</f>
        <v>-8.1706830174658549E-3</v>
      </c>
      <c r="W8" s="122">
        <f ca="1">(Dashboard!$C$7*'Equity and Bond Returns'!AI8)+(Dashboard!$C$8*'Equity and Bond Returns'!EG8)</f>
        <v>0.2440142718033351</v>
      </c>
      <c r="X8" s="122">
        <f ca="1">(Dashboard!$C$7*'Equity and Bond Returns'!AJ8)+(Dashboard!$C$8*'Equity and Bond Returns'!EH8)</f>
        <v>0.20553922496642657</v>
      </c>
      <c r="Y8" s="122">
        <f ca="1">(Dashboard!$C$7*'Equity and Bond Returns'!AK8)+(Dashboard!$C$8*'Equity and Bond Returns'!EI8)</f>
        <v>4.5029678687676475E-2</v>
      </c>
      <c r="Z8" s="122">
        <f ca="1">(Dashboard!$C$7*'Equity and Bond Returns'!AL8)+(Dashboard!$C$8*'Equity and Bond Returns'!EJ8)</f>
        <v>7.5790707931457646E-2</v>
      </c>
      <c r="AA8" s="122">
        <f ca="1">(Dashboard!$C$7*'Equity and Bond Returns'!AM8)+(Dashboard!$C$8*'Equity and Bond Returns'!EK8)</f>
        <v>-8.4753691054599165E-2</v>
      </c>
      <c r="AB8" s="122">
        <f ca="1">(Dashboard!$C$7*'Equity and Bond Returns'!AN8)+(Dashboard!$C$8*'Equity and Bond Returns'!EL8)</f>
        <v>-5.9537419823617301E-2</v>
      </c>
      <c r="AC8" s="122">
        <f ca="1">(Dashboard!$C$7*'Equity and Bond Returns'!AO8)+(Dashboard!$C$8*'Equity and Bond Returns'!EM8)</f>
        <v>2.9338275754046267E-2</v>
      </c>
      <c r="AD8" s="122">
        <f ca="1">(Dashboard!$C$7*'Equity and Bond Returns'!AP8)+(Dashboard!$C$8*'Equity and Bond Returns'!EN8)</f>
        <v>0.16047566920384837</v>
      </c>
      <c r="AE8" s="122">
        <f ca="1">(Dashboard!$C$7*'Equity and Bond Returns'!AQ8)+(Dashboard!$C$8*'Equity and Bond Returns'!EO8)</f>
        <v>0.13982616549527857</v>
      </c>
      <c r="AF8" s="122">
        <f ca="1">(Dashboard!$C$7*'Equity and Bond Returns'!AR8)+(Dashboard!$C$8*'Equity and Bond Returns'!EP8)</f>
        <v>0.14788690544211908</v>
      </c>
      <c r="AG8" s="122">
        <f ca="1">(Dashboard!$C$7*'Equity and Bond Returns'!AS8)+(Dashboard!$C$8*'Equity and Bond Returns'!EQ8)</f>
        <v>5.2671467482043252E-3</v>
      </c>
      <c r="AH8" s="122">
        <f ca="1">(Dashboard!$C$7*'Equity and Bond Returns'!AT8)+(Dashboard!$C$8*'Equity and Bond Returns'!ER8)</f>
        <v>7.0452761878845888E-2</v>
      </c>
      <c r="AI8" s="122">
        <f ca="1">(Dashboard!$C$7*'Equity and Bond Returns'!AU8)+(Dashboard!$C$8*'Equity and Bond Returns'!ES8)</f>
        <v>9.1186767246741546E-2</v>
      </c>
      <c r="AJ8" s="122">
        <f ca="1">(Dashboard!$C$7*'Equity and Bond Returns'!AV8)+(Dashboard!$C$8*'Equity and Bond Returns'!ET8)</f>
        <v>0.2241496266506342</v>
      </c>
      <c r="AK8" s="122">
        <f ca="1">(Dashboard!$C$7*'Equity and Bond Returns'!AW8)+(Dashboard!$C$8*'Equity and Bond Returns'!EU8)</f>
        <v>-0.11444105269796288</v>
      </c>
      <c r="AL8" s="122">
        <f ca="1">(Dashboard!$C$7*'Equity and Bond Returns'!AX8)+(Dashboard!$C$8*'Equity and Bond Returns'!EV8)</f>
        <v>6.7227542631327741E-2</v>
      </c>
      <c r="AM8" s="122">
        <f ca="1">(Dashboard!$C$7*'Equity and Bond Returns'!AY8)+(Dashboard!$C$8*'Equity and Bond Returns'!EW8)</f>
        <v>2.0764721861951718E-2</v>
      </c>
      <c r="AN8" s="122">
        <f ca="1">(Dashboard!$C$7*'Equity and Bond Returns'!AZ8)+(Dashboard!$C$8*'Equity and Bond Returns'!EX8)</f>
        <v>0.11357273288582456</v>
      </c>
      <c r="AO8" s="122">
        <f ca="1">(Dashboard!$C$7*'Equity and Bond Returns'!BA8)+(Dashboard!$C$8*'Equity and Bond Returns'!EY8)</f>
        <v>2.7622010491265756E-2</v>
      </c>
      <c r="AP8" s="122">
        <f ca="1">(Dashboard!$C$7*'Equity and Bond Returns'!BB8)+(Dashboard!$C$8*'Equity and Bond Returns'!EZ8)</f>
        <v>0.14188314779053027</v>
      </c>
      <c r="AQ8" s="122">
        <f ca="1">(Dashboard!$C$7*'Equity and Bond Returns'!BC8)+(Dashboard!$C$8*'Equity and Bond Returns'!FA8)</f>
        <v>8.0042247317679019E-2</v>
      </c>
      <c r="AR8" s="122">
        <f ca="1">(Dashboard!$C$7*'Equity and Bond Returns'!BD8)+(Dashboard!$C$8*'Equity and Bond Returns'!FB8)</f>
        <v>0.12485987481199379</v>
      </c>
      <c r="AS8" s="122">
        <f ca="1">(Dashboard!$C$7*'Equity and Bond Returns'!BE8)+(Dashboard!$C$8*'Equity and Bond Returns'!FC8)</f>
        <v>-0.13602506626771579</v>
      </c>
      <c r="AT8" s="122">
        <f ca="1">(Dashboard!$C$7*'Equity and Bond Returns'!BF8)+(Dashboard!$C$8*'Equity and Bond Returns'!FD8)</f>
        <v>0.12845098429702234</v>
      </c>
      <c r="AU8" s="122">
        <f ca="1">(Dashboard!$C$7*'Equity and Bond Returns'!BG8)+(Dashboard!$C$8*'Equity and Bond Returns'!FE8)</f>
        <v>0.24374010061384752</v>
      </c>
      <c r="AV8" s="122">
        <f ca="1">(Dashboard!$C$7*'Equity and Bond Returns'!BH8)+(Dashboard!$C$8*'Equity and Bond Returns'!FF8)</f>
        <v>7.5398784430778895E-2</v>
      </c>
      <c r="AW8" s="122">
        <f ca="1">(Dashboard!$C$7*'Equity and Bond Returns'!BI8)+(Dashboard!$C$8*'Equity and Bond Returns'!FG8)</f>
        <v>1.0373454881569884E-2</v>
      </c>
      <c r="AX8" s="122">
        <f ca="1">(Dashboard!$C$7*'Equity and Bond Returns'!BJ8)+(Dashboard!$C$8*'Equity and Bond Returns'!FH8)</f>
        <v>0.1828467871477652</v>
      </c>
      <c r="AY8" s="122">
        <f ca="1">(Dashboard!$C$7*'Equity and Bond Returns'!BK8)+(Dashboard!$C$8*'Equity and Bond Returns'!FI8)</f>
        <v>0.11019290243138495</v>
      </c>
      <c r="AZ8" s="122">
        <f ca="1">(Dashboard!$C$7*'Equity and Bond Returns'!BL8)+(Dashboard!$C$8*'Equity and Bond Returns'!FJ8)</f>
        <v>0.3959128352428728</v>
      </c>
      <c r="BA8" s="122">
        <f ca="1">(Dashboard!$C$7*'Equity and Bond Returns'!BM8)+(Dashboard!$C$8*'Equity and Bond Returns'!FK8)</f>
        <v>0.13997608049701746</v>
      </c>
      <c r="BB8" s="122">
        <f ca="1">(Dashboard!$C$7*'Equity and Bond Returns'!BN8)+(Dashboard!$C$8*'Equity and Bond Returns'!FL8)</f>
        <v>0.17808137400815188</v>
      </c>
      <c r="BC8" s="122">
        <f ca="1">(Dashboard!$C$7*'Equity and Bond Returns'!BO8)+(Dashboard!$C$8*'Equity and Bond Returns'!FM8)</f>
        <v>-0.23240789877923898</v>
      </c>
      <c r="BD8" s="122">
        <f ca="1">(Dashboard!$C$7*'Equity and Bond Returns'!BP8)+(Dashboard!$C$8*'Equity and Bond Returns'!FN8)</f>
        <v>0.33230025724448575</v>
      </c>
      <c r="BE8" s="122">
        <f ca="1">(Dashboard!$C$7*'Equity and Bond Returns'!BQ8)+(Dashboard!$C$8*'Equity and Bond Returns'!FO8)</f>
        <v>-0.19926355719166025</v>
      </c>
      <c r="BF8" s="122">
        <f ca="1">(Dashboard!$C$7*'Equity and Bond Returns'!BR8)+(Dashboard!$C$8*'Equity and Bond Returns'!FP8)</f>
        <v>5.0726671242275173E-2</v>
      </c>
      <c r="BG8" s="122">
        <f ca="1">(Dashboard!$C$7*'Equity and Bond Returns'!BS8)+(Dashboard!$C$8*'Equity and Bond Returns'!FQ8)</f>
        <v>0.3343820584270486</v>
      </c>
      <c r="BH8" s="122">
        <f ca="1">(Dashboard!$C$7*'Equity and Bond Returns'!BT8)+(Dashboard!$C$8*'Equity and Bond Returns'!FR8)</f>
        <v>-8.9177767477462908E-2</v>
      </c>
      <c r="BI8" s="122">
        <f ca="1">(Dashboard!$C$7*'Equity and Bond Returns'!BU8)+(Dashboard!$C$8*'Equity and Bond Returns'!FS8)</f>
        <v>0.21020727879639592</v>
      </c>
      <c r="BJ8" s="122">
        <f ca="1">(Dashboard!$C$7*'Equity and Bond Returns'!BV8)+(Dashboard!$C$8*'Equity and Bond Returns'!FT8)</f>
        <v>9.3426007162476704E-2</v>
      </c>
      <c r="BK8" s="122">
        <f ca="1">(Dashboard!$C$7*'Equity and Bond Returns'!BW8)+(Dashboard!$C$8*'Equity and Bond Returns'!FU8)</f>
        <v>-9.5753338502027927E-2</v>
      </c>
      <c r="BL8" s="122">
        <f ca="1">(Dashboard!$C$7*'Equity and Bond Returns'!BX8)+(Dashboard!$C$8*'Equity and Bond Returns'!FV8)</f>
        <v>-1.3256004593740094E-2</v>
      </c>
      <c r="BM8" s="122">
        <f ca="1">(Dashboard!$C$7*'Equity and Bond Returns'!BY8)+(Dashboard!$C$8*'Equity and Bond Returns'!FW8)</f>
        <v>0.1222731874640971</v>
      </c>
      <c r="BN8" s="122">
        <f ca="1">(Dashboard!$C$7*'Equity and Bond Returns'!BZ8)+(Dashboard!$C$8*'Equity and Bond Returns'!FX8)</f>
        <v>-2.7149272463323545E-2</v>
      </c>
      <c r="BO8" s="122">
        <f ca="1">(Dashboard!$C$7*'Equity and Bond Returns'!CA8)+(Dashboard!$C$8*'Equity and Bond Returns'!FY8)</f>
        <v>9.3295071976981239E-2</v>
      </c>
      <c r="BP8" s="122">
        <f ca="1">(Dashboard!$C$7*'Equity and Bond Returns'!CB8)+(Dashboard!$C$8*'Equity and Bond Returns'!FZ8)</f>
        <v>-3.3615652341467045E-2</v>
      </c>
      <c r="BQ8" s="122">
        <f ca="1">(Dashboard!$C$7*'Equity and Bond Returns'!CC8)+(Dashboard!$C$8*'Equity and Bond Returns'!GA8)</f>
        <v>0.4330038663882152</v>
      </c>
      <c r="BR8" s="122">
        <f ca="1">(Dashboard!$C$7*'Equity and Bond Returns'!CD8)+(Dashboard!$C$8*'Equity and Bond Returns'!GB8)</f>
        <v>8.935567968039021E-2</v>
      </c>
      <c r="BS8" s="122">
        <f ca="1">(Dashboard!$C$7*'Equity and Bond Returns'!CE8)+(Dashboard!$C$8*'Equity and Bond Returns'!GC8)</f>
        <v>0.22670779311184053</v>
      </c>
      <c r="BT8" s="122">
        <f ca="1">(Dashboard!$C$7*'Equity and Bond Returns'!CF8)+(Dashboard!$C$8*'Equity and Bond Returns'!GD8)</f>
        <v>-0.11663921555560024</v>
      </c>
      <c r="BU8" s="122">
        <f ca="1">(Dashboard!$C$7*'Equity and Bond Returns'!CG8)+(Dashboard!$C$8*'Equity and Bond Returns'!GE8)</f>
        <v>-0.10483114176802708</v>
      </c>
      <c r="BV8" s="122">
        <f ca="1">(Dashboard!$C$7*'Equity and Bond Returns'!CH8)+(Dashboard!$C$8*'Equity and Bond Returns'!GF8)</f>
        <v>0.3950635201626389</v>
      </c>
      <c r="BW8" s="122">
        <f ca="1">(Dashboard!$C$7*'Equity and Bond Returns'!CI8)+(Dashboard!$C$8*'Equity and Bond Returns'!GG8)</f>
        <v>-4.3293035245631613E-2</v>
      </c>
      <c r="BX8" s="122">
        <f ca="1">(Dashboard!$C$7*'Equity and Bond Returns'!CJ8)+(Dashboard!$C$8*'Equity and Bond Returns'!GH8)</f>
        <v>0.11074201811996418</v>
      </c>
      <c r="BY8" s="122">
        <f ca="1">(Dashboard!$C$7*'Equity and Bond Returns'!CK8)+(Dashboard!$C$8*'Equity and Bond Returns'!GI8)</f>
        <v>-0.12781183494731241</v>
      </c>
      <c r="BZ8" s="122">
        <f ca="1">(Dashboard!$C$7*'Equity and Bond Returns'!CL8)+(Dashboard!$C$8*'Equity and Bond Returns'!GJ8)</f>
        <v>-0.16885770135991374</v>
      </c>
      <c r="CA8" s="122">
        <f ca="1">(Dashboard!$C$7*'Equity and Bond Returns'!CM8)+(Dashboard!$C$8*'Equity and Bond Returns'!GK8)</f>
        <v>5.7338629074422498E-2</v>
      </c>
      <c r="CB8" s="122">
        <f ca="1">(Dashboard!$C$7*'Equity and Bond Returns'!CN8)+(Dashboard!$C$8*'Equity and Bond Returns'!GL8)</f>
        <v>0.34379671416587643</v>
      </c>
      <c r="CC8" s="122">
        <f ca="1">(Dashboard!$C$7*'Equity and Bond Returns'!CO8)+(Dashboard!$C$8*'Equity and Bond Returns'!GM8)</f>
        <v>0.22846535724074554</v>
      </c>
      <c r="CD8" s="122">
        <f ca="1">(Dashboard!$C$7*'Equity and Bond Returns'!CP8)+(Dashboard!$C$8*'Equity and Bond Returns'!GN8)</f>
        <v>-4.6071021945059909E-2</v>
      </c>
      <c r="CE8" s="122">
        <f ca="1">(Dashboard!$C$7*'Equity and Bond Returns'!CQ8)+(Dashboard!$C$8*'Equity and Bond Returns'!GO8)</f>
        <v>5.987216021670376E-2</v>
      </c>
      <c r="CF8" s="122">
        <f ca="1">(Dashboard!$C$7*'Equity and Bond Returns'!CR8)+(Dashboard!$C$8*'Equity and Bond Returns'!GP8)</f>
        <v>-3.4377808361255847E-2</v>
      </c>
      <c r="CG8" s="122">
        <f ca="1">(Dashboard!$C$7*'Equity and Bond Returns'!CS8)+(Dashboard!$C$8*'Equity and Bond Returns'!GQ8)</f>
        <v>-3.6487085016661119E-3</v>
      </c>
      <c r="CH8" s="122">
        <f ca="1">(Dashboard!$C$7*'Equity and Bond Returns'!CT8)+(Dashboard!$C$8*'Equity and Bond Returns'!GR8)</f>
        <v>-0.16202892980632427</v>
      </c>
      <c r="CI8" s="122">
        <f ca="1">(Dashboard!$C$7*'Equity and Bond Returns'!CU8)+(Dashboard!$C$8*'Equity and Bond Returns'!GS8)</f>
        <v>-0.13571085528699808</v>
      </c>
      <c r="CJ8" s="122">
        <f ca="1">(Dashboard!$C$7*'Equity and Bond Returns'!CV8)+(Dashboard!$C$8*'Equity and Bond Returns'!GT8)</f>
        <v>-4.1728189549984404E-2</v>
      </c>
      <c r="CK8" s="122">
        <f ca="1">(Dashboard!$C$7*'Equity and Bond Returns'!CW8)+(Dashboard!$C$8*'Equity and Bond Returns'!GU8)</f>
        <v>0.12929056266698188</v>
      </c>
      <c r="CL8" s="122">
        <f ca="1">(Dashboard!$C$7*'Equity and Bond Returns'!CX8)+(Dashboard!$C$8*'Equity and Bond Returns'!GV8)</f>
        <v>4.622328785515576E-2</v>
      </c>
      <c r="CM8" s="122">
        <f ca="1">(Dashboard!$C$7*'Equity and Bond Returns'!CY8)+(Dashboard!$C$8*'Equity and Bond Returns'!GW8)</f>
        <v>5.3270087040365309E-2</v>
      </c>
      <c r="CN8" s="122">
        <f ca="1">(Dashboard!$C$7*'Equity and Bond Returns'!CZ8)+(Dashboard!$C$8*'Equity and Bond Returns'!GX8)</f>
        <v>-8.1169856249828448E-2</v>
      </c>
      <c r="CO8" s="122">
        <f ca="1">(Dashboard!$C$7*'Equity and Bond Returns'!DA8)+(Dashboard!$C$8*'Equity and Bond Returns'!GY8)</f>
        <v>-0.23046021019308638</v>
      </c>
      <c r="CP8" s="122">
        <f ca="1">(Dashboard!$C$7*'Equity and Bond Returns'!DB8)+(Dashboard!$C$8*'Equity and Bond Returns'!GZ8)</f>
        <v>0.17697514627585761</v>
      </c>
      <c r="CQ8" s="122">
        <f ca="1">(Dashboard!$C$7*'Equity and Bond Returns'!DC8)+(Dashboard!$C$8*'Equity and Bond Returns'!HA8)</f>
        <v>-0.23511265090659794</v>
      </c>
      <c r="CR8" s="122">
        <f ca="1">(Dashboard!$C$7*'Equity and Bond Returns'!DD8)+(Dashboard!$C$8*'Equity and Bond Returns'!HB8)</f>
        <v>0.10214603581965967</v>
      </c>
      <c r="CS8" s="122">
        <f ca="1">(Dashboard!$C$7*'Equity and Bond Returns'!DE8)+(Dashboard!$C$8*'Equity and Bond Returns'!HC8)</f>
        <v>0.15489715189941961</v>
      </c>
      <c r="CT8" s="122">
        <f ca="1">(Dashboard!$C$7*'Equity and Bond Returns'!DF8)+(Dashboard!$C$8*'Equity and Bond Returns'!HD8)</f>
        <v>7.9186962558491975E-2</v>
      </c>
      <c r="CU8" s="122">
        <f ca="1">(Dashboard!$C$7*'Equity and Bond Returns'!DG8)+(Dashboard!$C$8*'Equity and Bond Returns'!HE8)</f>
        <v>2.1092618242745678E-2</v>
      </c>
      <c r="CV8" s="122">
        <f ca="1">(Dashboard!$C$7*'Equity and Bond Returns'!DH8)+(Dashboard!$C$8*'Equity and Bond Returns'!HF8)</f>
        <v>-5.8949283508218556E-2</v>
      </c>
      <c r="CW8" s="122">
        <f ca="1">(Dashboard!$C$7*'Equity and Bond Returns'!DI8)+(Dashboard!$C$8*'Equity and Bond Returns'!HG8)</f>
        <v>0.30531411171312728</v>
      </c>
      <c r="CY8" s="147">
        <f t="shared" si="5"/>
        <v>57</v>
      </c>
      <c r="CZ8" s="148">
        <v>7</v>
      </c>
      <c r="DA8" s="126">
        <f ca="1">MAX(DA7*(1+B8)-(Dashboard!$C$11)/(1-Dashboard!$C$17)*((1+Dashboard!$C$12)^$CZ8),0)</f>
        <v>1389300.7124023046</v>
      </c>
      <c r="DB8" s="126">
        <f ca="1">MAX(DB7*(1+C8)-(Dashboard!$C$11)/(1-Dashboard!$C$17)*((1+Dashboard!$C$12)^$CZ8),0)</f>
        <v>634460.61304432258</v>
      </c>
      <c r="DC8" s="126">
        <f ca="1">MAX(DC7*(1+D8)-(Dashboard!$C$11)/(1-Dashboard!$C$17)*((1+Dashboard!$C$12)^$CZ8),0)</f>
        <v>1186702.2473962919</v>
      </c>
      <c r="DD8" s="126">
        <f ca="1">MAX(DD7*(1+E8)-(Dashboard!$C$11)/(1-Dashboard!$C$17)*((1+Dashboard!$C$12)^$CZ8),0)</f>
        <v>978502.85620306956</v>
      </c>
      <c r="DE8" s="126">
        <f ca="1">MAX(DE7*(1+F8)-(Dashboard!$C$11)/(1-Dashboard!$C$17)*((1+Dashboard!$C$12)^$CZ8),0)</f>
        <v>1332420.2571588352</v>
      </c>
      <c r="DF8" s="126">
        <f ca="1">MAX(DF7*(1+G8)-(Dashboard!$C$11)/(1-Dashboard!$C$17)*((1+Dashboard!$C$12)^$CZ8),0)</f>
        <v>2239330.1140280403</v>
      </c>
      <c r="DG8" s="126">
        <f ca="1">MAX(DG7*(1+H8)-(Dashboard!$C$11)/(1-Dashboard!$C$17)*((1+Dashboard!$C$12)^$CZ8),0)</f>
        <v>561497.30510017509</v>
      </c>
      <c r="DH8" s="126">
        <f ca="1">MAX(DH7*(1+I8)-(Dashboard!$C$11)/(1-Dashboard!$C$17)*((1+Dashboard!$C$12)^$CZ8),0)</f>
        <v>963384.31950820074</v>
      </c>
      <c r="DI8" s="126">
        <f ca="1">MAX(DI7*(1+J8)-(Dashboard!$C$11)/(1-Dashboard!$C$17)*((1+Dashboard!$C$12)^$CZ8),0)</f>
        <v>1131313.056331303</v>
      </c>
      <c r="DJ8" s="126">
        <f ca="1">MAX(DJ7*(1+K8)-(Dashboard!$C$11)/(1-Dashboard!$C$17)*((1+Dashboard!$C$12)^$CZ8),0)</f>
        <v>930644.43138600548</v>
      </c>
      <c r="DK8" s="126">
        <f ca="1">MAX(DK7*(1+L8)-(Dashboard!$C$11)/(1-Dashboard!$C$17)*((1+Dashboard!$C$12)^$CZ8),0)</f>
        <v>1807006.9212878745</v>
      </c>
      <c r="DL8" s="126">
        <f ca="1">MAX(DL7*(1+M8)-(Dashboard!$C$11)/(1-Dashboard!$C$17)*((1+Dashboard!$C$12)^$CZ8),0)</f>
        <v>1184432.7695243678</v>
      </c>
      <c r="DM8" s="126">
        <f ca="1">MAX(DM7*(1+N8)-(Dashboard!$C$11)/(1-Dashboard!$C$17)*((1+Dashboard!$C$12)^$CZ8),0)</f>
        <v>1478972.6298558547</v>
      </c>
      <c r="DN8" s="126">
        <f ca="1">MAX(DN7*(1+O8)-(Dashboard!$C$11)/(1-Dashboard!$C$17)*((1+Dashboard!$C$12)^$CZ8),0)</f>
        <v>1959685.8326004317</v>
      </c>
      <c r="DO8" s="126">
        <f ca="1">MAX(DO7*(1+P8)-(Dashboard!$C$11)/(1-Dashboard!$C$17)*((1+Dashboard!$C$12)^$CZ8),0)</f>
        <v>1314095.1455682784</v>
      </c>
      <c r="DP8" s="126">
        <f ca="1">MAX(DP7*(1+Q8)-(Dashboard!$C$11)/(1-Dashboard!$C$17)*((1+Dashboard!$C$12)^$CZ8),0)</f>
        <v>1660798.2051591235</v>
      </c>
      <c r="DQ8" s="126">
        <f ca="1">MAX(DQ7*(1+R8)-(Dashboard!$C$11)/(1-Dashboard!$C$17)*((1+Dashboard!$C$12)^$CZ8),0)</f>
        <v>1356011.5551011835</v>
      </c>
      <c r="DR8" s="126">
        <f ca="1">MAX(DR7*(1+S8)-(Dashboard!$C$11)/(1-Dashboard!$C$17)*((1+Dashboard!$C$12)^$CZ8),0)</f>
        <v>1203094.118342685</v>
      </c>
      <c r="DS8" s="126">
        <f ca="1">MAX(DS7*(1+T8)-(Dashboard!$C$11)/(1-Dashboard!$C$17)*((1+Dashboard!$C$12)^$CZ8),0)</f>
        <v>1522376.353704789</v>
      </c>
      <c r="DT8" s="126">
        <f ca="1">MAX(DT7*(1+U8)-(Dashboard!$C$11)/(1-Dashboard!$C$17)*((1+Dashboard!$C$12)^$CZ8),0)</f>
        <v>1614111.75696404</v>
      </c>
      <c r="DU8" s="126">
        <f ca="1">MAX(DU7*(1+V8)-(Dashboard!$C$11)/(1-Dashboard!$C$17)*((1+Dashboard!$C$12)^$CZ8),0)</f>
        <v>1454160.8053700388</v>
      </c>
      <c r="DV8" s="126">
        <f ca="1">MAX(DV7*(1+W8)-(Dashboard!$C$11)/(1-Dashboard!$C$17)*((1+Dashboard!$C$12)^$CZ8),0)</f>
        <v>1500032.7878589716</v>
      </c>
      <c r="DW8" s="126">
        <f ca="1">MAX(DW7*(1+X8)-(Dashboard!$C$11)/(1-Dashboard!$C$17)*((1+Dashboard!$C$12)^$CZ8),0)</f>
        <v>1458924.7392628002</v>
      </c>
      <c r="DX8" s="126">
        <f ca="1">MAX(DX7*(1+Y8)-(Dashboard!$C$11)/(1-Dashboard!$C$17)*((1+Dashboard!$C$12)^$CZ8),0)</f>
        <v>1078431.350038013</v>
      </c>
      <c r="DY8" s="126">
        <f ca="1">MAX(DY7*(1+Z8)-(Dashboard!$C$11)/(1-Dashboard!$C$17)*((1+Dashboard!$C$12)^$CZ8),0)</f>
        <v>1436904.2097757382</v>
      </c>
      <c r="DZ8" s="126">
        <f ca="1">MAX(DZ7*(1+AA8)-(Dashboard!$C$11)/(1-Dashboard!$C$17)*((1+Dashboard!$C$12)^$CZ8),0)</f>
        <v>359173.83138532221</v>
      </c>
      <c r="EA8" s="126">
        <f ca="1">MAX(EA7*(1+AB8)-(Dashboard!$C$11)/(1-Dashboard!$C$17)*((1+Dashboard!$C$12)^$CZ8),0)</f>
        <v>952165.39356488769</v>
      </c>
      <c r="EB8" s="126">
        <f ca="1">MAX(EB7*(1+AC8)-(Dashboard!$C$11)/(1-Dashboard!$C$17)*((1+Dashboard!$C$12)^$CZ8),0)</f>
        <v>1531270.1964276971</v>
      </c>
      <c r="EC8" s="126">
        <f ca="1">MAX(EC7*(1+AD8)-(Dashboard!$C$11)/(1-Dashboard!$C$17)*((1+Dashboard!$C$12)^$CZ8),0)</f>
        <v>1628588.6462237148</v>
      </c>
      <c r="ED8" s="126">
        <f ca="1">MAX(ED7*(1+AE8)-(Dashboard!$C$11)/(1-Dashboard!$C$17)*((1+Dashboard!$C$12)^$CZ8),0)</f>
        <v>2068044.8661539711</v>
      </c>
      <c r="EE8" s="126">
        <f ca="1">MAX(EE7*(1+AF8)-(Dashboard!$C$11)/(1-Dashboard!$C$17)*((1+Dashboard!$C$12)^$CZ8),0)</f>
        <v>1171425.0699246936</v>
      </c>
      <c r="EF8" s="126">
        <f ca="1">MAX(EF7*(1+AG8)-(Dashboard!$C$11)/(1-Dashboard!$C$17)*((1+Dashboard!$C$12)^$CZ8),0)</f>
        <v>1461885.0023874824</v>
      </c>
      <c r="EG8" s="126">
        <f ca="1">MAX(EG7*(1+AH8)-(Dashboard!$C$11)/(1-Dashboard!$C$17)*((1+Dashboard!$C$12)^$CZ8),0)</f>
        <v>1849625.1068760171</v>
      </c>
      <c r="EH8" s="126">
        <f ca="1">MAX(EH7*(1+AI8)-(Dashboard!$C$11)/(1-Dashboard!$C$17)*((1+Dashboard!$C$12)^$CZ8),0)</f>
        <v>1430397.2561339294</v>
      </c>
      <c r="EI8" s="126">
        <f ca="1">MAX(EI7*(1+AJ8)-(Dashboard!$C$11)/(1-Dashboard!$C$17)*((1+Dashboard!$C$12)^$CZ8),0)</f>
        <v>694464.45418939204</v>
      </c>
      <c r="EJ8" s="126">
        <f ca="1">MAX(EJ7*(1+AK8)-(Dashboard!$C$11)/(1-Dashboard!$C$17)*((1+Dashboard!$C$12)^$CZ8),0)</f>
        <v>1818041.4894996053</v>
      </c>
      <c r="EK8" s="126">
        <f ca="1">MAX(EK7*(1+AL8)-(Dashboard!$C$11)/(1-Dashboard!$C$17)*((1+Dashboard!$C$12)^$CZ8),0)</f>
        <v>1202762.1257673758</v>
      </c>
      <c r="EL8" s="126">
        <f ca="1">MAX(EL7*(1+AM8)-(Dashboard!$C$11)/(1-Dashboard!$C$17)*((1+Dashboard!$C$12)^$CZ8),0)</f>
        <v>987767.57380559936</v>
      </c>
      <c r="EM8" s="126">
        <f ca="1">MAX(EM7*(1+AN8)-(Dashboard!$C$11)/(1-Dashboard!$C$17)*((1+Dashboard!$C$12)^$CZ8),0)</f>
        <v>1603421.7502338402</v>
      </c>
      <c r="EN8" s="126">
        <f ca="1">MAX(EN7*(1+AO8)-(Dashboard!$C$11)/(1-Dashboard!$C$17)*((1+Dashboard!$C$12)^$CZ8),0)</f>
        <v>1579336.6701949097</v>
      </c>
      <c r="EO8" s="126">
        <f ca="1">MAX(EO7*(1+AP8)-(Dashboard!$C$11)/(1-Dashboard!$C$17)*((1+Dashboard!$C$12)^$CZ8),0)</f>
        <v>952112.98734582926</v>
      </c>
      <c r="EP8" s="126">
        <f ca="1">MAX(EP7*(1+AQ8)-(Dashboard!$C$11)/(1-Dashboard!$C$17)*((1+Dashboard!$C$12)^$CZ8),0)</f>
        <v>960416.1665717474</v>
      </c>
      <c r="EQ8" s="126">
        <f ca="1">MAX(EQ7*(1+AR8)-(Dashboard!$C$11)/(1-Dashboard!$C$17)*((1+Dashboard!$C$12)^$CZ8),0)</f>
        <v>680739.42853050202</v>
      </c>
      <c r="ER8" s="126">
        <f ca="1">MAX(ER7*(1+AS8)-(Dashboard!$C$11)/(1-Dashboard!$C$17)*((1+Dashboard!$C$12)^$CZ8),0)</f>
        <v>1072213.9273276248</v>
      </c>
      <c r="ES8" s="126">
        <f ca="1">MAX(ES7*(1+AT8)-(Dashboard!$C$11)/(1-Dashboard!$C$17)*((1+Dashboard!$C$12)^$CZ8),0)</f>
        <v>558007.71915999218</v>
      </c>
      <c r="ET8" s="126">
        <f ca="1">MAX(ET7*(1+AU8)-(Dashboard!$C$11)/(1-Dashboard!$C$17)*((1+Dashboard!$C$12)^$CZ8),0)</f>
        <v>1382358.4878192048</v>
      </c>
      <c r="EU8" s="126">
        <f ca="1">MAX(EU7*(1+AV8)-(Dashboard!$C$11)/(1-Dashboard!$C$17)*((1+Dashboard!$C$12)^$CZ8),0)</f>
        <v>1125733.0746746261</v>
      </c>
      <c r="EV8" s="126">
        <f ca="1">MAX(EV7*(1+AW8)-(Dashboard!$C$11)/(1-Dashboard!$C$17)*((1+Dashboard!$C$12)^$CZ8),0)</f>
        <v>2124030.8974334756</v>
      </c>
      <c r="EW8" s="126">
        <f ca="1">MAX(EW7*(1+AX8)-(Dashboard!$C$11)/(1-Dashboard!$C$17)*((1+Dashboard!$C$12)^$CZ8),0)</f>
        <v>1687834.5237241825</v>
      </c>
      <c r="EX8" s="126">
        <f ca="1">MAX(EX7*(1+AY8)-(Dashboard!$C$11)/(1-Dashboard!$C$17)*((1+Dashboard!$C$12)^$CZ8),0)</f>
        <v>1755280.4026436135</v>
      </c>
      <c r="EY8" s="126">
        <f ca="1">MAX(EY7*(1+AZ8)-(Dashboard!$C$11)/(1-Dashboard!$C$17)*((1+Dashboard!$C$12)^$CZ8),0)</f>
        <v>1517657.8975139081</v>
      </c>
      <c r="EZ8" s="126">
        <f ca="1">MAX(EZ7*(1+BA8)-(Dashboard!$C$11)/(1-Dashboard!$C$17)*((1+Dashboard!$C$12)^$CZ8),0)</f>
        <v>1077028.4426850392</v>
      </c>
      <c r="FA8" s="126">
        <f ca="1">MAX(FA7*(1+BB8)-(Dashboard!$C$11)/(1-Dashboard!$C$17)*((1+Dashboard!$C$12)^$CZ8),0)</f>
        <v>1109522.5005055736</v>
      </c>
      <c r="FB8" s="126">
        <f ca="1">MAX(FB7*(1+BC8)-(Dashboard!$C$11)/(1-Dashboard!$C$17)*((1+Dashboard!$C$12)^$CZ8),0)</f>
        <v>868142.29936462513</v>
      </c>
      <c r="FC8" s="126">
        <f ca="1">MAX(FC7*(1+BD8)-(Dashboard!$C$11)/(1-Dashboard!$C$17)*((1+Dashboard!$C$12)^$CZ8),0)</f>
        <v>1113732.8020721129</v>
      </c>
      <c r="FD8" s="126">
        <f ca="1">MAX(FD7*(1+BE8)-(Dashboard!$C$11)/(1-Dashboard!$C$17)*((1+Dashboard!$C$12)^$CZ8),0)</f>
        <v>1237654.5644927642</v>
      </c>
      <c r="FE8" s="126">
        <f ca="1">MAX(FE7*(1+BF8)-(Dashboard!$C$11)/(1-Dashboard!$C$17)*((1+Dashboard!$C$12)^$CZ8),0)</f>
        <v>2044042.1407766296</v>
      </c>
      <c r="FF8" s="126">
        <f ca="1">MAX(FF7*(1+BG8)-(Dashboard!$C$11)/(1-Dashboard!$C$17)*((1+Dashboard!$C$12)^$CZ8),0)</f>
        <v>1788313.2498418456</v>
      </c>
      <c r="FG8" s="126">
        <f ca="1">MAX(FG7*(1+BH8)-(Dashboard!$C$11)/(1-Dashboard!$C$17)*((1+Dashboard!$C$12)^$CZ8),0)</f>
        <v>1907525.2333953488</v>
      </c>
      <c r="FH8" s="126">
        <f ca="1">MAX(FH7*(1+BI8)-(Dashboard!$C$11)/(1-Dashboard!$C$17)*((1+Dashboard!$C$12)^$CZ8),0)</f>
        <v>935829.47552128218</v>
      </c>
      <c r="FI8" s="126">
        <f ca="1">MAX(FI7*(1+BJ8)-(Dashboard!$C$11)/(1-Dashboard!$C$17)*((1+Dashboard!$C$12)^$CZ8),0)</f>
        <v>1704460.6036534545</v>
      </c>
      <c r="FJ8" s="126">
        <f ca="1">MAX(FJ7*(1+BK8)-(Dashboard!$C$11)/(1-Dashboard!$C$17)*((1+Dashboard!$C$12)^$CZ8),0)</f>
        <v>887019.74397115293</v>
      </c>
      <c r="FK8" s="126">
        <f ca="1">MAX(FK7*(1+BL8)-(Dashboard!$C$11)/(1-Dashboard!$C$17)*((1+Dashboard!$C$12)^$CZ8),0)</f>
        <v>863871.47550259135</v>
      </c>
      <c r="FL8" s="126">
        <f ca="1">MAX(FL7*(1+BM8)-(Dashboard!$C$11)/(1-Dashboard!$C$17)*((1+Dashboard!$C$12)^$CZ8),0)</f>
        <v>1909951.2507629616</v>
      </c>
      <c r="FM8" s="126">
        <f ca="1">MAX(FM7*(1+BN8)-(Dashboard!$C$11)/(1-Dashboard!$C$17)*((1+Dashboard!$C$12)^$CZ8),0)</f>
        <v>1123698.3306265362</v>
      </c>
      <c r="FN8" s="126">
        <f ca="1">MAX(FN7*(1+BO8)-(Dashboard!$C$11)/(1-Dashboard!$C$17)*((1+Dashboard!$C$12)^$CZ8),0)</f>
        <v>721006.58777099743</v>
      </c>
      <c r="FO8" s="126">
        <f ca="1">MAX(FO7*(1+BP8)-(Dashboard!$C$11)/(1-Dashboard!$C$17)*((1+Dashboard!$C$12)^$CZ8),0)</f>
        <v>1681621.8518372441</v>
      </c>
      <c r="FP8" s="126">
        <f ca="1">MAX(FP7*(1+BQ8)-(Dashboard!$C$11)/(1-Dashboard!$C$17)*((1+Dashboard!$C$12)^$CZ8),0)</f>
        <v>1426533.266005619</v>
      </c>
      <c r="FQ8" s="126">
        <f ca="1">MAX(FQ7*(1+BR8)-(Dashboard!$C$11)/(1-Dashboard!$C$17)*((1+Dashboard!$C$12)^$CZ8),0)</f>
        <v>2240532.3015923691</v>
      </c>
      <c r="FR8" s="126">
        <f ca="1">MAX(FR7*(1+BS8)-(Dashboard!$C$11)/(1-Dashboard!$C$17)*((1+Dashboard!$C$12)^$CZ8),0)</f>
        <v>2495879.7349728174</v>
      </c>
      <c r="FS8" s="126">
        <f ca="1">MAX(FS7*(1+BT8)-(Dashboard!$C$11)/(1-Dashboard!$C$17)*((1+Dashboard!$C$12)^$CZ8),0)</f>
        <v>1364874.867612557</v>
      </c>
      <c r="FT8" s="126">
        <f ca="1">MAX(FT7*(1+BU8)-(Dashboard!$C$11)/(1-Dashboard!$C$17)*((1+Dashboard!$C$12)^$CZ8),0)</f>
        <v>957165.04489624675</v>
      </c>
      <c r="FU8" s="126">
        <f ca="1">MAX(FU7*(1+BV8)-(Dashboard!$C$11)/(1-Dashboard!$C$17)*((1+Dashboard!$C$12)^$CZ8),0)</f>
        <v>1481793.6653065428</v>
      </c>
      <c r="FV8" s="126">
        <f ca="1">MAX(FV7*(1+BW8)-(Dashboard!$C$11)/(1-Dashboard!$C$17)*((1+Dashboard!$C$12)^$CZ8),0)</f>
        <v>367562.91071693454</v>
      </c>
      <c r="FW8" s="126">
        <f ca="1">MAX(FW7*(1+BX8)-(Dashboard!$C$11)/(1-Dashboard!$C$17)*((1+Dashboard!$C$12)^$CZ8),0)</f>
        <v>1798392.7768269833</v>
      </c>
      <c r="FX8" s="126">
        <f ca="1">MAX(FX7*(1+BY8)-(Dashboard!$C$11)/(1-Dashboard!$C$17)*((1+Dashboard!$C$12)^$CZ8),0)</f>
        <v>1163409.5241510388</v>
      </c>
      <c r="FY8" s="126">
        <f ca="1">MAX(FY7*(1+BZ8)-(Dashboard!$C$11)/(1-Dashboard!$C$17)*((1+Dashboard!$C$12)^$CZ8),0)</f>
        <v>953373.86999709276</v>
      </c>
      <c r="FZ8" s="126">
        <f ca="1">MAX(FZ7*(1+CA8)-(Dashboard!$C$11)/(1-Dashboard!$C$17)*((1+Dashboard!$C$12)^$CZ8),0)</f>
        <v>1200933.429819579</v>
      </c>
      <c r="GA8" s="126">
        <f ca="1">MAX(GA7*(1+CB8)-(Dashboard!$C$11)/(1-Dashboard!$C$17)*((1+Dashboard!$C$12)^$CZ8),0)</f>
        <v>2490633.559798005</v>
      </c>
      <c r="GB8" s="126">
        <f ca="1">MAX(GB7*(1+CC8)-(Dashboard!$C$11)/(1-Dashboard!$C$17)*((1+Dashboard!$C$12)^$CZ8),0)</f>
        <v>1074779.1242687481</v>
      </c>
      <c r="GC8" s="126">
        <f ca="1">MAX(GC7*(1+CD8)-(Dashboard!$C$11)/(1-Dashboard!$C$17)*((1+Dashboard!$C$12)^$CZ8),0)</f>
        <v>1520271.9206862359</v>
      </c>
      <c r="GD8" s="126">
        <f ca="1">MAX(GD7*(1+CE8)-(Dashboard!$C$11)/(1-Dashboard!$C$17)*((1+Dashboard!$C$12)^$CZ8),0)</f>
        <v>1122399.9480134379</v>
      </c>
      <c r="GE8" s="126">
        <f ca="1">MAX(GE7*(1+CF8)-(Dashboard!$C$11)/(1-Dashboard!$C$17)*((1+Dashboard!$C$12)^$CZ8),0)</f>
        <v>964518.4016670374</v>
      </c>
      <c r="GF8" s="126">
        <f ca="1">MAX(GF7*(1+CG8)-(Dashboard!$C$11)/(1-Dashboard!$C$17)*((1+Dashboard!$C$12)^$CZ8),0)</f>
        <v>2175342.7556303553</v>
      </c>
      <c r="GG8" s="126">
        <f ca="1">MAX(GG7*(1+CH8)-(Dashboard!$C$11)/(1-Dashboard!$C$17)*((1+Dashboard!$C$12)^$CZ8),0)</f>
        <v>656847.78211331903</v>
      </c>
      <c r="GH8" s="126">
        <f ca="1">MAX(GH7*(1+CI8)-(Dashboard!$C$11)/(1-Dashboard!$C$17)*((1+Dashboard!$C$12)^$CZ8),0)</f>
        <v>836597.23966323433</v>
      </c>
      <c r="GI8" s="126">
        <f ca="1">MAX(GI7*(1+CJ8)-(Dashboard!$C$11)/(1-Dashboard!$C$17)*((1+Dashboard!$C$12)^$CZ8),0)</f>
        <v>774120.11589363765</v>
      </c>
      <c r="GJ8" s="126">
        <f ca="1">MAX(GJ7*(1+CK8)-(Dashboard!$C$11)/(1-Dashboard!$C$17)*((1+Dashboard!$C$12)^$CZ8),0)</f>
        <v>1718408.1720535548</v>
      </c>
      <c r="GK8" s="126">
        <f ca="1">MAX(GK7*(1+CL8)-(Dashboard!$C$11)/(1-Dashboard!$C$17)*((1+Dashboard!$C$12)^$CZ8),0)</f>
        <v>1761315.3018834949</v>
      </c>
      <c r="GL8" s="126">
        <f ca="1">MAX(GL7*(1+CM8)-(Dashboard!$C$11)/(1-Dashboard!$C$17)*((1+Dashboard!$C$12)^$CZ8),0)</f>
        <v>1644611.3623060761</v>
      </c>
      <c r="GM8" s="126">
        <f ca="1">MAX(GM7*(1+CN8)-(Dashboard!$C$11)/(1-Dashboard!$C$17)*((1+Dashboard!$C$12)^$CZ8),0)</f>
        <v>1258705.4458391573</v>
      </c>
      <c r="GN8" s="126">
        <f ca="1">MAX(GN7*(1+CO8)-(Dashboard!$C$11)/(1-Dashboard!$C$17)*((1+Dashboard!$C$12)^$CZ8),0)</f>
        <v>814799.59955584595</v>
      </c>
      <c r="GO8" s="126">
        <f ca="1">MAX(GO7*(1+CP8)-(Dashboard!$C$11)/(1-Dashboard!$C$17)*((1+Dashboard!$C$12)^$CZ8),0)</f>
        <v>1774528.9738143382</v>
      </c>
      <c r="GP8" s="126">
        <f ca="1">MAX(GP7*(1+CQ8)-(Dashboard!$C$11)/(1-Dashboard!$C$17)*((1+Dashboard!$C$12)^$CZ8),0)</f>
        <v>947777.10171909991</v>
      </c>
      <c r="GQ8" s="126">
        <f ca="1">MAX(GQ7*(1+CR8)-(Dashboard!$C$11)/(1-Dashboard!$C$17)*((1+Dashboard!$C$12)^$CZ8),0)</f>
        <v>1137515.1845434331</v>
      </c>
      <c r="GR8" s="126">
        <f ca="1">MAX(GR7*(1+CS8)-(Dashboard!$C$11)/(1-Dashboard!$C$17)*((1+Dashboard!$C$12)^$CZ8),0)</f>
        <v>1114594.7592283364</v>
      </c>
      <c r="GS8" s="126">
        <f ca="1">MAX(GS7*(1+CT8)-(Dashboard!$C$11)/(1-Dashboard!$C$17)*((1+Dashboard!$C$12)^$CZ8),0)</f>
        <v>1170221.533965132</v>
      </c>
      <c r="GT8" s="126">
        <f ca="1">MAX(GT7*(1+CU8)-(Dashboard!$C$11)/(1-Dashboard!$C$17)*((1+Dashboard!$C$12)^$CZ8),0)</f>
        <v>1282452.8465672035</v>
      </c>
      <c r="GU8" s="126">
        <f ca="1">MAX(GU7*(1+CV8)-(Dashboard!$C$11)/(1-Dashboard!$C$17)*((1+Dashboard!$C$12)^$CZ8),0)</f>
        <v>555462.49185763276</v>
      </c>
      <c r="GV8" s="126">
        <f ca="1">MAX(GV7*(1+CW8)-(Dashboard!$C$11)/(1-Dashboard!$C$17)*((1+Dashboard!$C$12)^$CZ8),0)</f>
        <v>504287.06492258213</v>
      </c>
      <c r="GW8" s="115">
        <f t="shared" si="4"/>
        <v>57</v>
      </c>
      <c r="GX8" s="130">
        <f t="shared" ca="1" si="2"/>
        <v>100</v>
      </c>
      <c r="HC8" s="130">
        <f t="shared" si="0"/>
        <v>57</v>
      </c>
      <c r="HD8" s="137">
        <f t="shared" ca="1" si="1"/>
        <v>957977.82531512191</v>
      </c>
      <c r="HE8" s="137">
        <f t="shared" ca="1" si="1"/>
        <v>1220374.3414177247</v>
      </c>
      <c r="HF8" s="137">
        <f t="shared" ca="1" si="1"/>
        <v>1624969.4239087962</v>
      </c>
    </row>
    <row r="9" spans="1:214" ht="16">
      <c r="A9" s="145">
        <f t="shared" si="3"/>
        <v>58</v>
      </c>
      <c r="B9" s="122">
        <f ca="1">(Dashboard!$C$7*'Equity and Bond Returns'!N9)+(Dashboard!$C$8*'Equity and Bond Returns'!DL9)</f>
        <v>0.32206886672592411</v>
      </c>
      <c r="C9" s="122">
        <f ca="1">(Dashboard!$C$7*'Equity and Bond Returns'!O9)+(Dashboard!$C$8*'Equity and Bond Returns'!DM9)</f>
        <v>-4.7550738956740522E-2</v>
      </c>
      <c r="D9" s="122">
        <f ca="1">(Dashboard!$C$7*'Equity and Bond Returns'!P9)+(Dashboard!$C$8*'Equity and Bond Returns'!DN9)</f>
        <v>-1.4705616470536653E-2</v>
      </c>
      <c r="E9" s="122">
        <f ca="1">(Dashboard!$C$7*'Equity and Bond Returns'!Q9)+(Dashboard!$C$8*'Equity and Bond Returns'!DO9)</f>
        <v>-0.13441621258376696</v>
      </c>
      <c r="F9" s="122">
        <f ca="1">(Dashboard!$C$7*'Equity and Bond Returns'!R9)+(Dashboard!$C$8*'Equity and Bond Returns'!DP9)</f>
        <v>8.8456998920607335E-2</v>
      </c>
      <c r="G9" s="122">
        <f ca="1">(Dashboard!$C$7*'Equity and Bond Returns'!S9)+(Dashboard!$C$8*'Equity and Bond Returns'!DQ9)</f>
        <v>0.16334355122877037</v>
      </c>
      <c r="H9" s="122">
        <f ca="1">(Dashboard!$C$7*'Equity and Bond Returns'!T9)+(Dashboard!$C$8*'Equity and Bond Returns'!DR9)</f>
        <v>8.2012560077349556E-2</v>
      </c>
      <c r="I9" s="122">
        <f ca="1">(Dashboard!$C$7*'Equity and Bond Returns'!U9)+(Dashboard!$C$8*'Equity and Bond Returns'!DS9)</f>
        <v>0.1188519128883079</v>
      </c>
      <c r="J9" s="122">
        <f ca="1">(Dashboard!$C$7*'Equity and Bond Returns'!V9)+(Dashboard!$C$8*'Equity and Bond Returns'!DT9)</f>
        <v>-0.10046931920547228</v>
      </c>
      <c r="K9" s="122">
        <f ca="1">(Dashboard!$C$7*'Equity and Bond Returns'!W9)+(Dashboard!$C$8*'Equity and Bond Returns'!DU9)</f>
        <v>0.11762693094339459</v>
      </c>
      <c r="L9" s="122">
        <f ca="1">(Dashboard!$C$7*'Equity and Bond Returns'!X9)+(Dashboard!$C$8*'Equity and Bond Returns'!DV9)</f>
        <v>0.53979812079525169</v>
      </c>
      <c r="M9" s="122">
        <f ca="1">(Dashboard!$C$7*'Equity and Bond Returns'!Y9)+(Dashboard!$C$8*'Equity and Bond Returns'!DW9)</f>
        <v>0.28525498391146709</v>
      </c>
      <c r="N9" s="122">
        <f ca="1">(Dashboard!$C$7*'Equity and Bond Returns'!Z9)+(Dashboard!$C$8*'Equity and Bond Returns'!DX9)</f>
        <v>-5.0973684951805733E-3</v>
      </c>
      <c r="O9" s="122">
        <f ca="1">(Dashboard!$C$7*'Equity and Bond Returns'!AA9)+(Dashboard!$C$8*'Equity and Bond Returns'!DY9)</f>
        <v>0.32832810414627761</v>
      </c>
      <c r="P9" s="122">
        <f ca="1">(Dashboard!$C$7*'Equity and Bond Returns'!AB9)+(Dashboard!$C$8*'Equity and Bond Returns'!DZ9)</f>
        <v>0.24240685053122285</v>
      </c>
      <c r="Q9" s="122">
        <f ca="1">(Dashboard!$C$7*'Equity and Bond Returns'!AC9)+(Dashboard!$C$8*'Equity and Bond Returns'!EA9)</f>
        <v>4.9645399757665146E-2</v>
      </c>
      <c r="R9" s="122">
        <f ca="1">(Dashboard!$C$7*'Equity and Bond Returns'!AD9)+(Dashboard!$C$8*'Equity and Bond Returns'!EB9)</f>
        <v>0.31587967025256247</v>
      </c>
      <c r="S9" s="122">
        <f ca="1">(Dashboard!$C$7*'Equity and Bond Returns'!AE9)+(Dashboard!$C$8*'Equity and Bond Returns'!EC9)</f>
        <v>0.36551452742113244</v>
      </c>
      <c r="T9" s="122">
        <f ca="1">(Dashboard!$C$7*'Equity and Bond Returns'!AF9)+(Dashboard!$C$8*'Equity and Bond Returns'!ED9)</f>
        <v>5.5837413973337635E-2</v>
      </c>
      <c r="U9" s="122">
        <f ca="1">(Dashboard!$C$7*'Equity and Bond Returns'!AG9)+(Dashboard!$C$8*'Equity and Bond Returns'!EE9)</f>
        <v>-0.11328528104757263</v>
      </c>
      <c r="V9" s="122">
        <f ca="1">(Dashboard!$C$7*'Equity and Bond Returns'!AH9)+(Dashboard!$C$8*'Equity and Bond Returns'!EF9)</f>
        <v>0.15075172538784298</v>
      </c>
      <c r="W9" s="122">
        <f ca="1">(Dashboard!$C$7*'Equity and Bond Returns'!AI9)+(Dashboard!$C$8*'Equity and Bond Returns'!EG9)</f>
        <v>0.22775754885898578</v>
      </c>
      <c r="X9" s="122">
        <f ca="1">(Dashboard!$C$7*'Equity and Bond Returns'!AJ9)+(Dashboard!$C$8*'Equity and Bond Returns'!EH9)</f>
        <v>-0.10299867091883756</v>
      </c>
      <c r="Y9" s="122">
        <f ca="1">(Dashboard!$C$7*'Equity and Bond Returns'!AK9)+(Dashboard!$C$8*'Equity and Bond Returns'!EI9)</f>
        <v>-0.11003012589953098</v>
      </c>
      <c r="Z9" s="122">
        <f ca="1">(Dashboard!$C$7*'Equity and Bond Returns'!AL9)+(Dashboard!$C$8*'Equity and Bond Returns'!EJ9)</f>
        <v>0.28953796027933837</v>
      </c>
      <c r="AA9" s="122">
        <f ca="1">(Dashboard!$C$7*'Equity and Bond Returns'!AM9)+(Dashboard!$C$8*'Equity and Bond Returns'!EK9)</f>
        <v>0.13848550612793012</v>
      </c>
      <c r="AB9" s="122">
        <f ca="1">(Dashboard!$C$7*'Equity and Bond Returns'!AN9)+(Dashboard!$C$8*'Equity and Bond Returns'!EL9)</f>
        <v>8.1691003693227307E-2</v>
      </c>
      <c r="AC9" s="122">
        <f ca="1">(Dashboard!$C$7*'Equity and Bond Returns'!AO9)+(Dashboard!$C$8*'Equity and Bond Returns'!EM9)</f>
        <v>-6.7489196694756393E-2</v>
      </c>
      <c r="AD9" s="122">
        <f ca="1">(Dashboard!$C$7*'Equity and Bond Returns'!AP9)+(Dashboard!$C$8*'Equity and Bond Returns'!EN9)</f>
        <v>0.15798347925629083</v>
      </c>
      <c r="AE9" s="122">
        <f ca="1">(Dashboard!$C$7*'Equity and Bond Returns'!AQ9)+(Dashboard!$C$8*'Equity and Bond Returns'!EO9)</f>
        <v>0.23044263685353789</v>
      </c>
      <c r="AF9" s="122">
        <f ca="1">(Dashboard!$C$7*'Equity and Bond Returns'!AR9)+(Dashboard!$C$8*'Equity and Bond Returns'!EP9)</f>
        <v>8.4834874038589345E-2</v>
      </c>
      <c r="AG9" s="122">
        <f ca="1">(Dashboard!$C$7*'Equity and Bond Returns'!AS9)+(Dashboard!$C$8*'Equity and Bond Returns'!EQ9)</f>
        <v>3.3746717478141553E-3</v>
      </c>
      <c r="AH9" s="122">
        <f ca="1">(Dashboard!$C$7*'Equity and Bond Returns'!AT9)+(Dashboard!$C$8*'Equity and Bond Returns'!ER9)</f>
        <v>0.19971736955014291</v>
      </c>
      <c r="AI9" s="122">
        <f ca="1">(Dashboard!$C$7*'Equity and Bond Returns'!AU9)+(Dashboard!$C$8*'Equity and Bond Returns'!ES9)</f>
        <v>-2.2396783460556825E-2</v>
      </c>
      <c r="AJ9" s="122">
        <f ca="1">(Dashboard!$C$7*'Equity and Bond Returns'!AV9)+(Dashboard!$C$8*'Equity and Bond Returns'!ET9)</f>
        <v>-0.24195223956235609</v>
      </c>
      <c r="AK9" s="122">
        <f ca="1">(Dashboard!$C$7*'Equity and Bond Returns'!AW9)+(Dashboard!$C$8*'Equity and Bond Returns'!EU9)</f>
        <v>-7.3362878684894148E-2</v>
      </c>
      <c r="AL9" s="122">
        <f ca="1">(Dashboard!$C$7*'Equity and Bond Returns'!AX9)+(Dashboard!$C$8*'Equity and Bond Returns'!EV9)</f>
        <v>5.6888211501602413E-2</v>
      </c>
      <c r="AM9" s="122">
        <f ca="1">(Dashboard!$C$7*'Equity and Bond Returns'!AY9)+(Dashboard!$C$8*'Equity and Bond Returns'!EW9)</f>
        <v>2.3095892676188126E-2</v>
      </c>
      <c r="AN9" s="122">
        <f ca="1">(Dashboard!$C$7*'Equity and Bond Returns'!AZ9)+(Dashboard!$C$8*'Equity and Bond Returns'!EX9)</f>
        <v>0.30700028065993273</v>
      </c>
      <c r="AO9" s="122">
        <f ca="1">(Dashboard!$C$7*'Equity and Bond Returns'!BA9)+(Dashboard!$C$8*'Equity and Bond Returns'!EY9)</f>
        <v>0.35109239808454268</v>
      </c>
      <c r="AP9" s="122">
        <f ca="1">(Dashboard!$C$7*'Equity and Bond Returns'!BB9)+(Dashboard!$C$8*'Equity and Bond Returns'!EZ9)</f>
        <v>-2.2104469079134707E-2</v>
      </c>
      <c r="AQ9" s="122">
        <f ca="1">(Dashboard!$C$7*'Equity and Bond Returns'!BC9)+(Dashboard!$C$8*'Equity and Bond Returns'!FA9)</f>
        <v>0.22165055156908803</v>
      </c>
      <c r="AR9" s="122">
        <f ca="1">(Dashboard!$C$7*'Equity and Bond Returns'!BD9)+(Dashboard!$C$8*'Equity and Bond Returns'!FB9)</f>
        <v>0.16538374916131421</v>
      </c>
      <c r="AS9" s="122">
        <f ca="1">(Dashboard!$C$7*'Equity and Bond Returns'!BE9)+(Dashboard!$C$8*'Equity and Bond Returns'!FC9)</f>
        <v>0.35382055938847218</v>
      </c>
      <c r="AT9" s="122">
        <f ca="1">(Dashboard!$C$7*'Equity and Bond Returns'!BF9)+(Dashboard!$C$8*'Equity and Bond Returns'!FD9)</f>
        <v>-1.9358488321211981E-2</v>
      </c>
      <c r="AU9" s="122">
        <f ca="1">(Dashboard!$C$7*'Equity and Bond Returns'!BG9)+(Dashboard!$C$8*'Equity and Bond Returns'!FE9)</f>
        <v>9.6140048545732174E-2</v>
      </c>
      <c r="AV9" s="122">
        <f ca="1">(Dashboard!$C$7*'Equity and Bond Returns'!BH9)+(Dashboard!$C$8*'Equity and Bond Returns'!FF9)</f>
        <v>4.1427938128178979E-2</v>
      </c>
      <c r="AW9" s="122">
        <f ca="1">(Dashboard!$C$7*'Equity and Bond Returns'!BI9)+(Dashboard!$C$8*'Equity and Bond Returns'!FG9)</f>
        <v>0.2021232079008583</v>
      </c>
      <c r="AX9" s="122">
        <f ca="1">(Dashboard!$C$7*'Equity and Bond Returns'!BJ9)+(Dashboard!$C$8*'Equity and Bond Returns'!FH9)</f>
        <v>-0.10030351968026142</v>
      </c>
      <c r="AY9" s="122">
        <f ca="1">(Dashboard!$C$7*'Equity and Bond Returns'!BK9)+(Dashboard!$C$8*'Equity and Bond Returns'!FI9)</f>
        <v>0.17560626078871416</v>
      </c>
      <c r="AZ9" s="122">
        <f ca="1">(Dashboard!$C$7*'Equity and Bond Returns'!BL9)+(Dashboard!$C$8*'Equity and Bond Returns'!FJ9)</f>
        <v>0.25346574117297188</v>
      </c>
      <c r="BA9" s="122">
        <f ca="1">(Dashboard!$C$7*'Equity and Bond Returns'!BM9)+(Dashboard!$C$8*'Equity and Bond Returns'!FK9)</f>
        <v>-0.25678205493290351</v>
      </c>
      <c r="BB9" s="122">
        <f ca="1">(Dashboard!$C$7*'Equity and Bond Returns'!BN9)+(Dashboard!$C$8*'Equity and Bond Returns'!FL9)</f>
        <v>0.24494525802141051</v>
      </c>
      <c r="BC9" s="122">
        <f ca="1">(Dashboard!$C$7*'Equity and Bond Returns'!BO9)+(Dashboard!$C$8*'Equity and Bond Returns'!FM9)</f>
        <v>4.464055142660258E-2</v>
      </c>
      <c r="BD9" s="122">
        <f ca="1">(Dashboard!$C$7*'Equity and Bond Returns'!BP9)+(Dashboard!$C$8*'Equity and Bond Returns'!FN9)</f>
        <v>-7.7796531819082235E-2</v>
      </c>
      <c r="BE9" s="122">
        <f ca="1">(Dashboard!$C$7*'Equity and Bond Returns'!BQ9)+(Dashboard!$C$8*'Equity and Bond Returns'!FO9)</f>
        <v>0.24908334022349685</v>
      </c>
      <c r="BF9" s="122">
        <f ca="1">(Dashboard!$C$7*'Equity and Bond Returns'!BR9)+(Dashboard!$C$8*'Equity and Bond Returns'!FP9)</f>
        <v>-2.1702203730271472E-2</v>
      </c>
      <c r="BG9" s="122">
        <f ca="1">(Dashboard!$C$7*'Equity and Bond Returns'!BS9)+(Dashboard!$C$8*'Equity and Bond Returns'!FQ9)</f>
        <v>0.16528856837553635</v>
      </c>
      <c r="BH9" s="122">
        <f ca="1">(Dashboard!$C$7*'Equity and Bond Returns'!BT9)+(Dashboard!$C$8*'Equity and Bond Returns'!FR9)</f>
        <v>0.15552896260222879</v>
      </c>
      <c r="BI9" s="122">
        <f ca="1">(Dashboard!$C$7*'Equity and Bond Returns'!BU9)+(Dashboard!$C$8*'Equity and Bond Returns'!FS9)</f>
        <v>-0.11543884651223119</v>
      </c>
      <c r="BJ9" s="122">
        <f ca="1">(Dashboard!$C$7*'Equity and Bond Returns'!BV9)+(Dashboard!$C$8*'Equity and Bond Returns'!FT9)</f>
        <v>-8.9276190606566941E-2</v>
      </c>
      <c r="BK9" s="122">
        <f ca="1">(Dashboard!$C$7*'Equity and Bond Returns'!BW9)+(Dashboard!$C$8*'Equity and Bond Returns'!FU9)</f>
        <v>6.6854313383192532E-3</v>
      </c>
      <c r="BL9" s="122">
        <f ca="1">(Dashboard!$C$7*'Equity and Bond Returns'!BX9)+(Dashboard!$C$8*'Equity and Bond Returns'!FV9)</f>
        <v>0.24459067355954967</v>
      </c>
      <c r="BM9" s="122">
        <f ca="1">(Dashboard!$C$7*'Equity and Bond Returns'!BY9)+(Dashboard!$C$8*'Equity and Bond Returns'!FW9)</f>
        <v>0.4007450723472723</v>
      </c>
      <c r="BN9" s="122">
        <f ca="1">(Dashboard!$C$7*'Equity and Bond Returns'!BZ9)+(Dashboard!$C$8*'Equity and Bond Returns'!FX9)</f>
        <v>0.3444068854396643</v>
      </c>
      <c r="BO9" s="122">
        <f ca="1">(Dashboard!$C$7*'Equity and Bond Returns'!CA9)+(Dashboard!$C$8*'Equity and Bond Returns'!FY9)</f>
        <v>5.9877361344855551E-3</v>
      </c>
      <c r="BP9" s="122">
        <f ca="1">(Dashboard!$C$7*'Equity and Bond Returns'!CB9)+(Dashboard!$C$8*'Equity and Bond Returns'!FZ9)</f>
        <v>4.911217739815351E-2</v>
      </c>
      <c r="BQ9" s="122">
        <f ca="1">(Dashboard!$C$7*'Equity and Bond Returns'!CC9)+(Dashboard!$C$8*'Equity and Bond Returns'!GA9)</f>
        <v>0.28568684145057499</v>
      </c>
      <c r="BR9" s="122">
        <f ca="1">(Dashboard!$C$7*'Equity and Bond Returns'!CD9)+(Dashboard!$C$8*'Equity and Bond Returns'!GB9)</f>
        <v>6.0492323805991191E-2</v>
      </c>
      <c r="BS9" s="122">
        <f ca="1">(Dashboard!$C$7*'Equity and Bond Returns'!CE9)+(Dashboard!$C$8*'Equity and Bond Returns'!GC9)</f>
        <v>0.16358794839516763</v>
      </c>
      <c r="BT9" s="122">
        <f ca="1">(Dashboard!$C$7*'Equity and Bond Returns'!CF9)+(Dashboard!$C$8*'Equity and Bond Returns'!GD9)</f>
        <v>0.19412940352816321</v>
      </c>
      <c r="BU9" s="122">
        <f ca="1">(Dashboard!$C$7*'Equity and Bond Returns'!CG9)+(Dashboard!$C$8*'Equity and Bond Returns'!GE9)</f>
        <v>0.16273079757090236</v>
      </c>
      <c r="BV9" s="122">
        <f ca="1">(Dashboard!$C$7*'Equity and Bond Returns'!CH9)+(Dashboard!$C$8*'Equity and Bond Returns'!GF9)</f>
        <v>0.13057574490369686</v>
      </c>
      <c r="BW9" s="122">
        <f ca="1">(Dashboard!$C$7*'Equity and Bond Returns'!CI9)+(Dashboard!$C$8*'Equity and Bond Returns'!GG9)</f>
        <v>0.19292505056893439</v>
      </c>
      <c r="BX9" s="122">
        <f ca="1">(Dashboard!$C$7*'Equity and Bond Returns'!CJ9)+(Dashboard!$C$8*'Equity and Bond Returns'!GH9)</f>
        <v>-6.9372748501729642E-2</v>
      </c>
      <c r="BY9" s="122">
        <f ca="1">(Dashboard!$C$7*'Equity and Bond Returns'!CK9)+(Dashboard!$C$8*'Equity and Bond Returns'!GI9)</f>
        <v>-3.2471619728808535E-2</v>
      </c>
      <c r="BZ9" s="122">
        <f ca="1">(Dashboard!$C$7*'Equity and Bond Returns'!CL9)+(Dashboard!$C$8*'Equity and Bond Returns'!GJ9)</f>
        <v>7.8547395002285025E-2</v>
      </c>
      <c r="CA9" s="122">
        <f ca="1">(Dashboard!$C$7*'Equity and Bond Returns'!CM9)+(Dashboard!$C$8*'Equity and Bond Returns'!GK9)</f>
        <v>-9.4367317390830985E-2</v>
      </c>
      <c r="CB9" s="122">
        <f ca="1">(Dashboard!$C$7*'Equity and Bond Returns'!CN9)+(Dashboard!$C$8*'Equity and Bond Returns'!GL9)</f>
        <v>0.27399423861056854</v>
      </c>
      <c r="CC9" s="122">
        <f ca="1">(Dashboard!$C$7*'Equity and Bond Returns'!CO9)+(Dashboard!$C$8*'Equity and Bond Returns'!GM9)</f>
        <v>0.20194280563867092</v>
      </c>
      <c r="CD9" s="122">
        <f ca="1">(Dashboard!$C$7*'Equity and Bond Returns'!CP9)+(Dashboard!$C$8*'Equity and Bond Returns'!GN9)</f>
        <v>8.2250128738954265E-2</v>
      </c>
      <c r="CE9" s="122">
        <f ca="1">(Dashboard!$C$7*'Equity and Bond Returns'!CQ9)+(Dashboard!$C$8*'Equity and Bond Returns'!GO9)</f>
        <v>0.11880744863724119</v>
      </c>
      <c r="CF9" s="122">
        <f ca="1">(Dashboard!$C$7*'Equity and Bond Returns'!CR9)+(Dashboard!$C$8*'Equity and Bond Returns'!GP9)</f>
        <v>7.0369520179475648E-2</v>
      </c>
      <c r="CG9" s="122">
        <f ca="1">(Dashboard!$C$7*'Equity and Bond Returns'!CS9)+(Dashboard!$C$8*'Equity and Bond Returns'!GQ9)</f>
        <v>-0.11544648805412923</v>
      </c>
      <c r="CH9" s="122">
        <f ca="1">(Dashboard!$C$7*'Equity and Bond Returns'!CT9)+(Dashboard!$C$8*'Equity and Bond Returns'!GR9)</f>
        <v>-0.1064561729516115</v>
      </c>
      <c r="CI9" s="122">
        <f ca="1">(Dashboard!$C$7*'Equity and Bond Returns'!CU9)+(Dashboard!$C$8*'Equity and Bond Returns'!GS9)</f>
        <v>-3.9354049762899773E-2</v>
      </c>
      <c r="CJ9" s="122">
        <f ca="1">(Dashboard!$C$7*'Equity and Bond Returns'!CV9)+(Dashboard!$C$8*'Equity and Bond Returns'!GT9)</f>
        <v>-7.690080205631919E-2</v>
      </c>
      <c r="CK9" s="122">
        <f ca="1">(Dashboard!$C$7*'Equity and Bond Returns'!CW9)+(Dashboard!$C$8*'Equity and Bond Returns'!GU9)</f>
        <v>0.1549236132813781</v>
      </c>
      <c r="CL9" s="122">
        <f ca="1">(Dashboard!$C$7*'Equity and Bond Returns'!CX9)+(Dashboard!$C$8*'Equity and Bond Returns'!GV9)</f>
        <v>0.31484411515604555</v>
      </c>
      <c r="CM9" s="122">
        <f ca="1">(Dashboard!$C$7*'Equity and Bond Returns'!CY9)+(Dashboard!$C$8*'Equity and Bond Returns'!GW9)</f>
        <v>0.38099644936343185</v>
      </c>
      <c r="CN9" s="122">
        <f ca="1">(Dashboard!$C$7*'Equity and Bond Returns'!CZ9)+(Dashboard!$C$8*'Equity and Bond Returns'!GX9)</f>
        <v>7.9739925256238825E-2</v>
      </c>
      <c r="CO9" s="122">
        <f ca="1">(Dashboard!$C$7*'Equity and Bond Returns'!DA9)+(Dashboard!$C$8*'Equity and Bond Returns'!GY9)</f>
        <v>-2.0639774872083946E-2</v>
      </c>
      <c r="CP9" s="122">
        <f ca="1">(Dashboard!$C$7*'Equity and Bond Returns'!DB9)+(Dashboard!$C$8*'Equity and Bond Returns'!GZ9)</f>
        <v>0.1080022285758727</v>
      </c>
      <c r="CQ9" s="122">
        <f ca="1">(Dashboard!$C$7*'Equity and Bond Returns'!DC9)+(Dashboard!$C$8*'Equity and Bond Returns'!HA9)</f>
        <v>2.2079107696862849E-2</v>
      </c>
      <c r="CR9" s="122">
        <f ca="1">(Dashboard!$C$7*'Equity and Bond Returns'!DD9)+(Dashboard!$C$8*'Equity and Bond Returns'!HB9)</f>
        <v>-7.003872837897003E-2</v>
      </c>
      <c r="CS9" s="122">
        <f ca="1">(Dashboard!$C$7*'Equity and Bond Returns'!DE9)+(Dashboard!$C$8*'Equity and Bond Returns'!HC9)</f>
        <v>-5.0136096177838471E-2</v>
      </c>
      <c r="CT9" s="122">
        <f ca="1">(Dashboard!$C$7*'Equity and Bond Returns'!DF9)+(Dashboard!$C$8*'Equity and Bond Returns'!HD9)</f>
        <v>0.14527138323888092</v>
      </c>
      <c r="CU9" s="122">
        <f ca="1">(Dashboard!$C$7*'Equity and Bond Returns'!DG9)+(Dashboard!$C$8*'Equity and Bond Returns'!HE9)</f>
        <v>0.23423636999977851</v>
      </c>
      <c r="CV9" s="122">
        <f ca="1">(Dashboard!$C$7*'Equity and Bond Returns'!DH9)+(Dashboard!$C$8*'Equity and Bond Returns'!HF9)</f>
        <v>0.2228279439371168</v>
      </c>
      <c r="CW9" s="122">
        <f ca="1">(Dashboard!$C$7*'Equity and Bond Returns'!DI9)+(Dashboard!$C$8*'Equity and Bond Returns'!HG9)</f>
        <v>0.29130421627844649</v>
      </c>
      <c r="CY9" s="147">
        <f t="shared" si="5"/>
        <v>58</v>
      </c>
      <c r="CZ9" s="148">
        <v>8</v>
      </c>
      <c r="DA9" s="126">
        <f ca="1">MAX(DA8*(1+B9)-(Dashboard!$C$11)/(1-Dashboard!$C$17)*((1+Dashboard!$C$12)^$CZ9),0)</f>
        <v>1810624.0854586144</v>
      </c>
      <c r="DB9" s="126">
        <f ca="1">MAX(DB8*(1+C9)-(Dashboard!$C$11)/(1-Dashboard!$C$17)*((1+Dashboard!$C$12)^$CZ9),0)</f>
        <v>578164.40912649874</v>
      </c>
      <c r="DC9" s="126">
        <f ca="1">MAX(DC8*(1+D9)-(Dashboard!$C$11)/(1-Dashboard!$C$17)*((1+Dashboard!$C$12)^$CZ9),0)</f>
        <v>1143123.9263527384</v>
      </c>
      <c r="DD9" s="126">
        <f ca="1">MAX(DD8*(1+E9)-(Dashboard!$C$11)/(1-Dashboard!$C$17)*((1+Dashboard!$C$12)^$CZ9),0)</f>
        <v>820849.07534123503</v>
      </c>
      <c r="DE9" s="126">
        <f ca="1">MAX(DE8*(1+F9)-(Dashboard!$C$11)/(1-Dashboard!$C$17)*((1+Dashboard!$C$12)^$CZ9),0)</f>
        <v>1424155.0214795102</v>
      </c>
      <c r="DF9" s="126">
        <f ca="1">MAX(DF8*(1+G9)-(Dashboard!$C$11)/(1-Dashboard!$C$17)*((1+Dashboard!$C$12)^$CZ9),0)</f>
        <v>2578983.1142982882</v>
      </c>
      <c r="DG9" s="126">
        <f ca="1">MAX(DG8*(1+H9)-(Dashboard!$C$11)/(1-Dashboard!$C$17)*((1+Dashboard!$C$12)^$CZ9),0)</f>
        <v>581420.00363935344</v>
      </c>
      <c r="DH9" s="126">
        <f ca="1">MAX(DH8*(1+I9)-(Dashboard!$C$11)/(1-Dashboard!$C$17)*((1+Dashboard!$C$12)^$CZ9),0)</f>
        <v>1051757.2557997315</v>
      </c>
      <c r="DI9" s="126">
        <f ca="1">MAX(DI8*(1+J9)-(Dashboard!$C$11)/(1-Dashboard!$C$17)*((1+Dashboard!$C$12)^$CZ9),0)</f>
        <v>991523.67082481517</v>
      </c>
      <c r="DJ9" s="126">
        <f ca="1">MAX(DJ8*(1+K9)-(Dashboard!$C$11)/(1-Dashboard!$C$17)*((1+Dashboard!$C$12)^$CZ9),0)</f>
        <v>1013986.1467208823</v>
      </c>
      <c r="DK9" s="126">
        <f ca="1">MAX(DK8*(1+L9)-(Dashboard!$C$11)/(1-Dashboard!$C$17)*((1+Dashboard!$C$12)^$CZ9),0)</f>
        <v>2756298.728734463</v>
      </c>
      <c r="DL9" s="126">
        <f ca="1">MAX(DL8*(1+M9)-(Dashboard!$C$11)/(1-Dashboard!$C$17)*((1+Dashboard!$C$12)^$CZ9),0)</f>
        <v>1496170.987210636</v>
      </c>
      <c r="DM9" s="126">
        <f ca="1">MAX(DM8*(1+N9)-(Dashboard!$C$11)/(1-Dashboard!$C$17)*((1+Dashboard!$C$12)^$CZ9),0)</f>
        <v>1445306.6284385733</v>
      </c>
      <c r="DN9" s="126">
        <f ca="1">MAX(DN8*(1+O9)-(Dashboard!$C$11)/(1-Dashboard!$C$17)*((1+Dashboard!$C$12)^$CZ9),0)</f>
        <v>2576978.6338118315</v>
      </c>
      <c r="DO9" s="126">
        <f ca="1">MAX(DO8*(1+P9)-(Dashboard!$C$11)/(1-Dashboard!$C$17)*((1+Dashboard!$C$12)^$CZ9),0)</f>
        <v>1606513.678175234</v>
      </c>
      <c r="DP9" s="126">
        <f ca="1">MAX(DP8*(1+Q9)-(Dashboard!$C$11)/(1-Dashboard!$C$17)*((1+Dashboard!$C$12)^$CZ9),0)</f>
        <v>1717122.0630424414</v>
      </c>
      <c r="DQ9" s="126">
        <f ca="1">MAX(DQ8*(1+R9)-(Dashboard!$C$11)/(1-Dashboard!$C$17)*((1+Dashboard!$C$12)^$CZ9),0)</f>
        <v>1758220.9050565902</v>
      </c>
      <c r="DR9" s="126">
        <f ca="1">MAX(DR8*(1+S9)-(Dashboard!$C$11)/(1-Dashboard!$C$17)*((1+Dashboard!$C$12)^$CZ9),0)</f>
        <v>1616715.363523236</v>
      </c>
      <c r="DS9" s="126">
        <f ca="1">MAX(DS8*(1+T9)-(Dashboard!$C$11)/(1-Dashboard!$C$17)*((1+Dashboard!$C$12)^$CZ9),0)</f>
        <v>1581254.7794612041</v>
      </c>
      <c r="DT9" s="126">
        <f ca="1">MAX(DT8*(1+U9)-(Dashboard!$C$11)/(1-Dashboard!$C$17)*((1+Dashboard!$C$12)^$CZ9),0)</f>
        <v>1405129.5200055579</v>
      </c>
      <c r="DU9" s="126">
        <f ca="1">MAX(DU8*(1+V9)-(Dashboard!$C$11)/(1-Dashboard!$C$17)*((1+Dashboard!$C$12)^$CZ9),0)</f>
        <v>1647250.922842328</v>
      </c>
      <c r="DV9" s="126">
        <f ca="1">MAX(DV8*(1+W9)-(Dashboard!$C$11)/(1-Dashboard!$C$17)*((1+Dashboard!$C$12)^$CZ9),0)</f>
        <v>1815549.4459012225</v>
      </c>
      <c r="DW9" s="126">
        <f ca="1">MAX(DW8*(1+X9)-(Dashboard!$C$11)/(1-Dashboard!$C$17)*((1+Dashboard!$C$12)^$CZ9),0)</f>
        <v>1282530.2972195006</v>
      </c>
      <c r="DX9" s="126">
        <f ca="1">MAX(DX8*(1+Y9)-(Dashboard!$C$11)/(1-Dashboard!$C$17)*((1+Dashboard!$C$12)^$CZ9),0)</f>
        <v>933644.27989070956</v>
      </c>
      <c r="DY9" s="126">
        <f ca="1">MAX(DY8*(1+Z9)-(Dashboard!$C$11)/(1-Dashboard!$C$17)*((1+Dashboard!$C$12)^$CZ9),0)</f>
        <v>1826815.3908623804</v>
      </c>
      <c r="DZ9" s="126">
        <f ca="1">MAX(DZ8*(1+AA9)-(Dashboard!$C$11)/(1-Dashboard!$C$17)*((1+Dashboard!$C$12)^$CZ9),0)</f>
        <v>382787.06828400685</v>
      </c>
      <c r="EA9" s="126">
        <f ca="1">MAX(EA8*(1+AB9)-(Dashboard!$C$11)/(1-Dashboard!$C$17)*((1+Dashboard!$C$12)^$CZ9),0)</f>
        <v>1003821.6073185405</v>
      </c>
      <c r="EB9" s="126">
        <f ca="1">MAX(EB8*(1+AC9)-(Dashboard!$C$11)/(1-Dashboard!$C$17)*((1+Dashboard!$C$12)^$CZ9),0)</f>
        <v>1401798.8680195503</v>
      </c>
      <c r="EC9" s="126">
        <f ca="1">MAX(EC8*(1+AD9)-(Dashboard!$C$11)/(1-Dashboard!$C$17)*((1+Dashboard!$C$12)^$CZ9),0)</f>
        <v>1859751.6139028103</v>
      </c>
      <c r="ED9" s="126">
        <f ca="1">MAX(ED8*(1+AE9)-(Dashboard!$C$11)/(1-Dashboard!$C$17)*((1+Dashboard!$C$12)^$CZ9),0)</f>
        <v>2518483.4453132944</v>
      </c>
      <c r="EE9" s="126">
        <f ca="1">MAX(EE8*(1+AF9)-(Dashboard!$C$11)/(1-Dashboard!$C$17)*((1+Dashboard!$C$12)^$CZ9),0)</f>
        <v>1244675.6352487809</v>
      </c>
      <c r="EF9" s="126">
        <f ca="1">MAX(EF8*(1+AG9)-(Dashboard!$C$11)/(1-Dashboard!$C$17)*((1+Dashboard!$C$12)^$CZ9),0)</f>
        <v>1440691.2514749733</v>
      </c>
      <c r="EG9" s="126">
        <f ca="1">MAX(EG8*(1+AH9)-(Dashboard!$C$11)/(1-Dashboard!$C$17)*((1+Dashboard!$C$12)^$CZ9),0)</f>
        <v>2192900.2349465773</v>
      </c>
      <c r="EH9" s="126">
        <f ca="1">MAX(EH8*(1+AI9)-(Dashboard!$C$11)/(1-Dashboard!$C$17)*((1+Dashboard!$C$12)^$CZ9),0)</f>
        <v>1372233.8255971035</v>
      </c>
      <c r="EI9" s="126">
        <f ca="1">MAX(EI8*(1+AJ9)-(Dashboard!$C$11)/(1-Dashboard!$C$17)*((1+Dashboard!$C$12)^$CZ9),0)</f>
        <v>500310.09127319983</v>
      </c>
      <c r="EJ9" s="126">
        <f ca="1">MAX(EJ8*(1+AK9)-(Dashboard!$C$11)/(1-Dashboard!$C$17)*((1+Dashboard!$C$12)^$CZ9),0)</f>
        <v>1658537.5993327219</v>
      </c>
      <c r="EK9" s="126">
        <f ca="1">MAX(EK8*(1+AL9)-(Dashboard!$C$11)/(1-Dashboard!$C$17)*((1+Dashboard!$C$12)^$CZ9),0)</f>
        <v>1245057.9790355277</v>
      </c>
      <c r="EL9" s="126">
        <f ca="1">MAX(EL8*(1+AM9)-(Dashboard!$C$11)/(1-Dashboard!$C$17)*((1+Dashboard!$C$12)^$CZ9),0)</f>
        <v>984453.8147506126</v>
      </c>
      <c r="EM9" s="126">
        <f ca="1">MAX(EM8*(1+AN9)-(Dashboard!$C$11)/(1-Dashboard!$C$17)*((1+Dashboard!$C$12)^$CZ9),0)</f>
        <v>2069545.5446432501</v>
      </c>
      <c r="EN9" s="126">
        <f ca="1">MAX(EN8*(1+AO9)-(Dashboard!$C$11)/(1-Dashboard!$C$17)*((1+Dashboard!$C$12)^$CZ9),0)</f>
        <v>2107702.6361878775</v>
      </c>
      <c r="EO9" s="126">
        <f ca="1">MAX(EO8*(1+AP9)-(Dashboard!$C$11)/(1-Dashboard!$C$17)*((1+Dashboard!$C$12)^$CZ9),0)</f>
        <v>904939.9023285812</v>
      </c>
      <c r="EP9" s="126">
        <f ca="1">MAX(EP8*(1+AQ9)-(Dashboard!$C$11)/(1-Dashboard!$C$17)*((1+Dashboard!$C$12)^$CZ9),0)</f>
        <v>1147165.8066996248</v>
      </c>
      <c r="EQ9" s="126">
        <f ca="1">MAX(EQ8*(1+AR9)-(Dashboard!$C$11)/(1-Dashboard!$C$17)*((1+Dashboard!$C$12)^$CZ9),0)</f>
        <v>767195.53449418733</v>
      </c>
      <c r="ER9" s="126">
        <f ca="1">MAX(ER8*(1+AS9)-(Dashboard!$C$11)/(1-Dashboard!$C$17)*((1+Dashboard!$C$12)^$CZ9),0)</f>
        <v>1425458.125950176</v>
      </c>
      <c r="ES9" s="126">
        <f ca="1">MAX(ES8*(1+AT9)-(Dashboard!$C$11)/(1-Dashboard!$C$17)*((1+Dashboard!$C$12)^$CZ9),0)</f>
        <v>521078.4003168678</v>
      </c>
      <c r="ET9" s="126">
        <f ca="1">MAX(ET8*(1+AU9)-(Dashboard!$C$11)/(1-Dashboard!$C$17)*((1+Dashboard!$C$12)^$CZ9),0)</f>
        <v>1489131.3670171285</v>
      </c>
      <c r="EU9" s="126">
        <f ca="1">MAX(EU8*(1+AV9)-(Dashboard!$C$11)/(1-Dashboard!$C$17)*((1+Dashboard!$C$12)^$CZ9),0)</f>
        <v>1146242.7419124716</v>
      </c>
      <c r="EV9" s="126">
        <f ca="1">MAX(EV8*(1+AW9)-(Dashboard!$C$11)/(1-Dashboard!$C$17)*((1+Dashboard!$C$12)^$CZ9),0)</f>
        <v>2527219.7031746493</v>
      </c>
      <c r="EW9" s="126">
        <f ca="1">MAX(EW8*(1+AX9)-(Dashboard!$C$11)/(1-Dashboard!$C$17)*((1+Dashboard!$C$12)^$CZ9),0)</f>
        <v>1492411.6474281696</v>
      </c>
      <c r="EX9" s="126">
        <f ca="1">MAX(EX8*(1+AY9)-(Dashboard!$C$11)/(1-Dashboard!$C$17)*((1+Dashboard!$C$12)^$CZ9),0)</f>
        <v>2037391.4978589474</v>
      </c>
      <c r="EY9" s="126">
        <f ca="1">MAX(EY8*(1+AZ9)-(Dashboard!$C$11)/(1-Dashboard!$C$17)*((1+Dashboard!$C$12)^$CZ9),0)</f>
        <v>1876205.0484256656</v>
      </c>
      <c r="EZ9" s="126">
        <f ca="1">MAX(EZ8*(1+BA9)-(Dashboard!$C$11)/(1-Dashboard!$C$17)*((1+Dashboard!$C$12)^$CZ9),0)</f>
        <v>774339.73302257038</v>
      </c>
      <c r="FA9" s="126">
        <f ca="1">MAX(FA8*(1+BB9)-(Dashboard!$C$11)/(1-Dashboard!$C$17)*((1+Dashboard!$C$12)^$CZ9),0)</f>
        <v>1355167.6427438522</v>
      </c>
      <c r="FB9" s="126">
        <f ca="1">MAX(FB8*(1+BC9)-(Dashboard!$C$11)/(1-Dashboard!$C$17)*((1+Dashboard!$C$12)^$CZ9),0)</f>
        <v>880769.51739640115</v>
      </c>
      <c r="FC9" s="126">
        <f ca="1">MAX(FC8*(1+BD9)-(Dashboard!$C$11)/(1-Dashboard!$C$17)*((1+Dashboard!$C$12)^$CZ9),0)</f>
        <v>1000961.1197691346</v>
      </c>
      <c r="FD9" s="126">
        <f ca="1">MAX(FD8*(1+BE9)-(Dashboard!$C$11)/(1-Dashboard!$C$17)*((1+Dashboard!$C$12)^$CZ9),0)</f>
        <v>1519806.5645308597</v>
      </c>
      <c r="FE9" s="126">
        <f ca="1">MAX(FE8*(1+BF9)-(Dashboard!$C$11)/(1-Dashboard!$C$17)*((1+Dashboard!$C$12)^$CZ9),0)</f>
        <v>1973554.7888756155</v>
      </c>
      <c r="FF9" s="126">
        <f ca="1">MAX(FF8*(1+BG9)-(Dashboard!$C$11)/(1-Dashboard!$C$17)*((1+Dashboard!$C$12)^$CZ9),0)</f>
        <v>2057773.8537865875</v>
      </c>
      <c r="FG9" s="126">
        <f ca="1">MAX(FG8*(1+BH9)-(Dashboard!$C$11)/(1-Dashboard!$C$17)*((1+Dashboard!$C$12)^$CZ9),0)</f>
        <v>2178073.5211542821</v>
      </c>
      <c r="FH9" s="126">
        <f ca="1">MAX(FH8*(1+BI9)-(Dashboard!$C$11)/(1-Dashboard!$C$17)*((1+Dashboard!$C$12)^$CZ9),0)</f>
        <v>801671.26740633952</v>
      </c>
      <c r="FI9" s="126">
        <f ca="1">MAX(FI8*(1+BJ9)-(Dashboard!$C$11)/(1-Dashboard!$C$17)*((1+Dashboard!$C$12)^$CZ9),0)</f>
        <v>1526165.7209916851</v>
      </c>
      <c r="FJ9" s="126">
        <f ca="1">MAX(FJ8*(1+BK9)-(Dashboard!$C$11)/(1-Dashboard!$C$17)*((1+Dashboard!$C$12)^$CZ9),0)</f>
        <v>866822.72063658608</v>
      </c>
      <c r="FK9" s="126">
        <f ca="1">MAX(FK8*(1+BL9)-(Dashboard!$C$11)/(1-Dashboard!$C$17)*((1+Dashboard!$C$12)^$CZ9),0)</f>
        <v>1049039.2486360325</v>
      </c>
      <c r="FL9" s="126">
        <f ca="1">MAX(FL8*(1+BM9)-(Dashboard!$C$11)/(1-Dashboard!$C$17)*((1+Dashboard!$C$12)^$CZ9),0)</f>
        <v>2649227.6700011082</v>
      </c>
      <c r="FM9" s="126">
        <f ca="1">MAX(FM8*(1+BN9)-(Dashboard!$C$11)/(1-Dashboard!$C$17)*((1+Dashboard!$C$12)^$CZ9),0)</f>
        <v>1484580.639922752</v>
      </c>
      <c r="FN9" s="126">
        <f ca="1">MAX(FN8*(1+BO9)-(Dashboard!$C$11)/(1-Dashboard!$C$17)*((1+Dashboard!$C$12)^$CZ9),0)</f>
        <v>699196.65204117633</v>
      </c>
      <c r="FO9" s="126">
        <f ca="1">MAX(FO8*(1+BP9)-(Dashboard!$C$11)/(1-Dashboard!$C$17)*((1+Dashboard!$C$12)^$CZ9),0)</f>
        <v>1738082.8296126667</v>
      </c>
      <c r="FP9" s="126">
        <f ca="1">MAX(FP8*(1+BQ9)-(Dashboard!$C$11)/(1-Dashboard!$C$17)*((1+Dashboard!$C$12)^$CZ9),0)</f>
        <v>1807947.9160663176</v>
      </c>
      <c r="FQ9" s="126">
        <f ca="1">MAX(FQ8*(1+BR9)-(Dashboard!$C$11)/(1-Dashboard!$C$17)*((1+Dashboard!$C$12)^$CZ9),0)</f>
        <v>2349940.1741494578</v>
      </c>
      <c r="FR9" s="126">
        <f ca="1">MAX(FR8*(1+BS9)-(Dashboard!$C$11)/(1-Dashboard!$C$17)*((1+Dashboard!$C$12)^$CZ9),0)</f>
        <v>2878048.4473294755</v>
      </c>
      <c r="FS9" s="126">
        <f ca="1">MAX(FS8*(1+BT9)-(Dashboard!$C$11)/(1-Dashboard!$C$17)*((1+Dashboard!$C$12)^$CZ9),0)</f>
        <v>1603710.0786241437</v>
      </c>
      <c r="FT9" s="126">
        <f ca="1">MAX(FT8*(1+BU9)-(Dashboard!$C$11)/(1-Dashboard!$C$17)*((1+Dashboard!$C$12)^$CZ9),0)</f>
        <v>1086798.1431305821</v>
      </c>
      <c r="FU9" s="126">
        <f ca="1">MAX(FU8*(1+BV9)-(Dashboard!$C$11)/(1-Dashboard!$C$17)*((1+Dashboard!$C$12)^$CZ9),0)</f>
        <v>1649152.8440189043</v>
      </c>
      <c r="FV9" s="126">
        <f ca="1">MAX(FV8*(1+BW9)-(Dashboard!$C$11)/(1-Dashboard!$C$17)*((1+Dashboard!$C$12)^$CZ9),0)</f>
        <v>412347.8709256443</v>
      </c>
      <c r="FW9" s="126">
        <f ca="1">MAX(FW8*(1+BX9)-(Dashboard!$C$11)/(1-Dashboard!$C$17)*((1+Dashboard!$C$12)^$CZ9),0)</f>
        <v>1647506.194084218</v>
      </c>
      <c r="FX9" s="126">
        <f ca="1">MAX(FX8*(1+BY9)-(Dashboard!$C$11)/(1-Dashboard!$C$17)*((1+Dashboard!$C$12)^$CZ9),0)</f>
        <v>1099504.5995653125</v>
      </c>
      <c r="FY9" s="126">
        <f ca="1">MAX(FY8*(1+BZ9)-(Dashboard!$C$11)/(1-Dashboard!$C$17)*((1+Dashboard!$C$12)^$CZ9),0)</f>
        <v>1002131.771019992</v>
      </c>
      <c r="FZ9" s="126">
        <f ca="1">MAX(FZ8*(1+CA9)-(Dashboard!$C$11)/(1-Dashboard!$C$17)*((1+Dashboard!$C$12)^$CZ9),0)</f>
        <v>1061477.4307539158</v>
      </c>
      <c r="GA9" s="126">
        <f ca="1">MAX(GA8*(1+CB9)-(Dashboard!$C$11)/(1-Dashboard!$C$17)*((1+Dashboard!$C$12)^$CZ9),0)</f>
        <v>3146925.6727441694</v>
      </c>
      <c r="GB9" s="126">
        <f ca="1">MAX(GB8*(1+CC9)-(Dashboard!$C$11)/(1-Dashboard!$C$17)*((1+Dashboard!$C$12)^$CZ9),0)</f>
        <v>1265695.9031368333</v>
      </c>
      <c r="GC9" s="126">
        <f ca="1">MAX(GC8*(1+CD9)-(Dashboard!$C$11)/(1-Dashboard!$C$17)*((1+Dashboard!$C$12)^$CZ9),0)</f>
        <v>1619187.3489522764</v>
      </c>
      <c r="GD9" s="126">
        <f ca="1">MAX(GD8*(1+CE9)-(Dashboard!$C$11)/(1-Dashboard!$C$17)*((1+Dashboard!$C$12)^$CZ9),0)</f>
        <v>1229622.289258867</v>
      </c>
      <c r="GE9" s="126">
        <f ca="1">MAX(GE8*(1+CF9)-(Dashboard!$C$11)/(1-Dashboard!$C$17)*((1+Dashboard!$C$12)^$CZ9),0)</f>
        <v>1006263.9658680019</v>
      </c>
      <c r="GF9" s="126">
        <f ca="1">MAX(GF8*(1+CG9)-(Dashboard!$C$11)/(1-Dashboard!$C$17)*((1+Dashboard!$C$12)^$CZ9),0)</f>
        <v>1898079.9412502192</v>
      </c>
      <c r="GG9" s="126">
        <f ca="1">MAX(GG8*(1+CH9)-(Dashboard!$C$11)/(1-Dashboard!$C$17)*((1+Dashboard!$C$12)^$CZ9),0)</f>
        <v>560795.14808916149</v>
      </c>
      <c r="GH9" s="126">
        <f ca="1">MAX(GH8*(1+CI9)-(Dashboard!$C$11)/(1-Dashboard!$C$17)*((1+Dashboard!$C$12)^$CZ9),0)</f>
        <v>777546.61733340321</v>
      </c>
      <c r="GI9" s="126">
        <f ca="1">MAX(GI8*(1+CJ9)-(Dashboard!$C$11)/(1-Dashboard!$C$17)*((1+Dashboard!$C$12)^$CZ9),0)</f>
        <v>688462.52516486647</v>
      </c>
      <c r="GJ9" s="126">
        <f ca="1">MAX(GJ8*(1+CK9)-(Dashboard!$C$11)/(1-Dashboard!$C$17)*((1+Dashboard!$C$12)^$CZ9),0)</f>
        <v>1958503.0422317199</v>
      </c>
      <c r="GK9" s="126">
        <f ca="1">MAX(GK8*(1+CL9)-(Dashboard!$C$11)/(1-Dashboard!$C$17)*((1+Dashboard!$C$12)^$CZ9),0)</f>
        <v>2289727.9266871875</v>
      </c>
      <c r="GL9" s="126">
        <f ca="1">MAX(GL8*(1+CM9)-(Dashboard!$C$11)/(1-Dashboard!$C$17)*((1+Dashboard!$C$12)^$CZ9),0)</f>
        <v>2245075.3189988281</v>
      </c>
      <c r="GM9" s="126">
        <f ca="1">MAX(GM8*(1+CN9)-(Dashboard!$C$11)/(1-Dashboard!$C$17)*((1+Dashboard!$C$12)^$CZ9),0)</f>
        <v>1332947.3910813727</v>
      </c>
      <c r="GN9" s="126">
        <f ca="1">MAX(GN8*(1+CO9)-(Dashboard!$C$11)/(1-Dashboard!$C$17)*((1+Dashboard!$C$12)^$CZ9),0)</f>
        <v>771855.1863265296</v>
      </c>
      <c r="GO9" s="126">
        <f ca="1">MAX(GO8*(1+CP9)-(Dashboard!$C$11)/(1-Dashboard!$C$17)*((1+Dashboard!$C$12)^$CZ9),0)</f>
        <v>1940054.9247301235</v>
      </c>
      <c r="GP9" s="126">
        <f ca="1">MAX(GP8*(1+CQ9)-(Dashboard!$C$11)/(1-Dashboard!$C$17)*((1+Dashboard!$C$12)^$CZ9),0)</f>
        <v>942576.04149195692</v>
      </c>
      <c r="GQ9" s="126">
        <f ca="1">MAX(GQ8*(1+CR9)-(Dashboard!$C$11)/(1-Dashboard!$C$17)*((1+Dashboard!$C$12)^$CZ9),0)</f>
        <v>1031717.934577622</v>
      </c>
      <c r="GR9" s="126">
        <f ca="1">MAX(GR8*(1+CS9)-(Dashboard!$C$11)/(1-Dashboard!$C$17)*((1+Dashboard!$C$12)^$CZ9),0)</f>
        <v>1032586.1962517302</v>
      </c>
      <c r="GS9" s="126">
        <f ca="1">MAX(GS8*(1+CT9)-(Dashboard!$C$11)/(1-Dashboard!$C$17)*((1+Dashboard!$C$12)^$CZ9),0)</f>
        <v>1314094.1019715522</v>
      </c>
      <c r="GT9" s="126">
        <f ca="1">MAX(GT8*(1+CU9)-(Dashboard!$C$11)/(1-Dashboard!$C$17)*((1+Dashboard!$C$12)^$CZ9),0)</f>
        <v>1556722.8131143686</v>
      </c>
      <c r="GU9" s="126">
        <f ca="1">MAX(GU8*(1+CV9)-(Dashboard!$C$11)/(1-Dashboard!$C$17)*((1+Dashboard!$C$12)^$CZ9),0)</f>
        <v>653107.9239238369</v>
      </c>
      <c r="GV9" s="126">
        <f ca="1">MAX(GV8*(1+CW9)-(Dashboard!$C$11)/(1-Dashboard!$C$17)*((1+Dashboard!$C$12)^$CZ9),0)</f>
        <v>625060.8802205933</v>
      </c>
      <c r="GW9" s="115">
        <f t="shared" si="4"/>
        <v>58</v>
      </c>
      <c r="GX9" s="130">
        <f t="shared" ca="1" si="2"/>
        <v>100</v>
      </c>
      <c r="HC9" s="130">
        <f t="shared" si="0"/>
        <v>58</v>
      </c>
      <c r="HD9" s="137">
        <f t="shared" ca="1" si="1"/>
        <v>993883.03306089505</v>
      </c>
      <c r="HE9" s="137">
        <f t="shared" ca="1" si="1"/>
        <v>1403464.1940125541</v>
      </c>
      <c r="HF9" s="137">
        <f t="shared" ca="1" si="1"/>
        <v>1809955.0431105401</v>
      </c>
    </row>
    <row r="10" spans="1:214" ht="16">
      <c r="A10" s="145">
        <f t="shared" si="3"/>
        <v>59</v>
      </c>
      <c r="B10" s="122">
        <f ca="1">(Dashboard!$C$7*'Equity and Bond Returns'!N10)+(Dashboard!$C$8*'Equity and Bond Returns'!DL10)</f>
        <v>0.2529773692615383</v>
      </c>
      <c r="C10" s="122">
        <f ca="1">(Dashboard!$C$7*'Equity and Bond Returns'!O10)+(Dashboard!$C$8*'Equity and Bond Returns'!DM10)</f>
        <v>0.1362113510833084</v>
      </c>
      <c r="D10" s="122">
        <f ca="1">(Dashboard!$C$7*'Equity and Bond Returns'!P10)+(Dashboard!$C$8*'Equity and Bond Returns'!DN10)</f>
        <v>-0.14227356423043566</v>
      </c>
      <c r="E10" s="122">
        <f ca="1">(Dashboard!$C$7*'Equity and Bond Returns'!Q10)+(Dashboard!$C$8*'Equity and Bond Returns'!DO10)</f>
        <v>-0.13363044429728538</v>
      </c>
      <c r="F10" s="122">
        <f ca="1">(Dashboard!$C$7*'Equity and Bond Returns'!R10)+(Dashboard!$C$8*'Equity and Bond Returns'!DP10)</f>
        <v>1.0954334718103403E-2</v>
      </c>
      <c r="G10" s="122">
        <f ca="1">(Dashboard!$C$7*'Equity and Bond Returns'!S10)+(Dashboard!$C$8*'Equity and Bond Returns'!DQ10)</f>
        <v>0.19299536050186472</v>
      </c>
      <c r="H10" s="122">
        <f ca="1">(Dashboard!$C$7*'Equity and Bond Returns'!T10)+(Dashboard!$C$8*'Equity and Bond Returns'!DR10)</f>
        <v>-0.17338056685619235</v>
      </c>
      <c r="I10" s="122">
        <f ca="1">(Dashboard!$C$7*'Equity and Bond Returns'!U10)+(Dashboard!$C$8*'Equity and Bond Returns'!DS10)</f>
        <v>6.22176356620135E-2</v>
      </c>
      <c r="J10" s="122">
        <f ca="1">(Dashboard!$C$7*'Equity and Bond Returns'!V10)+(Dashboard!$C$8*'Equity and Bond Returns'!DT10)</f>
        <v>0.16560665550292958</v>
      </c>
      <c r="K10" s="122">
        <f ca="1">(Dashboard!$C$7*'Equity and Bond Returns'!W10)+(Dashboard!$C$8*'Equity and Bond Returns'!DU10)</f>
        <v>6.9462339052627511E-2</v>
      </c>
      <c r="L10" s="122">
        <f ca="1">(Dashboard!$C$7*'Equity and Bond Returns'!X10)+(Dashboard!$C$8*'Equity and Bond Returns'!DV10)</f>
        <v>0.10174144692859227</v>
      </c>
      <c r="M10" s="122">
        <f ca="1">(Dashboard!$C$7*'Equity and Bond Returns'!Y10)+(Dashboard!$C$8*'Equity and Bond Returns'!DW10)</f>
        <v>-0.17163385698825101</v>
      </c>
      <c r="N10" s="122">
        <f ca="1">(Dashboard!$C$7*'Equity and Bond Returns'!Z10)+(Dashboard!$C$8*'Equity and Bond Returns'!DX10)</f>
        <v>-1.1552477721919526E-2</v>
      </c>
      <c r="O10" s="122">
        <f ca="1">(Dashboard!$C$7*'Equity and Bond Returns'!AA10)+(Dashboard!$C$8*'Equity and Bond Returns'!DY10)</f>
        <v>0.17343314980199068</v>
      </c>
      <c r="P10" s="122">
        <f ca="1">(Dashboard!$C$7*'Equity and Bond Returns'!AB10)+(Dashboard!$C$8*'Equity and Bond Returns'!DZ10)</f>
        <v>-0.11683681162878785</v>
      </c>
      <c r="Q10" s="122">
        <f ca="1">(Dashboard!$C$7*'Equity and Bond Returns'!AC10)+(Dashboard!$C$8*'Equity and Bond Returns'!EA10)</f>
        <v>-7.4418274553265606E-2</v>
      </c>
      <c r="R10" s="122">
        <f ca="1">(Dashboard!$C$7*'Equity and Bond Returns'!AD10)+(Dashboard!$C$8*'Equity and Bond Returns'!EB10)</f>
        <v>-7.9135173102548695E-2</v>
      </c>
      <c r="S10" s="122">
        <f ca="1">(Dashboard!$C$7*'Equity and Bond Returns'!AE10)+(Dashboard!$C$8*'Equity and Bond Returns'!EC10)</f>
        <v>0.12741266618347341</v>
      </c>
      <c r="T10" s="122">
        <f ca="1">(Dashboard!$C$7*'Equity and Bond Returns'!AF10)+(Dashboard!$C$8*'Equity and Bond Returns'!ED10)</f>
        <v>5.3372138384917646E-2</v>
      </c>
      <c r="U10" s="122">
        <f ca="1">(Dashboard!$C$7*'Equity and Bond Returns'!AG10)+(Dashboard!$C$8*'Equity and Bond Returns'!EE10)</f>
        <v>-1.5408798492785253E-2</v>
      </c>
      <c r="V10" s="122">
        <f ca="1">(Dashboard!$C$7*'Equity and Bond Returns'!AH10)+(Dashboard!$C$8*'Equity and Bond Returns'!EF10)</f>
        <v>5.5510469743559977E-2</v>
      </c>
      <c r="W10" s="122">
        <f ca="1">(Dashboard!$C$7*'Equity and Bond Returns'!AI10)+(Dashboard!$C$8*'Equity and Bond Returns'!EG10)</f>
        <v>7.325804193570179E-2</v>
      </c>
      <c r="X10" s="122">
        <f ca="1">(Dashboard!$C$7*'Equity and Bond Returns'!AJ10)+(Dashboard!$C$8*'Equity and Bond Returns'!EH10)</f>
        <v>0.19322999431910787</v>
      </c>
      <c r="Y10" s="122">
        <f ca="1">(Dashboard!$C$7*'Equity and Bond Returns'!AK10)+(Dashboard!$C$8*'Equity and Bond Returns'!EI10)</f>
        <v>-2.3321049674112103E-2</v>
      </c>
      <c r="Z10" s="122">
        <f ca="1">(Dashboard!$C$7*'Equity and Bond Returns'!AL10)+(Dashboard!$C$8*'Equity and Bond Returns'!EJ10)</f>
        <v>0.15536303570598489</v>
      </c>
      <c r="AA10" s="122">
        <f ca="1">(Dashboard!$C$7*'Equity and Bond Returns'!AM10)+(Dashboard!$C$8*'Equity and Bond Returns'!EK10)</f>
        <v>0.15016501464888043</v>
      </c>
      <c r="AB10" s="122">
        <f ca="1">(Dashboard!$C$7*'Equity and Bond Returns'!AN10)+(Dashboard!$C$8*'Equity and Bond Returns'!EL10)</f>
        <v>4.5134356853976529E-2</v>
      </c>
      <c r="AC10" s="122">
        <f ca="1">(Dashboard!$C$7*'Equity and Bond Returns'!AO10)+(Dashboard!$C$8*'Equity and Bond Returns'!EM10)</f>
        <v>-0.11693338584392972</v>
      </c>
      <c r="AD10" s="122">
        <f ca="1">(Dashboard!$C$7*'Equity and Bond Returns'!AP10)+(Dashboard!$C$8*'Equity and Bond Returns'!EN10)</f>
        <v>-1.5989434259172493E-2</v>
      </c>
      <c r="AE10" s="122">
        <f ca="1">(Dashboard!$C$7*'Equity and Bond Returns'!AQ10)+(Dashboard!$C$8*'Equity and Bond Returns'!EO10)</f>
        <v>3.2564869764319354E-2</v>
      </c>
      <c r="AF10" s="122">
        <f ca="1">(Dashboard!$C$7*'Equity and Bond Returns'!AR10)+(Dashboard!$C$8*'Equity and Bond Returns'!EP10)</f>
        <v>8.4232565415998939E-2</v>
      </c>
      <c r="AG10" s="122">
        <f ca="1">(Dashboard!$C$7*'Equity and Bond Returns'!AS10)+(Dashboard!$C$8*'Equity and Bond Returns'!EQ10)</f>
        <v>6.7268244319641762E-2</v>
      </c>
      <c r="AH10" s="122">
        <f ca="1">(Dashboard!$C$7*'Equity and Bond Returns'!AT10)+(Dashboard!$C$8*'Equity and Bond Returns'!ER10)</f>
        <v>-1.4959279742161298E-2</v>
      </c>
      <c r="AI10" s="122">
        <f ca="1">(Dashboard!$C$7*'Equity and Bond Returns'!AU10)+(Dashboard!$C$8*'Equity and Bond Returns'!ES10)</f>
        <v>9.9081629746069669E-2</v>
      </c>
      <c r="AJ10" s="122">
        <f ca="1">(Dashboard!$C$7*'Equity and Bond Returns'!AV10)+(Dashboard!$C$8*'Equity and Bond Returns'!ET10)</f>
        <v>0.35924907759189811</v>
      </c>
      <c r="AK10" s="122">
        <f ca="1">(Dashboard!$C$7*'Equity and Bond Returns'!AW10)+(Dashboard!$C$8*'Equity and Bond Returns'!EU10)</f>
        <v>-4.0301416810090265E-2</v>
      </c>
      <c r="AL10" s="122">
        <f ca="1">(Dashboard!$C$7*'Equity and Bond Returns'!AX10)+(Dashboard!$C$8*'Equity and Bond Returns'!EV10)</f>
        <v>0.29288308402121799</v>
      </c>
      <c r="AM10" s="122">
        <f ca="1">(Dashboard!$C$7*'Equity and Bond Returns'!AY10)+(Dashboard!$C$8*'Equity and Bond Returns'!EW10)</f>
        <v>1.570909597730593E-2</v>
      </c>
      <c r="AN10" s="122">
        <f ca="1">(Dashboard!$C$7*'Equity and Bond Returns'!AZ10)+(Dashboard!$C$8*'Equity and Bond Returns'!EX10)</f>
        <v>8.3023295152488449E-2</v>
      </c>
      <c r="AO10" s="122">
        <f ca="1">(Dashboard!$C$7*'Equity and Bond Returns'!BA10)+(Dashboard!$C$8*'Equity and Bond Returns'!EY10)</f>
        <v>-2.4537400235615611E-2</v>
      </c>
      <c r="AP10" s="122">
        <f ca="1">(Dashboard!$C$7*'Equity and Bond Returns'!BB10)+(Dashboard!$C$8*'Equity and Bond Returns'!EZ10)</f>
        <v>0.1535335313382811</v>
      </c>
      <c r="AQ10" s="122">
        <f ca="1">(Dashboard!$C$7*'Equity and Bond Returns'!BC10)+(Dashboard!$C$8*'Equity and Bond Returns'!FA10)</f>
        <v>0.19229411389505996</v>
      </c>
      <c r="AR10" s="122">
        <f ca="1">(Dashboard!$C$7*'Equity and Bond Returns'!BD10)+(Dashboard!$C$8*'Equity and Bond Returns'!FB10)</f>
        <v>9.0720112314303103E-2</v>
      </c>
      <c r="AS10" s="122">
        <f ca="1">(Dashboard!$C$7*'Equity and Bond Returns'!BE10)+(Dashboard!$C$8*'Equity and Bond Returns'!FC10)</f>
        <v>-1.7450346558824083E-2</v>
      </c>
      <c r="AT10" s="122">
        <f ca="1">(Dashboard!$C$7*'Equity and Bond Returns'!BF10)+(Dashboard!$C$8*'Equity and Bond Returns'!FD10)</f>
        <v>0.14330610534774149</v>
      </c>
      <c r="AU10" s="122">
        <f ca="1">(Dashboard!$C$7*'Equity and Bond Returns'!BG10)+(Dashboard!$C$8*'Equity and Bond Returns'!FE10)</f>
        <v>-1.7830708205658997E-2</v>
      </c>
      <c r="AV10" s="122">
        <f ca="1">(Dashboard!$C$7*'Equity and Bond Returns'!BH10)+(Dashboard!$C$8*'Equity and Bond Returns'!FF10)</f>
        <v>-9.0036552187948676E-2</v>
      </c>
      <c r="AW10" s="122">
        <f ca="1">(Dashboard!$C$7*'Equity and Bond Returns'!BI10)+(Dashboard!$C$8*'Equity and Bond Returns'!FG10)</f>
        <v>0.13649416477011411</v>
      </c>
      <c r="AX10" s="122">
        <f ca="1">(Dashboard!$C$7*'Equity and Bond Returns'!BJ10)+(Dashboard!$C$8*'Equity and Bond Returns'!FH10)</f>
        <v>-7.7541371265043568E-3</v>
      </c>
      <c r="AY10" s="122">
        <f ca="1">(Dashboard!$C$7*'Equity and Bond Returns'!BK10)+(Dashboard!$C$8*'Equity and Bond Returns'!FI10)</f>
        <v>0.21286462976105011</v>
      </c>
      <c r="AZ10" s="122">
        <f ca="1">(Dashboard!$C$7*'Equity and Bond Returns'!BL10)+(Dashboard!$C$8*'Equity and Bond Returns'!FJ10)</f>
        <v>7.9597455305414982E-2</v>
      </c>
      <c r="BA10" s="122">
        <f ca="1">(Dashboard!$C$7*'Equity and Bond Returns'!BM10)+(Dashboard!$C$8*'Equity and Bond Returns'!FK10)</f>
        <v>0.19559554822913819</v>
      </c>
      <c r="BB10" s="122">
        <f ca="1">(Dashboard!$C$7*'Equity and Bond Returns'!BN10)+(Dashboard!$C$8*'Equity and Bond Returns'!FL10)</f>
        <v>8.642150262545531E-2</v>
      </c>
      <c r="BC10" s="122">
        <f ca="1">(Dashboard!$C$7*'Equity and Bond Returns'!BO10)+(Dashboard!$C$8*'Equity and Bond Returns'!FM10)</f>
        <v>0.28153976045149776</v>
      </c>
      <c r="BD10" s="122">
        <f ca="1">(Dashboard!$C$7*'Equity and Bond Returns'!BP10)+(Dashboard!$C$8*'Equity and Bond Returns'!FN10)</f>
        <v>0.12784168614565056</v>
      </c>
      <c r="BE10" s="122">
        <f ca="1">(Dashboard!$C$7*'Equity and Bond Returns'!BQ10)+(Dashboard!$C$8*'Equity and Bond Returns'!FO10)</f>
        <v>0.15061362760625019</v>
      </c>
      <c r="BF10" s="122">
        <f ca="1">(Dashboard!$C$7*'Equity and Bond Returns'!BR10)+(Dashboard!$C$8*'Equity and Bond Returns'!FP10)</f>
        <v>8.7382592527400299E-2</v>
      </c>
      <c r="BG10" s="122">
        <f ca="1">(Dashboard!$C$7*'Equity and Bond Returns'!BS10)+(Dashboard!$C$8*'Equity and Bond Returns'!FQ10)</f>
        <v>0.15067367249189267</v>
      </c>
      <c r="BH10" s="122">
        <f ca="1">(Dashboard!$C$7*'Equity and Bond Returns'!BT10)+(Dashboard!$C$8*'Equity and Bond Returns'!FR10)</f>
        <v>0.20242227213658115</v>
      </c>
      <c r="BI10" s="122">
        <f ca="1">(Dashboard!$C$7*'Equity and Bond Returns'!BU10)+(Dashboard!$C$8*'Equity and Bond Returns'!FS10)</f>
        <v>0.29138329543011593</v>
      </c>
      <c r="BJ10" s="122">
        <f ca="1">(Dashboard!$C$7*'Equity and Bond Returns'!BV10)+(Dashboard!$C$8*'Equity and Bond Returns'!FT10)</f>
        <v>8.726819864533672E-2</v>
      </c>
      <c r="BK10" s="122">
        <f ca="1">(Dashboard!$C$7*'Equity and Bond Returns'!BW10)+(Dashboard!$C$8*'Equity and Bond Returns'!FU10)</f>
        <v>2.4242680176364904E-2</v>
      </c>
      <c r="BL10" s="122">
        <f ca="1">(Dashboard!$C$7*'Equity and Bond Returns'!BX10)+(Dashboard!$C$8*'Equity and Bond Returns'!FV10)</f>
        <v>0.23003806815076588</v>
      </c>
      <c r="BM10" s="122">
        <f ca="1">(Dashboard!$C$7*'Equity and Bond Returns'!BY10)+(Dashboard!$C$8*'Equity and Bond Returns'!FW10)</f>
        <v>4.1219891968132118E-2</v>
      </c>
      <c r="BN10" s="122">
        <f ca="1">(Dashboard!$C$7*'Equity and Bond Returns'!BZ10)+(Dashboard!$C$8*'Equity and Bond Returns'!FX10)</f>
        <v>0.33533563316620485</v>
      </c>
      <c r="BO10" s="122">
        <f ca="1">(Dashboard!$C$7*'Equity and Bond Returns'!CA10)+(Dashboard!$C$8*'Equity and Bond Returns'!FY10)</f>
        <v>0.20784781186693857</v>
      </c>
      <c r="BP10" s="122">
        <f ca="1">(Dashboard!$C$7*'Equity and Bond Returns'!CB10)+(Dashboard!$C$8*'Equity and Bond Returns'!FZ10)</f>
        <v>-8.058539940833058E-2</v>
      </c>
      <c r="BQ10" s="122">
        <f ca="1">(Dashboard!$C$7*'Equity and Bond Returns'!CC10)+(Dashboard!$C$8*'Equity and Bond Returns'!GA10)</f>
        <v>-0.15896282704972042</v>
      </c>
      <c r="BR10" s="122">
        <f ca="1">(Dashboard!$C$7*'Equity and Bond Returns'!CD10)+(Dashboard!$C$8*'Equity and Bond Returns'!GB10)</f>
        <v>0.28102985078951598</v>
      </c>
      <c r="BS10" s="122">
        <f ca="1">(Dashboard!$C$7*'Equity and Bond Returns'!CE10)+(Dashboard!$C$8*'Equity and Bond Returns'!GC10)</f>
        <v>0.12527822111823783</v>
      </c>
      <c r="BT10" s="122">
        <f ca="1">(Dashboard!$C$7*'Equity and Bond Returns'!CF10)+(Dashboard!$C$8*'Equity and Bond Returns'!GD10)</f>
        <v>0.1695614279060485</v>
      </c>
      <c r="BU10" s="122">
        <f ca="1">(Dashboard!$C$7*'Equity and Bond Returns'!CG10)+(Dashboard!$C$8*'Equity and Bond Returns'!GE10)</f>
        <v>9.981940086872905E-2</v>
      </c>
      <c r="BV10" s="122">
        <f ca="1">(Dashboard!$C$7*'Equity and Bond Returns'!CH10)+(Dashboard!$C$8*'Equity and Bond Returns'!GF10)</f>
        <v>4.8102411376156486E-2</v>
      </c>
      <c r="BW10" s="122">
        <f ca="1">(Dashboard!$C$7*'Equity and Bond Returns'!CI10)+(Dashboard!$C$8*'Equity and Bond Returns'!GG10)</f>
        <v>0.3464775691642778</v>
      </c>
      <c r="BX10" s="122">
        <f ca="1">(Dashboard!$C$7*'Equity and Bond Returns'!CJ10)+(Dashboard!$C$8*'Equity and Bond Returns'!GH10)</f>
        <v>0.21046721909914923</v>
      </c>
      <c r="BY10" s="122">
        <f ca="1">(Dashboard!$C$7*'Equity and Bond Returns'!CK10)+(Dashboard!$C$8*'Equity and Bond Returns'!GI10)</f>
        <v>3.9031849078470425E-2</v>
      </c>
      <c r="BZ10" s="122">
        <f ca="1">(Dashboard!$C$7*'Equity and Bond Returns'!CL10)+(Dashboard!$C$8*'Equity and Bond Returns'!GJ10)</f>
        <v>0.11128286502854777</v>
      </c>
      <c r="CA10" s="122">
        <f ca="1">(Dashboard!$C$7*'Equity and Bond Returns'!CM10)+(Dashboard!$C$8*'Equity and Bond Returns'!GK10)</f>
        <v>0.21139486344364389</v>
      </c>
      <c r="CB10" s="122">
        <f ca="1">(Dashboard!$C$7*'Equity and Bond Returns'!CN10)+(Dashboard!$C$8*'Equity and Bond Returns'!GL10)</f>
        <v>7.9303322217259956E-2</v>
      </c>
      <c r="CC10" s="122">
        <f ca="1">(Dashboard!$C$7*'Equity and Bond Returns'!CO10)+(Dashboard!$C$8*'Equity and Bond Returns'!GM10)</f>
        <v>5.389417768991208E-2</v>
      </c>
      <c r="CD10" s="122">
        <f ca="1">(Dashboard!$C$7*'Equity and Bond Returns'!CP10)+(Dashboard!$C$8*'Equity and Bond Returns'!GN10)</f>
        <v>9.1314845857470059E-2</v>
      </c>
      <c r="CE10" s="122">
        <f ca="1">(Dashboard!$C$7*'Equity and Bond Returns'!CQ10)+(Dashboard!$C$8*'Equity and Bond Returns'!GO10)</f>
        <v>0.16799739293777266</v>
      </c>
      <c r="CF10" s="122">
        <f ca="1">(Dashboard!$C$7*'Equity and Bond Returns'!CR10)+(Dashboard!$C$8*'Equity and Bond Returns'!GP10)</f>
        <v>3.0093617362897972E-2</v>
      </c>
      <c r="CG10" s="122">
        <f ca="1">(Dashboard!$C$7*'Equity and Bond Returns'!CS10)+(Dashboard!$C$8*'Equity and Bond Returns'!GQ10)</f>
        <v>0.47045889014177866</v>
      </c>
      <c r="CH10" s="122">
        <f ca="1">(Dashboard!$C$7*'Equity and Bond Returns'!CT10)+(Dashboard!$C$8*'Equity and Bond Returns'!GR10)</f>
        <v>5.9747305057600966E-2</v>
      </c>
      <c r="CI10" s="122">
        <f ca="1">(Dashboard!$C$7*'Equity and Bond Returns'!CU10)+(Dashboard!$C$8*'Equity and Bond Returns'!GS10)</f>
        <v>-1.7987338094536717E-2</v>
      </c>
      <c r="CJ10" s="122">
        <f ca="1">(Dashboard!$C$7*'Equity and Bond Returns'!CV10)+(Dashboard!$C$8*'Equity and Bond Returns'!GT10)</f>
        <v>5.2207621558482249E-2</v>
      </c>
      <c r="CK10" s="122">
        <f ca="1">(Dashboard!$C$7*'Equity and Bond Returns'!CW10)+(Dashboard!$C$8*'Equity and Bond Returns'!GU10)</f>
        <v>-3.7753331342234991E-2</v>
      </c>
      <c r="CL10" s="122">
        <f ca="1">(Dashboard!$C$7*'Equity and Bond Returns'!CX10)+(Dashboard!$C$8*'Equity and Bond Returns'!GV10)</f>
        <v>0.25283540556165229</v>
      </c>
      <c r="CM10" s="122">
        <f ca="1">(Dashboard!$C$7*'Equity and Bond Returns'!CY10)+(Dashboard!$C$8*'Equity and Bond Returns'!GW10)</f>
        <v>0.15030665296868728</v>
      </c>
      <c r="CN10" s="122">
        <f ca="1">(Dashboard!$C$7*'Equity and Bond Returns'!CZ10)+(Dashboard!$C$8*'Equity and Bond Returns'!GX10)</f>
        <v>-2.6349913188359858E-2</v>
      </c>
      <c r="CO10" s="122">
        <f ca="1">(Dashboard!$C$7*'Equity and Bond Returns'!DA10)+(Dashboard!$C$8*'Equity and Bond Returns'!GY10)</f>
        <v>-3.9204608264882007E-2</v>
      </c>
      <c r="CP10" s="122">
        <f ca="1">(Dashboard!$C$7*'Equity and Bond Returns'!DB10)+(Dashboard!$C$8*'Equity and Bond Returns'!GZ10)</f>
        <v>9.6315897608605233E-2</v>
      </c>
      <c r="CQ10" s="122">
        <f ca="1">(Dashboard!$C$7*'Equity and Bond Returns'!DC10)+(Dashboard!$C$8*'Equity and Bond Returns'!HA10)</f>
        <v>0.28794869800622158</v>
      </c>
      <c r="CR10" s="122">
        <f ca="1">(Dashboard!$C$7*'Equity and Bond Returns'!DD10)+(Dashboard!$C$8*'Equity and Bond Returns'!HB10)</f>
        <v>3.4503719637014221E-2</v>
      </c>
      <c r="CS10" s="122">
        <f ca="1">(Dashboard!$C$7*'Equity and Bond Returns'!DE10)+(Dashboard!$C$8*'Equity and Bond Returns'!HC10)</f>
        <v>9.7200414418180267E-2</v>
      </c>
      <c r="CT10" s="122">
        <f ca="1">(Dashboard!$C$7*'Equity and Bond Returns'!DF10)+(Dashboard!$C$8*'Equity and Bond Returns'!HD10)</f>
        <v>0.1130378925256518</v>
      </c>
      <c r="CU10" s="122">
        <f ca="1">(Dashboard!$C$7*'Equity and Bond Returns'!DG10)+(Dashboard!$C$8*'Equity and Bond Returns'!HE10)</f>
        <v>0.24657446284803827</v>
      </c>
      <c r="CV10" s="122">
        <f ca="1">(Dashboard!$C$7*'Equity and Bond Returns'!DH10)+(Dashboard!$C$8*'Equity and Bond Returns'!HF10)</f>
        <v>-6.0603466944255027E-3</v>
      </c>
      <c r="CW10" s="122">
        <f ca="1">(Dashboard!$C$7*'Equity and Bond Returns'!DI10)+(Dashboard!$C$8*'Equity and Bond Returns'!HG10)</f>
        <v>0.22884298131745479</v>
      </c>
      <c r="CY10" s="147">
        <f t="shared" si="5"/>
        <v>59</v>
      </c>
      <c r="CZ10" s="148">
        <v>9</v>
      </c>
      <c r="DA10" s="126">
        <f ca="1">MAX(DA9*(1+B10)-(Dashboard!$C$11)/(1-Dashboard!$C$17)*((1+Dashboard!$C$12)^$CZ10),0)</f>
        <v>2241760.0564030348</v>
      </c>
      <c r="DB10" s="126">
        <f ca="1">MAX(DB9*(1+C10)-(Dashboard!$C$11)/(1-Dashboard!$C$17)*((1+Dashboard!$C$12)^$CZ10),0)</f>
        <v>630006.01752542367</v>
      </c>
      <c r="DC10" s="126">
        <f ca="1">MAX(DC9*(1+D10)-(Dashboard!$C$11)/(1-Dashboard!$C$17)*((1+Dashboard!$C$12)^$CZ10),0)</f>
        <v>953576.664076966</v>
      </c>
      <c r="DD10" s="126">
        <f ca="1">MAX(DD9*(1+E10)-(Dashboard!$C$11)/(1-Dashboard!$C$17)*((1+Dashboard!$C$12)^$CZ10),0)</f>
        <v>684247.70178589178</v>
      </c>
      <c r="DE10" s="126">
        <f ca="1">MAX(DE9*(1+F10)-(Dashboard!$C$11)/(1-Dashboard!$C$17)*((1+Dashboard!$C$12)^$CZ10),0)</f>
        <v>1412844.7453587863</v>
      </c>
      <c r="DF10" s="126">
        <f ca="1">MAX(DF9*(1+G10)-(Dashboard!$C$11)/(1-Dashboard!$C$17)*((1+Dashboard!$C$12)^$CZ10),0)</f>
        <v>3049803.9432540298</v>
      </c>
      <c r="DG10" s="126">
        <f ca="1">MAX(DG9*(1+H10)-(Dashboard!$C$11)/(1-Dashboard!$C$17)*((1+Dashboard!$C$12)^$CZ10),0)</f>
        <v>453702.12691035477</v>
      </c>
      <c r="DH10" s="126">
        <f ca="1">MAX(DH9*(1+I10)-(Dashboard!$C$11)/(1-Dashboard!$C$17)*((1+Dashboard!$C$12)^$CZ10),0)</f>
        <v>1090284.1586294801</v>
      </c>
      <c r="DI10" s="126">
        <f ca="1">MAX(DI9*(1+J10)-(Dashboard!$C$11)/(1-Dashboard!$C$17)*((1+Dashboard!$C$12)^$CZ10),0)</f>
        <v>1128815.6428856223</v>
      </c>
      <c r="DJ10" s="126">
        <f ca="1">MAX(DJ9*(1+K10)-(Dashboard!$C$11)/(1-Dashboard!$C$17)*((1+Dashboard!$C$12)^$CZ10),0)</f>
        <v>1057509.0493225972</v>
      </c>
      <c r="DK10" s="126">
        <f ca="1">MAX(DK9*(1+L10)-(Dashboard!$C$11)/(1-Dashboard!$C$17)*((1+Dashboard!$C$12)^$CZ10),0)</f>
        <v>3009817.6026468682</v>
      </c>
      <c r="DL10" s="126">
        <f ca="1">MAX(DL9*(1+M10)-(Dashboard!$C$11)/(1-Dashboard!$C$17)*((1+Dashboard!$C$12)^$CZ10),0)</f>
        <v>1212466.4430452771</v>
      </c>
      <c r="DM10" s="126">
        <f ca="1">MAX(DM9*(1+N10)-(Dashboard!$C$11)/(1-Dashboard!$C$17)*((1+Dashboard!$C$12)^$CZ10),0)</f>
        <v>1401698.808895716</v>
      </c>
      <c r="DN10" s="126">
        <f ca="1">MAX(DN9*(1+O10)-(Dashboard!$C$11)/(1-Dashboard!$C$17)*((1+Dashboard!$C$12)^$CZ10),0)</f>
        <v>2997001.2083297702</v>
      </c>
      <c r="DO10" s="126">
        <f ca="1">MAX(DO9*(1+P10)-(Dashboard!$C$11)/(1-Dashboard!$C$17)*((1+Dashboard!$C$12)^$CZ10),0)</f>
        <v>1391902.7952627249</v>
      </c>
      <c r="DP10" s="126">
        <f ca="1">MAX(DP9*(1+Q10)-(Dashboard!$C$11)/(1-Dashboard!$C$17)*((1+Dashboard!$C$12)^$CZ10),0)</f>
        <v>1562425.8549970009</v>
      </c>
      <c r="DQ10" s="126">
        <f ca="1">MAX(DQ9*(1+R10)-(Dashboard!$C$11)/(1-Dashboard!$C$17)*((1+Dashboard!$C$12)^$CZ10),0)</f>
        <v>1592172.842465939</v>
      </c>
      <c r="DR10" s="126">
        <f ca="1">MAX(DR9*(1+S10)-(Dashboard!$C$11)/(1-Dashboard!$C$17)*((1+Dashboard!$C$12)^$CZ10),0)</f>
        <v>1795794.4315330365</v>
      </c>
      <c r="DS10" s="126">
        <f ca="1">MAX(DS9*(1+T10)-(Dashboard!$C$11)/(1-Dashboard!$C$17)*((1+Dashboard!$C$12)^$CZ10),0)</f>
        <v>1638738.7814559417</v>
      </c>
      <c r="DT10" s="126">
        <f ca="1">MAX(DT9*(1+U10)-(Dashboard!$C$11)/(1-Dashboard!$C$17)*((1+Dashboard!$C$12)^$CZ10),0)</f>
        <v>1356567.2154590501</v>
      </c>
      <c r="DU10" s="126">
        <f ca="1">MAX(DU9*(1+V10)-(Dashboard!$C$11)/(1-Dashboard!$C$17)*((1+Dashboard!$C$12)^$CZ10),0)</f>
        <v>1711779.6484383401</v>
      </c>
      <c r="DV10" s="126">
        <f ca="1">MAX(DV9*(1+W10)-(Dashboard!$C$11)/(1-Dashboard!$C$17)*((1+Dashboard!$C$12)^$CZ10),0)</f>
        <v>1921642.0964289163</v>
      </c>
      <c r="DW10" s="126">
        <f ca="1">MAX(DW9*(1+X10)-(Dashboard!$C$11)/(1-Dashboard!$C$17)*((1+Dashboard!$C$12)^$CZ10),0)</f>
        <v>1503442.6723488302</v>
      </c>
      <c r="DX10" s="126">
        <f ca="1">MAX(DX9*(1+Y10)-(Dashboard!$C$11)/(1-Dashboard!$C$17)*((1+Dashboard!$C$12)^$CZ10),0)</f>
        <v>884959.76834494947</v>
      </c>
      <c r="DY10" s="126">
        <f ca="1">MAX(DY9*(1+Z10)-(Dashboard!$C$11)/(1-Dashboard!$C$17)*((1+Dashboard!$C$12)^$CZ10),0)</f>
        <v>2083724.0287446971</v>
      </c>
      <c r="DZ10" s="126">
        <f ca="1">MAX(DZ9*(1+AA10)-(Dashboard!$C$11)/(1-Dashboard!$C$17)*((1+Dashboard!$C$12)^$CZ10),0)</f>
        <v>413357.34708379855</v>
      </c>
      <c r="EA10" s="126">
        <f ca="1">MAX(EA9*(1+AB10)-(Dashboard!$C$11)/(1-Dashboard!$C$17)*((1+Dashboard!$C$12)^$CZ10),0)</f>
        <v>1022217.5030445096</v>
      </c>
      <c r="EB10" s="126">
        <f ca="1">MAX(EB9*(1+AC10)-(Dashboard!$C$11)/(1-Dashboard!$C$17)*((1+Dashboard!$C$12)^$CZ10),0)</f>
        <v>1210970.833193358</v>
      </c>
      <c r="EC10" s="126">
        <f ca="1">MAX(EC9*(1+AD10)-(Dashboard!$C$11)/(1-Dashboard!$C$17)*((1+Dashboard!$C$12)^$CZ10),0)</f>
        <v>1803104.290817443</v>
      </c>
      <c r="ED10" s="126">
        <f ca="1">MAX(ED9*(1+AE10)-(Dashboard!$C$11)/(1-Dashboard!$C$17)*((1+Dashboard!$C$12)^$CZ10),0)</f>
        <v>2573586.5837970376</v>
      </c>
      <c r="EE10" s="126">
        <f ca="1">MAX(EE9*(1+AF10)-(Dashboard!$C$11)/(1-Dashboard!$C$17)*((1+Dashboard!$C$12)^$CZ10),0)</f>
        <v>1322606.9102000957</v>
      </c>
      <c r="EF10" s="126">
        <f ca="1">MAX(EF9*(1+AG10)-(Dashboard!$C$11)/(1-Dashboard!$C$17)*((1+Dashboard!$C$12)^$CZ10),0)</f>
        <v>1510693.0756518841</v>
      </c>
      <c r="EG10" s="126">
        <f ca="1">MAX(EG9*(1+AH10)-(Dashboard!$C$11)/(1-Dashboard!$C$17)*((1+Dashboard!$C$12)^$CZ10),0)</f>
        <v>2133185.0799688823</v>
      </c>
      <c r="EH10" s="126">
        <f ca="1">MAX(EH9*(1+AI10)-(Dashboard!$C$11)/(1-Dashboard!$C$17)*((1+Dashboard!$C$12)^$CZ10),0)</f>
        <v>1481286.0425134702</v>
      </c>
      <c r="EI10" s="126">
        <f ca="1">MAX(EI9*(1+AJ10)-(Dashboard!$C$11)/(1-Dashboard!$C$17)*((1+Dashboard!$C$12)^$CZ10),0)</f>
        <v>653135.08315653703</v>
      </c>
      <c r="EJ10" s="126">
        <f ca="1">MAX(EJ9*(1+AK10)-(Dashboard!$C$11)/(1-Dashboard!$C$17)*((1+Dashboard!$C$12)^$CZ10),0)</f>
        <v>1564785.2373303291</v>
      </c>
      <c r="EK10" s="126">
        <f ca="1">MAX(EK9*(1+AL10)-(Dashboard!$C$11)/(1-Dashboard!$C$17)*((1+Dashboard!$C$12)^$CZ10),0)</f>
        <v>1582803.4528041999</v>
      </c>
      <c r="EL10" s="126">
        <f ca="1">MAX(EL9*(1+AM10)-(Dashboard!$C$11)/(1-Dashboard!$C$17)*((1+Dashboard!$C$12)^$CZ10),0)</f>
        <v>973007.74729527661</v>
      </c>
      <c r="EM10" s="126">
        <f ca="1">MAX(EM9*(1+AN10)-(Dashboard!$C$11)/(1-Dashboard!$C$17)*((1+Dashboard!$C$12)^$CZ10),0)</f>
        <v>2214455.0883112061</v>
      </c>
      <c r="EN10" s="126">
        <f ca="1">MAX(EN9*(1+AO10)-(Dashboard!$C$11)/(1-Dashboard!$C$17)*((1+Dashboard!$C$12)^$CZ10),0)</f>
        <v>2029074.1461095952</v>
      </c>
      <c r="EO10" s="126">
        <f ca="1">MAX(EO9*(1+AP10)-(Dashboard!$C$11)/(1-Dashboard!$C$17)*((1+Dashboard!$C$12)^$CZ10),0)</f>
        <v>1016967.5742655292</v>
      </c>
      <c r="EP10" s="126">
        <f ca="1">MAX(EP9*(1+AQ10)-(Dashboard!$C$11)/(1-Dashboard!$C$17)*((1+Dashboard!$C$12)^$CZ10),0)</f>
        <v>1340848.0920731626</v>
      </c>
      <c r="EQ10" s="126">
        <f ca="1">MAX(EQ9*(1+AR10)-(Dashboard!$C$11)/(1-Dashboard!$C$17)*((1+Dashboard!$C$12)^$CZ10),0)</f>
        <v>809884.65263405361</v>
      </c>
      <c r="ER10" s="126">
        <f ca="1">MAX(ER9*(1+AS10)-(Dashboard!$C$11)/(1-Dashboard!$C$17)*((1+Dashboard!$C$12)^$CZ10),0)</f>
        <v>1373672.4407307755</v>
      </c>
      <c r="ES10" s="126">
        <f ca="1">MAX(ES9*(1+AT10)-(Dashboard!$C$11)/(1-Dashboard!$C$17)*((1+Dashboard!$C$12)^$CZ10),0)</f>
        <v>568841.16953063128</v>
      </c>
      <c r="ET10" s="126">
        <f ca="1">MAX(ET9*(1+AU10)-(Dashboard!$C$11)/(1-Dashboard!$C$17)*((1+Dashboard!$C$12)^$CZ10),0)</f>
        <v>1435668.1532154738</v>
      </c>
      <c r="EU10" s="126">
        <f ca="1">MAX(EU9*(1+AV10)-(Dashboard!$C$11)/(1-Dashboard!$C$17)*((1+Dashboard!$C$12)^$CZ10),0)</f>
        <v>1016128.0505437338</v>
      </c>
      <c r="EV10" s="126">
        <f ca="1">MAX(EV9*(1+AW10)-(Dashboard!$C$11)/(1-Dashboard!$C$17)*((1+Dashboard!$C$12)^$CZ10),0)</f>
        <v>2845259.4988335706</v>
      </c>
      <c r="EW10" s="126">
        <f ca="1">MAX(EW9*(1+AX10)-(Dashboard!$C$11)/(1-Dashboard!$C$17)*((1+Dashboard!$C$12)^$CZ10),0)</f>
        <v>1453928.3359483411</v>
      </c>
      <c r="EX10" s="126">
        <f ca="1">MAX(EX9*(1+AY10)-(Dashboard!$C$11)/(1-Dashboard!$C$17)*((1+Dashboard!$C$12)^$CZ10),0)</f>
        <v>2444169.1378125255</v>
      </c>
      <c r="EY10" s="126">
        <f ca="1">MAX(EY9*(1+AZ10)-(Dashboard!$C$11)/(1-Dashboard!$C$17)*((1+Dashboard!$C$12)^$CZ10),0)</f>
        <v>1998635.2489950433</v>
      </c>
      <c r="EZ10" s="126">
        <f ca="1">MAX(EZ9*(1+BA10)-(Dashboard!$C$11)/(1-Dashboard!$C$17)*((1+Dashboard!$C$12)^$CZ10),0)</f>
        <v>898886.19070224639</v>
      </c>
      <c r="FA10" s="126">
        <f ca="1">MAX(FA9*(1+BB10)-(Dashboard!$C$11)/(1-Dashboard!$C$17)*((1+Dashboard!$C$12)^$CZ10),0)</f>
        <v>1445372.3198226939</v>
      </c>
      <c r="FB10" s="126">
        <f ca="1">MAX(FB9*(1+BC10)-(Dashboard!$C$11)/(1-Dashboard!$C$17)*((1+Dashboard!$C$12)^$CZ10),0)</f>
        <v>1101830.2094206871</v>
      </c>
      <c r="FC10" s="126">
        <f ca="1">MAX(FC9*(1+BD10)-(Dashboard!$C$11)/(1-Dashboard!$C$17)*((1+Dashboard!$C$12)^$CZ10),0)</f>
        <v>1102014.730170181</v>
      </c>
      <c r="FD10" s="126">
        <f ca="1">MAX(FD9*(1+BE10)-(Dashboard!$C$11)/(1-Dashboard!$C$17)*((1+Dashboard!$C$12)^$CZ10),0)</f>
        <v>1721799.1975581669</v>
      </c>
      <c r="FE10" s="126">
        <f ca="1">MAX(FE9*(1+BF10)-(Dashboard!$C$11)/(1-Dashboard!$C$17)*((1+Dashboard!$C$12)^$CZ10),0)</f>
        <v>2119098.1759059546</v>
      </c>
      <c r="FF10" s="126">
        <f ca="1">MAX(FF9*(1+BG10)-(Dashboard!$C$11)/(1-Dashboard!$C$17)*((1+Dashboard!$C$12)^$CZ10),0)</f>
        <v>2340915.2505779294</v>
      </c>
      <c r="FG10" s="126">
        <f ca="1">MAX(FG9*(1+BH10)-(Dashboard!$C$11)/(1-Dashboard!$C$17)*((1+Dashboard!$C$12)^$CZ10),0)</f>
        <v>2592053.1652703774</v>
      </c>
      <c r="FH10" s="126">
        <f ca="1">MAX(FH9*(1+BI10)-(Dashboard!$C$11)/(1-Dashboard!$C$17)*((1+Dashboard!$C$12)^$CZ10),0)</f>
        <v>1008353.9362383581</v>
      </c>
      <c r="FI10" s="126">
        <f ca="1">MAX(FI9*(1+BJ10)-(Dashboard!$C$11)/(1-Dashboard!$C$17)*((1+Dashboard!$C$12)^$CZ10),0)</f>
        <v>1632440.5073804129</v>
      </c>
      <c r="FJ10" s="126">
        <f ca="1">MAX(FJ9*(1+BK10)-(Dashboard!$C$11)/(1-Dashboard!$C$17)*((1+Dashboard!$C$12)^$CZ10),0)</f>
        <v>860925.87970610708</v>
      </c>
      <c r="FK10" s="126">
        <f ca="1">MAX(FK9*(1+BL10)-(Dashboard!$C$11)/(1-Dashboard!$C$17)*((1+Dashboard!$C$12)^$CZ10),0)</f>
        <v>1263447.2638901181</v>
      </c>
      <c r="FL10" s="126">
        <f ca="1">MAX(FL9*(1+BM10)-(Dashboard!$C$11)/(1-Dashboard!$C$17)*((1+Dashboard!$C$12)^$CZ10),0)</f>
        <v>2731517.6014410621</v>
      </c>
      <c r="FM10" s="126">
        <f ca="1">MAX(FM9*(1+BN10)-(Dashboard!$C$11)/(1-Dashboard!$C$17)*((1+Dashboard!$C$12)^$CZ10),0)</f>
        <v>1955502.4818810597</v>
      </c>
      <c r="FN10" s="126">
        <f ca="1">MAX(FN9*(1+BO10)-(Dashboard!$C$11)/(1-Dashboard!$C$17)*((1+Dashboard!$C$12)^$CZ10),0)</f>
        <v>817612.19931614597</v>
      </c>
      <c r="FO10" s="126">
        <f ca="1">MAX(FO9*(1+BP10)-(Dashboard!$C$11)/(1-Dashboard!$C$17)*((1+Dashboard!$C$12)^$CZ10),0)</f>
        <v>1571107.7836670903</v>
      </c>
      <c r="FP10" s="126">
        <f ca="1">MAX(FP9*(1+BQ10)-(Dashboard!$C$11)/(1-Dashboard!$C$17)*((1+Dashboard!$C$12)^$CZ10),0)</f>
        <v>1493640.4572532868</v>
      </c>
      <c r="FQ10" s="126">
        <f ca="1">MAX(FQ9*(1+BR10)-(Dashboard!$C$11)/(1-Dashboard!$C$17)*((1+Dashboard!$C$12)^$CZ10),0)</f>
        <v>2983432.5637384909</v>
      </c>
      <c r="FR10" s="126">
        <f ca="1">MAX(FR9*(1+BS10)-(Dashboard!$C$11)/(1-Dashboard!$C$17)*((1+Dashboard!$C$12)^$CZ10),0)</f>
        <v>3211694.2901865402</v>
      </c>
      <c r="FS10" s="126">
        <f ca="1">MAX(FS9*(1+BT10)-(Dashboard!$C$11)/(1-Dashboard!$C$17)*((1+Dashboard!$C$12)^$CZ10),0)</f>
        <v>1848726.5025864965</v>
      </c>
      <c r="FT10" s="126">
        <f ca="1">MAX(FT9*(1+BU10)-(Dashboard!$C$11)/(1-Dashboard!$C$17)*((1+Dashboard!$C$12)^$CZ10),0)</f>
        <v>1168370.7357266457</v>
      </c>
      <c r="FU10" s="126">
        <f ca="1">MAX(FU9*(1+BV10)-(Dashboard!$C$11)/(1-Dashboard!$C$17)*((1+Dashboard!$C$12)^$CZ10),0)</f>
        <v>1701570.125627582</v>
      </c>
      <c r="FV10" s="126">
        <f ca="1">MAX(FV9*(1+BW10)-(Dashboard!$C$11)/(1-Dashboard!$C$17)*((1+Dashboard!$C$12)^$CZ10),0)</f>
        <v>528306.21197754866</v>
      </c>
      <c r="FW10" s="126">
        <f ca="1">MAX(FW9*(1+BX10)-(Dashboard!$C$11)/(1-Dashboard!$C$17)*((1+Dashboard!$C$12)^$CZ10),0)</f>
        <v>1967341.2942852683</v>
      </c>
      <c r="FX10" s="126">
        <f ca="1">MAX(FX9*(1+BY10)-(Dashboard!$C$11)/(1-Dashboard!$C$17)*((1+Dashboard!$C$12)^$CZ10),0)</f>
        <v>1115509.3502401516</v>
      </c>
      <c r="FY10" s="126">
        <f ca="1">MAX(FY9*(1+BZ10)-(Dashboard!$C$11)/(1-Dashboard!$C$17)*((1+Dashboard!$C$12)^$CZ10),0)</f>
        <v>1086740.9187187511</v>
      </c>
      <c r="FZ10" s="126">
        <f ca="1">MAX(FZ9*(1+CA10)-(Dashboard!$C$11)/(1-Dashboard!$C$17)*((1+Dashboard!$C$12)^$CZ10),0)</f>
        <v>1258957.3603601716</v>
      </c>
      <c r="GA10" s="126">
        <f ca="1">MAX(GA9*(1+CB10)-(Dashboard!$C$11)/(1-Dashboard!$C$17)*((1+Dashboard!$C$12)^$CZ10),0)</f>
        <v>3369576.3864470893</v>
      </c>
      <c r="GB10" s="126">
        <f ca="1">MAX(GB9*(1+CC10)-(Dashboard!$C$11)/(1-Dashboard!$C$17)*((1+Dashboard!$C$12)^$CZ10),0)</f>
        <v>1306998.5961254053</v>
      </c>
      <c r="GC10" s="126">
        <f ca="1">MAX(GC9*(1+CD10)-(Dashboard!$C$11)/(1-Dashboard!$C$17)*((1+Dashboard!$C$12)^$CZ10),0)</f>
        <v>1740132.2452197408</v>
      </c>
      <c r="GD10" s="126">
        <f ca="1">MAX(GD9*(1+CE10)-(Dashboard!$C$11)/(1-Dashboard!$C$17)*((1+Dashboard!$C$12)^$CZ10),0)</f>
        <v>1409284.6812360543</v>
      </c>
      <c r="GE10" s="126">
        <f ca="1">MAX(GE9*(1+CF10)-(Dashboard!$C$11)/(1-Dashboard!$C$17)*((1+Dashboard!$C$12)^$CZ10),0)</f>
        <v>1009635.1417064277</v>
      </c>
      <c r="GF10" s="126">
        <f ca="1">MAX(GF9*(1+CG10)-(Dashboard!$C$11)/(1-Dashboard!$C$17)*((1+Dashboard!$C$12)^$CZ10),0)</f>
        <v>2764137.5768946917</v>
      </c>
      <c r="GG10" s="126">
        <f ca="1">MAX(GG9*(1+CH10)-(Dashboard!$C$11)/(1-Dashboard!$C$17)*((1+Dashboard!$C$12)^$CZ10),0)</f>
        <v>567390.19996038894</v>
      </c>
      <c r="GH10" s="126">
        <f ca="1">MAX(GH9*(1+CI10)-(Dashboard!$C$11)/(1-Dashboard!$C$17)*((1+Dashboard!$C$12)^$CZ10),0)</f>
        <v>736649.67652668571</v>
      </c>
      <c r="GI10" s="126">
        <f ca="1">MAX(GI9*(1+CJ10)-(Dashboard!$C$11)/(1-Dashboard!$C$17)*((1+Dashboard!$C$12)^$CZ10),0)</f>
        <v>697494.56921939272</v>
      </c>
      <c r="GJ10" s="126">
        <f ca="1">MAX(GJ9*(1+CK10)-(Dashboard!$C$11)/(1-Dashboard!$C$17)*((1+Dashboard!$C$12)^$CZ10),0)</f>
        <v>1857652.0810270922</v>
      </c>
      <c r="GK10" s="126">
        <f ca="1">MAX(GK9*(1+CL10)-(Dashboard!$C$11)/(1-Dashboard!$C$17)*((1+Dashboard!$C$12)^$CZ10),0)</f>
        <v>2841741.2687405059</v>
      </c>
      <c r="GL10" s="126">
        <f ca="1">MAX(GL9*(1+CM10)-(Dashboard!$C$11)/(1-Dashboard!$C$17)*((1+Dashboard!$C$12)^$CZ10),0)</f>
        <v>2555614.1289436715</v>
      </c>
      <c r="GM10" s="126">
        <f ca="1">MAX(GM9*(1+CN10)-(Dashboard!$C$11)/(1-Dashboard!$C$17)*((1+Dashboard!$C$12)^$CZ10),0)</f>
        <v>1270913.3961252496</v>
      </c>
      <c r="GN10" s="126">
        <f ca="1">MAX(GN9*(1+CO10)-(Dashboard!$C$11)/(1-Dashboard!$C$17)*((1+Dashboard!$C$12)^$CZ10),0)</f>
        <v>714683.9591929022</v>
      </c>
      <c r="GO10" s="126">
        <f ca="1">MAX(GO9*(1+CP10)-(Dashboard!$C$11)/(1-Dashboard!$C$17)*((1+Dashboard!$C$12)^$CZ10),0)</f>
        <v>2100002.1092990222</v>
      </c>
      <c r="GP10" s="126">
        <f ca="1">MAX(GP9*(1+CQ10)-(Dashboard!$C$11)/(1-Dashboard!$C$17)*((1+Dashboard!$C$12)^$CZ10),0)</f>
        <v>1187078.6384949461</v>
      </c>
      <c r="GQ10" s="126">
        <f ca="1">MAX(GQ9*(1+CR10)-(Dashboard!$C$11)/(1-Dashboard!$C$17)*((1+Dashboard!$C$12)^$CZ10),0)</f>
        <v>1040405.0940202894</v>
      </c>
      <c r="GR10" s="126">
        <f ca="1">MAX(GR9*(1+CS10)-(Dashboard!$C$11)/(1-Dashboard!$C$17)*((1+Dashboard!$C$12)^$CZ10),0)</f>
        <v>1106043.0555334124</v>
      </c>
      <c r="GS10" s="126">
        <f ca="1">MAX(GS9*(1+CT10)-(Dashboard!$C$11)/(1-Dashboard!$C$17)*((1+Dashboard!$C$12)^$CZ10),0)</f>
        <v>1435725.5829223273</v>
      </c>
      <c r="GT10" s="126">
        <f ca="1">MAX(GT9*(1+CU10)-(Dashboard!$C$11)/(1-Dashboard!$C$17)*((1+Dashboard!$C$12)^$CZ10),0)</f>
        <v>1913659.9576448528</v>
      </c>
      <c r="GU10" s="126">
        <f ca="1">MAX(GU9*(1+CV10)-(Dashboard!$C$11)/(1-Dashboard!$C$17)*((1+Dashboard!$C$12)^$CZ10),0)</f>
        <v>622238.91655950376</v>
      </c>
      <c r="GV10" s="126">
        <f ca="1">MAX(GV9*(1+CW10)-(Dashboard!$C$11)/(1-Dashboard!$C$17)*((1+Dashboard!$C$12)^$CZ10),0)</f>
        <v>741190.72863870824</v>
      </c>
      <c r="GW10" s="115">
        <f t="shared" si="4"/>
        <v>59</v>
      </c>
      <c r="GX10" s="130">
        <f t="shared" ca="1" si="2"/>
        <v>100</v>
      </c>
      <c r="HC10" s="130">
        <f t="shared" si="0"/>
        <v>59</v>
      </c>
      <c r="HD10" s="137">
        <f t="shared" ca="1" si="1"/>
        <v>1018280.0564602743</v>
      </c>
      <c r="HE10" s="137">
        <f t="shared" ca="1" si="1"/>
        <v>1411064.7132974202</v>
      </c>
      <c r="HF10" s="137">
        <f t="shared" ca="1" si="1"/>
        <v>1919646.5617329003</v>
      </c>
    </row>
    <row r="11" spans="1:214" ht="16">
      <c r="A11" s="145">
        <f t="shared" si="3"/>
        <v>60</v>
      </c>
      <c r="B11" s="122">
        <f ca="1">(Dashboard!$C$7*'Equity and Bond Returns'!N11)+(Dashboard!$C$8*'Equity and Bond Returns'!DL11)</f>
        <v>0.13197665493650304</v>
      </c>
      <c r="C11" s="122">
        <f ca="1">(Dashboard!$C$7*'Equity and Bond Returns'!O11)+(Dashboard!$C$8*'Equity and Bond Returns'!DM11)</f>
        <v>-2.2175168616142049E-2</v>
      </c>
      <c r="D11" s="122">
        <f ca="1">(Dashboard!$C$7*'Equity and Bond Returns'!P11)+(Dashboard!$C$8*'Equity and Bond Returns'!DN11)</f>
        <v>0.12131997226493452</v>
      </c>
      <c r="E11" s="122">
        <f ca="1">(Dashboard!$C$7*'Equity and Bond Returns'!Q11)+(Dashboard!$C$8*'Equity and Bond Returns'!DO11)</f>
        <v>0.12467694250654625</v>
      </c>
      <c r="F11" s="122">
        <f ca="1">(Dashboard!$C$7*'Equity and Bond Returns'!R11)+(Dashboard!$C$8*'Equity and Bond Returns'!DP11)</f>
        <v>0.49290753135931475</v>
      </c>
      <c r="G11" s="122">
        <f ca="1">(Dashboard!$C$7*'Equity and Bond Returns'!S11)+(Dashboard!$C$8*'Equity and Bond Returns'!DQ11)</f>
        <v>2.6944537251926828E-2</v>
      </c>
      <c r="H11" s="122">
        <f ca="1">(Dashboard!$C$7*'Equity and Bond Returns'!T11)+(Dashboard!$C$8*'Equity and Bond Returns'!DR11)</f>
        <v>3.9415532281281501E-2</v>
      </c>
      <c r="I11" s="122">
        <f ca="1">(Dashboard!$C$7*'Equity and Bond Returns'!U11)+(Dashboard!$C$8*'Equity and Bond Returns'!DS11)</f>
        <v>4.9061854295939622E-2</v>
      </c>
      <c r="J11" s="122">
        <f ca="1">(Dashboard!$C$7*'Equity and Bond Returns'!V11)+(Dashboard!$C$8*'Equity and Bond Returns'!DT11)</f>
        <v>7.0474154917339979E-2</v>
      </c>
      <c r="K11" s="122">
        <f ca="1">(Dashboard!$C$7*'Equity and Bond Returns'!W11)+(Dashboard!$C$8*'Equity and Bond Returns'!DU11)</f>
        <v>0.21982442206275371</v>
      </c>
      <c r="L11" s="122">
        <f ca="1">(Dashboard!$C$7*'Equity and Bond Returns'!X11)+(Dashboard!$C$8*'Equity and Bond Returns'!DV11)</f>
        <v>-6.7428692088876641E-2</v>
      </c>
      <c r="M11" s="122">
        <f ca="1">(Dashboard!$C$7*'Equity and Bond Returns'!Y11)+(Dashboard!$C$8*'Equity and Bond Returns'!DW11)</f>
        <v>4.3382902500655823E-2</v>
      </c>
      <c r="N11" s="122">
        <f ca="1">(Dashboard!$C$7*'Equity and Bond Returns'!Z11)+(Dashboard!$C$8*'Equity and Bond Returns'!DX11)</f>
        <v>9.201713870014018E-2</v>
      </c>
      <c r="O11" s="122">
        <f ca="1">(Dashboard!$C$7*'Equity and Bond Returns'!AA11)+(Dashboard!$C$8*'Equity and Bond Returns'!DY11)</f>
        <v>0.15945140880849842</v>
      </c>
      <c r="P11" s="122">
        <f ca="1">(Dashboard!$C$7*'Equity and Bond Returns'!AB11)+(Dashboard!$C$8*'Equity and Bond Returns'!DZ11)</f>
        <v>0.22030273399913711</v>
      </c>
      <c r="Q11" s="122">
        <f ca="1">(Dashboard!$C$7*'Equity and Bond Returns'!AC11)+(Dashboard!$C$8*'Equity and Bond Returns'!EA11)</f>
        <v>0.18267102986132278</v>
      </c>
      <c r="R11" s="122">
        <f ca="1">(Dashboard!$C$7*'Equity and Bond Returns'!AD11)+(Dashboard!$C$8*'Equity and Bond Returns'!EB11)</f>
        <v>-5.4727285867835401E-2</v>
      </c>
      <c r="S11" s="122">
        <f ca="1">(Dashboard!$C$7*'Equity and Bond Returns'!AE11)+(Dashboard!$C$8*'Equity and Bond Returns'!EC11)</f>
        <v>1.6441435662504875E-2</v>
      </c>
      <c r="T11" s="122">
        <f ca="1">(Dashboard!$C$7*'Equity and Bond Returns'!AF11)+(Dashboard!$C$8*'Equity and Bond Returns'!ED11)</f>
        <v>-2.8639765272116979E-2</v>
      </c>
      <c r="U11" s="122">
        <f ca="1">(Dashboard!$C$7*'Equity and Bond Returns'!AG11)+(Dashboard!$C$8*'Equity and Bond Returns'!EE11)</f>
        <v>-7.1893634094194497E-2</v>
      </c>
      <c r="V11" s="122">
        <f ca="1">(Dashboard!$C$7*'Equity and Bond Returns'!AH11)+(Dashboard!$C$8*'Equity and Bond Returns'!EF11)</f>
        <v>2.9374600792657156E-2</v>
      </c>
      <c r="W11" s="122">
        <f ca="1">(Dashboard!$C$7*'Equity and Bond Returns'!AI11)+(Dashboard!$C$8*'Equity and Bond Returns'!EG11)</f>
        <v>-7.6908883880690004E-2</v>
      </c>
      <c r="X11" s="122">
        <f ca="1">(Dashboard!$C$7*'Equity and Bond Returns'!AJ11)+(Dashboard!$C$8*'Equity and Bond Returns'!EH11)</f>
        <v>0.18413673385949436</v>
      </c>
      <c r="Y11" s="122">
        <f ca="1">(Dashboard!$C$7*'Equity and Bond Returns'!AK11)+(Dashboard!$C$8*'Equity and Bond Returns'!EI11)</f>
        <v>-5.6105967374738535E-3</v>
      </c>
      <c r="Z11" s="122">
        <f ca="1">(Dashboard!$C$7*'Equity and Bond Returns'!AL11)+(Dashboard!$C$8*'Equity and Bond Returns'!EJ11)</f>
        <v>-8.3442343715904088E-2</v>
      </c>
      <c r="AA11" s="122">
        <f ca="1">(Dashboard!$C$7*'Equity and Bond Returns'!AM11)+(Dashboard!$C$8*'Equity and Bond Returns'!EK11)</f>
        <v>0.22500702912378967</v>
      </c>
      <c r="AB11" s="122">
        <f ca="1">(Dashboard!$C$7*'Equity and Bond Returns'!AN11)+(Dashboard!$C$8*'Equity and Bond Returns'!EL11)</f>
        <v>0.12946236105972941</v>
      </c>
      <c r="AC11" s="122">
        <f ca="1">(Dashboard!$C$7*'Equity and Bond Returns'!AO11)+(Dashboard!$C$8*'Equity and Bond Returns'!EM11)</f>
        <v>0.10943663809076024</v>
      </c>
      <c r="AD11" s="122">
        <f ca="1">(Dashboard!$C$7*'Equity and Bond Returns'!AP11)+(Dashboard!$C$8*'Equity and Bond Returns'!EN11)</f>
        <v>0.11344831300590928</v>
      </c>
      <c r="AE11" s="122">
        <f ca="1">(Dashboard!$C$7*'Equity and Bond Returns'!AQ11)+(Dashboard!$C$8*'Equity and Bond Returns'!EO11)</f>
        <v>0.11778051126841681</v>
      </c>
      <c r="AF11" s="122">
        <f ca="1">(Dashboard!$C$7*'Equity and Bond Returns'!AR11)+(Dashboard!$C$8*'Equity and Bond Returns'!EP11)</f>
        <v>6.9232934190387133E-2</v>
      </c>
      <c r="AG11" s="122">
        <f ca="1">(Dashboard!$C$7*'Equity and Bond Returns'!AS11)+(Dashboard!$C$8*'Equity and Bond Returns'!EQ11)</f>
        <v>0.26873227514005038</v>
      </c>
      <c r="AH11" s="122">
        <f ca="1">(Dashboard!$C$7*'Equity and Bond Returns'!AT11)+(Dashboard!$C$8*'Equity and Bond Returns'!ER11)</f>
        <v>-7.8090072676615066E-2</v>
      </c>
      <c r="AI11" s="122">
        <f ca="1">(Dashboard!$C$7*'Equity and Bond Returns'!AU11)+(Dashboard!$C$8*'Equity and Bond Returns'!ES11)</f>
        <v>5.1848216551101577E-2</v>
      </c>
      <c r="AJ11" s="122">
        <f ca="1">(Dashboard!$C$7*'Equity and Bond Returns'!AV11)+(Dashboard!$C$8*'Equity and Bond Returns'!ET11)</f>
        <v>0.11880513235992689</v>
      </c>
      <c r="AK11" s="122">
        <f ca="1">(Dashboard!$C$7*'Equity and Bond Returns'!AW11)+(Dashboard!$C$8*'Equity and Bond Returns'!EU11)</f>
        <v>0.43100942900163358</v>
      </c>
      <c r="AL11" s="122">
        <f ca="1">(Dashboard!$C$7*'Equity and Bond Returns'!AX11)+(Dashboard!$C$8*'Equity and Bond Returns'!EV11)</f>
        <v>0.18161326474263192</v>
      </c>
      <c r="AM11" s="122">
        <f ca="1">(Dashboard!$C$7*'Equity and Bond Returns'!AY11)+(Dashboard!$C$8*'Equity and Bond Returns'!EW11)</f>
        <v>9.1894842042354041E-2</v>
      </c>
      <c r="AN11" s="122">
        <f ca="1">(Dashboard!$C$7*'Equity and Bond Returns'!AZ11)+(Dashboard!$C$8*'Equity and Bond Returns'!EX11)</f>
        <v>0.1850138674037278</v>
      </c>
      <c r="AO11" s="122">
        <f ca="1">(Dashboard!$C$7*'Equity and Bond Returns'!BA11)+(Dashboard!$C$8*'Equity and Bond Returns'!EY11)</f>
        <v>9.9907056189758287E-2</v>
      </c>
      <c r="AP11" s="122">
        <f ca="1">(Dashboard!$C$7*'Equity and Bond Returns'!BB11)+(Dashboard!$C$8*'Equity and Bond Returns'!EZ11)</f>
        <v>0.1186091019068066</v>
      </c>
      <c r="AQ11" s="122">
        <f ca="1">(Dashboard!$C$7*'Equity and Bond Returns'!BC11)+(Dashboard!$C$8*'Equity and Bond Returns'!FA11)</f>
        <v>-3.7769797813108595E-2</v>
      </c>
      <c r="AR11" s="122">
        <f ca="1">(Dashboard!$C$7*'Equity and Bond Returns'!BD11)+(Dashboard!$C$8*'Equity and Bond Returns'!FB11)</f>
        <v>0.13900106896049375</v>
      </c>
      <c r="AS11" s="122">
        <f ca="1">(Dashboard!$C$7*'Equity and Bond Returns'!BE11)+(Dashboard!$C$8*'Equity and Bond Returns'!FC11)</f>
        <v>-0.16269065356777621</v>
      </c>
      <c r="AT11" s="122">
        <f ca="1">(Dashboard!$C$7*'Equity and Bond Returns'!BF11)+(Dashboard!$C$8*'Equity and Bond Returns'!FD11)</f>
        <v>0.19340252058742496</v>
      </c>
      <c r="AU11" s="122">
        <f ca="1">(Dashboard!$C$7*'Equity and Bond Returns'!BG11)+(Dashboard!$C$8*'Equity and Bond Returns'!FE11)</f>
        <v>-4.6108571683644912E-2</v>
      </c>
      <c r="AV11" s="122">
        <f ca="1">(Dashboard!$C$7*'Equity and Bond Returns'!BH11)+(Dashboard!$C$8*'Equity and Bond Returns'!FF11)</f>
        <v>-9.3406449850163588E-3</v>
      </c>
      <c r="AW11" s="122">
        <f ca="1">(Dashboard!$C$7*'Equity and Bond Returns'!BI11)+(Dashboard!$C$8*'Equity and Bond Returns'!FG11)</f>
        <v>1.6112958126565602E-2</v>
      </c>
      <c r="AX11" s="122">
        <f ca="1">(Dashboard!$C$7*'Equity and Bond Returns'!BJ11)+(Dashboard!$C$8*'Equity and Bond Returns'!FH11)</f>
        <v>-2.6910142984521129E-2</v>
      </c>
      <c r="AY11" s="122">
        <f ca="1">(Dashboard!$C$7*'Equity and Bond Returns'!BK11)+(Dashboard!$C$8*'Equity and Bond Returns'!FI11)</f>
        <v>-9.9096957084937529E-2</v>
      </c>
      <c r="AZ11" s="122">
        <f ca="1">(Dashboard!$C$7*'Equity and Bond Returns'!BL11)+(Dashboard!$C$8*'Equity and Bond Returns'!FJ11)</f>
        <v>4.2617876654557622E-2</v>
      </c>
      <c r="BA11" s="122">
        <f ca="1">(Dashboard!$C$7*'Equity and Bond Returns'!BM11)+(Dashboard!$C$8*'Equity and Bond Returns'!FK11)</f>
        <v>0.19963339614670952</v>
      </c>
      <c r="BB11" s="122">
        <f ca="1">(Dashboard!$C$7*'Equity and Bond Returns'!BN11)+(Dashboard!$C$8*'Equity and Bond Returns'!FL11)</f>
        <v>9.1460708449083133E-2</v>
      </c>
      <c r="BC11" s="122">
        <f ca="1">(Dashboard!$C$7*'Equity and Bond Returns'!BO11)+(Dashboard!$C$8*'Equity and Bond Returns'!FM11)</f>
        <v>4.9872938415227434E-2</v>
      </c>
      <c r="BD11" s="122">
        <f ca="1">(Dashboard!$C$7*'Equity and Bond Returns'!BP11)+(Dashboard!$C$8*'Equity and Bond Returns'!FN11)</f>
        <v>0.12270947516908508</v>
      </c>
      <c r="BE11" s="122">
        <f ca="1">(Dashboard!$C$7*'Equity and Bond Returns'!BQ11)+(Dashboard!$C$8*'Equity and Bond Returns'!FO11)</f>
        <v>0.10122642877172139</v>
      </c>
      <c r="BF11" s="122">
        <f ca="1">(Dashboard!$C$7*'Equity and Bond Returns'!BR11)+(Dashboard!$C$8*'Equity and Bond Returns'!FP11)</f>
        <v>3.3346540692308219E-3</v>
      </c>
      <c r="BG11" s="122">
        <f ca="1">(Dashboard!$C$7*'Equity and Bond Returns'!BS11)+(Dashboard!$C$8*'Equity and Bond Returns'!FQ11)</f>
        <v>-0.12208323726893909</v>
      </c>
      <c r="BH11" s="122">
        <f ca="1">(Dashboard!$C$7*'Equity and Bond Returns'!BT11)+(Dashboard!$C$8*'Equity and Bond Returns'!FR11)</f>
        <v>0.14315542285447586</v>
      </c>
      <c r="BI11" s="122">
        <f ca="1">(Dashboard!$C$7*'Equity and Bond Returns'!BU11)+(Dashboard!$C$8*'Equity and Bond Returns'!FS11)</f>
        <v>3.0044614571096834E-2</v>
      </c>
      <c r="BJ11" s="122">
        <f ca="1">(Dashboard!$C$7*'Equity and Bond Returns'!BV11)+(Dashboard!$C$8*'Equity and Bond Returns'!FT11)</f>
        <v>9.0570959291753877E-2</v>
      </c>
      <c r="BK11" s="122">
        <f ca="1">(Dashboard!$C$7*'Equity and Bond Returns'!BW11)+(Dashboard!$C$8*'Equity and Bond Returns'!FU11)</f>
        <v>-2.9436726257210936E-2</v>
      </c>
      <c r="BL11" s="122">
        <f ca="1">(Dashboard!$C$7*'Equity and Bond Returns'!BX11)+(Dashboard!$C$8*'Equity and Bond Returns'!FV11)</f>
        <v>0.19614058927907227</v>
      </c>
      <c r="BM11" s="122">
        <f ca="1">(Dashboard!$C$7*'Equity and Bond Returns'!BY11)+(Dashboard!$C$8*'Equity and Bond Returns'!FW11)</f>
        <v>-2.1712719165321165E-2</v>
      </c>
      <c r="BN11" s="122">
        <f ca="1">(Dashboard!$C$7*'Equity and Bond Returns'!BZ11)+(Dashboard!$C$8*'Equity and Bond Returns'!FX11)</f>
        <v>0.19192751002583991</v>
      </c>
      <c r="BO11" s="122">
        <f ca="1">(Dashboard!$C$7*'Equity and Bond Returns'!CA11)+(Dashboard!$C$8*'Equity and Bond Returns'!FY11)</f>
        <v>-1.1097947627976557E-3</v>
      </c>
      <c r="BP11" s="122">
        <f ca="1">(Dashboard!$C$7*'Equity and Bond Returns'!CB11)+(Dashboard!$C$8*'Equity and Bond Returns'!FZ11)</f>
        <v>0.26480100384602623</v>
      </c>
      <c r="BQ11" s="122">
        <f ca="1">(Dashboard!$C$7*'Equity and Bond Returns'!CC11)+(Dashboard!$C$8*'Equity and Bond Returns'!GA11)</f>
        <v>0.29139767503688219</v>
      </c>
      <c r="BR11" s="122">
        <f ca="1">(Dashboard!$C$7*'Equity and Bond Returns'!CD11)+(Dashboard!$C$8*'Equity and Bond Returns'!GB11)</f>
        <v>1.1229099045866615E-2</v>
      </c>
      <c r="BS11" s="122">
        <f ca="1">(Dashboard!$C$7*'Equity and Bond Returns'!CE11)+(Dashboard!$C$8*'Equity and Bond Returns'!GC11)</f>
        <v>-3.9838852823836528E-2</v>
      </c>
      <c r="BT11" s="122">
        <f ca="1">(Dashboard!$C$7*'Equity and Bond Returns'!CF11)+(Dashboard!$C$8*'Equity and Bond Returns'!GD11)</f>
        <v>0.31621750342794258</v>
      </c>
      <c r="BU11" s="122">
        <f ca="1">(Dashboard!$C$7*'Equity and Bond Returns'!CG11)+(Dashboard!$C$8*'Equity and Bond Returns'!GE11)</f>
        <v>-6.2963254199877888E-2</v>
      </c>
      <c r="BV11" s="122">
        <f ca="1">(Dashboard!$C$7*'Equity and Bond Returns'!CH11)+(Dashboard!$C$8*'Equity and Bond Returns'!GF11)</f>
        <v>8.081053831040759E-2</v>
      </c>
      <c r="BW11" s="122">
        <f ca="1">(Dashboard!$C$7*'Equity and Bond Returns'!CI11)+(Dashboard!$C$8*'Equity and Bond Returns'!GG11)</f>
        <v>-3.141004562767824E-2</v>
      </c>
      <c r="BX11" s="122">
        <f ca="1">(Dashboard!$C$7*'Equity and Bond Returns'!CJ11)+(Dashboard!$C$8*'Equity and Bond Returns'!GH11)</f>
        <v>2.779493092576386E-2</v>
      </c>
      <c r="BY11" s="122">
        <f ca="1">(Dashboard!$C$7*'Equity and Bond Returns'!CK11)+(Dashboard!$C$8*'Equity and Bond Returns'!GI11)</f>
        <v>0.30934692953872395</v>
      </c>
      <c r="BZ11" s="122">
        <f ca="1">(Dashboard!$C$7*'Equity and Bond Returns'!CL11)+(Dashboard!$C$8*'Equity and Bond Returns'!GJ11)</f>
        <v>-0.13540728583776568</v>
      </c>
      <c r="CA11" s="122">
        <f ca="1">(Dashboard!$C$7*'Equity and Bond Returns'!CM11)+(Dashboard!$C$8*'Equity and Bond Returns'!GK11)</f>
        <v>0.1699173529284515</v>
      </c>
      <c r="CB11" s="122">
        <f ca="1">(Dashboard!$C$7*'Equity and Bond Returns'!CN11)+(Dashboard!$C$8*'Equity and Bond Returns'!GL11)</f>
        <v>-3.7158260152355481E-2</v>
      </c>
      <c r="CC11" s="122">
        <f ca="1">(Dashboard!$C$7*'Equity and Bond Returns'!CO11)+(Dashboard!$C$8*'Equity and Bond Returns'!GM11)</f>
        <v>2.4601233307262656E-2</v>
      </c>
      <c r="CD11" s="122">
        <f ca="1">(Dashboard!$C$7*'Equity and Bond Returns'!CP11)+(Dashboard!$C$8*'Equity and Bond Returns'!GN11)</f>
        <v>0.2984407173821097</v>
      </c>
      <c r="CE11" s="122">
        <f ca="1">(Dashboard!$C$7*'Equity and Bond Returns'!CQ11)+(Dashboard!$C$8*'Equity and Bond Returns'!GO11)</f>
        <v>0.22742560052829083</v>
      </c>
      <c r="CF11" s="122">
        <f ca="1">(Dashboard!$C$7*'Equity and Bond Returns'!CR11)+(Dashboard!$C$8*'Equity and Bond Returns'!GP11)</f>
        <v>0.15742528461776975</v>
      </c>
      <c r="CG11" s="122">
        <f ca="1">(Dashboard!$C$7*'Equity and Bond Returns'!CS11)+(Dashboard!$C$8*'Equity and Bond Returns'!GQ11)</f>
        <v>0.1828796292809079</v>
      </c>
      <c r="CH11" s="122">
        <f ca="1">(Dashboard!$C$7*'Equity and Bond Returns'!CT11)+(Dashboard!$C$8*'Equity and Bond Returns'!GR11)</f>
        <v>4.8791010241923463E-2</v>
      </c>
      <c r="CI11" s="122">
        <f ca="1">(Dashboard!$C$7*'Equity and Bond Returns'!CU11)+(Dashboard!$C$8*'Equity and Bond Returns'!GS11)</f>
        <v>0.30206833839973413</v>
      </c>
      <c r="CJ11" s="122">
        <f ca="1">(Dashboard!$C$7*'Equity and Bond Returns'!CV11)+(Dashboard!$C$8*'Equity and Bond Returns'!GT11)</f>
        <v>8.9061319744590001E-2</v>
      </c>
      <c r="CK11" s="122">
        <f ca="1">(Dashboard!$C$7*'Equity and Bond Returns'!CW11)+(Dashboard!$C$8*'Equity and Bond Returns'!GU11)</f>
        <v>-0.16639496308976176</v>
      </c>
      <c r="CL11" s="122">
        <f ca="1">(Dashboard!$C$7*'Equity and Bond Returns'!CX11)+(Dashboard!$C$8*'Equity and Bond Returns'!GV11)</f>
        <v>-0.12401791976918189</v>
      </c>
      <c r="CM11" s="122">
        <f ca="1">(Dashboard!$C$7*'Equity and Bond Returns'!CY11)+(Dashboard!$C$8*'Equity and Bond Returns'!GW11)</f>
        <v>4.9860794828910933E-2</v>
      </c>
      <c r="CN11" s="122">
        <f ca="1">(Dashboard!$C$7*'Equity and Bond Returns'!CZ11)+(Dashboard!$C$8*'Equity and Bond Returns'!GX11)</f>
        <v>-1.4712575678947529E-2</v>
      </c>
      <c r="CO11" s="122">
        <f ca="1">(Dashboard!$C$7*'Equity and Bond Returns'!DA11)+(Dashboard!$C$8*'Equity and Bond Returns'!GY11)</f>
        <v>-3.2282160491069078E-2</v>
      </c>
      <c r="CP11" s="122">
        <f ca="1">(Dashboard!$C$7*'Equity and Bond Returns'!DB11)+(Dashboard!$C$8*'Equity and Bond Returns'!GZ11)</f>
        <v>-0.14369249229286712</v>
      </c>
      <c r="CQ11" s="122">
        <f ca="1">(Dashboard!$C$7*'Equity and Bond Returns'!DC11)+(Dashboard!$C$8*'Equity and Bond Returns'!HA11)</f>
        <v>6.7515664605947684E-2</v>
      </c>
      <c r="CR11" s="122">
        <f ca="1">(Dashboard!$C$7*'Equity and Bond Returns'!DD11)+(Dashboard!$C$8*'Equity and Bond Returns'!HB11)</f>
        <v>0.12337040300745286</v>
      </c>
      <c r="CS11" s="122">
        <f ca="1">(Dashboard!$C$7*'Equity and Bond Returns'!DE11)+(Dashboard!$C$8*'Equity and Bond Returns'!HC11)</f>
        <v>7.2428954827432016E-2</v>
      </c>
      <c r="CT11" s="122">
        <f ca="1">(Dashboard!$C$7*'Equity and Bond Returns'!DF11)+(Dashboard!$C$8*'Equity and Bond Returns'!HD11)</f>
        <v>0.17590487626997192</v>
      </c>
      <c r="CU11" s="122">
        <f ca="1">(Dashboard!$C$7*'Equity and Bond Returns'!DG11)+(Dashboard!$C$8*'Equity and Bond Returns'!HE11)</f>
        <v>-3.0272133436022454E-2</v>
      </c>
      <c r="CV11" s="122">
        <f ca="1">(Dashboard!$C$7*'Equity and Bond Returns'!DH11)+(Dashboard!$C$8*'Equity and Bond Returns'!HF11)</f>
        <v>9.2090231657617483E-2</v>
      </c>
      <c r="CW11" s="122">
        <f ca="1">(Dashboard!$C$7*'Equity and Bond Returns'!DI11)+(Dashboard!$C$8*'Equity and Bond Returns'!HG11)</f>
        <v>0.26903488743291354</v>
      </c>
      <c r="CY11" s="147">
        <f t="shared" si="5"/>
        <v>60</v>
      </c>
      <c r="CZ11" s="148">
        <v>10</v>
      </c>
      <c r="DA11" s="126">
        <f ca="1">MAX(DA10*(1+B11)-(Dashboard!$C$11)/(1-Dashboard!$C$17)*((1+Dashboard!$C$12)^$CZ11),0)</f>
        <v>2509901.7744934014</v>
      </c>
      <c r="DB11" s="126">
        <f ca="1">MAX(DB10*(1+C11)-(Dashboard!$C$11)/(1-Dashboard!$C$17)*((1+Dashboard!$C$12)^$CZ11),0)</f>
        <v>588317.25253364071</v>
      </c>
      <c r="DC11" s="126">
        <f ca="1">MAX(DC10*(1+D11)-(Dashboard!$C$11)/(1-Dashboard!$C$17)*((1+Dashboard!$C$12)^$CZ11),0)</f>
        <v>1041546.2831912998</v>
      </c>
      <c r="DD11" s="126">
        <f ca="1">MAX(DD10*(1+E11)-(Dashboard!$C$11)/(1-Dashboard!$C$17)*((1+Dashboard!$C$12)^$CZ11),0)</f>
        <v>741839.33783771517</v>
      </c>
      <c r="DE11" s="126">
        <f ca="1">MAX(DE10*(1+F11)-(Dashboard!$C$11)/(1-Dashboard!$C$17)*((1+Dashboard!$C$12)^$CZ11),0)</f>
        <v>2081528.2856635926</v>
      </c>
      <c r="DF11" s="126">
        <f ca="1">MAX(DF10*(1+G11)-(Dashboard!$C$11)/(1-Dashboard!$C$17)*((1+Dashboard!$C$12)^$CZ11),0)</f>
        <v>3104261.2238901388</v>
      </c>
      <c r="DG11" s="126">
        <f ca="1">MAX(DG10*(1+H11)-(Dashboard!$C$11)/(1-Dashboard!$C$17)*((1+Dashboard!$C$12)^$CZ11),0)</f>
        <v>443866.76241570339</v>
      </c>
      <c r="DH11" s="126">
        <f ca="1">MAX(DH10*(1+I11)-(Dashboard!$C$11)/(1-Dashboard!$C$17)*((1+Dashboard!$C$12)^$CZ11),0)</f>
        <v>1116057.2458373581</v>
      </c>
      <c r="DI11" s="126">
        <f ca="1">MAX(DI10*(1+J11)-(Dashboard!$C$11)/(1-Dashboard!$C$17)*((1+Dashboard!$C$12)^$CZ11),0)</f>
        <v>1180649.6960514879</v>
      </c>
      <c r="DJ11" s="126">
        <f ca="1">MAX(DJ10*(1+K11)-(Dashboard!$C$11)/(1-Dashboard!$C$17)*((1+Dashboard!$C$12)^$CZ11),0)</f>
        <v>1262257.0895920966</v>
      </c>
      <c r="DK11" s="126">
        <f ca="1">MAX(DK10*(1+L11)-(Dashboard!$C$11)/(1-Dashboard!$C$17)*((1+Dashboard!$C$12)^$CZ11),0)</f>
        <v>2779151.2629503389</v>
      </c>
      <c r="DL11" s="126">
        <f ca="1">MAX(DL10*(1+M11)-(Dashboard!$C$11)/(1-Dashboard!$C$17)*((1+Dashboard!$C$12)^$CZ11),0)</f>
        <v>1237348.4812052548</v>
      </c>
      <c r="DM11" s="126">
        <f ca="1">MAX(DM10*(1+N11)-(Dashboard!$C$11)/(1-Dashboard!$C$17)*((1+Dashboard!$C$12)^$CZ11),0)</f>
        <v>1502960.8472857219</v>
      </c>
      <c r="DN11" s="126">
        <f ca="1">MAX(DN10*(1+O11)-(Dashboard!$C$11)/(1-Dashboard!$C$17)*((1+Dashboard!$C$12)^$CZ11),0)</f>
        <v>3447158.9978747517</v>
      </c>
      <c r="DO11" s="126">
        <f ca="1">MAX(DO10*(1+P11)-(Dashboard!$C$11)/(1-Dashboard!$C$17)*((1+Dashboard!$C$12)^$CZ11),0)</f>
        <v>1670824.5111961716</v>
      </c>
      <c r="DP11" s="126">
        <f ca="1">MAX(DP10*(1+Q11)-(Dashboard!$C$11)/(1-Dashboard!$C$17)*((1+Dashboard!$C$12)^$CZ11),0)</f>
        <v>1820117.5196872882</v>
      </c>
      <c r="DQ11" s="126">
        <f ca="1">MAX(DQ10*(1+R11)-(Dashboard!$C$11)/(1-Dashboard!$C$17)*((1+Dashboard!$C$12)^$CZ11),0)</f>
        <v>1477319.268841329</v>
      </c>
      <c r="DR11" s="126">
        <f ca="1">MAX(DR10*(1+S11)-(Dashboard!$C$11)/(1-Dashboard!$C$17)*((1+Dashboard!$C$12)^$CZ11),0)</f>
        <v>1797601.5948181988</v>
      </c>
      <c r="DS11" s="126">
        <f ca="1">MAX(DS10*(1+T11)-(Dashboard!$C$11)/(1-Dashboard!$C$17)*((1+Dashboard!$C$12)^$CZ11),0)</f>
        <v>1564087.412088756</v>
      </c>
      <c r="DT11" s="126">
        <f ca="1">MAX(DT10*(1+U11)-(Dashboard!$C$11)/(1-Dashboard!$C$17)*((1+Dashboard!$C$12)^$CZ11),0)</f>
        <v>1231320.3931226844</v>
      </c>
      <c r="DU11" s="126">
        <f ca="1">MAX(DU10*(1+V11)-(Dashboard!$C$11)/(1-Dashboard!$C$17)*((1+Dashboard!$C$12)^$CZ11),0)</f>
        <v>1734344.2169322388</v>
      </c>
      <c r="DV11" s="126">
        <f ca="1">MAX(DV10*(1+W11)-(Dashboard!$C$11)/(1-Dashboard!$C$17)*((1+Dashboard!$C$12)^$CZ11),0)</f>
        <v>1746132.4722504467</v>
      </c>
      <c r="DW11" s="126">
        <f ca="1">MAX(DW10*(1+X11)-(Dashboard!$C$11)/(1-Dashboard!$C$17)*((1+Dashboard!$C$12)^$CZ11),0)</f>
        <v>1752563.4202561611</v>
      </c>
      <c r="DX11" s="126">
        <f ca="1">MAX(DX10*(1+Y11)-(Dashboard!$C$11)/(1-Dashboard!$C$17)*((1+Dashboard!$C$12)^$CZ11),0)</f>
        <v>852276.34063190524</v>
      </c>
      <c r="DY11" s="126">
        <f ca="1">MAX(DY10*(1+Z11)-(Dashboard!$C$11)/(1-Dashboard!$C$17)*((1+Dashboard!$C$12)^$CZ11),0)</f>
        <v>1882134.9368051211</v>
      </c>
      <c r="DZ11" s="126">
        <f ca="1">MAX(DZ10*(1+AA11)-(Dashboard!$C$11)/(1-Dashboard!$C$17)*((1+Dashboard!$C$12)^$CZ11),0)</f>
        <v>478647.38039364276</v>
      </c>
      <c r="EA11" s="126">
        <f ca="1">MAX(EA10*(1+AB11)-(Dashboard!$C$11)/(1-Dashboard!$C$17)*((1+Dashboard!$C$12)^$CZ11),0)</f>
        <v>1126837.9191812603</v>
      </c>
      <c r="EB11" s="126">
        <f ca="1">MAX(EB10*(1+AC11)-(Dashboard!$C$11)/(1-Dashboard!$C$17)*((1+Dashboard!$C$12)^$CZ11),0)</f>
        <v>1315777.1346800334</v>
      </c>
      <c r="EC11" s="126">
        <f ca="1">MAX(EC10*(1+AD11)-(Dashboard!$C$11)/(1-Dashboard!$C$17)*((1+Dashboard!$C$12)^$CZ11),0)</f>
        <v>1979945.1554604257</v>
      </c>
      <c r="ED11" s="126">
        <f ca="1">MAX(ED10*(1+AE11)-(Dashboard!$C$11)/(1-Dashboard!$C$17)*((1+Dashboard!$C$12)^$CZ11),0)</f>
        <v>2848986.652106218</v>
      </c>
      <c r="EE11" s="126">
        <f ca="1">MAX(EE10*(1+AF11)-(Dashboard!$C$11)/(1-Dashboard!$C$17)*((1+Dashboard!$C$12)^$CZ11),0)</f>
        <v>1386456.5920497577</v>
      </c>
      <c r="EF11" s="126">
        <f ca="1">MAX(EF10*(1+AG11)-(Dashboard!$C$11)/(1-Dashboard!$C$17)*((1+Dashboard!$C$12)^$CZ11),0)</f>
        <v>1888946.7875861623</v>
      </c>
      <c r="EG11" s="126">
        <f ca="1">MAX(EG10*(1+AH11)-(Dashboard!$C$11)/(1-Dashboard!$C$17)*((1+Dashboard!$C$12)^$CZ11),0)</f>
        <v>1938886.2267174688</v>
      </c>
      <c r="EH11" s="126">
        <f ca="1">MAX(EH10*(1+AI11)-(Dashboard!$C$11)/(1-Dashboard!$C$17)*((1+Dashboard!$C$12)^$CZ11),0)</f>
        <v>1530369.8066958603</v>
      </c>
      <c r="EI11" s="126">
        <f ca="1">MAX(EI10*(1+AJ11)-(Dashboard!$C$11)/(1-Dashboard!$C$17)*((1+Dashboard!$C$12)^$CZ11),0)</f>
        <v>703012.60783588863</v>
      </c>
      <c r="EJ11" s="126">
        <f ca="1">MAX(EJ10*(1+AK11)-(Dashboard!$C$11)/(1-Dashboard!$C$17)*((1+Dashboard!$C$12)^$CZ11),0)</f>
        <v>2211504.1536582871</v>
      </c>
      <c r="EK11" s="126">
        <f ca="1">MAX(EK10*(1+AL11)-(Dashboard!$C$11)/(1-Dashboard!$C$17)*((1+Dashboard!$C$12)^$CZ11),0)</f>
        <v>1842543.2799899082</v>
      </c>
      <c r="EL11" s="126">
        <f ca="1">MAX(EL10*(1+AM11)-(Dashboard!$C$11)/(1-Dashboard!$C$17)*((1+Dashboard!$C$12)^$CZ11),0)</f>
        <v>1034703.8652149902</v>
      </c>
      <c r="EM11" s="126">
        <f ca="1">MAX(EM10*(1+AN11)-(Dashboard!$C$11)/(1-Dashboard!$C$17)*((1+Dashboard!$C$12)^$CZ11),0)</f>
        <v>2596441.7130675535</v>
      </c>
      <c r="EN11" s="126">
        <f ca="1">MAX(EN10*(1+AO11)-(Dashboard!$C$11)/(1-Dashboard!$C$17)*((1+Dashboard!$C$12)^$CZ11),0)</f>
        <v>2204074.6955141798</v>
      </c>
      <c r="EO11" s="126">
        <f ca="1">MAX(EO10*(1+AP11)-(Dashboard!$C$11)/(1-Dashboard!$C$17)*((1+Dashboard!$C$12)^$CZ11),0)</f>
        <v>1109870.9095935347</v>
      </c>
      <c r="EP11" s="126">
        <f ca="1">MAX(EP10*(1+AQ11)-(Dashboard!$C$11)/(1-Dashboard!$C$17)*((1+Dashboard!$C$12)^$CZ11),0)</f>
        <v>1262486.2554134941</v>
      </c>
      <c r="EQ11" s="126">
        <f ca="1">MAX(EQ10*(1+AR11)-(Dashboard!$C$11)/(1-Dashboard!$C$17)*((1+Dashboard!$C$12)^$CZ11),0)</f>
        <v>894741.20976091269</v>
      </c>
      <c r="ER11" s="126">
        <f ca="1">MAX(ER10*(1+AS11)-(Dashboard!$C$11)/(1-Dashboard!$C$17)*((1+Dashboard!$C$12)^$CZ11),0)</f>
        <v>1122470.4982362706</v>
      </c>
      <c r="ES11" s="126">
        <f ca="1">MAX(ES10*(1+AT11)-(Dashboard!$C$11)/(1-Dashboard!$C$17)*((1+Dashboard!$C$12)^$CZ11),0)</f>
        <v>651138.21020778152</v>
      </c>
      <c r="ET11" s="126">
        <f ca="1">MAX(ET10*(1+AU11)-(Dashboard!$C$11)/(1-Dashboard!$C$17)*((1+Dashboard!$C$12)^$CZ11),0)</f>
        <v>1341753.2699350393</v>
      </c>
      <c r="EU11" s="126">
        <f ca="1">MAX(EU10*(1+AV11)-(Dashboard!$C$11)/(1-Dashboard!$C$17)*((1+Dashboard!$C$12)^$CZ11),0)</f>
        <v>978918.48384031537</v>
      </c>
      <c r="EV11" s="126">
        <f ca="1">MAX(EV10*(1+AW11)-(Dashboard!$C$11)/(1-Dashboard!$C$17)*((1+Dashboard!$C$12)^$CZ11),0)</f>
        <v>2863386.7706735162</v>
      </c>
      <c r="EW11" s="126">
        <f ca="1">MAX(EW10*(1+AX11)-(Dashboard!$C$11)/(1-Dashboard!$C$17)*((1+Dashboard!$C$12)^$CZ11),0)</f>
        <v>1387084.6412147519</v>
      </c>
      <c r="EX11" s="126">
        <f ca="1">MAX(EX10*(1+AY11)-(Dashboard!$C$11)/(1-Dashboard!$C$17)*((1+Dashboard!$C$12)^$CZ11),0)</f>
        <v>2174241.1383304163</v>
      </c>
      <c r="EY11" s="126">
        <f ca="1">MAX(EY10*(1+AZ11)-(Dashboard!$C$11)/(1-Dashboard!$C$17)*((1+Dashboard!$C$12)^$CZ11),0)</f>
        <v>2056094.5641901924</v>
      </c>
      <c r="EZ11" s="126">
        <f ca="1">MAX(EZ10*(1+BA11)-(Dashboard!$C$11)/(1-Dashboard!$C$17)*((1+Dashboard!$C$12)^$CZ11),0)</f>
        <v>1050615.6183775421</v>
      </c>
      <c r="FA11" s="126">
        <f ca="1">MAX(FA10*(1+BB11)-(Dashboard!$C$11)/(1-Dashboard!$C$17)*((1+Dashboard!$C$12)^$CZ11),0)</f>
        <v>1549848.8208423995</v>
      </c>
      <c r="FB11" s="126">
        <f ca="1">MAX(FB10*(1+BC11)-(Dashboard!$C$11)/(1-Dashboard!$C$17)*((1+Dashboard!$C$12)^$CZ11),0)</f>
        <v>1129063.4442751897</v>
      </c>
      <c r="FC11" s="126">
        <f ca="1">MAX(FC10*(1+BD11)-(Dashboard!$C$11)/(1-Dashboard!$C$17)*((1+Dashboard!$C$12)^$CZ11),0)</f>
        <v>1209524.1040139922</v>
      </c>
      <c r="FD11" s="126">
        <f ca="1">MAX(FD10*(1+BE11)-(Dashboard!$C$11)/(1-Dashboard!$C$17)*((1+Dashboard!$C$12)^$CZ11),0)</f>
        <v>1868372.5060650229</v>
      </c>
      <c r="FE11" s="126">
        <f ca="1">MAX(FE10*(1+BF11)-(Dashboard!$C$11)/(1-Dashboard!$C$17)*((1+Dashboard!$C$12)^$CZ11),0)</f>
        <v>2098446.3599373661</v>
      </c>
      <c r="FF11" s="126">
        <f ca="1">MAX(FF10*(1+BG11)-(Dashboard!$C$11)/(1-Dashboard!$C$17)*((1+Dashboard!$C$12)^$CZ11),0)</f>
        <v>2027410.4632911736</v>
      </c>
      <c r="FG11" s="126">
        <f ca="1">MAX(FG10*(1+BH11)-(Dashboard!$C$11)/(1-Dashboard!$C$17)*((1+Dashboard!$C$12)^$CZ11),0)</f>
        <v>2935401.3568819682</v>
      </c>
      <c r="FH11" s="126">
        <f ca="1">MAX(FH10*(1+BI11)-(Dashboard!$C$11)/(1-Dashboard!$C$17)*((1+Dashboard!$C$12)^$CZ11),0)</f>
        <v>1010931.2662799156</v>
      </c>
      <c r="FI11" s="126">
        <f ca="1">MAX(FI10*(1+BJ11)-(Dashboard!$C$11)/(1-Dashboard!$C$17)*((1+Dashboard!$C$12)^$CZ11),0)</f>
        <v>1752573.9347966018</v>
      </c>
      <c r="FJ11" s="126">
        <f ca="1">MAX(FJ10*(1+BK11)-(Dashboard!$C$11)/(1-Dashboard!$C$17)*((1+Dashboard!$C$12)^$CZ11),0)</f>
        <v>807864.76493347739</v>
      </c>
      <c r="FK11" s="126">
        <f ca="1">MAX(FK10*(1+BL11)-(Dashboard!$C$11)/(1-Dashboard!$C$17)*((1+Dashboard!$C$12)^$CZ11),0)</f>
        <v>1483542.2794285847</v>
      </c>
      <c r="FL11" s="126">
        <f ca="1">MAX(FL10*(1+BM11)-(Dashboard!$C$11)/(1-Dashboard!$C$17)*((1+Dashboard!$C$12)^$CZ11),0)</f>
        <v>2644490.6515418682</v>
      </c>
      <c r="FM11" s="126">
        <f ca="1">MAX(FM10*(1+BN11)-(Dashboard!$C$11)/(1-Dashboard!$C$17)*((1+Dashboard!$C$12)^$CZ11),0)</f>
        <v>2303098.9287538691</v>
      </c>
      <c r="FN11" s="126">
        <f ca="1">MAX(FN10*(1+BO11)-(Dashboard!$C$11)/(1-Dashboard!$C$17)*((1+Dashboard!$C$12)^$CZ11),0)</f>
        <v>788986.54225537297</v>
      </c>
      <c r="FO11" s="126">
        <f ca="1">MAX(FO10*(1+BP11)-(Dashboard!$C$11)/(1-Dashboard!$C$17)*((1+Dashboard!$C$12)^$CZ11),0)</f>
        <v>1959420.4266084686</v>
      </c>
      <c r="FP11" s="126">
        <f ca="1">MAX(FP10*(1+BQ11)-(Dashboard!$C$11)/(1-Dashboard!$C$17)*((1+Dashboard!$C$12)^$CZ11),0)</f>
        <v>1901165.5385139477</v>
      </c>
      <c r="FQ11" s="126">
        <f ca="1">MAX(FQ10*(1+BR11)-(Dashboard!$C$11)/(1-Dashboard!$C$17)*((1+Dashboard!$C$12)^$CZ11),0)</f>
        <v>2989215.5481694015</v>
      </c>
      <c r="FR11" s="126">
        <f ca="1">MAX(FR10*(1+BS11)-(Dashboard!$C$11)/(1-Dashboard!$C$17)*((1+Dashboard!$C$12)^$CZ11),0)</f>
        <v>3056025.7987206699</v>
      </c>
      <c r="FS11" s="126">
        <f ca="1">MAX(FS10*(1+BT11)-(Dashboard!$C$11)/(1-Dashboard!$C$17)*((1+Dashboard!$C$12)^$CZ11),0)</f>
        <v>2405607.906431498</v>
      </c>
      <c r="FT11" s="126">
        <f ca="1">MAX(FT10*(1+BU11)-(Dashboard!$C$11)/(1-Dashboard!$C$17)*((1+Dashboard!$C$12)^$CZ11),0)</f>
        <v>1067088.036769418</v>
      </c>
      <c r="FU11" s="126">
        <f ca="1">MAX(FU10*(1+BV11)-(Dashboard!$C$11)/(1-Dashboard!$C$17)*((1+Dashboard!$C$12)^$CZ11),0)</f>
        <v>1811356.6481284823</v>
      </c>
      <c r="FV11" s="126">
        <f ca="1">MAX(FV10*(1+BW11)-(Dashboard!$C$11)/(1-Dashboard!$C$17)*((1+Dashboard!$C$12)^$CZ11),0)</f>
        <v>483993.81442997552</v>
      </c>
      <c r="FW11" s="126">
        <f ca="1">MAX(FW10*(1+BX11)-(Dashboard!$C$11)/(1-Dashboard!$C$17)*((1+Dashboard!$C$12)^$CZ11),0)</f>
        <v>1994305.1343433578</v>
      </c>
      <c r="FX11" s="126">
        <f ca="1">MAX(FX10*(1+BY11)-(Dashboard!$C$11)/(1-Dashboard!$C$17)*((1+Dashboard!$C$12)^$CZ11),0)</f>
        <v>1432870.4672847069</v>
      </c>
      <c r="FY11" s="126">
        <f ca="1">MAX(FY10*(1+BZ11)-(Dashboard!$C$11)/(1-Dashboard!$C$17)*((1+Dashboard!$C$12)^$CZ11),0)</f>
        <v>911870.00518223247</v>
      </c>
      <c r="FZ11" s="126">
        <f ca="1">MAX(FZ10*(1+CA11)-(Dashboard!$C$11)/(1-Dashboard!$C$17)*((1+Dashboard!$C$12)^$CZ11),0)</f>
        <v>1445157.78715839</v>
      </c>
      <c r="GA11" s="126">
        <f ca="1">MAX(GA10*(1+CB11)-(Dashboard!$C$11)/(1-Dashboard!$C$17)*((1+Dashboard!$C$12)^$CZ11),0)</f>
        <v>3216650.5151522821</v>
      </c>
      <c r="GB11" s="126">
        <f ca="1">MAX(GB10*(1+CC11)-(Dashboard!$C$11)/(1-Dashboard!$C$17)*((1+Dashboard!$C$12)^$CZ11),0)</f>
        <v>1311434.0981969787</v>
      </c>
      <c r="GC11" s="126">
        <f ca="1">MAX(GC10*(1+CD11)-(Dashboard!$C$11)/(1-Dashboard!$C$17)*((1+Dashboard!$C$12)^$CZ11),0)</f>
        <v>2231740.2854988892</v>
      </c>
      <c r="GD11" s="126">
        <f ca="1">MAX(GD10*(1+CE11)-(Dashboard!$C$11)/(1-Dashboard!$C$17)*((1+Dashboard!$C$12)^$CZ11),0)</f>
        <v>1702073.8208575123</v>
      </c>
      <c r="GE11" s="126">
        <f ca="1">MAX(GE10*(1+CF11)-(Dashboard!$C$11)/(1-Dashboard!$C$17)*((1+Dashboard!$C$12)^$CZ11),0)</f>
        <v>1140858.9659256916</v>
      </c>
      <c r="GF11" s="126">
        <f ca="1">MAX(GF10*(1+CG11)-(Dashboard!$C$11)/(1-Dashboard!$C$17)*((1+Dashboard!$C$12)^$CZ11),0)</f>
        <v>3241923.7569146473</v>
      </c>
      <c r="GG11" s="126">
        <f ca="1">MAX(GG10*(1+CH11)-(Dashboard!$C$11)/(1-Dashboard!$C$17)*((1+Dashboard!$C$12)^$CZ11),0)</f>
        <v>567355.46569385077</v>
      </c>
      <c r="GH11" s="126">
        <f ca="1">MAX(GH10*(1+CI11)-(Dashboard!$C$11)/(1-Dashboard!$C$17)*((1+Dashboard!$C$12)^$CZ11),0)</f>
        <v>931449.94497383083</v>
      </c>
      <c r="GI11" s="126">
        <f ca="1">MAX(GI10*(1+CJ11)-(Dashboard!$C$11)/(1-Dashboard!$C$17)*((1+Dashboard!$C$12)^$CZ11),0)</f>
        <v>731896.08074478363</v>
      </c>
      <c r="GJ11" s="126">
        <f ca="1">MAX(GJ10*(1+CK11)-(Dashboard!$C$11)/(1-Dashboard!$C$17)*((1+Dashboard!$C$12)^$CZ11),0)</f>
        <v>1520829.8562469974</v>
      </c>
      <c r="GK11" s="126">
        <f ca="1">MAX(GK10*(1+CL11)-(Dashboard!$C$11)/(1-Dashboard!$C$17)*((1+Dashboard!$C$12)^$CZ11),0)</f>
        <v>2461596.1527451002</v>
      </c>
      <c r="GL11" s="126">
        <f ca="1">MAX(GL10*(1+CM11)-(Dashboard!$C$11)/(1-Dashboard!$C$17)*((1+Dashboard!$C$12)^$CZ11),0)</f>
        <v>2655320.8053648253</v>
      </c>
      <c r="GM11" s="126">
        <f ca="1">MAX(GM10*(1+CN11)-(Dashboard!$C$11)/(1-Dashboard!$C$17)*((1+Dashboard!$C$12)^$CZ11),0)</f>
        <v>1224496.711279396</v>
      </c>
      <c r="GN11" s="126">
        <f ca="1">MAX(GN10*(1+CO11)-(Dashboard!$C$11)/(1-Dashboard!$C$17)*((1+Dashboard!$C$12)^$CZ11),0)</f>
        <v>663894.1415978719</v>
      </c>
      <c r="GO11" s="126">
        <f ca="1">MAX(GO10*(1+CP11)-(Dashboard!$C$11)/(1-Dashboard!$C$17)*((1+Dashboard!$C$12)^$CZ11),0)</f>
        <v>1770529.2970695954</v>
      </c>
      <c r="GP11" s="126">
        <f ca="1">MAX(GP10*(1+CQ11)-(Dashboard!$C$11)/(1-Dashboard!$C$17)*((1+Dashboard!$C$12)^$CZ11),0)</f>
        <v>1239506.7663884831</v>
      </c>
      <c r="GQ11" s="126">
        <f ca="1">MAX(GQ10*(1+CR11)-(Dashboard!$C$11)/(1-Dashboard!$C$17)*((1+Dashboard!$C$12)^$CZ11),0)</f>
        <v>1141042.0144366068</v>
      </c>
      <c r="GR11" s="126">
        <f ca="1">MAX(GR10*(1+CS11)-(Dashboard!$C$11)/(1-Dashboard!$C$17)*((1+Dashboard!$C$12)^$CZ11),0)</f>
        <v>1158434.3227158641</v>
      </c>
      <c r="GS11" s="126">
        <f ca="1">MAX(GS10*(1+CT11)-(Dashboard!$C$11)/(1-Dashboard!$C$17)*((1+Dashboard!$C$12)^$CZ11),0)</f>
        <v>1660558.4386199401</v>
      </c>
      <c r="GT11" s="126">
        <f ca="1">MAX(GT10*(1+CU11)-(Dashboard!$C$11)/(1-Dashboard!$C$17)*((1+Dashboard!$C$12)^$CZ11),0)</f>
        <v>1828011.1127318821</v>
      </c>
      <c r="GU11" s="126">
        <f ca="1">MAX(GU10*(1+CV11)-(Dashboard!$C$11)/(1-Dashboard!$C$17)*((1+Dashboard!$C$12)^$CZ11),0)</f>
        <v>651822.76720788097</v>
      </c>
      <c r="GV11" s="126">
        <f ca="1">MAX(GV10*(1+CW11)-(Dashboard!$C$11)/(1-Dashboard!$C$17)*((1+Dashboard!$C$12)^$CZ11),0)</f>
        <v>912878.61756036989</v>
      </c>
      <c r="GW11" s="115">
        <f t="shared" si="4"/>
        <v>60</v>
      </c>
      <c r="GX11" s="130">
        <f t="shared" ca="1" si="2"/>
        <v>100</v>
      </c>
      <c r="HC11" s="130">
        <f t="shared" si="0"/>
        <v>60</v>
      </c>
      <c r="HD11" s="137">
        <f t="shared" ca="1" si="1"/>
        <v>1077783.7549754472</v>
      </c>
      <c r="HE11" s="137">
        <f t="shared" ca="1" si="1"/>
        <v>1493251.5633571534</v>
      </c>
      <c r="HF11" s="137">
        <f t="shared" ca="1" si="1"/>
        <v>1990715.1396226247</v>
      </c>
    </row>
    <row r="12" spans="1:214" ht="16">
      <c r="A12" s="145">
        <f t="shared" si="3"/>
        <v>61</v>
      </c>
      <c r="B12" s="122">
        <f ca="1">(Dashboard!$C$7*'Equity and Bond Returns'!N12)+(Dashboard!$C$8*'Equity and Bond Returns'!DL12)</f>
        <v>0.16727912575045153</v>
      </c>
      <c r="C12" s="122">
        <f ca="1">(Dashboard!$C$7*'Equity and Bond Returns'!O12)+(Dashboard!$C$8*'Equity and Bond Returns'!DM12)</f>
        <v>-0.14911953996976413</v>
      </c>
      <c r="D12" s="122">
        <f ca="1">(Dashboard!$C$7*'Equity and Bond Returns'!P12)+(Dashboard!$C$8*'Equity and Bond Returns'!DN12)</f>
        <v>0.33861483453259617</v>
      </c>
      <c r="E12" s="122">
        <f ca="1">(Dashboard!$C$7*'Equity and Bond Returns'!Q12)+(Dashboard!$C$8*'Equity and Bond Returns'!DO12)</f>
        <v>-4.177297369532193E-4</v>
      </c>
      <c r="F12" s="122">
        <f ca="1">(Dashboard!$C$7*'Equity and Bond Returns'!R12)+(Dashboard!$C$8*'Equity and Bond Returns'!DP12)</f>
        <v>-5.2866111760608889E-2</v>
      </c>
      <c r="G12" s="122">
        <f ca="1">(Dashboard!$C$7*'Equity and Bond Returns'!S12)+(Dashboard!$C$8*'Equity and Bond Returns'!DQ12)</f>
        <v>-0.34369439068451096</v>
      </c>
      <c r="H12" s="122">
        <f ca="1">(Dashboard!$C$7*'Equity and Bond Returns'!T12)+(Dashboard!$C$8*'Equity and Bond Returns'!DR12)</f>
        <v>0.15063553804193053</v>
      </c>
      <c r="I12" s="122">
        <f ca="1">(Dashboard!$C$7*'Equity and Bond Returns'!U12)+(Dashboard!$C$8*'Equity and Bond Returns'!DS12)</f>
        <v>-4.1338593510787988E-2</v>
      </c>
      <c r="J12" s="122">
        <f ca="1">(Dashboard!$C$7*'Equity and Bond Returns'!V12)+(Dashboard!$C$8*'Equity and Bond Returns'!DT12)</f>
        <v>1.8392347532503989E-2</v>
      </c>
      <c r="K12" s="122">
        <f ca="1">(Dashboard!$C$7*'Equity and Bond Returns'!W12)+(Dashboard!$C$8*'Equity and Bond Returns'!DU12)</f>
        <v>0.23955215737236349</v>
      </c>
      <c r="L12" s="122">
        <f ca="1">(Dashboard!$C$7*'Equity and Bond Returns'!X12)+(Dashboard!$C$8*'Equity and Bond Returns'!DV12)</f>
        <v>0.31218477323985361</v>
      </c>
      <c r="M12" s="122">
        <f ca="1">(Dashboard!$C$7*'Equity and Bond Returns'!Y12)+(Dashboard!$C$8*'Equity and Bond Returns'!DW12)</f>
        <v>-0.18507863071670547</v>
      </c>
      <c r="N12" s="122">
        <f ca="1">(Dashboard!$C$7*'Equity and Bond Returns'!Z12)+(Dashboard!$C$8*'Equity and Bond Returns'!DX12)</f>
        <v>0.22017730850194822</v>
      </c>
      <c r="O12" s="122">
        <f ca="1">(Dashboard!$C$7*'Equity and Bond Returns'!AA12)+(Dashboard!$C$8*'Equity and Bond Returns'!DY12)</f>
        <v>6.3495096336967094E-2</v>
      </c>
      <c r="P12" s="122">
        <f ca="1">(Dashboard!$C$7*'Equity and Bond Returns'!AB12)+(Dashboard!$C$8*'Equity and Bond Returns'!DZ12)</f>
        <v>0.13657285708633329</v>
      </c>
      <c r="Q12" s="122">
        <f ca="1">(Dashboard!$C$7*'Equity and Bond Returns'!AC12)+(Dashboard!$C$8*'Equity and Bond Returns'!EA12)</f>
        <v>-2.6007443592706667E-2</v>
      </c>
      <c r="R12" s="122">
        <f ca="1">(Dashboard!$C$7*'Equity and Bond Returns'!AD12)+(Dashboard!$C$8*'Equity and Bond Returns'!EB12)</f>
        <v>5.5050466863561805E-2</v>
      </c>
      <c r="S12" s="122">
        <f ca="1">(Dashboard!$C$7*'Equity and Bond Returns'!AE12)+(Dashboard!$C$8*'Equity and Bond Returns'!EC12)</f>
        <v>9.8425774943751834E-2</v>
      </c>
      <c r="T12" s="122">
        <f ca="1">(Dashboard!$C$7*'Equity and Bond Returns'!AF12)+(Dashboard!$C$8*'Equity and Bond Returns'!ED12)</f>
        <v>0.16132310252127915</v>
      </c>
      <c r="U12" s="122">
        <f ca="1">(Dashboard!$C$7*'Equity and Bond Returns'!AG12)+(Dashboard!$C$8*'Equity and Bond Returns'!EE12)</f>
        <v>0.19334673647240289</v>
      </c>
      <c r="V12" s="122">
        <f ca="1">(Dashboard!$C$7*'Equity and Bond Returns'!AH12)+(Dashboard!$C$8*'Equity and Bond Returns'!EF12)</f>
        <v>-3.5233433186426466E-2</v>
      </c>
      <c r="W12" s="122">
        <f ca="1">(Dashboard!$C$7*'Equity and Bond Returns'!AI12)+(Dashboard!$C$8*'Equity and Bond Returns'!EG12)</f>
        <v>0.25714649571673009</v>
      </c>
      <c r="X12" s="122">
        <f ca="1">(Dashboard!$C$7*'Equity and Bond Returns'!AJ12)+(Dashboard!$C$8*'Equity and Bond Returns'!EH12)</f>
        <v>3.0281430842880725E-2</v>
      </c>
      <c r="Y12" s="122">
        <f ca="1">(Dashboard!$C$7*'Equity and Bond Returns'!AK12)+(Dashboard!$C$8*'Equity and Bond Returns'!EI12)</f>
        <v>0.10979358726568311</v>
      </c>
      <c r="Z12" s="122">
        <f ca="1">(Dashboard!$C$7*'Equity and Bond Returns'!AL12)+(Dashboard!$C$8*'Equity and Bond Returns'!EJ12)</f>
        <v>0.35119806431394957</v>
      </c>
      <c r="AA12" s="122">
        <f ca="1">(Dashboard!$C$7*'Equity and Bond Returns'!AM12)+(Dashboard!$C$8*'Equity and Bond Returns'!EK12)</f>
        <v>0.25301878586271198</v>
      </c>
      <c r="AB12" s="122">
        <f ca="1">(Dashboard!$C$7*'Equity and Bond Returns'!AN12)+(Dashboard!$C$8*'Equity and Bond Returns'!EL12)</f>
        <v>8.4863728198146055E-2</v>
      </c>
      <c r="AC12" s="122">
        <f ca="1">(Dashboard!$C$7*'Equity and Bond Returns'!AO12)+(Dashboard!$C$8*'Equity and Bond Returns'!EM12)</f>
        <v>0.10701276469808355</v>
      </c>
      <c r="AD12" s="122">
        <f ca="1">(Dashboard!$C$7*'Equity and Bond Returns'!AP12)+(Dashboard!$C$8*'Equity and Bond Returns'!EN12)</f>
        <v>0.15043071706055042</v>
      </c>
      <c r="AE12" s="122">
        <f ca="1">(Dashboard!$C$7*'Equity and Bond Returns'!AQ12)+(Dashboard!$C$8*'Equity and Bond Returns'!EO12)</f>
        <v>0.18735322229226925</v>
      </c>
      <c r="AF12" s="122">
        <f ca="1">(Dashboard!$C$7*'Equity and Bond Returns'!AR12)+(Dashboard!$C$8*'Equity and Bond Returns'!EP12)</f>
        <v>0.24237528749909412</v>
      </c>
      <c r="AG12" s="122">
        <f ca="1">(Dashboard!$C$7*'Equity and Bond Returns'!AS12)+(Dashboard!$C$8*'Equity and Bond Returns'!EQ12)</f>
        <v>2.1914049622964995E-3</v>
      </c>
      <c r="AH12" s="122">
        <f ca="1">(Dashboard!$C$7*'Equity and Bond Returns'!AT12)+(Dashboard!$C$8*'Equity and Bond Returns'!ER12)</f>
        <v>5.7351776009645181E-2</v>
      </c>
      <c r="AI12" s="122">
        <f ca="1">(Dashboard!$C$7*'Equity and Bond Returns'!AU12)+(Dashboard!$C$8*'Equity and Bond Returns'!ES12)</f>
        <v>0.14782708714364273</v>
      </c>
      <c r="AJ12" s="122">
        <f ca="1">(Dashboard!$C$7*'Equity and Bond Returns'!AV12)+(Dashboard!$C$8*'Equity and Bond Returns'!ET12)</f>
        <v>-4.4031862970152574E-2</v>
      </c>
      <c r="AK12" s="122">
        <f ca="1">(Dashboard!$C$7*'Equity and Bond Returns'!AW12)+(Dashboard!$C$8*'Equity and Bond Returns'!EU12)</f>
        <v>-4.737229330504817E-2</v>
      </c>
      <c r="AL12" s="122">
        <f ca="1">(Dashboard!$C$7*'Equity and Bond Returns'!AX12)+(Dashboard!$C$8*'Equity and Bond Returns'!EV12)</f>
        <v>-2.8261342385609175E-2</v>
      </c>
      <c r="AM12" s="122">
        <f ca="1">(Dashboard!$C$7*'Equity and Bond Returns'!AY12)+(Dashboard!$C$8*'Equity and Bond Returns'!EW12)</f>
        <v>7.1571714539214348E-2</v>
      </c>
      <c r="AN12" s="122">
        <f ca="1">(Dashboard!$C$7*'Equity and Bond Returns'!AZ12)+(Dashboard!$C$8*'Equity and Bond Returns'!EX12)</f>
        <v>-0.10907474669272746</v>
      </c>
      <c r="AO12" s="122">
        <f ca="1">(Dashboard!$C$7*'Equity and Bond Returns'!BA12)+(Dashboard!$C$8*'Equity and Bond Returns'!EY12)</f>
        <v>-3.2651344911707444E-2</v>
      </c>
      <c r="AP12" s="122">
        <f ca="1">(Dashboard!$C$7*'Equity and Bond Returns'!BB12)+(Dashboard!$C$8*'Equity and Bond Returns'!EZ12)</f>
        <v>9.7968578758884262E-2</v>
      </c>
      <c r="AQ12" s="122">
        <f ca="1">(Dashboard!$C$7*'Equity and Bond Returns'!BC12)+(Dashboard!$C$8*'Equity and Bond Returns'!FA12)</f>
        <v>6.0104106198948251E-2</v>
      </c>
      <c r="AR12" s="122">
        <f ca="1">(Dashboard!$C$7*'Equity and Bond Returns'!BD12)+(Dashboard!$C$8*'Equity and Bond Returns'!FB12)</f>
        <v>-7.1356045238893981E-2</v>
      </c>
      <c r="AS12" s="122">
        <f ca="1">(Dashboard!$C$7*'Equity and Bond Returns'!BE12)+(Dashboard!$C$8*'Equity and Bond Returns'!FC12)</f>
        <v>-1.7577181969776166E-2</v>
      </c>
      <c r="AT12" s="122">
        <f ca="1">(Dashboard!$C$7*'Equity and Bond Returns'!BF12)+(Dashboard!$C$8*'Equity and Bond Returns'!FD12)</f>
        <v>0.22828406678652885</v>
      </c>
      <c r="AU12" s="122">
        <f ca="1">(Dashboard!$C$7*'Equity and Bond Returns'!BG12)+(Dashboard!$C$8*'Equity and Bond Returns'!FE12)</f>
        <v>8.6134114143245927E-2</v>
      </c>
      <c r="AV12" s="122">
        <f ca="1">(Dashboard!$C$7*'Equity and Bond Returns'!BH12)+(Dashboard!$C$8*'Equity and Bond Returns'!FF12)</f>
        <v>0.40521381967227671</v>
      </c>
      <c r="AW12" s="122">
        <f ca="1">(Dashboard!$C$7*'Equity and Bond Returns'!BI12)+(Dashboard!$C$8*'Equity and Bond Returns'!FG12)</f>
        <v>0.12056035196908715</v>
      </c>
      <c r="AX12" s="122">
        <f ca="1">(Dashboard!$C$7*'Equity and Bond Returns'!BJ12)+(Dashboard!$C$8*'Equity and Bond Returns'!FH12)</f>
        <v>0.20814799434386907</v>
      </c>
      <c r="AY12" s="122">
        <f ca="1">(Dashboard!$C$7*'Equity and Bond Returns'!BK12)+(Dashboard!$C$8*'Equity and Bond Returns'!FI12)</f>
        <v>4.86395171727547E-2</v>
      </c>
      <c r="AZ12" s="122">
        <f ca="1">(Dashboard!$C$7*'Equity and Bond Returns'!BL12)+(Dashboard!$C$8*'Equity and Bond Returns'!FJ12)</f>
        <v>0.31887654614730515</v>
      </c>
      <c r="BA12" s="122">
        <f ca="1">(Dashboard!$C$7*'Equity and Bond Returns'!BM12)+(Dashboard!$C$8*'Equity and Bond Returns'!FK12)</f>
        <v>-0.14631933984776785</v>
      </c>
      <c r="BB12" s="122">
        <f ca="1">(Dashboard!$C$7*'Equity and Bond Returns'!BN12)+(Dashboard!$C$8*'Equity and Bond Returns'!FL12)</f>
        <v>0.13355555605547592</v>
      </c>
      <c r="BC12" s="122">
        <f ca="1">(Dashboard!$C$7*'Equity and Bond Returns'!BO12)+(Dashboard!$C$8*'Equity and Bond Returns'!FM12)</f>
        <v>-7.8805923572486253E-2</v>
      </c>
      <c r="BD12" s="122">
        <f ca="1">(Dashboard!$C$7*'Equity and Bond Returns'!BP12)+(Dashboard!$C$8*'Equity and Bond Returns'!FN12)</f>
        <v>0.27958270525945095</v>
      </c>
      <c r="BE12" s="122">
        <f ca="1">(Dashboard!$C$7*'Equity and Bond Returns'!BQ12)+(Dashboard!$C$8*'Equity and Bond Returns'!FO12)</f>
        <v>2.9591015012163914E-2</v>
      </c>
      <c r="BF12" s="122">
        <f ca="1">(Dashboard!$C$7*'Equity and Bond Returns'!BR12)+(Dashboard!$C$8*'Equity and Bond Returns'!FP12)</f>
        <v>5.4457327183588262E-2</v>
      </c>
      <c r="BG12" s="122">
        <f ca="1">(Dashboard!$C$7*'Equity and Bond Returns'!BS12)+(Dashboard!$C$8*'Equity and Bond Returns'!FQ12)</f>
        <v>4.7173011817906146E-2</v>
      </c>
      <c r="BH12" s="122">
        <f ca="1">(Dashboard!$C$7*'Equity and Bond Returns'!BT12)+(Dashboard!$C$8*'Equity and Bond Returns'!FR12)</f>
        <v>-0.17724842489038384</v>
      </c>
      <c r="BI12" s="122">
        <f ca="1">(Dashboard!$C$7*'Equity and Bond Returns'!BU12)+(Dashboard!$C$8*'Equity and Bond Returns'!FS12)</f>
        <v>0.17033861144228135</v>
      </c>
      <c r="BJ12" s="122">
        <f ca="1">(Dashboard!$C$7*'Equity and Bond Returns'!BV12)+(Dashboard!$C$8*'Equity and Bond Returns'!FT12)</f>
        <v>0.10874494617871955</v>
      </c>
      <c r="BK12" s="122">
        <f ca="1">(Dashboard!$C$7*'Equity and Bond Returns'!BW12)+(Dashboard!$C$8*'Equity and Bond Returns'!FU12)</f>
        <v>0.15584357888664349</v>
      </c>
      <c r="BL12" s="122">
        <f ca="1">(Dashboard!$C$7*'Equity and Bond Returns'!BX12)+(Dashboard!$C$8*'Equity and Bond Returns'!FV12)</f>
        <v>7.2485696891155263E-2</v>
      </c>
      <c r="BM12" s="122">
        <f ca="1">(Dashboard!$C$7*'Equity and Bond Returns'!BY12)+(Dashboard!$C$8*'Equity and Bond Returns'!FW12)</f>
        <v>-4.3106150724562801E-2</v>
      </c>
      <c r="BN12" s="122">
        <f ca="1">(Dashboard!$C$7*'Equity and Bond Returns'!BZ12)+(Dashboard!$C$8*'Equity and Bond Returns'!FX12)</f>
        <v>-7.1313203524932811E-2</v>
      </c>
      <c r="BO12" s="122">
        <f ca="1">(Dashboard!$C$7*'Equity and Bond Returns'!CA12)+(Dashboard!$C$8*'Equity and Bond Returns'!FY12)</f>
        <v>0.23319097118337009</v>
      </c>
      <c r="BP12" s="122">
        <f ca="1">(Dashboard!$C$7*'Equity and Bond Returns'!CB12)+(Dashboard!$C$8*'Equity and Bond Returns'!FZ12)</f>
        <v>0.15828800034308388</v>
      </c>
      <c r="BQ12" s="122">
        <f ca="1">(Dashboard!$C$7*'Equity and Bond Returns'!CC12)+(Dashboard!$C$8*'Equity and Bond Returns'!GA12)</f>
        <v>1.7784074551175477E-2</v>
      </c>
      <c r="BR12" s="122">
        <f ca="1">(Dashboard!$C$7*'Equity and Bond Returns'!CD12)+(Dashboard!$C$8*'Equity and Bond Returns'!GB12)</f>
        <v>-0.15640999530135311</v>
      </c>
      <c r="BS12" s="122">
        <f ca="1">(Dashboard!$C$7*'Equity and Bond Returns'!CE12)+(Dashboard!$C$8*'Equity and Bond Returns'!GC12)</f>
        <v>-0.13594889396963999</v>
      </c>
      <c r="BT12" s="122">
        <f ca="1">(Dashboard!$C$7*'Equity and Bond Returns'!CF12)+(Dashboard!$C$8*'Equity and Bond Returns'!GD12)</f>
        <v>0.11763686951917836</v>
      </c>
      <c r="BU12" s="122">
        <f ca="1">(Dashboard!$C$7*'Equity and Bond Returns'!CG12)+(Dashboard!$C$8*'Equity and Bond Returns'!GE12)</f>
        <v>-0.11661712083684843</v>
      </c>
      <c r="BV12" s="122">
        <f ca="1">(Dashboard!$C$7*'Equity and Bond Returns'!CH12)+(Dashboard!$C$8*'Equity and Bond Returns'!GF12)</f>
        <v>3.3100579901449725E-2</v>
      </c>
      <c r="BW12" s="122">
        <f ca="1">(Dashboard!$C$7*'Equity and Bond Returns'!CI12)+(Dashboard!$C$8*'Equity and Bond Returns'!GG12)</f>
        <v>4.681309812198043E-2</v>
      </c>
      <c r="BX12" s="122">
        <f ca="1">(Dashboard!$C$7*'Equity and Bond Returns'!CJ12)+(Dashboard!$C$8*'Equity and Bond Returns'!GH12)</f>
        <v>0.11491579592536616</v>
      </c>
      <c r="BY12" s="122">
        <f ca="1">(Dashboard!$C$7*'Equity and Bond Returns'!CK12)+(Dashboard!$C$8*'Equity and Bond Returns'!GI12)</f>
        <v>-3.886353993040205E-2</v>
      </c>
      <c r="BZ12" s="122">
        <f ca="1">(Dashboard!$C$7*'Equity and Bond Returns'!CL12)+(Dashboard!$C$8*'Equity and Bond Returns'!GJ12)</f>
        <v>0.14334453170111494</v>
      </c>
      <c r="CA12" s="122">
        <f ca="1">(Dashboard!$C$7*'Equity and Bond Returns'!CM12)+(Dashboard!$C$8*'Equity and Bond Returns'!GK12)</f>
        <v>0.16411133825795426</v>
      </c>
      <c r="CB12" s="122">
        <f ca="1">(Dashboard!$C$7*'Equity and Bond Returns'!CN12)+(Dashboard!$C$8*'Equity and Bond Returns'!GL12)</f>
        <v>0.26550456798356775</v>
      </c>
      <c r="CC12" s="122">
        <f ca="1">(Dashboard!$C$7*'Equity and Bond Returns'!CO12)+(Dashboard!$C$8*'Equity and Bond Returns'!GM12)</f>
        <v>9.6433393858182587E-2</v>
      </c>
      <c r="CD12" s="122">
        <f ca="1">(Dashboard!$C$7*'Equity and Bond Returns'!CP12)+(Dashboard!$C$8*'Equity and Bond Returns'!GN12)</f>
        <v>6.5880190213217962E-2</v>
      </c>
      <c r="CE12" s="122">
        <f ca="1">(Dashboard!$C$7*'Equity and Bond Returns'!CQ12)+(Dashboard!$C$8*'Equity and Bond Returns'!GO12)</f>
        <v>0.16276299316144713</v>
      </c>
      <c r="CF12" s="122">
        <f ca="1">(Dashboard!$C$7*'Equity and Bond Returns'!CR12)+(Dashboard!$C$8*'Equity and Bond Returns'!GP12)</f>
        <v>0.17848165542741232</v>
      </c>
      <c r="CG12" s="122">
        <f ca="1">(Dashboard!$C$7*'Equity and Bond Returns'!CS12)+(Dashboard!$C$8*'Equity and Bond Returns'!GQ12)</f>
        <v>4.921570298483173E-2</v>
      </c>
      <c r="CH12" s="122">
        <f ca="1">(Dashboard!$C$7*'Equity and Bond Returns'!CT12)+(Dashboard!$C$8*'Equity and Bond Returns'!GR12)</f>
        <v>-3.5783728592379126E-2</v>
      </c>
      <c r="CI12" s="122">
        <f ca="1">(Dashboard!$C$7*'Equity and Bond Returns'!CU12)+(Dashboard!$C$8*'Equity and Bond Returns'!GS12)</f>
        <v>0.10336423418117878</v>
      </c>
      <c r="CJ12" s="122">
        <f ca="1">(Dashboard!$C$7*'Equity and Bond Returns'!CV12)+(Dashboard!$C$8*'Equity and Bond Returns'!GT12)</f>
        <v>0.15368119558132265</v>
      </c>
      <c r="CK12" s="122">
        <f ca="1">(Dashboard!$C$7*'Equity and Bond Returns'!CW12)+(Dashboard!$C$8*'Equity and Bond Returns'!GU12)</f>
        <v>0.18812846234955274</v>
      </c>
      <c r="CL12" s="122">
        <f ca="1">(Dashboard!$C$7*'Equity and Bond Returns'!CX12)+(Dashboard!$C$8*'Equity and Bond Returns'!GV12)</f>
        <v>6.8104890941528065E-3</v>
      </c>
      <c r="CM12" s="122">
        <f ca="1">(Dashboard!$C$7*'Equity and Bond Returns'!CY12)+(Dashboard!$C$8*'Equity and Bond Returns'!GW12)</f>
        <v>0.28606500909682531</v>
      </c>
      <c r="CN12" s="122">
        <f ca="1">(Dashboard!$C$7*'Equity and Bond Returns'!CZ12)+(Dashboard!$C$8*'Equity and Bond Returns'!GX12)</f>
        <v>-2.05404486419037E-2</v>
      </c>
      <c r="CO12" s="122">
        <f ca="1">(Dashboard!$C$7*'Equity and Bond Returns'!DA12)+(Dashboard!$C$8*'Equity and Bond Returns'!GY12)</f>
        <v>0.14655669645787495</v>
      </c>
      <c r="CP12" s="122">
        <f ca="1">(Dashboard!$C$7*'Equity and Bond Returns'!DB12)+(Dashboard!$C$8*'Equity and Bond Returns'!GZ12)</f>
        <v>6.3518928450927072E-3</v>
      </c>
      <c r="CQ12" s="122">
        <f ca="1">(Dashboard!$C$7*'Equity and Bond Returns'!DC12)+(Dashboard!$C$8*'Equity and Bond Returns'!HA12)</f>
        <v>-5.0575148631649768E-2</v>
      </c>
      <c r="CR12" s="122">
        <f ca="1">(Dashboard!$C$7*'Equity and Bond Returns'!DD12)+(Dashboard!$C$8*'Equity and Bond Returns'!HB12)</f>
        <v>-4.1034930457803601E-3</v>
      </c>
      <c r="CS12" s="122">
        <f ca="1">(Dashboard!$C$7*'Equity and Bond Returns'!DE12)+(Dashboard!$C$8*'Equity and Bond Returns'!HC12)</f>
        <v>-0.23710373524094278</v>
      </c>
      <c r="CT12" s="122">
        <f ca="1">(Dashboard!$C$7*'Equity and Bond Returns'!DF12)+(Dashboard!$C$8*'Equity and Bond Returns'!HD12)</f>
        <v>0.15809625656680704</v>
      </c>
      <c r="CU12" s="122">
        <f ca="1">(Dashboard!$C$7*'Equity and Bond Returns'!DG12)+(Dashboard!$C$8*'Equity and Bond Returns'!HE12)</f>
        <v>0.11763483246809081</v>
      </c>
      <c r="CV12" s="122">
        <f ca="1">(Dashboard!$C$7*'Equity and Bond Returns'!DH12)+(Dashboard!$C$8*'Equity and Bond Returns'!HF12)</f>
        <v>8.942442999762909E-2</v>
      </c>
      <c r="CW12" s="122">
        <f ca="1">(Dashboard!$C$7*'Equity and Bond Returns'!DI12)+(Dashboard!$C$8*'Equity and Bond Returns'!HG12)</f>
        <v>5.9030918660105236E-2</v>
      </c>
      <c r="CY12" s="147">
        <f t="shared" si="5"/>
        <v>61</v>
      </c>
      <c r="CZ12" s="148">
        <v>11</v>
      </c>
      <c r="DA12" s="126">
        <f ca="1">MAX(DA11*(1+B12)-(Dashboard!$C$11)/(1-Dashboard!$C$17)*((1+Dashboard!$C$12)^$CZ12),0)</f>
        <v>2901206.1254664729</v>
      </c>
      <c r="DB12" s="126">
        <f ca="1">MAX(DB11*(1+C12)-(Dashboard!$C$11)/(1-Dashboard!$C$17)*((1+Dashboard!$C$12)^$CZ12),0)</f>
        <v>472037.83089585701</v>
      </c>
      <c r="DC12" s="126">
        <f ca="1">MAX(DC11*(1+D12)-(Dashboard!$C$11)/(1-Dashboard!$C$17)*((1+Dashboard!$C$12)^$CZ12),0)</f>
        <v>1365679.4819484707</v>
      </c>
      <c r="DD12" s="126">
        <f ca="1">MAX(DD11*(1+E12)-(Dashboard!$C$11)/(1-Dashboard!$C$17)*((1+Dashboard!$C$12)^$CZ12),0)</f>
        <v>712979.62590256694</v>
      </c>
      <c r="DE12" s="126">
        <f ca="1">MAX(DE11*(1+F12)-(Dashboard!$C$11)/(1-Dashboard!$C$17)*((1+Dashboard!$C$12)^$CZ12),0)</f>
        <v>1942936.1550971409</v>
      </c>
      <c r="DF12" s="126">
        <f ca="1">MAX(DF11*(1+G12)-(Dashboard!$C$11)/(1-Dashboard!$C$17)*((1+Dashboard!$C$12)^$CZ12),0)</f>
        <v>2008794.2304359719</v>
      </c>
      <c r="DG12" s="126">
        <f ca="1">MAX(DG11*(1+H12)-(Dashboard!$C$11)/(1-Dashboard!$C$17)*((1+Dashboard!$C$12)^$CZ12),0)</f>
        <v>482179.04740743089</v>
      </c>
      <c r="DH12" s="126">
        <f ca="1">MAX(DH11*(1+I12)-(Dashboard!$C$11)/(1-Dashboard!$C$17)*((1+Dashboard!$C$12)^$CZ12),0)</f>
        <v>1041371.1854332263</v>
      </c>
      <c r="DI12" s="126">
        <f ca="1">MAX(DI11*(1+J12)-(Dashboard!$C$11)/(1-Dashboard!$C$17)*((1+Dashboard!$C$12)^$CZ12),0)</f>
        <v>1173814.7919917207</v>
      </c>
      <c r="DJ12" s="126">
        <f ca="1">MAX(DJ11*(1+K12)-(Dashboard!$C$11)/(1-Dashboard!$C$17)*((1+Dashboard!$C$12)^$CZ12),0)</f>
        <v>1536083.6749787526</v>
      </c>
      <c r="DK12" s="126">
        <f ca="1">MAX(DK11*(1+L12)-(Dashboard!$C$11)/(1-Dashboard!$C$17)*((1+Dashboard!$C$12)^$CZ12),0)</f>
        <v>3618210.1461900515</v>
      </c>
      <c r="DL12" s="126">
        <f ca="1">MAX(DL11*(1+M12)-(Dashboard!$C$11)/(1-Dashboard!$C$17)*((1+Dashboard!$C$12)^$CZ12),0)</f>
        <v>979791.89500069933</v>
      </c>
      <c r="DM12" s="126">
        <f ca="1">MAX(DM11*(1+N12)-(Dashboard!$C$11)/(1-Dashboard!$C$17)*((1+Dashboard!$C$12)^$CZ12),0)</f>
        <v>1805328.8978412084</v>
      </c>
      <c r="DN12" s="126">
        <f ca="1">MAX(DN11*(1+O12)-(Dashboard!$C$11)/(1-Dashboard!$C$17)*((1+Dashboard!$C$12)^$CZ12),0)</f>
        <v>3637486.8669499601</v>
      </c>
      <c r="DO12" s="126">
        <f ca="1">MAX(DO11*(1+P12)-(Dashboard!$C$11)/(1-Dashboard!$C$17)*((1+Dashboard!$C$12)^$CZ12),0)</f>
        <v>1870463.9647964176</v>
      </c>
      <c r="DP12" s="126">
        <f ca="1">MAX(DP11*(1+Q12)-(Dashboard!$C$11)/(1-Dashboard!$C$17)*((1+Dashboard!$C$12)^$CZ12),0)</f>
        <v>1744231.0923782322</v>
      </c>
      <c r="DQ12" s="126">
        <f ca="1">MAX(DQ11*(1+R12)-(Dashboard!$C$11)/(1-Dashboard!$C$17)*((1+Dashboard!$C$12)^$CZ12),0)</f>
        <v>1530096.5607138884</v>
      </c>
      <c r="DR12" s="126">
        <f ca="1">MAX(DR11*(1+S12)-(Dashboard!$C$11)/(1-Dashboard!$C$17)*((1+Dashboard!$C$12)^$CZ12),0)</f>
        <v>1945982.1012446126</v>
      </c>
      <c r="DS12" s="126">
        <f ca="1">MAX(DS11*(1+T12)-(Dashboard!$C$11)/(1-Dashboard!$C$17)*((1+Dashboard!$C$12)^$CZ12),0)</f>
        <v>1787861.022437701</v>
      </c>
      <c r="DT12" s="126">
        <f ca="1">MAX(DT11*(1+U12)-(Dashboard!$C$11)/(1-Dashboard!$C$17)*((1+Dashboard!$C$12)^$CZ12),0)</f>
        <v>1440842.34910118</v>
      </c>
      <c r="DU12" s="126">
        <f ca="1">MAX(DU11*(1+V12)-(Dashboard!$C$11)/(1-Dashboard!$C$17)*((1+Dashboard!$C$12)^$CZ12),0)</f>
        <v>1644687.492259</v>
      </c>
      <c r="DV12" s="126">
        <f ca="1">MAX(DV11*(1+W12)-(Dashboard!$C$11)/(1-Dashboard!$C$17)*((1+Dashboard!$C$12)^$CZ12),0)</f>
        <v>2166594.4949631477</v>
      </c>
      <c r="DW12" s="126">
        <f ca="1">MAX(DW11*(1+X12)-(Dashboard!$C$11)/(1-Dashboard!$C$17)*((1+Dashboard!$C$12)^$CZ12),0)</f>
        <v>1777083.724680719</v>
      </c>
      <c r="DX12" s="126">
        <f ca="1">MAX(DX11*(1+Y12)-(Dashboard!$C$11)/(1-Dashboard!$C$17)*((1+Dashboard!$C$12)^$CZ12),0)</f>
        <v>917300.99382785952</v>
      </c>
      <c r="DY12" s="126">
        <f ca="1">MAX(DY11*(1+Z12)-(Dashboard!$C$11)/(1-Dashboard!$C$17)*((1+Dashboard!$C$12)^$CZ12),0)</f>
        <v>2514587.2598050456</v>
      </c>
      <c r="DZ12" s="126">
        <f ca="1">MAX(DZ11*(1+AA12)-(Dashboard!$C$11)/(1-Dashboard!$C$17)*((1+Dashboard!$C$12)^$CZ12),0)</f>
        <v>571204.33585351822</v>
      </c>
      <c r="EA12" s="126">
        <f ca="1">MAX(EA11*(1+AB12)-(Dashboard!$C$11)/(1-Dashboard!$C$17)*((1+Dashboard!$C$12)^$CZ12),0)</f>
        <v>1193915.7624943317</v>
      </c>
      <c r="EB12" s="126">
        <f ca="1">MAX(EB11*(1+AC12)-(Dashboard!$C$11)/(1-Dashboard!$C$17)*((1+Dashboard!$C$12)^$CZ12),0)</f>
        <v>1428032.2600049749</v>
      </c>
      <c r="EC12" s="126">
        <f ca="1">MAX(EC11*(1+AD12)-(Dashboard!$C$11)/(1-Dashboard!$C$17)*((1+Dashboard!$C$12)^$CZ12),0)</f>
        <v>2249239.9013532083</v>
      </c>
      <c r="ED12" s="126">
        <f ca="1">MAX(ED11*(1+AE12)-(Dashboard!$C$11)/(1-Dashboard!$C$17)*((1+Dashboard!$C$12)^$CZ12),0)</f>
        <v>3354203.6580622909</v>
      </c>
      <c r="EE12" s="126">
        <f ca="1">MAX(EE11*(1+AF12)-(Dashboard!$C$11)/(1-Dashboard!$C$17)*((1+Dashboard!$C$12)^$CZ12),0)</f>
        <v>1693949.5835691404</v>
      </c>
      <c r="EF12" s="126">
        <f ca="1">MAX(EF11*(1+AG12)-(Dashboard!$C$11)/(1-Dashboard!$C$17)*((1+Dashboard!$C$12)^$CZ12),0)</f>
        <v>1864536.4113663009</v>
      </c>
      <c r="EG12" s="126">
        <f ca="1">MAX(EG11*(1+AH12)-(Dashboard!$C$11)/(1-Dashboard!$C$17)*((1+Dashboard!$C$12)^$CZ12),0)</f>
        <v>2021534.9717166636</v>
      </c>
      <c r="EH12" s="126">
        <f ca="1">MAX(EH11*(1+AI12)-(Dashboard!$C$11)/(1-Dashboard!$C$17)*((1+Dashboard!$C$12)^$CZ12),0)</f>
        <v>1728050.0938885973</v>
      </c>
      <c r="EI12" s="126">
        <f ca="1">MAX(EI11*(1+AJ12)-(Dashboard!$C$11)/(1-Dashboard!$C$17)*((1+Dashboard!$C$12)^$CZ12),0)</f>
        <v>643507.8294376774</v>
      </c>
      <c r="EJ12" s="126">
        <f ca="1">MAX(EJ11*(1+AK12)-(Dashboard!$C$11)/(1-Dashboard!$C$17)*((1+Dashboard!$C$12)^$CZ12),0)</f>
        <v>2078190.3066621625</v>
      </c>
      <c r="EK12" s="126">
        <f ca="1">MAX(EK11*(1+AL12)-(Dashboard!$C$11)/(1-Dashboard!$C$17)*((1+Dashboard!$C$12)^$CZ12),0)</f>
        <v>1761920.7099101185</v>
      </c>
      <c r="EL12" s="126">
        <f ca="1">MAX(EL11*(1+AM12)-(Dashboard!$C$11)/(1-Dashboard!$C$17)*((1+Dashboard!$C$12)^$CZ12),0)</f>
        <v>1080209.5713050875</v>
      </c>
      <c r="EM12" s="126">
        <f ca="1">MAX(EM11*(1+AN12)-(Dashboard!$C$11)/(1-Dashboard!$C$17)*((1+Dashboard!$C$12)^$CZ12),0)</f>
        <v>2284685.6673285868</v>
      </c>
      <c r="EN12" s="126">
        <f ca="1">MAX(EN11*(1+AO12)-(Dashboard!$C$11)/(1-Dashboard!$C$17)*((1+Dashboard!$C$12)^$CZ12),0)</f>
        <v>2103558.8688360881</v>
      </c>
      <c r="EO12" s="126">
        <f ca="1">MAX(EO11*(1+AP12)-(Dashboard!$C$11)/(1-Dashboard!$C$17)*((1+Dashboard!$C$12)^$CZ12),0)</f>
        <v>1190053.5616285517</v>
      </c>
      <c r="EP12" s="126">
        <f ca="1">MAX(EP11*(1+AQ12)-(Dashboard!$C$11)/(1-Dashboard!$C$17)*((1+Dashboard!$C$12)^$CZ12),0)</f>
        <v>1309817.0397998877</v>
      </c>
      <c r="EQ12" s="126">
        <f ca="1">MAX(EQ11*(1+AR12)-(Dashboard!$C$11)/(1-Dashboard!$C$17)*((1+Dashboard!$C$12)^$CZ12),0)</f>
        <v>802346.19193641853</v>
      </c>
      <c r="ER12" s="126">
        <f ca="1">MAX(ER11*(1+AS12)-(Dashboard!$C$11)/(1-Dashboard!$C$17)*((1+Dashboard!$C$12)^$CZ12),0)</f>
        <v>1074190.8064493746</v>
      </c>
      <c r="ES12" s="126">
        <f ca="1">MAX(ES11*(1+AT12)-(Dashboard!$C$11)/(1-Dashboard!$C$17)*((1+Dashboard!$C$12)^$CZ12),0)</f>
        <v>771232.86529042386</v>
      </c>
      <c r="ET12" s="126">
        <f ca="1">MAX(ET11*(1+AU12)-(Dashboard!$C$11)/(1-Dashboard!$C$17)*((1+Dashboard!$C$12)^$CZ12),0)</f>
        <v>1428774.1756560057</v>
      </c>
      <c r="EU12" s="126">
        <f ca="1">MAX(EU11*(1+AV12)-(Dashboard!$C$11)/(1-Dashboard!$C$17)*((1+Dashboard!$C$12)^$CZ12),0)</f>
        <v>1347039.9582413519</v>
      </c>
      <c r="EV12" s="126">
        <f ca="1">MAX(EV11*(1+AW12)-(Dashboard!$C$11)/(1-Dashboard!$C$17)*((1+Dashboard!$C$12)^$CZ12),0)</f>
        <v>3180047.8639858514</v>
      </c>
      <c r="EW12" s="126">
        <f ca="1">MAX(EW11*(1+AX12)-(Dashboard!$C$11)/(1-Dashboard!$C$17)*((1+Dashboard!$C$12)^$CZ12),0)</f>
        <v>1647253.7036850962</v>
      </c>
      <c r="EX12" s="126">
        <f ca="1">MAX(EX11*(1+AY12)-(Dashboard!$C$11)/(1-Dashboard!$C$17)*((1+Dashboard!$C$12)^$CZ12),0)</f>
        <v>2251445.3539322563</v>
      </c>
      <c r="EY12" s="126">
        <f ca="1">MAX(EY11*(1+AZ12)-(Dashboard!$C$11)/(1-Dashboard!$C$17)*((1+Dashboard!$C$12)^$CZ12),0)</f>
        <v>2683185.0737877176</v>
      </c>
      <c r="EZ12" s="126">
        <f ca="1">MAX(EZ11*(1+BA12)-(Dashboard!$C$11)/(1-Dashboard!$C$17)*((1+Dashboard!$C$12)^$CZ12),0)</f>
        <v>868340.41107909405</v>
      </c>
      <c r="FA12" s="126">
        <f ca="1">MAX(FA11*(1+BB12)-(Dashboard!$C$11)/(1-Dashboard!$C$17)*((1+Dashboard!$C$12)^$CZ12),0)</f>
        <v>1728289.9183282384</v>
      </c>
      <c r="FB12" s="126">
        <f ca="1">MAX(FB11*(1+BC12)-(Dashboard!$C$11)/(1-Dashboard!$C$17)*((1+Dashboard!$C$12)^$CZ12),0)</f>
        <v>1011536.7331934592</v>
      </c>
      <c r="FC12" s="126">
        <f ca="1">MAX(FC11*(1+BD12)-(Dashboard!$C$11)/(1-Dashboard!$C$17)*((1+Dashboard!$C$12)^$CZ12),0)</f>
        <v>1519136.301507046</v>
      </c>
      <c r="FD12" s="126">
        <f ca="1">MAX(FD11*(1+BE12)-(Dashboard!$C$11)/(1-Dashboard!$C$17)*((1+Dashboard!$C$12)^$CZ12),0)</f>
        <v>1895109.7213566157</v>
      </c>
      <c r="FE12" s="126">
        <f ca="1">MAX(FE11*(1+BF12)-(Dashboard!$C$11)/(1-Dashboard!$C$17)*((1+Dashboard!$C$12)^$CZ12),0)</f>
        <v>2184172.316353993</v>
      </c>
      <c r="FF12" s="126">
        <f ca="1">MAX(FF11*(1+BG12)-(Dashboard!$C$11)/(1-Dashboard!$C$17)*((1+Dashboard!$C$12)^$CZ12),0)</f>
        <v>2094499.697452063</v>
      </c>
      <c r="FG12" s="126">
        <f ca="1">MAX(FG11*(1+BH12)-(Dashboard!$C$11)/(1-Dashboard!$C$17)*((1+Dashboard!$C$12)^$CZ12),0)</f>
        <v>2386556.2663698522</v>
      </c>
      <c r="FH12" s="126">
        <f ca="1">MAX(FH11*(1+BI12)-(Dashboard!$C$11)/(1-Dashboard!$C$17)*((1+Dashboard!$C$12)^$CZ12),0)</f>
        <v>1154582.0708579319</v>
      </c>
      <c r="FI12" s="126">
        <f ca="1">MAX(FI11*(1+BJ12)-(Dashboard!$C$11)/(1-Dashboard!$C$17)*((1+Dashboard!$C$12)^$CZ12),0)</f>
        <v>1914607.6694265935</v>
      </c>
      <c r="FJ12" s="126">
        <f ca="1">MAX(FJ11*(1+BK12)-(Dashboard!$C$11)/(1-Dashboard!$C$17)*((1+Dashboard!$C$12)^$CZ12),0)</f>
        <v>905215.47757343575</v>
      </c>
      <c r="FK12" s="126">
        <f ca="1">MAX(FK11*(1+BL12)-(Dashboard!$C$11)/(1-Dashboard!$C$17)*((1+Dashboard!$C$12)^$CZ12),0)</f>
        <v>1562528.0518367672</v>
      </c>
      <c r="FL12" s="126">
        <f ca="1">MAX(FL11*(1+BM12)-(Dashboard!$C$11)/(1-Dashboard!$C$17)*((1+Dashboard!$C$12)^$CZ12),0)</f>
        <v>2501947.0153431152</v>
      </c>
      <c r="FM12" s="126">
        <f ca="1">MAX(FM11*(1+BN12)-(Dashboard!$C$11)/(1-Dashboard!$C$17)*((1+Dashboard!$C$12)^$CZ12),0)</f>
        <v>2110307.7425258979</v>
      </c>
      <c r="FN12" s="126">
        <f ca="1">MAX(FN11*(1+BO12)-(Dashboard!$C$11)/(1-Dashboard!$C$17)*((1+Dashboard!$C$12)^$CZ12),0)</f>
        <v>944421.25671082083</v>
      </c>
      <c r="FO12" s="126">
        <f ca="1">MAX(FO11*(1+BP12)-(Dashboard!$C$11)/(1-Dashboard!$C$17)*((1+Dashboard!$C$12)^$CZ12),0)</f>
        <v>2241023.3441840238</v>
      </c>
      <c r="FP12" s="126">
        <f ca="1">MAX(FP11*(1+BQ12)-(Dashboard!$C$11)/(1-Dashboard!$C$17)*((1+Dashboard!$C$12)^$CZ12),0)</f>
        <v>1906426.1846013139</v>
      </c>
      <c r="FQ12" s="126">
        <f ca="1">MAX(FQ11*(1+BR12)-(Dashboard!$C$11)/(1-Dashboard!$C$17)*((1+Dashboard!$C$12)^$CZ12),0)</f>
        <v>2493122.5347418017</v>
      </c>
      <c r="FR12" s="126">
        <f ca="1">MAX(FR11*(1+BS12)-(Dashboard!$C$11)/(1-Dashboard!$C$17)*((1+Dashboard!$C$12)^$CZ12),0)</f>
        <v>2612012.6478582174</v>
      </c>
      <c r="FS12" s="126">
        <f ca="1">MAX(FS11*(1+BT12)-(Dashboard!$C$11)/(1-Dashboard!$C$17)*((1+Dashboard!$C$12)^$CZ12),0)</f>
        <v>2660046.2662509917</v>
      </c>
      <c r="FT12" s="126">
        <f ca="1">MAX(FT11*(1+BU12)-(Dashboard!$C$11)/(1-Dashboard!$C$17)*((1+Dashboard!$C$12)^$CZ12),0)</f>
        <v>914097.47865823179</v>
      </c>
      <c r="FU12" s="126">
        <f ca="1">MAX(FU11*(1+BV12)-(Dashboard!$C$11)/(1-Dashboard!$C$17)*((1+Dashboard!$C$12)^$CZ12),0)</f>
        <v>1842763.7800061896</v>
      </c>
      <c r="FV12" s="126">
        <f ca="1">MAX(FV11*(1+BW12)-(Dashboard!$C$11)/(1-Dashboard!$C$17)*((1+Dashboard!$C$12)^$CZ12),0)</f>
        <v>478101.24077162595</v>
      </c>
      <c r="FW12" s="126">
        <f ca="1">MAX(FW11*(1+BX12)-(Dashboard!$C$11)/(1-Dashboard!$C$17)*((1+Dashboard!$C$12)^$CZ12),0)</f>
        <v>2194932.4725907771</v>
      </c>
      <c r="FX12" s="126">
        <f ca="1">MAX(FX11*(1+BY12)-(Dashboard!$C$11)/(1-Dashboard!$C$17)*((1+Dashboard!$C$12)^$CZ12),0)</f>
        <v>1348634.2250806023</v>
      </c>
      <c r="FY12" s="126">
        <f ca="1">MAX(FY11*(1+BZ12)-(Dashboard!$C$11)/(1-Dashboard!$C$17)*((1+Dashboard!$C$12)^$CZ12),0)</f>
        <v>1014031.7604636812</v>
      </c>
      <c r="FZ12" s="126">
        <f ca="1">MAX(FZ11*(1+CA12)-(Dashboard!$C$11)/(1-Dashboard!$C$17)*((1+Dashboard!$C$12)^$CZ12),0)</f>
        <v>1653774.7420191655</v>
      </c>
      <c r="GA12" s="126">
        <f ca="1">MAX(GA11*(1+CB12)-(Dashboard!$C$11)/(1-Dashboard!$C$17)*((1+Dashboard!$C$12)^$CZ12),0)</f>
        <v>4042136.0969482171</v>
      </c>
      <c r="GB12" s="126">
        <f ca="1">MAX(GB11*(1+CC12)-(Dashboard!$C$11)/(1-Dashboard!$C$17)*((1+Dashboard!$C$12)^$CZ12),0)</f>
        <v>1409350.3155237667</v>
      </c>
      <c r="GC12" s="126">
        <f ca="1">MAX(GC11*(1+CD12)-(Dashboard!$C$11)/(1-Dashboard!$C$17)*((1+Dashboard!$C$12)^$CZ12),0)</f>
        <v>2350217.9364303658</v>
      </c>
      <c r="GD12" s="126">
        <f ca="1">MAX(GD11*(1+CE12)-(Dashboard!$C$11)/(1-Dashboard!$C$17)*((1+Dashboard!$C$12)^$CZ12),0)</f>
        <v>1950558.6269383302</v>
      </c>
      <c r="GE12" s="126">
        <f ca="1">MAX(GE11*(1+CF12)-(Dashboard!$C$11)/(1-Dashboard!$C$17)*((1+Dashboard!$C$12)^$CZ12),0)</f>
        <v>1315931.5391896232</v>
      </c>
      <c r="GF12" s="126">
        <f ca="1">MAX(GF11*(1+CG12)-(Dashboard!$C$11)/(1-Dashboard!$C$17)*((1+Dashboard!$C$12)^$CZ12),0)</f>
        <v>3372927.4900507363</v>
      </c>
      <c r="GG12" s="126">
        <f ca="1">MAX(GG11*(1+CH12)-(Dashboard!$C$11)/(1-Dashboard!$C$17)*((1+Dashboard!$C$12)^$CZ12),0)</f>
        <v>518503.54811036744</v>
      </c>
      <c r="GH12" s="126">
        <f ca="1">MAX(GH11*(1+CI12)-(Dashboard!$C$11)/(1-Dashboard!$C$17)*((1+Dashboard!$C$12)^$CZ12),0)</f>
        <v>999178.73163046013</v>
      </c>
      <c r="GI12" s="126">
        <f ca="1">MAX(GI11*(1+CJ12)-(Dashboard!$C$11)/(1-Dashboard!$C$17)*((1+Dashboard!$C$12)^$CZ12),0)</f>
        <v>815824.92189123447</v>
      </c>
      <c r="GJ12" s="126">
        <f ca="1">MAX(GJ11*(1+CK12)-(Dashboard!$C$11)/(1-Dashboard!$C$17)*((1+Dashboard!$C$12)^$CZ12),0)</f>
        <v>1778391.4150143447</v>
      </c>
      <c r="GK12" s="126">
        <f ca="1">MAX(GK11*(1+CL12)-(Dashboard!$C$11)/(1-Dashboard!$C$17)*((1+Dashboard!$C$12)^$CZ12),0)</f>
        <v>2449811.0029138871</v>
      </c>
      <c r="GL12" s="126">
        <f ca="1">MAX(GL11*(1+CM12)-(Dashboard!$C$11)/(1-Dashboard!$C$17)*((1+Dashboard!$C$12)^$CZ12),0)</f>
        <v>3386365.3521228116</v>
      </c>
      <c r="GM12" s="126">
        <f ca="1">MAX(GM11*(1+CN12)-(Dashboard!$C$11)/(1-Dashboard!$C$17)*((1+Dashboard!$C$12)^$CZ12),0)</f>
        <v>1170795.1758854899</v>
      </c>
      <c r="GN12" s="126">
        <f ca="1">MAX(GN11*(1+CO12)-(Dashboard!$C$11)/(1-Dashboard!$C$17)*((1+Dashboard!$C$12)^$CZ12),0)</f>
        <v>732642.45020450081</v>
      </c>
      <c r="GO12" s="126">
        <f ca="1">MAX(GO11*(1+CP12)-(Dashboard!$C$11)/(1-Dashboard!$C$17)*((1+Dashboard!$C$12)^$CZ12),0)</f>
        <v>1753225.6858599873</v>
      </c>
      <c r="GP12" s="126">
        <f ca="1">MAX(GP11*(1+CQ12)-(Dashboard!$C$11)/(1-Dashboard!$C$17)*((1+Dashboard!$C$12)^$CZ12),0)</f>
        <v>1148268.7038647584</v>
      </c>
      <c r="GQ12" s="126">
        <f ca="1">MAX(GQ11*(1+CR12)-(Dashboard!$C$11)/(1-Dashboard!$C$17)*((1+Dashboard!$C$12)^$CZ12),0)</f>
        <v>1107809.9328817313</v>
      </c>
      <c r="GR12" s="126">
        <f ca="1">MAX(GR11*(1+CS12)-(Dashboard!$C$11)/(1-Dashboard!$C$17)*((1+Dashboard!$C$12)^$CZ12),0)</f>
        <v>855215.39418492932</v>
      </c>
      <c r="GS12" s="126">
        <f ca="1">MAX(GS11*(1+CT12)-(Dashboard!$C$11)/(1-Dashboard!$C$17)*((1+Dashboard!$C$12)^$CZ12),0)</f>
        <v>1894536.6879924829</v>
      </c>
      <c r="GT12" s="126">
        <f ca="1">MAX(GT11*(1+CU12)-(Dashboard!$C$11)/(1-Dashboard!$C$17)*((1+Dashboard!$C$12)^$CZ12),0)</f>
        <v>2014499.0701442135</v>
      </c>
      <c r="GU12" s="126">
        <f ca="1">MAX(GU11*(1+CV12)-(Dashboard!$C$11)/(1-Dashboard!$C$17)*((1+Dashboard!$C$12)^$CZ12),0)</f>
        <v>681561.82304123126</v>
      </c>
      <c r="GV12" s="126">
        <f ca="1">MAX(GV11*(1+CW12)-(Dashboard!$C$11)/(1-Dashboard!$C$17)*((1+Dashboard!$C$12)^$CZ12),0)</f>
        <v>938216.85739643371</v>
      </c>
      <c r="GW12" s="115">
        <f t="shared" si="4"/>
        <v>61</v>
      </c>
      <c r="GX12" s="130">
        <f t="shared" ca="1" si="2"/>
        <v>100</v>
      </c>
      <c r="HC12" s="130">
        <f t="shared" si="0"/>
        <v>61</v>
      </c>
      <c r="HD12" s="137">
        <f t="shared" ca="1" si="1"/>
        <v>1049576.0906872633</v>
      </c>
      <c r="HE12" s="137">
        <f t="shared" ca="1" si="1"/>
        <v>1673862.162794153</v>
      </c>
      <c r="HF12" s="137">
        <f t="shared" ca="1" si="1"/>
        <v>2101294.0759900818</v>
      </c>
    </row>
    <row r="13" spans="1:214" ht="16">
      <c r="A13" s="145">
        <f t="shared" si="3"/>
        <v>62</v>
      </c>
      <c r="B13" s="122">
        <f ca="1">(Dashboard!$C$7*'Equity and Bond Returns'!N13)+(Dashboard!$C$8*'Equity and Bond Returns'!DL13)</f>
        <v>8.1353212912081002E-2</v>
      </c>
      <c r="C13" s="122">
        <f ca="1">(Dashboard!$C$7*'Equity and Bond Returns'!O13)+(Dashboard!$C$8*'Equity and Bond Returns'!DM13)</f>
        <v>-8.0362271842396249E-2</v>
      </c>
      <c r="D13" s="122">
        <f ca="1">(Dashboard!$C$7*'Equity and Bond Returns'!P13)+(Dashboard!$C$8*'Equity and Bond Returns'!DN13)</f>
        <v>0.17544863751223855</v>
      </c>
      <c r="E13" s="122">
        <f ca="1">(Dashboard!$C$7*'Equity and Bond Returns'!Q13)+(Dashboard!$C$8*'Equity and Bond Returns'!DO13)</f>
        <v>9.6239227080741008E-2</v>
      </c>
      <c r="F13" s="122">
        <f ca="1">(Dashboard!$C$7*'Equity and Bond Returns'!R13)+(Dashboard!$C$8*'Equity and Bond Returns'!DP13)</f>
        <v>0.20159592715600969</v>
      </c>
      <c r="G13" s="122">
        <f ca="1">(Dashboard!$C$7*'Equity and Bond Returns'!S13)+(Dashboard!$C$8*'Equity and Bond Returns'!DQ13)</f>
        <v>0.15897180736531794</v>
      </c>
      <c r="H13" s="122">
        <f ca="1">(Dashboard!$C$7*'Equity and Bond Returns'!T13)+(Dashboard!$C$8*'Equity and Bond Returns'!DR13)</f>
        <v>0.23369861522132596</v>
      </c>
      <c r="I13" s="122">
        <f ca="1">(Dashboard!$C$7*'Equity and Bond Returns'!U13)+(Dashboard!$C$8*'Equity and Bond Returns'!DS13)</f>
        <v>0.17125026454989289</v>
      </c>
      <c r="J13" s="122">
        <f ca="1">(Dashboard!$C$7*'Equity and Bond Returns'!V13)+(Dashboard!$C$8*'Equity and Bond Returns'!DT13)</f>
        <v>9.9180173671082644E-2</v>
      </c>
      <c r="K13" s="122">
        <f ca="1">(Dashboard!$C$7*'Equity and Bond Returns'!W13)+(Dashboard!$C$8*'Equity and Bond Returns'!DU13)</f>
        <v>-2.6343276293863647E-2</v>
      </c>
      <c r="L13" s="122">
        <f ca="1">(Dashboard!$C$7*'Equity and Bond Returns'!X13)+(Dashboard!$C$8*'Equity and Bond Returns'!DV13)</f>
        <v>0.19655357516365052</v>
      </c>
      <c r="M13" s="122">
        <f ca="1">(Dashboard!$C$7*'Equity and Bond Returns'!Y13)+(Dashboard!$C$8*'Equity and Bond Returns'!DW13)</f>
        <v>4.9112690558912479E-2</v>
      </c>
      <c r="N13" s="122">
        <f ca="1">(Dashboard!$C$7*'Equity and Bond Returns'!Z13)+(Dashboard!$C$8*'Equity and Bond Returns'!DX13)</f>
        <v>-2.080253478143685E-2</v>
      </c>
      <c r="O13" s="122">
        <f ca="1">(Dashboard!$C$7*'Equity and Bond Returns'!AA13)+(Dashboard!$C$8*'Equity and Bond Returns'!DY13)</f>
        <v>0.22923235271073883</v>
      </c>
      <c r="P13" s="122">
        <f ca="1">(Dashboard!$C$7*'Equity and Bond Returns'!AB13)+(Dashboard!$C$8*'Equity and Bond Returns'!DZ13)</f>
        <v>4.0970926146137877E-2</v>
      </c>
      <c r="Q13" s="122">
        <f ca="1">(Dashboard!$C$7*'Equity and Bond Returns'!AC13)+(Dashboard!$C$8*'Equity and Bond Returns'!EA13)</f>
        <v>0.24362066853608411</v>
      </c>
      <c r="R13" s="122">
        <f ca="1">(Dashboard!$C$7*'Equity and Bond Returns'!AD13)+(Dashboard!$C$8*'Equity and Bond Returns'!EB13)</f>
        <v>0.14544731401637112</v>
      </c>
      <c r="S13" s="122">
        <f ca="1">(Dashboard!$C$7*'Equity and Bond Returns'!AE13)+(Dashboard!$C$8*'Equity and Bond Returns'!EC13)</f>
        <v>4.3168490878986776E-2</v>
      </c>
      <c r="T13" s="122">
        <f ca="1">(Dashboard!$C$7*'Equity and Bond Returns'!AF13)+(Dashboard!$C$8*'Equity and Bond Returns'!ED13)</f>
        <v>0.15651054436861531</v>
      </c>
      <c r="U13" s="122">
        <f ca="1">(Dashboard!$C$7*'Equity and Bond Returns'!AG13)+(Dashboard!$C$8*'Equity and Bond Returns'!EE13)</f>
        <v>7.3820733549845974E-2</v>
      </c>
      <c r="V13" s="122">
        <f ca="1">(Dashboard!$C$7*'Equity and Bond Returns'!AH13)+(Dashboard!$C$8*'Equity and Bond Returns'!EF13)</f>
        <v>3.3913441697862409E-2</v>
      </c>
      <c r="W13" s="122">
        <f ca="1">(Dashboard!$C$7*'Equity and Bond Returns'!AI13)+(Dashboard!$C$8*'Equity and Bond Returns'!EG13)</f>
        <v>0.43269500825905999</v>
      </c>
      <c r="X13" s="122">
        <f ca="1">(Dashboard!$C$7*'Equity and Bond Returns'!AJ13)+(Dashboard!$C$8*'Equity and Bond Returns'!EH13)</f>
        <v>-3.8465919017753473E-2</v>
      </c>
      <c r="Y13" s="122">
        <f ca="1">(Dashboard!$C$7*'Equity and Bond Returns'!AK13)+(Dashboard!$C$8*'Equity and Bond Returns'!EI13)</f>
        <v>0.12154482552432166</v>
      </c>
      <c r="Z13" s="122">
        <f ca="1">(Dashboard!$C$7*'Equity and Bond Returns'!AL13)+(Dashboard!$C$8*'Equity and Bond Returns'!EJ13)</f>
        <v>2.2063077532895249E-2</v>
      </c>
      <c r="AA13" s="122">
        <f ca="1">(Dashboard!$C$7*'Equity and Bond Returns'!AM13)+(Dashboard!$C$8*'Equity and Bond Returns'!EK13)</f>
        <v>0.15261380386593476</v>
      </c>
      <c r="AB13" s="122">
        <f ca="1">(Dashboard!$C$7*'Equity and Bond Returns'!AN13)+(Dashboard!$C$8*'Equity and Bond Returns'!EL13)</f>
        <v>0.24873437207551966</v>
      </c>
      <c r="AC13" s="122">
        <f ca="1">(Dashboard!$C$7*'Equity and Bond Returns'!AO13)+(Dashboard!$C$8*'Equity and Bond Returns'!EM13)</f>
        <v>0.17654860362214986</v>
      </c>
      <c r="AD13" s="122">
        <f ca="1">(Dashboard!$C$7*'Equity and Bond Returns'!AP13)+(Dashboard!$C$8*'Equity and Bond Returns'!EN13)</f>
        <v>0.37899535162009929</v>
      </c>
      <c r="AE13" s="122">
        <f ca="1">(Dashboard!$C$7*'Equity and Bond Returns'!AQ13)+(Dashboard!$C$8*'Equity and Bond Returns'!EO13)</f>
        <v>-0.14827161294840455</v>
      </c>
      <c r="AF13" s="122">
        <f ca="1">(Dashboard!$C$7*'Equity and Bond Returns'!AR13)+(Dashboard!$C$8*'Equity and Bond Returns'!EP13)</f>
        <v>1.9488472460500735E-2</v>
      </c>
      <c r="AG13" s="122">
        <f ca="1">(Dashboard!$C$7*'Equity and Bond Returns'!AS13)+(Dashboard!$C$8*'Equity and Bond Returns'!EQ13)</f>
        <v>4.6697551849756408E-2</v>
      </c>
      <c r="AH13" s="122">
        <f ca="1">(Dashboard!$C$7*'Equity and Bond Returns'!AT13)+(Dashboard!$C$8*'Equity and Bond Returns'!ER13)</f>
        <v>0.26701432034470618</v>
      </c>
      <c r="AI13" s="122">
        <f ca="1">(Dashboard!$C$7*'Equity and Bond Returns'!AU13)+(Dashboard!$C$8*'Equity and Bond Returns'!ES13)</f>
        <v>0.25805342797844888</v>
      </c>
      <c r="AJ13" s="122">
        <f ca="1">(Dashboard!$C$7*'Equity and Bond Returns'!AV13)+(Dashboard!$C$8*'Equity and Bond Returns'!ET13)</f>
        <v>0.22027666397865789</v>
      </c>
      <c r="AK13" s="122">
        <f ca="1">(Dashboard!$C$7*'Equity and Bond Returns'!AW13)+(Dashboard!$C$8*'Equity and Bond Returns'!EU13)</f>
        <v>2.9840268666911269E-2</v>
      </c>
      <c r="AL13" s="122">
        <f ca="1">(Dashboard!$C$7*'Equity and Bond Returns'!AX13)+(Dashboard!$C$8*'Equity and Bond Returns'!EV13)</f>
        <v>0.23823169466183891</v>
      </c>
      <c r="AM13" s="122">
        <f ca="1">(Dashboard!$C$7*'Equity and Bond Returns'!AY13)+(Dashboard!$C$8*'Equity and Bond Returns'!EW13)</f>
        <v>-8.2753942035428851E-2</v>
      </c>
      <c r="AN13" s="122">
        <f ca="1">(Dashboard!$C$7*'Equity and Bond Returns'!AZ13)+(Dashboard!$C$8*'Equity and Bond Returns'!EX13)</f>
        <v>-0.22816154462463531</v>
      </c>
      <c r="AO13" s="122">
        <f ca="1">(Dashboard!$C$7*'Equity and Bond Returns'!BA13)+(Dashboard!$C$8*'Equity and Bond Returns'!EY13)</f>
        <v>-3.6549019156196363E-2</v>
      </c>
      <c r="AP13" s="122">
        <f ca="1">(Dashboard!$C$7*'Equity and Bond Returns'!BB13)+(Dashboard!$C$8*'Equity and Bond Returns'!EZ13)</f>
        <v>-9.6006776844995687E-2</v>
      </c>
      <c r="AQ13" s="122">
        <f ca="1">(Dashboard!$C$7*'Equity and Bond Returns'!BC13)+(Dashboard!$C$8*'Equity and Bond Returns'!FA13)</f>
        <v>-2.7907380370651033E-2</v>
      </c>
      <c r="AR13" s="122">
        <f ca="1">(Dashboard!$C$7*'Equity and Bond Returns'!BD13)+(Dashboard!$C$8*'Equity and Bond Returns'!FB13)</f>
        <v>0.1584427048511701</v>
      </c>
      <c r="AS13" s="122">
        <f ca="1">(Dashboard!$C$7*'Equity and Bond Returns'!BE13)+(Dashboard!$C$8*'Equity and Bond Returns'!FC13)</f>
        <v>-0.18738897731375981</v>
      </c>
      <c r="AT13" s="122">
        <f ca="1">(Dashboard!$C$7*'Equity and Bond Returns'!BF13)+(Dashboard!$C$8*'Equity and Bond Returns'!FD13)</f>
        <v>0.23531004949489545</v>
      </c>
      <c r="AU13" s="122">
        <f ca="1">(Dashboard!$C$7*'Equity and Bond Returns'!BG13)+(Dashboard!$C$8*'Equity and Bond Returns'!FE13)</f>
        <v>0.17702454152713354</v>
      </c>
      <c r="AV13" s="122">
        <f ca="1">(Dashboard!$C$7*'Equity and Bond Returns'!BH13)+(Dashboard!$C$8*'Equity and Bond Returns'!FF13)</f>
        <v>0.33593253830519104</v>
      </c>
      <c r="AW13" s="122">
        <f ca="1">(Dashboard!$C$7*'Equity and Bond Returns'!BI13)+(Dashboard!$C$8*'Equity and Bond Returns'!FG13)</f>
        <v>0.1178040966843751</v>
      </c>
      <c r="AX13" s="122">
        <f ca="1">(Dashboard!$C$7*'Equity and Bond Returns'!BJ13)+(Dashboard!$C$8*'Equity and Bond Returns'!FH13)</f>
        <v>-1.4233311314112155E-2</v>
      </c>
      <c r="AY13" s="122">
        <f ca="1">(Dashboard!$C$7*'Equity and Bond Returns'!BK13)+(Dashboard!$C$8*'Equity and Bond Returns'!FI13)</f>
        <v>-1.832034848090134E-2</v>
      </c>
      <c r="AZ13" s="122">
        <f ca="1">(Dashboard!$C$7*'Equity and Bond Returns'!BL13)+(Dashboard!$C$8*'Equity and Bond Returns'!FJ13)</f>
        <v>0.25929348119948642</v>
      </c>
      <c r="BA13" s="122">
        <f ca="1">(Dashboard!$C$7*'Equity and Bond Returns'!BM13)+(Dashboard!$C$8*'Equity and Bond Returns'!FK13)</f>
        <v>7.3254799697043918E-2</v>
      </c>
      <c r="BB13" s="122">
        <f ca="1">(Dashboard!$C$7*'Equity and Bond Returns'!BN13)+(Dashboard!$C$8*'Equity and Bond Returns'!FL13)</f>
        <v>-7.7812859586213132E-2</v>
      </c>
      <c r="BC13" s="122">
        <f ca="1">(Dashboard!$C$7*'Equity and Bond Returns'!BO13)+(Dashboard!$C$8*'Equity and Bond Returns'!FM13)</f>
        <v>-0.1154047826805384</v>
      </c>
      <c r="BD13" s="122">
        <f ca="1">(Dashboard!$C$7*'Equity and Bond Returns'!BP13)+(Dashboard!$C$8*'Equity and Bond Returns'!FN13)</f>
        <v>-6.3121693429946155E-2</v>
      </c>
      <c r="BE13" s="122">
        <f ca="1">(Dashboard!$C$7*'Equity and Bond Returns'!BQ13)+(Dashboard!$C$8*'Equity and Bond Returns'!FO13)</f>
        <v>0.44300585315832547</v>
      </c>
      <c r="BF13" s="122">
        <f ca="1">(Dashboard!$C$7*'Equity and Bond Returns'!BR13)+(Dashboard!$C$8*'Equity and Bond Returns'!FP13)</f>
        <v>-4.0880265425575095E-2</v>
      </c>
      <c r="BG13" s="122">
        <f ca="1">(Dashboard!$C$7*'Equity and Bond Returns'!BS13)+(Dashboard!$C$8*'Equity and Bond Returns'!FQ13)</f>
        <v>7.4300849023494805E-2</v>
      </c>
      <c r="BH13" s="122">
        <f ca="1">(Dashboard!$C$7*'Equity and Bond Returns'!BT13)+(Dashboard!$C$8*'Equity and Bond Returns'!FR13)</f>
        <v>-0.11269549156898208</v>
      </c>
      <c r="BI13" s="122">
        <f ca="1">(Dashboard!$C$7*'Equity and Bond Returns'!BU13)+(Dashboard!$C$8*'Equity and Bond Returns'!FS13)</f>
        <v>0.10035741461001017</v>
      </c>
      <c r="BJ13" s="122">
        <f ca="1">(Dashboard!$C$7*'Equity and Bond Returns'!BV13)+(Dashboard!$C$8*'Equity and Bond Returns'!FT13)</f>
        <v>0.21451565835264988</v>
      </c>
      <c r="BK13" s="122">
        <f ca="1">(Dashboard!$C$7*'Equity and Bond Returns'!BW13)+(Dashboard!$C$8*'Equity and Bond Returns'!FU13)</f>
        <v>0.38376524938822432</v>
      </c>
      <c r="BL13" s="122">
        <f ca="1">(Dashboard!$C$7*'Equity and Bond Returns'!BX13)+(Dashboard!$C$8*'Equity and Bond Returns'!FV13)</f>
        <v>0.26690846413786995</v>
      </c>
      <c r="BM13" s="122">
        <f ca="1">(Dashboard!$C$7*'Equity and Bond Returns'!BY13)+(Dashboard!$C$8*'Equity and Bond Returns'!FW13)</f>
        <v>-0.12272074199964235</v>
      </c>
      <c r="BN13" s="122">
        <f ca="1">(Dashboard!$C$7*'Equity and Bond Returns'!BZ13)+(Dashboard!$C$8*'Equity and Bond Returns'!FX13)</f>
        <v>3.1570650010112014E-2</v>
      </c>
      <c r="BO13" s="122">
        <f ca="1">(Dashboard!$C$7*'Equity and Bond Returns'!CA13)+(Dashboard!$C$8*'Equity and Bond Returns'!FY13)</f>
        <v>0.22577390271045444</v>
      </c>
      <c r="BP13" s="122">
        <f ca="1">(Dashboard!$C$7*'Equity and Bond Returns'!CB13)+(Dashboard!$C$8*'Equity and Bond Returns'!FZ13)</f>
        <v>-5.3776916877296979E-2</v>
      </c>
      <c r="BQ13" s="122">
        <f ca="1">(Dashboard!$C$7*'Equity and Bond Returns'!CC13)+(Dashboard!$C$8*'Equity and Bond Returns'!GA13)</f>
        <v>-4.4686062606639002E-5</v>
      </c>
      <c r="BR13" s="122">
        <f ca="1">(Dashboard!$C$7*'Equity and Bond Returns'!CD13)+(Dashboard!$C$8*'Equity and Bond Returns'!GB13)</f>
        <v>-1.8939209836600489E-2</v>
      </c>
      <c r="BS13" s="122">
        <f ca="1">(Dashboard!$C$7*'Equity and Bond Returns'!CE13)+(Dashboard!$C$8*'Equity and Bond Returns'!GC13)</f>
        <v>0.18627339846478155</v>
      </c>
      <c r="BT13" s="122">
        <f ca="1">(Dashboard!$C$7*'Equity and Bond Returns'!CF13)+(Dashboard!$C$8*'Equity and Bond Returns'!GD13)</f>
        <v>0.47173966311762083</v>
      </c>
      <c r="BU13" s="122">
        <f ca="1">(Dashboard!$C$7*'Equity and Bond Returns'!CG13)+(Dashboard!$C$8*'Equity and Bond Returns'!GE13)</f>
        <v>0.1625472340471118</v>
      </c>
      <c r="BV13" s="122">
        <f ca="1">(Dashboard!$C$7*'Equity and Bond Returns'!CH13)+(Dashboard!$C$8*'Equity and Bond Returns'!GF13)</f>
        <v>0.14749486001500295</v>
      </c>
      <c r="BW13" s="122">
        <f ca="1">(Dashboard!$C$7*'Equity and Bond Returns'!CI13)+(Dashboard!$C$8*'Equity and Bond Returns'!GG13)</f>
        <v>0.27224275354600658</v>
      </c>
      <c r="BX13" s="122">
        <f ca="1">(Dashboard!$C$7*'Equity and Bond Returns'!CJ13)+(Dashboard!$C$8*'Equity and Bond Returns'!GH13)</f>
        <v>0.20485015181407987</v>
      </c>
      <c r="BY13" s="122">
        <f ca="1">(Dashboard!$C$7*'Equity and Bond Returns'!CK13)+(Dashboard!$C$8*'Equity and Bond Returns'!GI13)</f>
        <v>0.12680198877956034</v>
      </c>
      <c r="BZ13" s="122">
        <f ca="1">(Dashboard!$C$7*'Equity and Bond Returns'!CL13)+(Dashboard!$C$8*'Equity and Bond Returns'!GJ13)</f>
        <v>0.27220841638789756</v>
      </c>
      <c r="CA13" s="122">
        <f ca="1">(Dashboard!$C$7*'Equity and Bond Returns'!CM13)+(Dashboard!$C$8*'Equity and Bond Returns'!GK13)</f>
        <v>0.42674342250292163</v>
      </c>
      <c r="CB13" s="122">
        <f ca="1">(Dashboard!$C$7*'Equity and Bond Returns'!CN13)+(Dashboard!$C$8*'Equity and Bond Returns'!GL13)</f>
        <v>-3.2211518000531937E-2</v>
      </c>
      <c r="CC13" s="122">
        <f ca="1">(Dashboard!$C$7*'Equity and Bond Returns'!CO13)+(Dashboard!$C$8*'Equity and Bond Returns'!GM13)</f>
        <v>0.24931087366918778</v>
      </c>
      <c r="CD13" s="122">
        <f ca="1">(Dashboard!$C$7*'Equity and Bond Returns'!CP13)+(Dashboard!$C$8*'Equity and Bond Returns'!GN13)</f>
        <v>0.12552660769381158</v>
      </c>
      <c r="CE13" s="122">
        <f ca="1">(Dashboard!$C$7*'Equity and Bond Returns'!CQ13)+(Dashboard!$C$8*'Equity and Bond Returns'!GO13)</f>
        <v>0.14348593795511866</v>
      </c>
      <c r="CF13" s="122">
        <f ca="1">(Dashboard!$C$7*'Equity and Bond Returns'!CR13)+(Dashboard!$C$8*'Equity and Bond Returns'!GP13)</f>
        <v>-5.106781985620084E-2</v>
      </c>
      <c r="CG13" s="122">
        <f ca="1">(Dashboard!$C$7*'Equity and Bond Returns'!CS13)+(Dashboard!$C$8*'Equity and Bond Returns'!GQ13)</f>
        <v>0.12740720167424902</v>
      </c>
      <c r="CH13" s="122">
        <f ca="1">(Dashboard!$C$7*'Equity and Bond Returns'!CT13)+(Dashboard!$C$8*'Equity and Bond Returns'!GR13)</f>
        <v>0.1753684931254095</v>
      </c>
      <c r="CI13" s="122">
        <f ca="1">(Dashboard!$C$7*'Equity and Bond Returns'!CU13)+(Dashboard!$C$8*'Equity and Bond Returns'!GS13)</f>
        <v>2.9412193535605001E-2</v>
      </c>
      <c r="CJ13" s="122">
        <f ca="1">(Dashboard!$C$7*'Equity and Bond Returns'!CV13)+(Dashboard!$C$8*'Equity and Bond Returns'!GT13)</f>
        <v>0.20501832186902957</v>
      </c>
      <c r="CK13" s="122">
        <f ca="1">(Dashboard!$C$7*'Equity and Bond Returns'!CW13)+(Dashboard!$C$8*'Equity and Bond Returns'!GU13)</f>
        <v>9.4656974114299842E-3</v>
      </c>
      <c r="CL13" s="122">
        <f ca="1">(Dashboard!$C$7*'Equity and Bond Returns'!CX13)+(Dashboard!$C$8*'Equity and Bond Returns'!GV13)</f>
        <v>2.6104306918085948E-2</v>
      </c>
      <c r="CM13" s="122">
        <f ca="1">(Dashboard!$C$7*'Equity and Bond Returns'!CY13)+(Dashboard!$C$8*'Equity and Bond Returns'!GW13)</f>
        <v>-2.1302103433333157E-2</v>
      </c>
      <c r="CN13" s="122">
        <f ca="1">(Dashboard!$C$7*'Equity and Bond Returns'!CZ13)+(Dashboard!$C$8*'Equity and Bond Returns'!GX13)</f>
        <v>2.402465189744003E-3</v>
      </c>
      <c r="CO13" s="122">
        <f ca="1">(Dashboard!$C$7*'Equity and Bond Returns'!DA13)+(Dashboard!$C$8*'Equity and Bond Returns'!GY13)</f>
        <v>-6.4481594148857013E-2</v>
      </c>
      <c r="CP13" s="122">
        <f ca="1">(Dashboard!$C$7*'Equity and Bond Returns'!DB13)+(Dashboard!$C$8*'Equity and Bond Returns'!GZ13)</f>
        <v>0.24571903462299166</v>
      </c>
      <c r="CQ13" s="122">
        <f ca="1">(Dashboard!$C$7*'Equity and Bond Returns'!DC13)+(Dashboard!$C$8*'Equity and Bond Returns'!HA13)</f>
        <v>0.213062544258803</v>
      </c>
      <c r="CR13" s="122">
        <f ca="1">(Dashboard!$C$7*'Equity and Bond Returns'!DD13)+(Dashboard!$C$8*'Equity and Bond Returns'!HB13)</f>
        <v>5.6917772165480468E-2</v>
      </c>
      <c r="CS13" s="122">
        <f ca="1">(Dashboard!$C$7*'Equity and Bond Returns'!DE13)+(Dashboard!$C$8*'Equity and Bond Returns'!HC13)</f>
        <v>7.3180979745321534E-2</v>
      </c>
      <c r="CT13" s="122">
        <f ca="1">(Dashboard!$C$7*'Equity and Bond Returns'!DF13)+(Dashboard!$C$8*'Equity and Bond Returns'!HD13)</f>
        <v>0.25987423099302814</v>
      </c>
      <c r="CU13" s="122">
        <f ca="1">(Dashboard!$C$7*'Equity and Bond Returns'!DG13)+(Dashboard!$C$8*'Equity and Bond Returns'!HE13)</f>
        <v>0.12044363286481363</v>
      </c>
      <c r="CV13" s="122">
        <f ca="1">(Dashboard!$C$7*'Equity and Bond Returns'!DH13)+(Dashboard!$C$8*'Equity and Bond Returns'!HF13)</f>
        <v>0.27142771929859966</v>
      </c>
      <c r="CW13" s="122">
        <f ca="1">(Dashboard!$C$7*'Equity and Bond Returns'!DI13)+(Dashboard!$C$8*'Equity and Bond Returns'!HG13)</f>
        <v>0.30764039318783909</v>
      </c>
      <c r="CY13" s="147">
        <f t="shared" si="5"/>
        <v>62</v>
      </c>
      <c r="CZ13" s="148">
        <v>12</v>
      </c>
      <c r="DA13" s="126">
        <f ca="1">MAX(DA12*(1+B13)-(Dashboard!$C$11)/(1-Dashboard!$C$17)*((1+Dashboard!$C$12)^$CZ13),0)</f>
        <v>3107822.2468021782</v>
      </c>
      <c r="DB13" s="126">
        <f ca="1">MAX(DB12*(1+C13)-(Dashboard!$C$11)/(1-Dashboard!$C$17)*((1+Dashboard!$C$12)^$CZ13),0)</f>
        <v>404697.4801183067</v>
      </c>
      <c r="DC13" s="126">
        <f ca="1">MAX(DC12*(1+D13)-(Dashboard!$C$11)/(1-Dashboard!$C$17)*((1+Dashboard!$C$12)^$CZ13),0)</f>
        <v>1575879.7680435474</v>
      </c>
      <c r="DD13" s="126">
        <f ca="1">MAX(DD12*(1+E13)-(Dashboard!$C$11)/(1-Dashboard!$C$17)*((1+Dashboard!$C$12)^$CZ13),0)</f>
        <v>752189.91573254345</v>
      </c>
      <c r="DE13" s="126">
        <f ca="1">MAX(DE12*(1+F13)-(Dashboard!$C$11)/(1-Dashboard!$C$17)*((1+Dashboard!$C$12)^$CZ13),0)</f>
        <v>2305217.8523976789</v>
      </c>
      <c r="DF13" s="126">
        <f ca="1">MAX(DF12*(1+G13)-(Dashboard!$C$11)/(1-Dashboard!$C$17)*((1+Dashboard!$C$12)^$CZ13),0)</f>
        <v>2298729.5615821984</v>
      </c>
      <c r="DG13" s="126">
        <f ca="1">MAX(DG12*(1+H13)-(Dashboard!$C$11)/(1-Dashboard!$C$17)*((1+Dashboard!$C$12)^$CZ13),0)</f>
        <v>565457.30478408304</v>
      </c>
      <c r="DH13" s="126">
        <f ca="1">MAX(DH12*(1+I13)-(Dashboard!$C$11)/(1-Dashboard!$C$17)*((1+Dashboard!$C$12)^$CZ13),0)</f>
        <v>1190299.9581420994</v>
      </c>
      <c r="DI13" s="126">
        <f ca="1">MAX(DI12*(1+J13)-(Dashboard!$C$11)/(1-Dashboard!$C$17)*((1+Dashboard!$C$12)^$CZ13),0)</f>
        <v>1260827.6286279429</v>
      </c>
      <c r="DJ13" s="126">
        <f ca="1">MAX(DJ12*(1+K13)-(Dashboard!$C$11)/(1-Dashboard!$C$17)*((1+Dashboard!$C$12)^$CZ13),0)</f>
        <v>1466211.8800270914</v>
      </c>
      <c r="DK13" s="126">
        <f ca="1">MAX(DK12*(1+L13)-(Dashboard!$C$11)/(1-Dashboard!$C$17)*((1+Dashboard!$C$12)^$CZ13),0)</f>
        <v>4299975.967825898</v>
      </c>
      <c r="DL13" s="126">
        <f ca="1">MAX(DL12*(1+M13)-(Dashboard!$C$11)/(1-Dashboard!$C$17)*((1+Dashboard!$C$12)^$CZ13),0)</f>
        <v>998505.79286079679</v>
      </c>
      <c r="DM13" s="126">
        <f ca="1">MAX(DM12*(1+N13)-(Dashboard!$C$11)/(1-Dashboard!$C$17)*((1+Dashboard!$C$12)^$CZ13),0)</f>
        <v>1738367.162360731</v>
      </c>
      <c r="DN13" s="126">
        <f ca="1">MAX(DN12*(1+O13)-(Dashboard!$C$11)/(1-Dashboard!$C$17)*((1+Dashboard!$C$12)^$CZ13),0)</f>
        <v>4441910.2211241117</v>
      </c>
      <c r="DO13" s="126">
        <f ca="1">MAX(DO12*(1+P13)-(Dashboard!$C$11)/(1-Dashboard!$C$17)*((1+Dashboard!$C$12)^$CZ13),0)</f>
        <v>1917692.2874659016</v>
      </c>
      <c r="DP13" s="126">
        <f ca="1">MAX(DP12*(1+Q13)-(Dashboard!$C$11)/(1-Dashboard!$C$17)*((1+Dashboard!$C$12)^$CZ13),0)</f>
        <v>2139755.5188936391</v>
      </c>
      <c r="DQ13" s="126">
        <f ca="1">MAX(DQ12*(1+R13)-(Dashboard!$C$11)/(1-Dashboard!$C$17)*((1+Dashboard!$C$12)^$CZ13),0)</f>
        <v>1723238.6773642083</v>
      </c>
      <c r="DR13" s="126">
        <f ca="1">MAX(DR12*(1+S13)-(Dashboard!$C$11)/(1-Dashboard!$C$17)*((1+Dashboard!$C$12)^$CZ13),0)</f>
        <v>2000580.8935416599</v>
      </c>
      <c r="DS13" s="126">
        <f ca="1">MAX(DS12*(1+T13)-(Dashboard!$C$11)/(1-Dashboard!$C$17)*((1+Dashboard!$C$12)^$CZ13),0)</f>
        <v>2038273.8060236522</v>
      </c>
      <c r="DT13" s="126">
        <f ca="1">MAX(DT12*(1+U13)-(Dashboard!$C$11)/(1-Dashboard!$C$17)*((1+Dashboard!$C$12)^$CZ13),0)</f>
        <v>1517800.0699503098</v>
      </c>
      <c r="DU13" s="126">
        <f ca="1">MAX(DU12*(1+V13)-(Dashboard!$C$11)/(1-Dashboard!$C$17)*((1+Dashboard!$C$12)^$CZ13),0)</f>
        <v>1671058.1873477267</v>
      </c>
      <c r="DV13" s="126">
        <f ca="1">MAX(DV12*(1+W13)-(Dashboard!$C$11)/(1-Dashboard!$C$17)*((1+Dashboard!$C$12)^$CZ13),0)</f>
        <v>3074662.799564058</v>
      </c>
      <c r="DW13" s="126">
        <f ca="1">MAX(DW12*(1+X13)-(Dashboard!$C$11)/(1-Dashboard!$C$17)*((1+Dashboard!$C$12)^$CZ13),0)</f>
        <v>1679320.2477481803</v>
      </c>
      <c r="DX13" s="126">
        <f ca="1">MAX(DX12*(1+Y13)-(Dashboard!$C$11)/(1-Dashboard!$C$17)*((1+Dashboard!$C$12)^$CZ13),0)</f>
        <v>999387.8647847512</v>
      </c>
      <c r="DY13" s="126">
        <f ca="1">MAX(DY12*(1+Z13)-(Dashboard!$C$11)/(1-Dashboard!$C$17)*((1+Dashboard!$C$12)^$CZ13),0)</f>
        <v>2540660.4751901519</v>
      </c>
      <c r="DZ13" s="126">
        <f ca="1">MAX(DZ12*(1+AA13)-(Dashboard!$C$11)/(1-Dashboard!$C$17)*((1+Dashboard!$C$12)^$CZ13),0)</f>
        <v>628971.68404163618</v>
      </c>
      <c r="EA13" s="126">
        <f ca="1">MAX(EA12*(1+AB13)-(Dashboard!$C$11)/(1-Dashboard!$C$17)*((1+Dashboard!$C$12)^$CZ13),0)</f>
        <v>1461477.3316982223</v>
      </c>
      <c r="EB13" s="126">
        <f ca="1">MAX(EB12*(1+AC13)-(Dashboard!$C$11)/(1-Dashboard!$C$17)*((1+Dashboard!$C$12)^$CZ13),0)</f>
        <v>1650743.0431450338</v>
      </c>
      <c r="EC13" s="126">
        <f ca="1">MAX(EC12*(1+AD13)-(Dashboard!$C$11)/(1-Dashboard!$C$17)*((1+Dashboard!$C$12)^$CZ13),0)</f>
        <v>3072285.0503533222</v>
      </c>
      <c r="ED13" s="126">
        <f ca="1">MAX(ED12*(1+AE13)-(Dashboard!$C$11)/(1-Dashboard!$C$17)*((1+Dashboard!$C$12)^$CZ13),0)</f>
        <v>2827464.1532327537</v>
      </c>
      <c r="EE13" s="126">
        <f ca="1">MAX(EE12*(1+AF13)-(Dashboard!$C$11)/(1-Dashboard!$C$17)*((1+Dashboard!$C$12)^$CZ13),0)</f>
        <v>1697555.7550868017</v>
      </c>
      <c r="EF13" s="126">
        <f ca="1">MAX(EF12*(1+AG13)-(Dashboard!$C$11)/(1-Dashboard!$C$17)*((1+Dashboard!$C$12)^$CZ13),0)</f>
        <v>1922199.3788206349</v>
      </c>
      <c r="EG13" s="126">
        <f ca="1">MAX(EG12*(1+AH13)-(Dashboard!$C$11)/(1-Dashboard!$C$17)*((1+Dashboard!$C$12)^$CZ13),0)</f>
        <v>2531907.4399514408</v>
      </c>
      <c r="EH13" s="126">
        <f ca="1">MAX(EH12*(1+AI13)-(Dashboard!$C$11)/(1-Dashboard!$C$17)*((1+Dashboard!$C$12)^$CZ13),0)</f>
        <v>2144573.0260438276</v>
      </c>
      <c r="EI13" s="126">
        <f ca="1">MAX(EI12*(1+AJ13)-(Dashboard!$C$11)/(1-Dashboard!$C$17)*((1+Dashboard!$C$12)^$CZ13),0)</f>
        <v>755851.26905915374</v>
      </c>
      <c r="EJ13" s="126">
        <f ca="1">MAX(EJ12*(1+AK13)-(Dashboard!$C$11)/(1-Dashboard!$C$17)*((1+Dashboard!$C$12)^$CZ13),0)</f>
        <v>2110797.7454627296</v>
      </c>
      <c r="EK13" s="126">
        <f ca="1">MAX(EK12*(1+AL13)-(Dashboard!$C$11)/(1-Dashboard!$C$17)*((1+Dashboard!$C$12)^$CZ13),0)</f>
        <v>2152259.748200594</v>
      </c>
      <c r="EL13" s="126">
        <f ca="1">MAX(EL12*(1+AM13)-(Dashboard!$C$11)/(1-Dashboard!$C$17)*((1+Dashboard!$C$12)^$CZ13),0)</f>
        <v>961411.65276398847</v>
      </c>
      <c r="EM13" s="126">
        <f ca="1">MAX(EM12*(1+AN13)-(Dashboard!$C$11)/(1-Dashboard!$C$17)*((1+Dashboard!$C$12)^$CZ13),0)</f>
        <v>1734001.9381979282</v>
      </c>
      <c r="EN13" s="126">
        <f ca="1">MAX(EN12*(1+AO13)-(Dashboard!$C$11)/(1-Dashboard!$C$17)*((1+Dashboard!$C$12)^$CZ13),0)</f>
        <v>1997269.5371516088</v>
      </c>
      <c r="EO13" s="126">
        <f ca="1">MAX(EO12*(1+AP13)-(Dashboard!$C$11)/(1-Dashboard!$C$17)*((1+Dashboard!$C$12)^$CZ13),0)</f>
        <v>1046394.0366124846</v>
      </c>
      <c r="EP13" s="126">
        <f ca="1">MAX(EP12*(1+AQ13)-(Dashboard!$C$11)/(1-Dashboard!$C$17)*((1+Dashboard!$C$12)^$CZ13),0)</f>
        <v>1243857.1591630296</v>
      </c>
      <c r="EQ13" s="126">
        <f ca="1">MAX(EQ12*(1+AR13)-(Dashboard!$C$11)/(1-Dashboard!$C$17)*((1+Dashboard!$C$12)^$CZ13),0)</f>
        <v>900065.77452265832</v>
      </c>
      <c r="ER13" s="126">
        <f ca="1">MAX(ER12*(1+AS13)-(Dashboard!$C$11)/(1-Dashboard!$C$17)*((1+Dashboard!$C$12)^$CZ13),0)</f>
        <v>843492.97149778099</v>
      </c>
      <c r="ES13" s="126">
        <f ca="1">MAX(ES12*(1+AT13)-(Dashboard!$C$11)/(1-Dashboard!$C$17)*((1+Dashboard!$C$12)^$CZ13),0)</f>
        <v>923305.39070280106</v>
      </c>
      <c r="ET13" s="126">
        <f ca="1">MAX(ET12*(1+AU13)-(Dashboard!$C$11)/(1-Dashboard!$C$17)*((1+Dashboard!$C$12)^$CZ13),0)</f>
        <v>1652295.9507561161</v>
      </c>
      <c r="EU13" s="126">
        <f ca="1">MAX(EU12*(1+AV13)-(Dashboard!$C$11)/(1-Dashboard!$C$17)*((1+Dashboard!$C$12)^$CZ13),0)</f>
        <v>1770148.1923206854</v>
      </c>
      <c r="EV13" s="126">
        <f ca="1">MAX(EV12*(1+AW13)-(Dashboard!$C$11)/(1-Dashboard!$C$17)*((1+Dashboard!$C$12)^$CZ13),0)</f>
        <v>3525264.2117245789</v>
      </c>
      <c r="EW13" s="126">
        <f ca="1">MAX(EW12*(1+AX13)-(Dashboard!$C$11)/(1-Dashboard!$C$17)*((1+Dashboard!$C$12)^$CZ13),0)</f>
        <v>1594401.5106160196</v>
      </c>
      <c r="EX13" s="126">
        <f ca="1">MAX(EX12*(1+AY13)-(Dashboard!$C$11)/(1-Dashboard!$C$17)*((1+Dashboard!$C$12)^$CZ13),0)</f>
        <v>2180791.7721713083</v>
      </c>
      <c r="EY13" s="126">
        <f ca="1">MAX(EY12*(1+AZ13)-(Dashboard!$C$11)/(1-Dashboard!$C$17)*((1+Dashboard!$C$12)^$CZ13),0)</f>
        <v>3349511.1539814333</v>
      </c>
      <c r="EZ13" s="126">
        <f ca="1">MAX(EZ12*(1+BA13)-(Dashboard!$C$11)/(1-Dashboard!$C$17)*((1+Dashboard!$C$12)^$CZ13),0)</f>
        <v>902544.1956703394</v>
      </c>
      <c r="FA13" s="126">
        <f ca="1">MAX(FA12*(1+BB13)-(Dashboard!$C$11)/(1-Dashboard!$C$17)*((1+Dashboard!$C$12)^$CZ13),0)</f>
        <v>1564400.4192978931</v>
      </c>
      <c r="FB13" s="126">
        <f ca="1">MAX(FB12*(1+BC13)-(Dashboard!$C$11)/(1-Dashboard!$C$17)*((1+Dashboard!$C$12)^$CZ13),0)</f>
        <v>865394.23803468386</v>
      </c>
      <c r="FC13" s="126">
        <f ca="1">MAX(FC12*(1+BD13)-(Dashboard!$C$11)/(1-Dashboard!$C$17)*((1+Dashboard!$C$12)^$CZ13),0)</f>
        <v>1393839.5273138136</v>
      </c>
      <c r="FD13" s="126">
        <f ca="1">MAX(FD12*(1+BE13)-(Dashboard!$C$11)/(1-Dashboard!$C$17)*((1+Dashboard!$C$12)^$CZ13),0)</f>
        <v>2705248.1020036368</v>
      </c>
      <c r="FE13" s="126">
        <f ca="1">MAX(FE12*(1+BF13)-(Dashboard!$C$11)/(1-Dashboard!$C$17)*((1+Dashboard!$C$12)^$CZ13),0)</f>
        <v>2065476.4540350463</v>
      </c>
      <c r="FF13" s="126">
        <f ca="1">MAX(FF12*(1+BG13)-(Dashboard!$C$11)/(1-Dashboard!$C$17)*((1+Dashboard!$C$12)^$CZ13),0)</f>
        <v>2220716.4849610017</v>
      </c>
      <c r="FG13" s="126">
        <f ca="1">MAX(FG12*(1+BH13)-(Dashboard!$C$11)/(1-Dashboard!$C$17)*((1+Dashboard!$C$12)^$CZ13),0)</f>
        <v>2088195.8164830648</v>
      </c>
      <c r="FH13" s="126">
        <f ca="1">MAX(FH12*(1+BI13)-(Dashboard!$C$11)/(1-Dashboard!$C$17)*((1+Dashboard!$C$12)^$CZ13),0)</f>
        <v>1241046.624153103</v>
      </c>
      <c r="FI13" s="126">
        <f ca="1">MAX(FI12*(1+BJ13)-(Dashboard!$C$11)/(1-Dashboard!$C$17)*((1+Dashboard!$C$12)^$CZ13),0)</f>
        <v>2295914.6758294692</v>
      </c>
      <c r="FJ13" s="126">
        <f ca="1">MAX(FJ12*(1+BK13)-(Dashboard!$C$11)/(1-Dashboard!$C$17)*((1+Dashboard!$C$12)^$CZ13),0)</f>
        <v>1223199.4027832833</v>
      </c>
      <c r="FK13" s="126">
        <f ca="1">MAX(FK12*(1+BL13)-(Dashboard!$C$11)/(1-Dashboard!$C$17)*((1+Dashboard!$C$12)^$CZ13),0)</f>
        <v>1950173.6960336543</v>
      </c>
      <c r="FL13" s="126">
        <f ca="1">MAX(FL12*(1+BM13)-(Dashboard!$C$11)/(1-Dashboard!$C$17)*((1+Dashboard!$C$12)^$CZ13),0)</f>
        <v>2165499.9028852149</v>
      </c>
      <c r="FM13" s="126">
        <f ca="1">MAX(FM12*(1+BN13)-(Dashboard!$C$11)/(1-Dashboard!$C$17)*((1+Dashboard!$C$12)^$CZ13),0)</f>
        <v>2147525.2113876101</v>
      </c>
      <c r="FN13" s="126">
        <f ca="1">MAX(FN12*(1+BO13)-(Dashboard!$C$11)/(1-Dashboard!$C$17)*((1+Dashboard!$C$12)^$CZ13),0)</f>
        <v>1128240.6113499324</v>
      </c>
      <c r="FO13" s="126">
        <f ca="1">MAX(FO12*(1+BP13)-(Dashboard!$C$11)/(1-Dashboard!$C$17)*((1+Dashboard!$C$12)^$CZ13),0)</f>
        <v>2091101.6997925548</v>
      </c>
      <c r="FP13" s="126">
        <f ca="1">MAX(FP12*(1+BQ13)-(Dashboard!$C$11)/(1-Dashboard!$C$17)*((1+Dashboard!$C$12)^$CZ13),0)</f>
        <v>1876934.6756302714</v>
      </c>
      <c r="FQ13" s="126">
        <f ca="1">MAX(FQ12*(1+BR13)-(Dashboard!$C$11)/(1-Dashboard!$C$17)*((1+Dashboard!$C$12)^$CZ13),0)</f>
        <v>2416498.4456167668</v>
      </c>
      <c r="FR13" s="126">
        <f ca="1">MAX(FR12*(1+BS13)-(Dashboard!$C$11)/(1-Dashboard!$C$17)*((1+Dashboard!$C$12)^$CZ13),0)</f>
        <v>3069154.8023165576</v>
      </c>
      <c r="FS13" s="126">
        <f ca="1">MAX(FS12*(1+BT13)-(Dashboard!$C$11)/(1-Dashboard!$C$17)*((1+Dashboard!$C$12)^$CZ13),0)</f>
        <v>3885489.2774783168</v>
      </c>
      <c r="FT13" s="126">
        <f ca="1">MAX(FT12*(1+BU13)-(Dashboard!$C$11)/(1-Dashboard!$C$17)*((1+Dashboard!$C$12)^$CZ13),0)</f>
        <v>1033275.177172364</v>
      </c>
      <c r="FU13" s="126">
        <f ca="1">MAX(FU12*(1+BV13)-(Dashboard!$C$11)/(1-Dashboard!$C$17)*((1+Dashboard!$C$12)^$CZ13),0)</f>
        <v>2085155.6474877179</v>
      </c>
      <c r="FV13" s="126">
        <f ca="1">MAX(FV12*(1+BW13)-(Dashboard!$C$11)/(1-Dashboard!$C$17)*((1+Dashboard!$C$12)^$CZ13),0)</f>
        <v>578854.52074185328</v>
      </c>
      <c r="FW13" s="126">
        <f ca="1">MAX(FW12*(1+BX13)-(Dashboard!$C$11)/(1-Dashboard!$C$17)*((1+Dashboard!$C$12)^$CZ13),0)</f>
        <v>2615158.4045314491</v>
      </c>
      <c r="FX13" s="126">
        <f ca="1">MAX(FX12*(1+BY13)-(Dashboard!$C$11)/(1-Dashboard!$C$17)*((1+Dashboard!$C$12)^$CZ13),0)</f>
        <v>1490237.4086658016</v>
      </c>
      <c r="FY13" s="126">
        <f ca="1">MAX(FY12*(1+BZ13)-(Dashboard!$C$11)/(1-Dashboard!$C$17)*((1+Dashboard!$C$12)^$CZ13),0)</f>
        <v>1260653.4218553293</v>
      </c>
      <c r="FZ13" s="126">
        <f ca="1">MAX(FZ12*(1+CA13)-(Dashboard!$C$11)/(1-Dashboard!$C$17)*((1+Dashboard!$C$12)^$CZ13),0)</f>
        <v>2330105.917186108</v>
      </c>
      <c r="GA13" s="126">
        <f ca="1">MAX(GA12*(1+CB13)-(Dashboard!$C$11)/(1-Dashboard!$C$17)*((1+Dashboard!$C$12)^$CZ13),0)</f>
        <v>3882526.4390095673</v>
      </c>
      <c r="GB13" s="126">
        <f ca="1">MAX(GB12*(1+CC13)-(Dashboard!$C$11)/(1-Dashboard!$C$17)*((1+Dashboard!$C$12)^$CZ13),0)</f>
        <v>1731310.3557017401</v>
      </c>
      <c r="GC13" s="126">
        <f ca="1">MAX(GC12*(1+CD13)-(Dashboard!$C$11)/(1-Dashboard!$C$17)*((1+Dashboard!$C$12)^$CZ13),0)</f>
        <v>2615826.5030404171</v>
      </c>
      <c r="GD13" s="126">
        <f ca="1">MAX(GD12*(1+CE13)-(Dashboard!$C$11)/(1-Dashboard!$C$17)*((1+Dashboard!$C$12)^$CZ13),0)</f>
        <v>2201030.0427698223</v>
      </c>
      <c r="GE13" s="126">
        <f ca="1">MAX(GE12*(1+CF13)-(Dashboard!$C$11)/(1-Dashboard!$C$17)*((1+Dashboard!$C$12)^$CZ13),0)</f>
        <v>1219323.466111992</v>
      </c>
      <c r="GF13" s="126">
        <f ca="1">MAX(GF12*(1+CG13)-(Dashboard!$C$11)/(1-Dashboard!$C$17)*((1+Dashboard!$C$12)^$CZ13),0)</f>
        <v>3773256.4247170468</v>
      </c>
      <c r="GG13" s="126">
        <f ca="1">MAX(GG12*(1+CH13)-(Dashboard!$C$11)/(1-Dashboard!$C$17)*((1+Dashboard!$C$12)^$CZ13),0)</f>
        <v>580026.41573145846</v>
      </c>
      <c r="GH13" s="126">
        <f ca="1">MAX(GH12*(1+CI13)-(Dashboard!$C$11)/(1-Dashboard!$C$17)*((1+Dashboard!$C$12)^$CZ13),0)</f>
        <v>999160.45157063322</v>
      </c>
      <c r="GI13" s="126">
        <f ca="1">MAX(GI12*(1+CJ13)-(Dashboard!$C$11)/(1-Dashboard!$C$17)*((1+Dashboard!$C$12)^$CZ13),0)</f>
        <v>953677.66002510511</v>
      </c>
      <c r="GJ13" s="126">
        <f ca="1">MAX(GJ12*(1+CK13)-(Dashboard!$C$11)/(1-Dashboard!$C$17)*((1+Dashboard!$C$12)^$CZ13),0)</f>
        <v>1765818.811736753</v>
      </c>
      <c r="GK13" s="126">
        <f ca="1">MAX(GK12*(1+CL13)-(Dashboard!$C$11)/(1-Dashboard!$C$17)*((1+Dashboard!$C$12)^$CZ13),0)</f>
        <v>2484355.3029340524</v>
      </c>
      <c r="GL13" s="126">
        <f ca="1">MAX(GL12*(1+CM13)-(Dashboard!$C$11)/(1-Dashboard!$C$17)*((1+Dashboard!$C$12)^$CZ13),0)</f>
        <v>3284822.3288376331</v>
      </c>
      <c r="GM13" s="126">
        <f ca="1">MAX(GM12*(1+CN13)-(Dashboard!$C$11)/(1-Dashboard!$C$17)*((1+Dashboard!$C$12)^$CZ13),0)</f>
        <v>1144201.6522486727</v>
      </c>
      <c r="GN13" s="126">
        <f ca="1">MAX(GN12*(1+CO13)-(Dashboard!$C$11)/(1-Dashboard!$C$17)*((1+Dashboard!$C$12)^$CZ13),0)</f>
        <v>655994.17878298764</v>
      </c>
      <c r="GO13" s="126">
        <f ca="1">MAX(GO12*(1+CP13)-(Dashboard!$C$11)/(1-Dashboard!$C$17)*((1+Dashboard!$C$12)^$CZ13),0)</f>
        <v>2154620.2905745329</v>
      </c>
      <c r="GP13" s="126">
        <f ca="1">MAX(GP12*(1+CQ13)-(Dashboard!$C$11)/(1-Dashboard!$C$17)*((1+Dashboard!$C$12)^$CZ13),0)</f>
        <v>1363515.4371117393</v>
      </c>
      <c r="GQ13" s="126">
        <f ca="1">MAX(GQ12*(1+CR13)-(Dashboard!$C$11)/(1-Dashboard!$C$17)*((1+Dashboard!$C$12)^$CZ13),0)</f>
        <v>1141457.6879529476</v>
      </c>
      <c r="GR13" s="126">
        <f ca="1">MAX(GR12*(1+CS13)-(Dashboard!$C$11)/(1-Dashboard!$C$17)*((1+Dashboard!$C$12)^$CZ13),0)</f>
        <v>888394.57633346145</v>
      </c>
      <c r="GS13" s="126">
        <f ca="1">MAX(GS12*(1+CT13)-(Dashboard!$C$11)/(1-Dashboard!$C$17)*((1+Dashboard!$C$12)^$CZ13),0)</f>
        <v>2357471.6345814052</v>
      </c>
      <c r="GT13" s="126">
        <f ca="1">MAX(GT12*(1+CU13)-(Dashboard!$C$11)/(1-Dashboard!$C$17)*((1+Dashboard!$C$12)^$CZ13),0)</f>
        <v>2227726.3382639689</v>
      </c>
      <c r="GU13" s="126">
        <f ca="1">MAX(GU12*(1+CV13)-(Dashboard!$C$11)/(1-Dashboard!$C$17)*((1+Dashboard!$C$12)^$CZ13),0)</f>
        <v>837150.27593910601</v>
      </c>
      <c r="GV13" s="126">
        <f ca="1">MAX(GV12*(1+CW13)-(Dashboard!$C$11)/(1-Dashboard!$C$17)*((1+Dashboard!$C$12)^$CZ13),0)</f>
        <v>1197443.9420101289</v>
      </c>
      <c r="GW13" s="115">
        <f t="shared" si="4"/>
        <v>62</v>
      </c>
      <c r="GX13" s="130">
        <f t="shared" ca="1" si="2"/>
        <v>100</v>
      </c>
      <c r="HC13" s="130">
        <f t="shared" si="0"/>
        <v>62</v>
      </c>
      <c r="HD13" s="137">
        <f t="shared" ca="1" si="1"/>
        <v>1142143.6790268789</v>
      </c>
      <c r="HE13" s="137">
        <f t="shared" ca="1" si="1"/>
        <v>1732656.1469498342</v>
      </c>
      <c r="HF13" s="137">
        <f t="shared" ca="1" si="1"/>
        <v>2225973.8749382272</v>
      </c>
    </row>
    <row r="14" spans="1:214" ht="16">
      <c r="A14" s="145">
        <f t="shared" si="3"/>
        <v>63</v>
      </c>
      <c r="B14" s="122">
        <f ca="1">(Dashboard!$C$7*'Equity and Bond Returns'!N14)+(Dashboard!$C$8*'Equity and Bond Returns'!DL14)</f>
        <v>0.20206711251981282</v>
      </c>
      <c r="C14" s="122">
        <f ca="1">(Dashboard!$C$7*'Equity and Bond Returns'!O14)+(Dashboard!$C$8*'Equity and Bond Returns'!DM14)</f>
        <v>-0.13174489176493434</v>
      </c>
      <c r="D14" s="122">
        <f ca="1">(Dashboard!$C$7*'Equity and Bond Returns'!P14)+(Dashboard!$C$8*'Equity and Bond Returns'!DN14)</f>
        <v>6.3661325567689067E-2</v>
      </c>
      <c r="E14" s="122">
        <f ca="1">(Dashboard!$C$7*'Equity and Bond Returns'!Q14)+(Dashboard!$C$8*'Equity and Bond Returns'!DO14)</f>
        <v>-7.8993656264361334E-2</v>
      </c>
      <c r="F14" s="122">
        <f ca="1">(Dashboard!$C$7*'Equity and Bond Returns'!R14)+(Dashboard!$C$8*'Equity and Bond Returns'!DP14)</f>
        <v>0.24232634908443176</v>
      </c>
      <c r="G14" s="122">
        <f ca="1">(Dashboard!$C$7*'Equity and Bond Returns'!S14)+(Dashboard!$C$8*'Equity and Bond Returns'!DQ14)</f>
        <v>0.31085593922530452</v>
      </c>
      <c r="H14" s="122">
        <f ca="1">(Dashboard!$C$7*'Equity and Bond Returns'!T14)+(Dashboard!$C$8*'Equity and Bond Returns'!DR14)</f>
        <v>-0.18143345063641675</v>
      </c>
      <c r="I14" s="122">
        <f ca="1">(Dashboard!$C$7*'Equity and Bond Returns'!U14)+(Dashboard!$C$8*'Equity and Bond Returns'!DS14)</f>
        <v>0.30060401074310983</v>
      </c>
      <c r="J14" s="122">
        <f ca="1">(Dashboard!$C$7*'Equity and Bond Returns'!V14)+(Dashboard!$C$8*'Equity and Bond Returns'!DT14)</f>
        <v>6.6962568070343453E-2</v>
      </c>
      <c r="K14" s="122">
        <f ca="1">(Dashboard!$C$7*'Equity and Bond Returns'!W14)+(Dashboard!$C$8*'Equity and Bond Returns'!DU14)</f>
        <v>7.9555691952601981E-2</v>
      </c>
      <c r="L14" s="122">
        <f ca="1">(Dashboard!$C$7*'Equity and Bond Returns'!X14)+(Dashboard!$C$8*'Equity and Bond Returns'!DV14)</f>
        <v>-2.2120032923542025E-2</v>
      </c>
      <c r="M14" s="122">
        <f ca="1">(Dashboard!$C$7*'Equity and Bond Returns'!Y14)+(Dashboard!$C$8*'Equity and Bond Returns'!DW14)</f>
        <v>0.18420586435190456</v>
      </c>
      <c r="N14" s="122">
        <f ca="1">(Dashboard!$C$7*'Equity and Bond Returns'!Z14)+(Dashboard!$C$8*'Equity and Bond Returns'!DX14)</f>
        <v>0.11516294136443395</v>
      </c>
      <c r="O14" s="122">
        <f ca="1">(Dashboard!$C$7*'Equity and Bond Returns'!AA14)+(Dashboard!$C$8*'Equity and Bond Returns'!DY14)</f>
        <v>0.11969789928303599</v>
      </c>
      <c r="P14" s="122">
        <f ca="1">(Dashboard!$C$7*'Equity and Bond Returns'!AB14)+(Dashboard!$C$8*'Equity and Bond Returns'!DZ14)</f>
        <v>0.12948849264503537</v>
      </c>
      <c r="Q14" s="122">
        <f ca="1">(Dashboard!$C$7*'Equity and Bond Returns'!AC14)+(Dashboard!$C$8*'Equity and Bond Returns'!EA14)</f>
        <v>-2.5662971786414093E-3</v>
      </c>
      <c r="R14" s="122">
        <f ca="1">(Dashboard!$C$7*'Equity and Bond Returns'!AD14)+(Dashboard!$C$8*'Equity and Bond Returns'!EB14)</f>
        <v>0.23195235302649025</v>
      </c>
      <c r="S14" s="122">
        <f ca="1">(Dashboard!$C$7*'Equity and Bond Returns'!AE14)+(Dashboard!$C$8*'Equity and Bond Returns'!EC14)</f>
        <v>1.9808501213527729E-2</v>
      </c>
      <c r="T14" s="122">
        <f ca="1">(Dashboard!$C$7*'Equity and Bond Returns'!AF14)+(Dashboard!$C$8*'Equity and Bond Returns'!ED14)</f>
        <v>0.10160605457639584</v>
      </c>
      <c r="U14" s="122">
        <f ca="1">(Dashboard!$C$7*'Equity and Bond Returns'!AG14)+(Dashboard!$C$8*'Equity and Bond Returns'!EE14)</f>
        <v>0.1025834565038084</v>
      </c>
      <c r="V14" s="122">
        <f ca="1">(Dashboard!$C$7*'Equity and Bond Returns'!AH14)+(Dashboard!$C$8*'Equity and Bond Returns'!EF14)</f>
        <v>0.20314541949091602</v>
      </c>
      <c r="W14" s="122">
        <f ca="1">(Dashboard!$C$7*'Equity and Bond Returns'!AI14)+(Dashboard!$C$8*'Equity and Bond Returns'!EG14)</f>
        <v>-9.8861641499473962E-2</v>
      </c>
      <c r="X14" s="122">
        <f ca="1">(Dashboard!$C$7*'Equity and Bond Returns'!AJ14)+(Dashboard!$C$8*'Equity and Bond Returns'!EH14)</f>
        <v>2.3048756489610824E-3</v>
      </c>
      <c r="Y14" s="122">
        <f ca="1">(Dashboard!$C$7*'Equity and Bond Returns'!AK14)+(Dashboard!$C$8*'Equity and Bond Returns'!EI14)</f>
        <v>9.1671268775909337E-2</v>
      </c>
      <c r="Z14" s="122">
        <f ca="1">(Dashboard!$C$7*'Equity and Bond Returns'!AL14)+(Dashboard!$C$8*'Equity and Bond Returns'!EJ14)</f>
        <v>0.13488566143021677</v>
      </c>
      <c r="AA14" s="122">
        <f ca="1">(Dashboard!$C$7*'Equity and Bond Returns'!AM14)+(Dashboard!$C$8*'Equity and Bond Returns'!EK14)</f>
        <v>-0.1398224065928409</v>
      </c>
      <c r="AB14" s="122">
        <f ca="1">(Dashboard!$C$7*'Equity and Bond Returns'!AN14)+(Dashboard!$C$8*'Equity and Bond Returns'!EL14)</f>
        <v>5.5969447492342617E-2</v>
      </c>
      <c r="AC14" s="122">
        <f ca="1">(Dashboard!$C$7*'Equity and Bond Returns'!AO14)+(Dashboard!$C$8*'Equity and Bond Returns'!EM14)</f>
        <v>7.2728757095984559E-2</v>
      </c>
      <c r="AD14" s="122">
        <f ca="1">(Dashboard!$C$7*'Equity and Bond Returns'!AP14)+(Dashboard!$C$8*'Equity and Bond Returns'!EN14)</f>
        <v>0.16539947548107478</v>
      </c>
      <c r="AE14" s="122">
        <f ca="1">(Dashboard!$C$7*'Equity and Bond Returns'!AQ14)+(Dashboard!$C$8*'Equity and Bond Returns'!EO14)</f>
        <v>0.10912581896542153</v>
      </c>
      <c r="AF14" s="122">
        <f ca="1">(Dashboard!$C$7*'Equity and Bond Returns'!AR14)+(Dashboard!$C$8*'Equity and Bond Returns'!EP14)</f>
        <v>-0.11655998223013134</v>
      </c>
      <c r="AG14" s="122">
        <f ca="1">(Dashboard!$C$7*'Equity and Bond Returns'!AS14)+(Dashboard!$C$8*'Equity and Bond Returns'!EQ14)</f>
        <v>-1.399903154370094E-2</v>
      </c>
      <c r="AH14" s="122">
        <f ca="1">(Dashboard!$C$7*'Equity and Bond Returns'!AT14)+(Dashboard!$C$8*'Equity and Bond Returns'!ER14)</f>
        <v>0.2651287867746423</v>
      </c>
      <c r="AI14" s="122">
        <f ca="1">(Dashboard!$C$7*'Equity and Bond Returns'!AU14)+(Dashboard!$C$8*'Equity and Bond Returns'!ES14)</f>
        <v>-0.14184492026489837</v>
      </c>
      <c r="AJ14" s="122">
        <f ca="1">(Dashboard!$C$7*'Equity and Bond Returns'!AV14)+(Dashboard!$C$8*'Equity and Bond Returns'!ET14)</f>
        <v>-0.18945805927348228</v>
      </c>
      <c r="AK14" s="122">
        <f ca="1">(Dashboard!$C$7*'Equity and Bond Returns'!AW14)+(Dashboard!$C$8*'Equity and Bond Returns'!EU14)</f>
        <v>-2.7931226535353994E-2</v>
      </c>
      <c r="AL14" s="122">
        <f ca="1">(Dashboard!$C$7*'Equity and Bond Returns'!AX14)+(Dashboard!$C$8*'Equity and Bond Returns'!EV14)</f>
        <v>0.10260756210602279</v>
      </c>
      <c r="AM14" s="122">
        <f ca="1">(Dashboard!$C$7*'Equity and Bond Returns'!AY14)+(Dashboard!$C$8*'Equity and Bond Returns'!EW14)</f>
        <v>-9.7924239061589757E-2</v>
      </c>
      <c r="AN14" s="122">
        <f ca="1">(Dashboard!$C$7*'Equity and Bond Returns'!AZ14)+(Dashboard!$C$8*'Equity and Bond Returns'!EX14)</f>
        <v>5.4533029204622885E-2</v>
      </c>
      <c r="AO14" s="122">
        <f ca="1">(Dashboard!$C$7*'Equity and Bond Returns'!BA14)+(Dashboard!$C$8*'Equity and Bond Returns'!EY14)</f>
        <v>-6.575949007144305E-2</v>
      </c>
      <c r="AP14" s="122">
        <f ca="1">(Dashboard!$C$7*'Equity and Bond Returns'!BB14)+(Dashboard!$C$8*'Equity and Bond Returns'!EZ14)</f>
        <v>9.1117229800076707E-2</v>
      </c>
      <c r="AQ14" s="122">
        <f ca="1">(Dashboard!$C$7*'Equity and Bond Returns'!BC14)+(Dashboard!$C$8*'Equity and Bond Returns'!FA14)</f>
        <v>0.27001966277489226</v>
      </c>
      <c r="AR14" s="122">
        <f ca="1">(Dashboard!$C$7*'Equity and Bond Returns'!BD14)+(Dashboard!$C$8*'Equity and Bond Returns'!FB14)</f>
        <v>8.479141144412479E-2</v>
      </c>
      <c r="AS14" s="122">
        <f ca="1">(Dashboard!$C$7*'Equity and Bond Returns'!BE14)+(Dashboard!$C$8*'Equity and Bond Returns'!FC14)</f>
        <v>-5.5108024088320405E-2</v>
      </c>
      <c r="AT14" s="122">
        <f ca="1">(Dashboard!$C$7*'Equity and Bond Returns'!BF14)+(Dashboard!$C$8*'Equity and Bond Returns'!FD14)</f>
        <v>0.30425004163597552</v>
      </c>
      <c r="AU14" s="122">
        <f ca="1">(Dashboard!$C$7*'Equity and Bond Returns'!BG14)+(Dashboard!$C$8*'Equity and Bond Returns'!FE14)</f>
        <v>-8.9133136211887121E-2</v>
      </c>
      <c r="AV14" s="122">
        <f ca="1">(Dashboard!$C$7*'Equity and Bond Returns'!BH14)+(Dashboard!$C$8*'Equity and Bond Returns'!FF14)</f>
        <v>0.2369023884564404</v>
      </c>
      <c r="AW14" s="122">
        <f ca="1">(Dashboard!$C$7*'Equity and Bond Returns'!BI14)+(Dashboard!$C$8*'Equity and Bond Returns'!FG14)</f>
        <v>9.4614230228962204E-2</v>
      </c>
      <c r="AX14" s="122">
        <f ca="1">(Dashboard!$C$7*'Equity and Bond Returns'!BJ14)+(Dashboard!$C$8*'Equity and Bond Returns'!FH14)</f>
        <v>0.21851680843245549</v>
      </c>
      <c r="AY14" s="122">
        <f ca="1">(Dashboard!$C$7*'Equity and Bond Returns'!BK14)+(Dashboard!$C$8*'Equity and Bond Returns'!FI14)</f>
        <v>1.2979626887437888E-2</v>
      </c>
      <c r="AZ14" s="122">
        <f ca="1">(Dashboard!$C$7*'Equity and Bond Returns'!BL14)+(Dashboard!$C$8*'Equity and Bond Returns'!FJ14)</f>
        <v>0.11447421467984219</v>
      </c>
      <c r="BA14" s="122">
        <f ca="1">(Dashboard!$C$7*'Equity and Bond Returns'!BM14)+(Dashboard!$C$8*'Equity and Bond Returns'!FK14)</f>
        <v>0.15980739595863441</v>
      </c>
      <c r="BB14" s="122">
        <f ca="1">(Dashboard!$C$7*'Equity and Bond Returns'!BN14)+(Dashboard!$C$8*'Equity and Bond Returns'!FL14)</f>
        <v>0.1291605022775186</v>
      </c>
      <c r="BC14" s="122">
        <f ca="1">(Dashboard!$C$7*'Equity and Bond Returns'!BO14)+(Dashboard!$C$8*'Equity and Bond Returns'!FM14)</f>
        <v>-0.10451943453900576</v>
      </c>
      <c r="BD14" s="122">
        <f ca="1">(Dashboard!$C$7*'Equity and Bond Returns'!BP14)+(Dashboard!$C$8*'Equity and Bond Returns'!FN14)</f>
        <v>6.9324853786138063E-2</v>
      </c>
      <c r="BE14" s="122">
        <f ca="1">(Dashboard!$C$7*'Equity and Bond Returns'!BQ14)+(Dashboard!$C$8*'Equity and Bond Returns'!FO14)</f>
        <v>4.614615278727232E-2</v>
      </c>
      <c r="BF14" s="122">
        <f ca="1">(Dashboard!$C$7*'Equity and Bond Returns'!BR14)+(Dashboard!$C$8*'Equity and Bond Returns'!FP14)</f>
        <v>0.17922990544516346</v>
      </c>
      <c r="BG14" s="122">
        <f ca="1">(Dashboard!$C$7*'Equity and Bond Returns'!BS14)+(Dashboard!$C$8*'Equity and Bond Returns'!FQ14)</f>
        <v>-2.0639093843246262E-2</v>
      </c>
      <c r="BH14" s="122">
        <f ca="1">(Dashboard!$C$7*'Equity and Bond Returns'!BT14)+(Dashboard!$C$8*'Equity and Bond Returns'!FR14)</f>
        <v>-0.16047792293647453</v>
      </c>
      <c r="BI14" s="122">
        <f ca="1">(Dashboard!$C$7*'Equity and Bond Returns'!BU14)+(Dashboard!$C$8*'Equity and Bond Returns'!FS14)</f>
        <v>0.18783311171037587</v>
      </c>
      <c r="BJ14" s="122">
        <f ca="1">(Dashboard!$C$7*'Equity and Bond Returns'!BV14)+(Dashboard!$C$8*'Equity and Bond Returns'!FT14)</f>
        <v>6.642773613713808E-2</v>
      </c>
      <c r="BK14" s="122">
        <f ca="1">(Dashboard!$C$7*'Equity and Bond Returns'!BW14)+(Dashboard!$C$8*'Equity and Bond Returns'!FU14)</f>
        <v>0.12180346549983591</v>
      </c>
      <c r="BL14" s="122">
        <f ca="1">(Dashboard!$C$7*'Equity and Bond Returns'!BX14)+(Dashboard!$C$8*'Equity and Bond Returns'!FV14)</f>
        <v>4.8139144681851535E-2</v>
      </c>
      <c r="BM14" s="122">
        <f ca="1">(Dashboard!$C$7*'Equity and Bond Returns'!BY14)+(Dashboard!$C$8*'Equity and Bond Returns'!FW14)</f>
        <v>8.1427167492140365E-2</v>
      </c>
      <c r="BN14" s="122">
        <f ca="1">(Dashboard!$C$7*'Equity and Bond Returns'!BZ14)+(Dashboard!$C$8*'Equity and Bond Returns'!FX14)</f>
        <v>0.10753300361743287</v>
      </c>
      <c r="BO14" s="122">
        <f ca="1">(Dashboard!$C$7*'Equity and Bond Returns'!CA14)+(Dashboard!$C$8*'Equity and Bond Returns'!FY14)</f>
        <v>7.5006767562657825E-2</v>
      </c>
      <c r="BP14" s="122">
        <f ca="1">(Dashboard!$C$7*'Equity and Bond Returns'!CB14)+(Dashboard!$C$8*'Equity and Bond Returns'!FZ14)</f>
        <v>5.0853435019000068E-3</v>
      </c>
      <c r="BQ14" s="122">
        <f ca="1">(Dashboard!$C$7*'Equity and Bond Returns'!CC14)+(Dashboard!$C$8*'Equity and Bond Returns'!GA14)</f>
        <v>0.10662199570492342</v>
      </c>
      <c r="BR14" s="122">
        <f ca="1">(Dashboard!$C$7*'Equity and Bond Returns'!CD14)+(Dashboard!$C$8*'Equity and Bond Returns'!GB14)</f>
        <v>0.11097816593280331</v>
      </c>
      <c r="BS14" s="122">
        <f ca="1">(Dashboard!$C$7*'Equity and Bond Returns'!CE14)+(Dashboard!$C$8*'Equity and Bond Returns'!GC14)</f>
        <v>0.18444501523233692</v>
      </c>
      <c r="BT14" s="122">
        <f ca="1">(Dashboard!$C$7*'Equity and Bond Returns'!CF14)+(Dashboard!$C$8*'Equity and Bond Returns'!GD14)</f>
        <v>0.19286868887907765</v>
      </c>
      <c r="BU14" s="122">
        <f ca="1">(Dashboard!$C$7*'Equity and Bond Returns'!CG14)+(Dashboard!$C$8*'Equity and Bond Returns'!GE14)</f>
        <v>0.14045767854050439</v>
      </c>
      <c r="BV14" s="122">
        <f ca="1">(Dashboard!$C$7*'Equity and Bond Returns'!CH14)+(Dashboard!$C$8*'Equity and Bond Returns'!GF14)</f>
        <v>-8.0461893846307003E-2</v>
      </c>
      <c r="BW14" s="122">
        <f ca="1">(Dashboard!$C$7*'Equity and Bond Returns'!CI14)+(Dashboard!$C$8*'Equity and Bond Returns'!GG14)</f>
        <v>0.1289987737002132</v>
      </c>
      <c r="BX14" s="122">
        <f ca="1">(Dashboard!$C$7*'Equity and Bond Returns'!CJ14)+(Dashboard!$C$8*'Equity and Bond Returns'!GH14)</f>
        <v>2.9119579270688631E-2</v>
      </c>
      <c r="BY14" s="122">
        <f ca="1">(Dashboard!$C$7*'Equity and Bond Returns'!CK14)+(Dashboard!$C$8*'Equity and Bond Returns'!GI14)</f>
        <v>-2.7860704069630857E-2</v>
      </c>
      <c r="BZ14" s="122">
        <f ca="1">(Dashboard!$C$7*'Equity and Bond Returns'!CL14)+(Dashboard!$C$8*'Equity and Bond Returns'!GJ14)</f>
        <v>0.17832849844397641</v>
      </c>
      <c r="CA14" s="122">
        <f ca="1">(Dashboard!$C$7*'Equity and Bond Returns'!CM14)+(Dashboard!$C$8*'Equity and Bond Returns'!GK14)</f>
        <v>3.2911746457323671E-2</v>
      </c>
      <c r="CB14" s="122">
        <f ca="1">(Dashboard!$C$7*'Equity and Bond Returns'!CN14)+(Dashboard!$C$8*'Equity and Bond Returns'!GL14)</f>
        <v>-2.4156923953122342E-2</v>
      </c>
      <c r="CC14" s="122">
        <f ca="1">(Dashboard!$C$7*'Equity and Bond Returns'!CO14)+(Dashboard!$C$8*'Equity and Bond Returns'!GM14)</f>
        <v>4.4646555651544004E-2</v>
      </c>
      <c r="CD14" s="122">
        <f ca="1">(Dashboard!$C$7*'Equity and Bond Returns'!CP14)+(Dashboard!$C$8*'Equity and Bond Returns'!GN14)</f>
        <v>0.39044560620137553</v>
      </c>
      <c r="CE14" s="122">
        <f ca="1">(Dashboard!$C$7*'Equity and Bond Returns'!CQ14)+(Dashboard!$C$8*'Equity and Bond Returns'!GO14)</f>
        <v>0.18545372368005397</v>
      </c>
      <c r="CF14" s="122">
        <f ca="1">(Dashboard!$C$7*'Equity and Bond Returns'!CR14)+(Dashboard!$C$8*'Equity and Bond Returns'!GP14)</f>
        <v>0.17879079367911604</v>
      </c>
      <c r="CG14" s="122">
        <f ca="1">(Dashboard!$C$7*'Equity and Bond Returns'!CS14)+(Dashboard!$C$8*'Equity and Bond Returns'!GQ14)</f>
        <v>0.26028173656233483</v>
      </c>
      <c r="CH14" s="122">
        <f ca="1">(Dashboard!$C$7*'Equity and Bond Returns'!CT14)+(Dashboard!$C$8*'Equity and Bond Returns'!GR14)</f>
        <v>1.6809407095163278E-2</v>
      </c>
      <c r="CI14" s="122">
        <f ca="1">(Dashboard!$C$7*'Equity and Bond Returns'!CU14)+(Dashboard!$C$8*'Equity and Bond Returns'!GS14)</f>
        <v>0.23069693291976778</v>
      </c>
      <c r="CJ14" s="122">
        <f ca="1">(Dashboard!$C$7*'Equity and Bond Returns'!CV14)+(Dashboard!$C$8*'Equity and Bond Returns'!GT14)</f>
        <v>-2.5523064481703758E-2</v>
      </c>
      <c r="CK14" s="122">
        <f ca="1">(Dashboard!$C$7*'Equity and Bond Returns'!CW14)+(Dashboard!$C$8*'Equity and Bond Returns'!GU14)</f>
        <v>0.22095271372372913</v>
      </c>
      <c r="CL14" s="122">
        <f ca="1">(Dashboard!$C$7*'Equity and Bond Returns'!CX14)+(Dashboard!$C$8*'Equity and Bond Returns'!GV14)</f>
        <v>0.20025321722144429</v>
      </c>
      <c r="CM14" s="122">
        <f ca="1">(Dashboard!$C$7*'Equity and Bond Returns'!CY14)+(Dashboard!$C$8*'Equity and Bond Returns'!GW14)</f>
        <v>3.068686239969183E-2</v>
      </c>
      <c r="CN14" s="122">
        <f ca="1">(Dashboard!$C$7*'Equity and Bond Returns'!CZ14)+(Dashboard!$C$8*'Equity and Bond Returns'!GX14)</f>
        <v>0.25402758472717091</v>
      </c>
      <c r="CO14" s="122">
        <f ca="1">(Dashboard!$C$7*'Equity and Bond Returns'!DA14)+(Dashboard!$C$8*'Equity and Bond Returns'!GY14)</f>
        <v>-0.14480956011969817</v>
      </c>
      <c r="CP14" s="122">
        <f ca="1">(Dashboard!$C$7*'Equity and Bond Returns'!DB14)+(Dashboard!$C$8*'Equity and Bond Returns'!GZ14)</f>
        <v>-3.3122566369791478E-3</v>
      </c>
      <c r="CQ14" s="122">
        <f ca="1">(Dashboard!$C$7*'Equity and Bond Returns'!DC14)+(Dashboard!$C$8*'Equity and Bond Returns'!HA14)</f>
        <v>-6.34879810116427E-2</v>
      </c>
      <c r="CR14" s="122">
        <f ca="1">(Dashboard!$C$7*'Equity and Bond Returns'!DD14)+(Dashboard!$C$8*'Equity and Bond Returns'!HB14)</f>
        <v>3.0111777068276169E-2</v>
      </c>
      <c r="CS14" s="122">
        <f ca="1">(Dashboard!$C$7*'Equity and Bond Returns'!DE14)+(Dashboard!$C$8*'Equity and Bond Returns'!HC14)</f>
        <v>0.22443061636843895</v>
      </c>
      <c r="CT14" s="122">
        <f ca="1">(Dashboard!$C$7*'Equity and Bond Returns'!DF14)+(Dashboard!$C$8*'Equity and Bond Returns'!HD14)</f>
        <v>0.17049179719432633</v>
      </c>
      <c r="CU14" s="122">
        <f ca="1">(Dashboard!$C$7*'Equity and Bond Returns'!DG14)+(Dashboard!$C$8*'Equity and Bond Returns'!HE14)</f>
        <v>0.33119848948825287</v>
      </c>
      <c r="CV14" s="122">
        <f ca="1">(Dashboard!$C$7*'Equity and Bond Returns'!DH14)+(Dashboard!$C$8*'Equity and Bond Returns'!HF14)</f>
        <v>0.16777312118674559</v>
      </c>
      <c r="CW14" s="122">
        <f ca="1">(Dashboard!$C$7*'Equity and Bond Returns'!DI14)+(Dashboard!$C$8*'Equity and Bond Returns'!HG14)</f>
        <v>-4.7086107466633102E-2</v>
      </c>
      <c r="CY14" s="147">
        <f t="shared" si="5"/>
        <v>63</v>
      </c>
      <c r="CZ14" s="148">
        <v>13</v>
      </c>
      <c r="DA14" s="126">
        <f ca="1">MAX(DA13*(1+B14)-(Dashboard!$C$11)/(1-Dashboard!$C$17)*((1+Dashboard!$C$12)^$CZ14),0)</f>
        <v>3705522.4065983929</v>
      </c>
      <c r="DB14" s="126">
        <f ca="1">MAX(DB13*(1+C14)-(Dashboard!$C$11)/(1-Dashboard!$C$17)*((1+Dashboard!$C$12)^$CZ14),0)</f>
        <v>321092.14656264021</v>
      </c>
      <c r="DC14" s="126">
        <f ca="1">MAX(DC13*(1+D14)-(Dashboard!$C$11)/(1-Dashboard!$C$17)*((1+Dashboard!$C$12)^$CZ14),0)</f>
        <v>1645913.8551725636</v>
      </c>
      <c r="DD14" s="126">
        <f ca="1">MAX(DD13*(1+E14)-(Dashboard!$C$11)/(1-Dashboard!$C$17)*((1+Dashboard!$C$12)^$CZ14),0)</f>
        <v>662483.1762437094</v>
      </c>
      <c r="DE14" s="126">
        <f ca="1">MAX(DE13*(1+F14)-(Dashboard!$C$11)/(1-Dashboard!$C$17)*((1+Dashboard!$C$12)^$CZ14),0)</f>
        <v>2833544.3705735244</v>
      </c>
      <c r="DF14" s="126">
        <f ca="1">MAX(DF13*(1+G14)-(Dashboard!$C$11)/(1-Dashboard!$C$17)*((1+Dashboard!$C$12)^$CZ14),0)</f>
        <v>2983014.7906328663</v>
      </c>
      <c r="DG14" s="126">
        <f ca="1">MAX(DG13*(1+H14)-(Dashboard!$C$11)/(1-Dashboard!$C$17)*((1+Dashboard!$C$12)^$CZ14),0)</f>
        <v>432575.92694960028</v>
      </c>
      <c r="DH14" s="126">
        <f ca="1">MAX(DH13*(1+I14)-(Dashboard!$C$11)/(1-Dashboard!$C$17)*((1+Dashboard!$C$12)^$CZ14),0)</f>
        <v>1517820.391707032</v>
      </c>
      <c r="DI14" s="126">
        <f ca="1">MAX(DI13*(1+J14)-(Dashboard!$C$11)/(1-Dashboard!$C$17)*((1+Dashboard!$C$12)^$CZ14),0)</f>
        <v>1314967.3766949729</v>
      </c>
      <c r="DJ14" s="126">
        <f ca="1">MAX(DJ13*(1+K14)-(Dashboard!$C$11)/(1-Dashboard!$C$17)*((1+Dashboard!$C$12)^$CZ14),0)</f>
        <v>1552568.8728518335</v>
      </c>
      <c r="DK14" s="126">
        <f ca="1">MAX(DK13*(1+L14)-(Dashboard!$C$11)/(1-Dashboard!$C$17)*((1+Dashboard!$C$12)^$CZ14),0)</f>
        <v>4174571.8500072109</v>
      </c>
      <c r="DL14" s="126">
        <f ca="1">MAX(DL13*(1+M14)-(Dashboard!$C$11)/(1-Dashboard!$C$17)*((1+Dashboard!$C$12)^$CZ14),0)</f>
        <v>1152147.9076551653</v>
      </c>
      <c r="DM14" s="126">
        <f ca="1">MAX(DM13*(1+N14)-(Dashboard!$C$11)/(1-Dashboard!$C$17)*((1+Dashboard!$C$12)^$CZ14),0)</f>
        <v>1908274.1301095989</v>
      </c>
      <c r="DN14" s="126">
        <f ca="1">MAX(DN13*(1+O14)-(Dashboard!$C$11)/(1-Dashboard!$C$17)*((1+Dashboard!$C$12)^$CZ14),0)</f>
        <v>4943309.0355565753</v>
      </c>
      <c r="DO14" s="126">
        <f ca="1">MAX(DO13*(1+P14)-(Dashboard!$C$11)/(1-Dashboard!$C$17)*((1+Dashboard!$C$12)^$CZ14),0)</f>
        <v>2135722.863286932</v>
      </c>
      <c r="DP14" s="126">
        <f ca="1">MAX(DP13*(1+Q14)-(Dashboard!$C$11)/(1-Dashboard!$C$17)*((1+Dashboard!$C$12)^$CZ14),0)</f>
        <v>2103975.7625025813</v>
      </c>
      <c r="DQ14" s="126">
        <f ca="1">MAX(DQ13*(1+R14)-(Dashboard!$C$11)/(1-Dashboard!$C$17)*((1+Dashboard!$C$12)^$CZ14),0)</f>
        <v>2092659.4355651548</v>
      </c>
      <c r="DR14" s="126">
        <f ca="1">MAX(DR13*(1+S14)-(Dashboard!$C$11)/(1-Dashboard!$C$17)*((1+Dashboard!$C$12)^$CZ14),0)</f>
        <v>2009920.8947592021</v>
      </c>
      <c r="DS14" s="126">
        <f ca="1">MAX(DS13*(1+T14)-(Dashboard!$C$11)/(1-Dashboard!$C$17)*((1+Dashboard!$C$12)^$CZ14),0)</f>
        <v>2215086.2577601909</v>
      </c>
      <c r="DT14" s="126">
        <f ca="1">MAX(DT13*(1+U14)-(Dashboard!$C$11)/(1-Dashboard!$C$17)*((1+Dashboard!$C$12)^$CZ14),0)</f>
        <v>1643212.7395675965</v>
      </c>
      <c r="DU14" s="126">
        <f ca="1">MAX(DU13*(1+V14)-(Dashboard!$C$11)/(1-Dashboard!$C$17)*((1+Dashboard!$C$12)^$CZ14),0)</f>
        <v>1980237.4959702718</v>
      </c>
      <c r="DV14" s="126">
        <f ca="1">MAX(DV13*(1+W14)-(Dashboard!$C$11)/(1-Dashboard!$C$17)*((1+Dashboard!$C$12)^$CZ14),0)</f>
        <v>2740408.0803018482</v>
      </c>
      <c r="DW14" s="126">
        <f ca="1">MAX(DW13*(1+X14)-(Dashboard!$C$11)/(1-Dashboard!$C$17)*((1+Dashboard!$C$12)^$CZ14),0)</f>
        <v>1652902.3642540837</v>
      </c>
      <c r="DX14" s="126">
        <f ca="1">MAX(DX13*(1+Y14)-(Dashboard!$C$11)/(1-Dashboard!$C$17)*((1+Dashboard!$C$12)^$CZ14),0)</f>
        <v>1060714.5105088779</v>
      </c>
      <c r="DY14" s="126">
        <f ca="1">MAX(DY13*(1+Z14)-(Dashboard!$C$11)/(1-Dashboard!$C$17)*((1+Dashboard!$C$12)^$CZ14),0)</f>
        <v>2853070.6360158459</v>
      </c>
      <c r="DZ14" s="126">
        <f ca="1">MAX(DZ13*(1+AA14)-(Dashboard!$C$11)/(1-Dashboard!$C$17)*((1+Dashboard!$C$12)^$CZ14),0)</f>
        <v>510738.84166024416</v>
      </c>
      <c r="EA14" s="126">
        <f ca="1">MAX(EA13*(1+AB14)-(Dashboard!$C$11)/(1-Dashboard!$C$17)*((1+Dashboard!$C$12)^$CZ14),0)</f>
        <v>1512986.9026360167</v>
      </c>
      <c r="EB14" s="126">
        <f ca="1">MAX(EB13*(1+AC14)-(Dashboard!$C$11)/(1-Dashboard!$C$17)*((1+Dashboard!$C$12)^$CZ14),0)</f>
        <v>1740511.0251178767</v>
      </c>
      <c r="EC14" s="126">
        <f ca="1">MAX(EC13*(1+AD14)-(Dashboard!$C$11)/(1-Dashboard!$C$17)*((1+Dashboard!$C$12)^$CZ14),0)</f>
        <v>3550150.8783701705</v>
      </c>
      <c r="ED14" s="126">
        <f ca="1">MAX(ED13*(1+AE14)-(Dashboard!$C$11)/(1-Dashboard!$C$17)*((1+Dashboard!$C$12)^$CZ14),0)</f>
        <v>3105724.9867097116</v>
      </c>
      <c r="EE14" s="126">
        <f ca="1">MAX(EE13*(1+AF14)-(Dashboard!$C$11)/(1-Dashboard!$C$17)*((1+Dashboard!$C$12)^$CZ14),0)</f>
        <v>1469400.1785992887</v>
      </c>
      <c r="EF14" s="126">
        <f ca="1">MAX(EF13*(1+AG14)-(Dashboard!$C$11)/(1-Dashboard!$C$17)*((1+Dashboard!$C$12)^$CZ14),0)</f>
        <v>1865001.9412433039</v>
      </c>
      <c r="EG14" s="126">
        <f ca="1">MAX(EG13*(1+AH14)-(Dashboard!$C$11)/(1-Dashboard!$C$17)*((1+Dashboard!$C$12)^$CZ14),0)</f>
        <v>3172900.4798915181</v>
      </c>
      <c r="EH14" s="126">
        <f ca="1">MAX(EH13*(1+AI14)-(Dashboard!$C$11)/(1-Dashboard!$C$17)*((1+Dashboard!$C$12)^$CZ14),0)</f>
        <v>1810087.7283224508</v>
      </c>
      <c r="EI14" s="126">
        <f ca="1">MAX(EI13*(1+AJ14)-(Dashboard!$C$11)/(1-Dashboard!$C$17)*((1+Dashboard!$C$12)^$CZ14),0)</f>
        <v>582360.6466838693</v>
      </c>
      <c r="EJ14" s="126">
        <f ca="1">MAX(EJ13*(1+AK14)-(Dashboard!$C$11)/(1-Dashboard!$C$17)*((1+Dashboard!$C$12)^$CZ14),0)</f>
        <v>2021552.0676239573</v>
      </c>
      <c r="EK14" s="126">
        <f ca="1">MAX(EK13*(1+AL14)-(Dashboard!$C$11)/(1-Dashboard!$C$17)*((1+Dashboard!$C$12)^$CZ14),0)</f>
        <v>2342809.3661424406</v>
      </c>
      <c r="EL14" s="126">
        <f ca="1">MAX(EL13*(1+AM14)-(Dashboard!$C$11)/(1-Dashboard!$C$17)*((1+Dashboard!$C$12)^$CZ14),0)</f>
        <v>836977.64040219109</v>
      </c>
      <c r="EM14" s="126">
        <f ca="1">MAX(EM13*(1+AN14)-(Dashboard!$C$11)/(1-Dashboard!$C$17)*((1+Dashboard!$C$12)^$CZ14),0)</f>
        <v>1798273.8086946101</v>
      </c>
      <c r="EN14" s="126">
        <f ca="1">MAX(EN13*(1+AO14)-(Dashboard!$C$11)/(1-Dashboard!$C$17)*((1+Dashboard!$C$12)^$CZ14),0)</f>
        <v>1835641.6030133534</v>
      </c>
      <c r="EO14" s="126">
        <f ca="1">MAX(EO13*(1+AP14)-(Dashboard!$C$11)/(1-Dashboard!$C$17)*((1+Dashboard!$C$12)^$CZ14),0)</f>
        <v>1111450.0546679958</v>
      </c>
      <c r="EP14" s="126">
        <f ca="1">MAX(EP13*(1+AQ14)-(Dashboard!$C$11)/(1-Dashboard!$C$17)*((1+Dashboard!$C$12)^$CZ14),0)</f>
        <v>1549434.5419804282</v>
      </c>
      <c r="EQ14" s="126">
        <f ca="1">MAX(EQ13*(1+AR14)-(Dashboard!$C$11)/(1-Dashboard!$C$17)*((1+Dashboard!$C$12)^$CZ14),0)</f>
        <v>946095.11409704539</v>
      </c>
      <c r="ER14" s="126">
        <f ca="1">MAX(ER13*(1+AS14)-(Dashboard!$C$11)/(1-Dashboard!$C$17)*((1+Dashboard!$C$12)^$CZ14),0)</f>
        <v>766721.23266621388</v>
      </c>
      <c r="ES14" s="126">
        <f ca="1">MAX(ES13*(1+AT14)-(Dashboard!$C$11)/(1-Dashboard!$C$17)*((1+Dashboard!$C$12)^$CZ14),0)</f>
        <v>1173932.5864269105</v>
      </c>
      <c r="ET14" s="126">
        <f ca="1">MAX(ET13*(1+AU14)-(Dashboard!$C$11)/(1-Dashboard!$C$17)*((1+Dashboard!$C$12)^$CZ14),0)</f>
        <v>1474733.1228750832</v>
      </c>
      <c r="EU14" s="126">
        <f ca="1">MAX(EU13*(1+AV14)-(Dashboard!$C$11)/(1-Dashboard!$C$17)*((1+Dashboard!$C$12)^$CZ14),0)</f>
        <v>2159212.0191633678</v>
      </c>
      <c r="EV14" s="126">
        <f ca="1">MAX(EV13*(1+AW14)-(Dashboard!$C$11)/(1-Dashboard!$C$17)*((1+Dashboard!$C$12)^$CZ14),0)</f>
        <v>3828515.8636306701</v>
      </c>
      <c r="EW14" s="126">
        <f ca="1">MAX(EW13*(1+AX14)-(Dashboard!$C$11)/(1-Dashboard!$C$17)*((1+Dashboard!$C$12)^$CZ14),0)</f>
        <v>1912516.5322357798</v>
      </c>
      <c r="EX14" s="126">
        <f ca="1">MAX(EX13*(1+AY14)-(Dashboard!$C$11)/(1-Dashboard!$C$17)*((1+Dashboard!$C$12)^$CZ14),0)</f>
        <v>2178809.1278533475</v>
      </c>
      <c r="EY14" s="126">
        <f ca="1">MAX(EY13*(1+AZ14)-(Dashboard!$C$11)/(1-Dashboard!$C$17)*((1+Dashboard!$C$12)^$CZ14),0)</f>
        <v>3702655.3050548909</v>
      </c>
      <c r="EZ14" s="126">
        <f ca="1">MAX(EZ13*(1+BA14)-(Dashboard!$C$11)/(1-Dashboard!$C$17)*((1+Dashboard!$C$12)^$CZ14),0)</f>
        <v>1016488.9254780579</v>
      </c>
      <c r="FA14" s="126">
        <f ca="1">MAX(FA13*(1+BB14)-(Dashboard!$C$11)/(1-Dashboard!$C$17)*((1+Dashboard!$C$12)^$CZ14),0)</f>
        <v>1736170.6553776313</v>
      </c>
      <c r="FB14" s="126">
        <f ca="1">MAX(FB13*(1+BC14)-(Dashboard!$C$11)/(1-Dashboard!$C$17)*((1+Dashboard!$C$12)^$CZ14),0)</f>
        <v>744655.21378204646</v>
      </c>
      <c r="FC14" s="126">
        <f ca="1">MAX(FC13*(1+BD14)-(Dashboard!$C$11)/(1-Dashboard!$C$17)*((1+Dashboard!$C$12)^$CZ14),0)</f>
        <v>1460178.7409062453</v>
      </c>
      <c r="FD14" s="126">
        <f ca="1">MAX(FD13*(1+BE14)-(Dashboard!$C$11)/(1-Dashboard!$C$17)*((1+Dashboard!$C$12)^$CZ14),0)</f>
        <v>2799796.3864062368</v>
      </c>
      <c r="FE14" s="126">
        <f ca="1">MAX(FE13*(1+BF14)-(Dashboard!$C$11)/(1-Dashboard!$C$17)*((1+Dashboard!$C$12)^$CZ14),0)</f>
        <v>2405383.0957510201</v>
      </c>
      <c r="FF14" s="126">
        <f ca="1">MAX(FF13*(1+BG14)-(Dashboard!$C$11)/(1-Dashboard!$C$17)*((1+Dashboard!$C$12)^$CZ14),0)</f>
        <v>2144594.4011887088</v>
      </c>
      <c r="FG14" s="126">
        <f ca="1">MAX(FG13*(1+BH14)-(Dashboard!$C$11)/(1-Dashboard!$C$17)*((1+Dashboard!$C$12)^$CZ14),0)</f>
        <v>1722797.9813292886</v>
      </c>
      <c r="FH14" s="126">
        <f ca="1">MAX(FH13*(1+BI14)-(Dashboard!$C$11)/(1-Dashboard!$C$17)*((1+Dashboard!$C$12)^$CZ14),0)</f>
        <v>1443867.7655054994</v>
      </c>
      <c r="FI14" s="126">
        <f ca="1">MAX(FI13*(1+BJ14)-(Dashboard!$C$11)/(1-Dashboard!$C$17)*((1+Dashboard!$C$12)^$CZ14),0)</f>
        <v>2418138.5822689137</v>
      </c>
      <c r="FJ14" s="126">
        <f ca="1">MAX(FJ13*(1+BK14)-(Dashboard!$C$11)/(1-Dashboard!$C$17)*((1+Dashboard!$C$12)^$CZ14),0)</f>
        <v>1341900.8211996784</v>
      </c>
      <c r="FK14" s="126">
        <f ca="1">MAX(FK13*(1+BL14)-(Dashboard!$C$11)/(1-Dashboard!$C$17)*((1+Dashboard!$C$12)^$CZ14),0)</f>
        <v>2013764.8819018211</v>
      </c>
      <c r="FL14" s="126">
        <f ca="1">MAX(FL13*(1+BM14)-(Dashboard!$C$11)/(1-Dashboard!$C$17)*((1+Dashboard!$C$12)^$CZ14),0)</f>
        <v>2311541.9183417242</v>
      </c>
      <c r="FM14" s="126">
        <f ca="1">MAX(FM13*(1+BN14)-(Dashboard!$C$11)/(1-Dashboard!$C$17)*((1+Dashboard!$C$12)^$CZ14),0)</f>
        <v>2348166.5398723437</v>
      </c>
      <c r="FN14" s="126">
        <f ca="1">MAX(FN13*(1+BO14)-(Dashboard!$C$11)/(1-Dashboard!$C$17)*((1+Dashboard!$C$12)^$CZ14),0)</f>
        <v>1182577.7848002692</v>
      </c>
      <c r="FO14" s="126">
        <f ca="1">MAX(FO13*(1+BP14)-(Dashboard!$C$11)/(1-Dashboard!$C$17)*((1+Dashboard!$C$12)^$CZ14),0)</f>
        <v>2071447.1623934687</v>
      </c>
      <c r="FP14" s="126">
        <f ca="1">MAX(FP13*(1+BQ14)-(Dashboard!$C$11)/(1-Dashboard!$C$17)*((1+Dashboard!$C$12)^$CZ14),0)</f>
        <v>2046768.6887138058</v>
      </c>
      <c r="FQ14" s="126">
        <f ca="1">MAX(FQ13*(1+BR14)-(Dashboard!$C$11)/(1-Dashboard!$C$17)*((1+Dashboard!$C$12)^$CZ14),0)</f>
        <v>2654388.5032508471</v>
      </c>
      <c r="FR14" s="126">
        <f ca="1">MAX(FR13*(1+BS14)-(Dashboard!$C$11)/(1-Dashboard!$C$17)*((1+Dashboard!$C$12)^$CZ14),0)</f>
        <v>3604956.5987402964</v>
      </c>
      <c r="FS14" s="126">
        <f ca="1">MAX(FS13*(1+BT14)-(Dashboard!$C$11)/(1-Dashboard!$C$17)*((1+Dashboard!$C$12)^$CZ14),0)</f>
        <v>4604589.9922393356</v>
      </c>
      <c r="FT14" s="126">
        <f ca="1">MAX(FT13*(1+BU14)-(Dashboard!$C$11)/(1-Dashboard!$C$17)*((1+Dashboard!$C$12)^$CZ14),0)</f>
        <v>1148118.102011584</v>
      </c>
      <c r="FU14" s="126">
        <f ca="1">MAX(FU13*(1+BV14)-(Dashboard!$C$11)/(1-Dashboard!$C$17)*((1+Dashboard!$C$12)^$CZ14),0)</f>
        <v>1887091.5672865952</v>
      </c>
      <c r="FV14" s="126">
        <f ca="1">MAX(FV13*(1+BW14)-(Dashboard!$C$11)/(1-Dashboard!$C$17)*((1+Dashboard!$C$12)^$CZ14),0)</f>
        <v>623237.53622843849</v>
      </c>
      <c r="FW14" s="126">
        <f ca="1">MAX(FW13*(1+BX14)-(Dashboard!$C$11)/(1-Dashboard!$C$17)*((1+Dashboard!$C$12)^$CZ14),0)</f>
        <v>2661022.2091576718</v>
      </c>
      <c r="FX14" s="126">
        <f ca="1">MAX(FX13*(1+BY14)-(Dashboard!$C$11)/(1-Dashboard!$C$17)*((1+Dashboard!$C$12)^$CZ14),0)</f>
        <v>1418429.8373895318</v>
      </c>
      <c r="FY14" s="126">
        <f ca="1">MAX(FY13*(1+BZ14)-(Dashboard!$C$11)/(1-Dashboard!$C$17)*((1+Dashboard!$C$12)^$CZ14),0)</f>
        <v>1455175.3457931124</v>
      </c>
      <c r="FZ14" s="126">
        <f ca="1">MAX(FZ13*(1+CA14)-(Dashboard!$C$11)/(1-Dashboard!$C$17)*((1+Dashboard!$C$12)^$CZ14),0)</f>
        <v>2376505.2645113082</v>
      </c>
      <c r="GA14" s="126">
        <f ca="1">MAX(GA13*(1+CB14)-(Dashboard!$C$11)/(1-Dashboard!$C$17)*((1+Dashboard!$C$12)^$CZ14),0)</f>
        <v>3758448.0352364876</v>
      </c>
      <c r="GB14" s="126">
        <f ca="1">MAX(GB13*(1+CC14)-(Dashboard!$C$11)/(1-Dashboard!$C$17)*((1+Dashboard!$C$12)^$CZ14),0)</f>
        <v>1778318.8920077342</v>
      </c>
      <c r="GC14" s="126">
        <f ca="1">MAX(GC13*(1+CD14)-(Dashboard!$C$11)/(1-Dashboard!$C$17)*((1+Dashboard!$C$12)^$CZ14),0)</f>
        <v>3606875.9598977184</v>
      </c>
      <c r="GD14" s="126">
        <f ca="1">MAX(GD13*(1+CE14)-(Dashboard!$C$11)/(1-Dashboard!$C$17)*((1+Dashboard!$C$12)^$CZ14),0)</f>
        <v>2578930.7522932156</v>
      </c>
      <c r="GE14" s="126">
        <f ca="1">MAX(GE13*(1+CF14)-(Dashboard!$C$11)/(1-Dashboard!$C$17)*((1+Dashboard!$C$12)^$CZ14),0)</f>
        <v>1407038.7685297874</v>
      </c>
      <c r="GF14" s="126">
        <f ca="1">MAX(GF13*(1+CG14)-(Dashboard!$C$11)/(1-Dashboard!$C$17)*((1+Dashboard!$C$12)^$CZ14),0)</f>
        <v>4725077.6515974477</v>
      </c>
      <c r="GG14" s="126">
        <f ca="1">MAX(GG13*(1+CH14)-(Dashboard!$C$11)/(1-Dashboard!$C$17)*((1+Dashboard!$C$12)^$CZ14),0)</f>
        <v>559487.8080394984</v>
      </c>
      <c r="GH14" s="126">
        <f ca="1">MAX(GH13*(1+CI14)-(Dashboard!$C$11)/(1-Dashboard!$C$17)*((1+Dashboard!$C$12)^$CZ14),0)</f>
        <v>1199375.1954027701</v>
      </c>
      <c r="GI14" s="126">
        <f ca="1">MAX(GI13*(1+CJ14)-(Dashboard!$C$11)/(1-Dashboard!$C$17)*((1+Dashboard!$C$12)^$CZ14),0)</f>
        <v>899048.37577358552</v>
      </c>
      <c r="GJ14" s="126">
        <f ca="1">MAX(GJ13*(1+CK14)-(Dashboard!$C$11)/(1-Dashboard!$C$17)*((1+Dashboard!$C$12)^$CZ14),0)</f>
        <v>2125692.7622944606</v>
      </c>
      <c r="GK14" s="126">
        <f ca="1">MAX(GK13*(1+CL14)-(Dashboard!$C$11)/(1-Dashboard!$C$17)*((1+Dashboard!$C$12)^$CZ14),0)</f>
        <v>2951566.937227814</v>
      </c>
      <c r="GL14" s="126">
        <f ca="1">MAX(GL13*(1+CM14)-(Dashboard!$C$11)/(1-Dashboard!$C$17)*((1+Dashboard!$C$12)^$CZ14),0)</f>
        <v>3355334.7118101702</v>
      </c>
      <c r="GM14" s="126">
        <f ca="1">MAX(GM13*(1+CN14)-(Dashboard!$C$11)/(1-Dashboard!$C$17)*((1+Dashboard!$C$12)^$CZ14),0)</f>
        <v>1404571.926570303</v>
      </c>
      <c r="GN14" s="126">
        <f ca="1">MAX(GN13*(1+CO14)-(Dashboard!$C$11)/(1-Dashboard!$C$17)*((1+Dashboard!$C$12)^$CZ14),0)</f>
        <v>530711.44247240212</v>
      </c>
      <c r="GO14" s="126">
        <f ca="1">MAX(GO13*(1+CP14)-(Dashboard!$C$11)/(1-Dashboard!$C$17)*((1+Dashboard!$C$12)^$CZ14),0)</f>
        <v>2117195.127376969</v>
      </c>
      <c r="GP14" s="126">
        <f ca="1">MAX(GP13*(1+CQ14)-(Dashboard!$C$11)/(1-Dashboard!$C$17)*((1+Dashboard!$C$12)^$CZ14),0)</f>
        <v>1246660.0870913691</v>
      </c>
      <c r="GQ14" s="126">
        <f ca="1">MAX(GQ13*(1+CR14)-(Dashboard!$C$11)/(1-Dashboard!$C$17)*((1+Dashboard!$C$12)^$CZ14),0)</f>
        <v>1145540.4995455183</v>
      </c>
      <c r="GR14" s="126">
        <f ca="1">MAX(GR13*(1+CS14)-(Dashboard!$C$11)/(1-Dashboard!$C$17)*((1+Dashboard!$C$12)^$CZ14),0)</f>
        <v>1057489.0108384199</v>
      </c>
      <c r="GS14" s="126">
        <f ca="1">MAX(GS13*(1+CT14)-(Dashboard!$C$11)/(1-Dashboard!$C$17)*((1+Dashboard!$C$12)^$CZ14),0)</f>
        <v>2729112.7025558962</v>
      </c>
      <c r="GT14" s="126">
        <f ca="1">MAX(GT13*(1+CU14)-(Dashboard!$C$11)/(1-Dashboard!$C$17)*((1+Dashboard!$C$12)^$CZ14),0)</f>
        <v>2935257.4286502535</v>
      </c>
      <c r="GU14" s="126">
        <f ca="1">MAX(GU13*(1+CV14)-(Dashboard!$C$11)/(1-Dashboard!$C$17)*((1+Dashboard!$C$12)^$CZ14),0)</f>
        <v>947313.08279581659</v>
      </c>
      <c r="GV14" s="126">
        <f ca="1">MAX(GV13*(1+CW14)-(Dashboard!$C$11)/(1-Dashboard!$C$17)*((1+Dashboard!$C$12)^$CZ14),0)</f>
        <v>1110772.4600314328</v>
      </c>
      <c r="GW14" s="115">
        <f t="shared" si="4"/>
        <v>63</v>
      </c>
      <c r="GX14" s="130">
        <f t="shared" ca="1" si="2"/>
        <v>100</v>
      </c>
      <c r="HC14" s="130">
        <f t="shared" si="0"/>
        <v>63</v>
      </c>
      <c r="HD14" s="137">
        <f t="shared" ca="1" si="1"/>
        <v>1186777.1374508943</v>
      </c>
      <c r="HE14" s="137">
        <f t="shared" ca="1" si="1"/>
        <v>1822864.6656679022</v>
      </c>
      <c r="HF14" s="137">
        <f t="shared" ca="1" si="1"/>
        <v>2414949.7106394405</v>
      </c>
    </row>
    <row r="15" spans="1:214" ht="16">
      <c r="A15" s="145">
        <f t="shared" si="3"/>
        <v>64</v>
      </c>
      <c r="B15" s="122">
        <f ca="1">(Dashboard!$C$7*'Equity and Bond Returns'!N15)+(Dashboard!$C$8*'Equity and Bond Returns'!DL15)</f>
        <v>0.11040087236410788</v>
      </c>
      <c r="C15" s="122">
        <f ca="1">(Dashboard!$C$7*'Equity and Bond Returns'!O15)+(Dashboard!$C$8*'Equity and Bond Returns'!DM15)</f>
        <v>-5.045396747351772E-2</v>
      </c>
      <c r="D15" s="122">
        <f ca="1">(Dashboard!$C$7*'Equity and Bond Returns'!P15)+(Dashboard!$C$8*'Equity and Bond Returns'!DN15)</f>
        <v>7.2422048631260366E-2</v>
      </c>
      <c r="E15" s="122">
        <f ca="1">(Dashboard!$C$7*'Equity and Bond Returns'!Q15)+(Dashboard!$C$8*'Equity and Bond Returns'!DO15)</f>
        <v>-2.0833714920835258E-2</v>
      </c>
      <c r="F15" s="122">
        <f ca="1">(Dashboard!$C$7*'Equity and Bond Returns'!R15)+(Dashboard!$C$8*'Equity and Bond Returns'!DP15)</f>
        <v>4.4163667789309746E-2</v>
      </c>
      <c r="G15" s="122">
        <f ca="1">(Dashboard!$C$7*'Equity and Bond Returns'!S15)+(Dashboard!$C$8*'Equity and Bond Returns'!DQ15)</f>
        <v>0.14784939940995701</v>
      </c>
      <c r="H15" s="122">
        <f ca="1">(Dashboard!$C$7*'Equity and Bond Returns'!T15)+(Dashboard!$C$8*'Equity and Bond Returns'!DR15)</f>
        <v>0.2082270887804073</v>
      </c>
      <c r="I15" s="122">
        <f ca="1">(Dashboard!$C$7*'Equity and Bond Returns'!U15)+(Dashboard!$C$8*'Equity and Bond Returns'!DS15)</f>
        <v>4.648783534564023E-2</v>
      </c>
      <c r="J15" s="122">
        <f ca="1">(Dashboard!$C$7*'Equity and Bond Returns'!V15)+(Dashboard!$C$8*'Equity and Bond Returns'!DT15)</f>
        <v>0.13092613384063267</v>
      </c>
      <c r="K15" s="122">
        <f ca="1">(Dashboard!$C$7*'Equity and Bond Returns'!W15)+(Dashboard!$C$8*'Equity and Bond Returns'!DU15)</f>
        <v>0.1634207333989951</v>
      </c>
      <c r="L15" s="122">
        <f ca="1">(Dashboard!$C$7*'Equity and Bond Returns'!X15)+(Dashboard!$C$8*'Equity and Bond Returns'!DV15)</f>
        <v>-4.8741359246107729E-2</v>
      </c>
      <c r="M15" s="122">
        <f ca="1">(Dashboard!$C$7*'Equity and Bond Returns'!Y15)+(Dashboard!$C$8*'Equity and Bond Returns'!DW15)</f>
        <v>-0.1748762650433463</v>
      </c>
      <c r="N15" s="122">
        <f ca="1">(Dashboard!$C$7*'Equity and Bond Returns'!Z15)+(Dashboard!$C$8*'Equity and Bond Returns'!DX15)</f>
        <v>4.2534825101919818E-2</v>
      </c>
      <c r="O15" s="122">
        <f ca="1">(Dashboard!$C$7*'Equity and Bond Returns'!AA15)+(Dashboard!$C$8*'Equity and Bond Returns'!DY15)</f>
        <v>0.14720507001254962</v>
      </c>
      <c r="P15" s="122">
        <f ca="1">(Dashboard!$C$7*'Equity and Bond Returns'!AB15)+(Dashboard!$C$8*'Equity and Bond Returns'!DZ15)</f>
        <v>-3.7342858604262535E-2</v>
      </c>
      <c r="Q15" s="122">
        <f ca="1">(Dashboard!$C$7*'Equity and Bond Returns'!AC15)+(Dashboard!$C$8*'Equity and Bond Returns'!EA15)</f>
        <v>0.19065317744534041</v>
      </c>
      <c r="R15" s="122">
        <f ca="1">(Dashboard!$C$7*'Equity and Bond Returns'!AD15)+(Dashboard!$C$8*'Equity and Bond Returns'!EB15)</f>
        <v>7.2375093072768223E-2</v>
      </c>
      <c r="S15" s="122">
        <f ca="1">(Dashboard!$C$7*'Equity and Bond Returns'!AE15)+(Dashboard!$C$8*'Equity and Bond Returns'!EC15)</f>
        <v>0.228167574361269</v>
      </c>
      <c r="T15" s="122">
        <f ca="1">(Dashboard!$C$7*'Equity and Bond Returns'!AF15)+(Dashboard!$C$8*'Equity and Bond Returns'!ED15)</f>
        <v>-4.5019335365720399E-2</v>
      </c>
      <c r="U15" s="122">
        <f ca="1">(Dashboard!$C$7*'Equity and Bond Returns'!AG15)+(Dashboard!$C$8*'Equity and Bond Returns'!EE15)</f>
        <v>2.8674753380861916E-2</v>
      </c>
      <c r="V15" s="122">
        <f ca="1">(Dashboard!$C$7*'Equity and Bond Returns'!AH15)+(Dashboard!$C$8*'Equity and Bond Returns'!EF15)</f>
        <v>0.14773005600538411</v>
      </c>
      <c r="W15" s="122">
        <f ca="1">(Dashboard!$C$7*'Equity and Bond Returns'!AI15)+(Dashboard!$C$8*'Equity and Bond Returns'!EG15)</f>
        <v>0.31925384200357287</v>
      </c>
      <c r="X15" s="122">
        <f ca="1">(Dashboard!$C$7*'Equity and Bond Returns'!AJ15)+(Dashboard!$C$8*'Equity and Bond Returns'!EH15)</f>
        <v>0.18911681674799993</v>
      </c>
      <c r="Y15" s="122">
        <f ca="1">(Dashboard!$C$7*'Equity and Bond Returns'!AK15)+(Dashboard!$C$8*'Equity and Bond Returns'!EI15)</f>
        <v>0.36379270651055984</v>
      </c>
      <c r="Z15" s="122">
        <f ca="1">(Dashboard!$C$7*'Equity and Bond Returns'!AL15)+(Dashboard!$C$8*'Equity and Bond Returns'!EJ15)</f>
        <v>1.3304082583667824E-2</v>
      </c>
      <c r="AA15" s="122">
        <f ca="1">(Dashboard!$C$7*'Equity and Bond Returns'!AM15)+(Dashboard!$C$8*'Equity and Bond Returns'!EK15)</f>
        <v>0.21559173006801424</v>
      </c>
      <c r="AB15" s="122">
        <f ca="1">(Dashboard!$C$7*'Equity and Bond Returns'!AN15)+(Dashboard!$C$8*'Equity and Bond Returns'!EL15)</f>
        <v>7.1972396517562529E-2</v>
      </c>
      <c r="AC15" s="122">
        <f ca="1">(Dashboard!$C$7*'Equity and Bond Returns'!AO15)+(Dashboard!$C$8*'Equity and Bond Returns'!EM15)</f>
        <v>0.2868974917398131</v>
      </c>
      <c r="AD15" s="122">
        <f ca="1">(Dashboard!$C$7*'Equity and Bond Returns'!AP15)+(Dashboard!$C$8*'Equity and Bond Returns'!EN15)</f>
        <v>0.19978307229621392</v>
      </c>
      <c r="AE15" s="122">
        <f ca="1">(Dashboard!$C$7*'Equity and Bond Returns'!AQ15)+(Dashboard!$C$8*'Equity and Bond Returns'!EO15)</f>
        <v>0.14556108977050877</v>
      </c>
      <c r="AF15" s="122">
        <f ca="1">(Dashboard!$C$7*'Equity and Bond Returns'!AR15)+(Dashboard!$C$8*'Equity and Bond Returns'!EP15)</f>
        <v>0.31723809911514012</v>
      </c>
      <c r="AG15" s="122">
        <f ca="1">(Dashboard!$C$7*'Equity and Bond Returns'!AS15)+(Dashboard!$C$8*'Equity and Bond Returns'!EQ15)</f>
        <v>0.37068281449879514</v>
      </c>
      <c r="AH15" s="122">
        <f ca="1">(Dashboard!$C$7*'Equity and Bond Returns'!AT15)+(Dashboard!$C$8*'Equity and Bond Returns'!ER15)</f>
        <v>-6.3432697326174681E-2</v>
      </c>
      <c r="AI15" s="122">
        <f ca="1">(Dashboard!$C$7*'Equity and Bond Returns'!AU15)+(Dashboard!$C$8*'Equity and Bond Returns'!ES15)</f>
        <v>8.731799214218354E-2</v>
      </c>
      <c r="AJ15" s="122">
        <f ca="1">(Dashboard!$C$7*'Equity and Bond Returns'!AV15)+(Dashboard!$C$8*'Equity and Bond Returns'!ET15)</f>
        <v>0.21293058633901138</v>
      </c>
      <c r="AK15" s="122">
        <f ca="1">(Dashboard!$C$7*'Equity and Bond Returns'!AW15)+(Dashboard!$C$8*'Equity and Bond Returns'!EU15)</f>
        <v>2.7056066631313928E-3</v>
      </c>
      <c r="AL15" s="122">
        <f ca="1">(Dashboard!$C$7*'Equity and Bond Returns'!AX15)+(Dashboard!$C$8*'Equity and Bond Returns'!EV15)</f>
        <v>-5.3533453665536503E-2</v>
      </c>
      <c r="AM15" s="122">
        <f ca="1">(Dashboard!$C$7*'Equity and Bond Returns'!AY15)+(Dashboard!$C$8*'Equity and Bond Returns'!EW15)</f>
        <v>0.13447651833044805</v>
      </c>
      <c r="AN15" s="122">
        <f ca="1">(Dashboard!$C$7*'Equity and Bond Returns'!AZ15)+(Dashboard!$C$8*'Equity and Bond Returns'!EX15)</f>
        <v>0.19025314217066708</v>
      </c>
      <c r="AO15" s="122">
        <f ca="1">(Dashboard!$C$7*'Equity and Bond Returns'!BA15)+(Dashboard!$C$8*'Equity and Bond Returns'!EY15)</f>
        <v>0.20697956981377283</v>
      </c>
      <c r="AP15" s="122">
        <f ca="1">(Dashboard!$C$7*'Equity and Bond Returns'!BB15)+(Dashboard!$C$8*'Equity and Bond Returns'!EZ15)</f>
        <v>6.0997169551904061E-2</v>
      </c>
      <c r="AQ15" s="122">
        <f ca="1">(Dashboard!$C$7*'Equity and Bond Returns'!BC15)+(Dashboard!$C$8*'Equity and Bond Returns'!FA15)</f>
        <v>0.17519446833627156</v>
      </c>
      <c r="AR15" s="122">
        <f ca="1">(Dashboard!$C$7*'Equity and Bond Returns'!BD15)+(Dashboard!$C$8*'Equity and Bond Returns'!FB15)</f>
        <v>0.19223532257193562</v>
      </c>
      <c r="AS15" s="122">
        <f ca="1">(Dashboard!$C$7*'Equity and Bond Returns'!BE15)+(Dashboard!$C$8*'Equity and Bond Returns'!FC15)</f>
        <v>0.21748748720515246</v>
      </c>
      <c r="AT15" s="122">
        <f ca="1">(Dashboard!$C$7*'Equity and Bond Returns'!BF15)+(Dashboard!$C$8*'Equity and Bond Returns'!FD15)</f>
        <v>0.27804753257273873</v>
      </c>
      <c r="AU15" s="122">
        <f ca="1">(Dashboard!$C$7*'Equity and Bond Returns'!BG15)+(Dashboard!$C$8*'Equity and Bond Returns'!FE15)</f>
        <v>0.19173702473683216</v>
      </c>
      <c r="AV15" s="122">
        <f ca="1">(Dashboard!$C$7*'Equity and Bond Returns'!BH15)+(Dashboard!$C$8*'Equity and Bond Returns'!FF15)</f>
        <v>-1.9483759079374663E-2</v>
      </c>
      <c r="AW15" s="122">
        <f ca="1">(Dashboard!$C$7*'Equity and Bond Returns'!BI15)+(Dashboard!$C$8*'Equity and Bond Returns'!FG15)</f>
        <v>-1.1556214724311552E-2</v>
      </c>
      <c r="AX15" s="122">
        <f ca="1">(Dashboard!$C$7*'Equity and Bond Returns'!BJ15)+(Dashboard!$C$8*'Equity and Bond Returns'!FH15)</f>
        <v>3.472366058568984E-2</v>
      </c>
      <c r="AY15" s="122">
        <f ca="1">(Dashboard!$C$7*'Equity and Bond Returns'!BK15)+(Dashboard!$C$8*'Equity and Bond Returns'!FI15)</f>
        <v>-3.179635110088367E-2</v>
      </c>
      <c r="AZ15" s="122">
        <f ca="1">(Dashboard!$C$7*'Equity and Bond Returns'!BL15)+(Dashboard!$C$8*'Equity and Bond Returns'!FJ15)</f>
        <v>4.8717891554032278E-2</v>
      </c>
      <c r="BA15" s="122">
        <f ca="1">(Dashboard!$C$7*'Equity and Bond Returns'!BM15)+(Dashboard!$C$8*'Equity and Bond Returns'!FK15)</f>
        <v>0.28412463164765767</v>
      </c>
      <c r="BB15" s="122">
        <f ca="1">(Dashboard!$C$7*'Equity and Bond Returns'!BN15)+(Dashboard!$C$8*'Equity and Bond Returns'!FL15)</f>
        <v>0.27530150053396196</v>
      </c>
      <c r="BC15" s="122">
        <f ca="1">(Dashboard!$C$7*'Equity and Bond Returns'!BO15)+(Dashboard!$C$8*'Equity and Bond Returns'!FM15)</f>
        <v>-8.8926405652495683E-2</v>
      </c>
      <c r="BD15" s="122">
        <f ca="1">(Dashboard!$C$7*'Equity and Bond Returns'!BP15)+(Dashboard!$C$8*'Equity and Bond Returns'!FN15)</f>
        <v>4.4731273468286342E-2</v>
      </c>
      <c r="BE15" s="122">
        <f ca="1">(Dashboard!$C$7*'Equity and Bond Returns'!BQ15)+(Dashboard!$C$8*'Equity and Bond Returns'!FO15)</f>
        <v>8.6201210409721923E-2</v>
      </c>
      <c r="BF15" s="122">
        <f ca="1">(Dashboard!$C$7*'Equity and Bond Returns'!BR15)+(Dashboard!$C$8*'Equity and Bond Returns'!FP15)</f>
        <v>7.4748457280033501E-2</v>
      </c>
      <c r="BG15" s="122">
        <f ca="1">(Dashboard!$C$7*'Equity and Bond Returns'!BS15)+(Dashboard!$C$8*'Equity and Bond Returns'!FQ15)</f>
        <v>-0.31097569068641967</v>
      </c>
      <c r="BH15" s="122">
        <f ca="1">(Dashboard!$C$7*'Equity and Bond Returns'!BT15)+(Dashboard!$C$8*'Equity and Bond Returns'!FR15)</f>
        <v>0.14292632679944064</v>
      </c>
      <c r="BI15" s="122">
        <f ca="1">(Dashboard!$C$7*'Equity and Bond Returns'!BU15)+(Dashboard!$C$8*'Equity and Bond Returns'!FS15)</f>
        <v>0.14844651348694243</v>
      </c>
      <c r="BJ15" s="122">
        <f ca="1">(Dashboard!$C$7*'Equity and Bond Returns'!BV15)+(Dashboard!$C$8*'Equity and Bond Returns'!FT15)</f>
        <v>0.31450183469426662</v>
      </c>
      <c r="BK15" s="122">
        <f ca="1">(Dashboard!$C$7*'Equity and Bond Returns'!BW15)+(Dashboard!$C$8*'Equity and Bond Returns'!FU15)</f>
        <v>0.24684825292167897</v>
      </c>
      <c r="BL15" s="122">
        <f ca="1">(Dashboard!$C$7*'Equity and Bond Returns'!BX15)+(Dashboard!$C$8*'Equity and Bond Returns'!FV15)</f>
        <v>7.1760299584217313E-2</v>
      </c>
      <c r="BM15" s="122">
        <f ca="1">(Dashboard!$C$7*'Equity and Bond Returns'!BY15)+(Dashboard!$C$8*'Equity and Bond Returns'!FW15)</f>
        <v>0.15530536360286495</v>
      </c>
      <c r="BN15" s="122">
        <f ca="1">(Dashboard!$C$7*'Equity and Bond Returns'!BZ15)+(Dashboard!$C$8*'Equity and Bond Returns'!FX15)</f>
        <v>0.14878889168461196</v>
      </c>
      <c r="BO15" s="122">
        <f ca="1">(Dashboard!$C$7*'Equity and Bond Returns'!CA15)+(Dashboard!$C$8*'Equity and Bond Returns'!FY15)</f>
        <v>3.8687872160756476E-2</v>
      </c>
      <c r="BP15" s="122">
        <f ca="1">(Dashboard!$C$7*'Equity and Bond Returns'!CB15)+(Dashboard!$C$8*'Equity and Bond Returns'!FZ15)</f>
        <v>-8.0096180307443157E-2</v>
      </c>
      <c r="BQ15" s="122">
        <f ca="1">(Dashboard!$C$7*'Equity and Bond Returns'!CC15)+(Dashboard!$C$8*'Equity and Bond Returns'!GA15)</f>
        <v>-0.21568049820117258</v>
      </c>
      <c r="BR15" s="122">
        <f ca="1">(Dashboard!$C$7*'Equity and Bond Returns'!CD15)+(Dashboard!$C$8*'Equity and Bond Returns'!GB15)</f>
        <v>-0.1320173866217404</v>
      </c>
      <c r="BS15" s="122">
        <f ca="1">(Dashboard!$C$7*'Equity and Bond Returns'!CE15)+(Dashboard!$C$8*'Equity and Bond Returns'!GC15)</f>
        <v>5.1111192921864779E-2</v>
      </c>
      <c r="BT15" s="122">
        <f ca="1">(Dashboard!$C$7*'Equity and Bond Returns'!CF15)+(Dashboard!$C$8*'Equity and Bond Returns'!GD15)</f>
        <v>0.31644131141835252</v>
      </c>
      <c r="BU15" s="122">
        <f ca="1">(Dashboard!$C$7*'Equity and Bond Returns'!CG15)+(Dashboard!$C$8*'Equity and Bond Returns'!GE15)</f>
        <v>0.37782802842103358</v>
      </c>
      <c r="BV15" s="122">
        <f ca="1">(Dashboard!$C$7*'Equity and Bond Returns'!CH15)+(Dashboard!$C$8*'Equity and Bond Returns'!GF15)</f>
        <v>3.0620383570940542E-2</v>
      </c>
      <c r="BW15" s="122">
        <f ca="1">(Dashboard!$C$7*'Equity and Bond Returns'!CI15)+(Dashboard!$C$8*'Equity and Bond Returns'!GG15)</f>
        <v>0.20102785999271486</v>
      </c>
      <c r="BX15" s="122">
        <f ca="1">(Dashboard!$C$7*'Equity and Bond Returns'!CJ15)+(Dashboard!$C$8*'Equity and Bond Returns'!GH15)</f>
        <v>0.1601884236311498</v>
      </c>
      <c r="BY15" s="122">
        <f ca="1">(Dashboard!$C$7*'Equity and Bond Returns'!CK15)+(Dashboard!$C$8*'Equity and Bond Returns'!GI15)</f>
        <v>0.20203671199936363</v>
      </c>
      <c r="BZ15" s="122">
        <f ca="1">(Dashboard!$C$7*'Equity and Bond Returns'!CL15)+(Dashboard!$C$8*'Equity and Bond Returns'!GJ15)</f>
        <v>-0.16240137450971706</v>
      </c>
      <c r="CA15" s="122">
        <f ca="1">(Dashboard!$C$7*'Equity and Bond Returns'!CM15)+(Dashboard!$C$8*'Equity and Bond Returns'!GK15)</f>
        <v>0.12725544630181709</v>
      </c>
      <c r="CB15" s="122">
        <f ca="1">(Dashboard!$C$7*'Equity and Bond Returns'!CN15)+(Dashboard!$C$8*'Equity and Bond Returns'!GL15)</f>
        <v>0.31023427449016905</v>
      </c>
      <c r="CC15" s="122">
        <f ca="1">(Dashboard!$C$7*'Equity and Bond Returns'!CO15)+(Dashboard!$C$8*'Equity and Bond Returns'!GM15)</f>
        <v>-6.8856999211785896E-2</v>
      </c>
      <c r="CD15" s="122">
        <f ca="1">(Dashboard!$C$7*'Equity and Bond Returns'!CP15)+(Dashboard!$C$8*'Equity and Bond Returns'!GN15)</f>
        <v>0.44420838719741579</v>
      </c>
      <c r="CE15" s="122">
        <f ca="1">(Dashboard!$C$7*'Equity and Bond Returns'!CQ15)+(Dashboard!$C$8*'Equity and Bond Returns'!GO15)</f>
        <v>0.26339276914302279</v>
      </c>
      <c r="CF15" s="122">
        <f ca="1">(Dashboard!$C$7*'Equity and Bond Returns'!CR15)+(Dashboard!$C$8*'Equity and Bond Returns'!GP15)</f>
        <v>-2.6207900519428354E-2</v>
      </c>
      <c r="CG15" s="122">
        <f ca="1">(Dashboard!$C$7*'Equity and Bond Returns'!CS15)+(Dashboard!$C$8*'Equity and Bond Returns'!GQ15)</f>
        <v>0.30651772424021601</v>
      </c>
      <c r="CH15" s="122">
        <f ca="1">(Dashboard!$C$7*'Equity and Bond Returns'!CT15)+(Dashboard!$C$8*'Equity and Bond Returns'!GR15)</f>
        <v>0.19483895062223791</v>
      </c>
      <c r="CI15" s="122">
        <f ca="1">(Dashboard!$C$7*'Equity and Bond Returns'!CU15)+(Dashboard!$C$8*'Equity and Bond Returns'!GS15)</f>
        <v>-1.3989219105550489E-2</v>
      </c>
      <c r="CJ15" s="122">
        <f ca="1">(Dashboard!$C$7*'Equity and Bond Returns'!CV15)+(Dashboard!$C$8*'Equity and Bond Returns'!GT15)</f>
        <v>7.1721902141146116E-3</v>
      </c>
      <c r="CK15" s="122">
        <f ca="1">(Dashboard!$C$7*'Equity and Bond Returns'!CW15)+(Dashboard!$C$8*'Equity and Bond Returns'!GU15)</f>
        <v>0.1941095733534699</v>
      </c>
      <c r="CL15" s="122">
        <f ca="1">(Dashboard!$C$7*'Equity and Bond Returns'!CX15)+(Dashboard!$C$8*'Equity and Bond Returns'!GV15)</f>
        <v>0.10493234733163809</v>
      </c>
      <c r="CM15" s="122">
        <f ca="1">(Dashboard!$C$7*'Equity and Bond Returns'!CY15)+(Dashboard!$C$8*'Equity and Bond Returns'!GW15)</f>
        <v>-5.452349872224635E-2</v>
      </c>
      <c r="CN15" s="122">
        <f ca="1">(Dashboard!$C$7*'Equity and Bond Returns'!CZ15)+(Dashboard!$C$8*'Equity and Bond Returns'!GX15)</f>
        <v>0.15916594588621252</v>
      </c>
      <c r="CO15" s="122">
        <f ca="1">(Dashboard!$C$7*'Equity and Bond Returns'!DA15)+(Dashboard!$C$8*'Equity and Bond Returns'!GY15)</f>
        <v>-2.5384202573923036E-2</v>
      </c>
      <c r="CP15" s="122">
        <f ca="1">(Dashboard!$C$7*'Equity and Bond Returns'!DB15)+(Dashboard!$C$8*'Equity and Bond Returns'!GZ15)</f>
        <v>8.7352997030072765E-2</v>
      </c>
      <c r="CQ15" s="122">
        <f ca="1">(Dashboard!$C$7*'Equity and Bond Returns'!DC15)+(Dashboard!$C$8*'Equity and Bond Returns'!HA15)</f>
        <v>8.2296036650681456E-2</v>
      </c>
      <c r="CR15" s="122">
        <f ca="1">(Dashboard!$C$7*'Equity and Bond Returns'!DD15)+(Dashboard!$C$8*'Equity and Bond Returns'!HB15)</f>
        <v>0.16507609173268123</v>
      </c>
      <c r="CS15" s="122">
        <f ca="1">(Dashboard!$C$7*'Equity and Bond Returns'!DE15)+(Dashboard!$C$8*'Equity and Bond Returns'!HC15)</f>
        <v>6.6890762502099854E-2</v>
      </c>
      <c r="CT15" s="122">
        <f ca="1">(Dashboard!$C$7*'Equity and Bond Returns'!DF15)+(Dashboard!$C$8*'Equity and Bond Returns'!HD15)</f>
        <v>9.6862716064754079E-2</v>
      </c>
      <c r="CU15" s="122">
        <f ca="1">(Dashboard!$C$7*'Equity and Bond Returns'!DG15)+(Dashboard!$C$8*'Equity and Bond Returns'!HE15)</f>
        <v>0.23575771692757458</v>
      </c>
      <c r="CV15" s="122">
        <f ca="1">(Dashboard!$C$7*'Equity and Bond Returns'!DH15)+(Dashboard!$C$8*'Equity and Bond Returns'!HF15)</f>
        <v>-0.27900436138134183</v>
      </c>
      <c r="CW15" s="122">
        <f ca="1">(Dashboard!$C$7*'Equity and Bond Returns'!DI15)+(Dashboard!$C$8*'Equity and Bond Returns'!HG15)</f>
        <v>-1.5689846275186735E-2</v>
      </c>
      <c r="CY15" s="147">
        <f t="shared" si="5"/>
        <v>64</v>
      </c>
      <c r="CZ15" s="148">
        <v>14</v>
      </c>
      <c r="DA15" s="126">
        <f ca="1">MAX(DA14*(1+B15)-(Dashboard!$C$11)/(1-Dashboard!$C$17)*((1+Dashboard!$C$12)^$CZ15),0)</f>
        <v>4083418.1497764676</v>
      </c>
      <c r="DB15" s="126">
        <f ca="1">MAX(DB14*(1+C15)-(Dashboard!$C$11)/(1-Dashboard!$C$17)*((1+Dashboard!$C$12)^$CZ15),0)</f>
        <v>273694.61076883011</v>
      </c>
      <c r="DC15" s="126">
        <f ca="1">MAX(DC14*(1+D15)-(Dashboard!$C$11)/(1-Dashboard!$C$17)*((1+Dashboard!$C$12)^$CZ15),0)</f>
        <v>1733917.1453595995</v>
      </c>
      <c r="DD15" s="126">
        <f ca="1">MAX(DD14*(1+E15)-(Dashboard!$C$11)/(1-Dashboard!$C$17)*((1+Dashboard!$C$12)^$CZ15),0)</f>
        <v>617484.0275348617</v>
      </c>
      <c r="DE15" s="126">
        <f ca="1">MAX(DE14*(1+F15)-(Dashboard!$C$11)/(1-Dashboard!$C$17)*((1+Dashboard!$C$12)^$CZ15),0)</f>
        <v>2927486.9197466657</v>
      </c>
      <c r="DF15" s="126">
        <f ca="1">MAX(DF14*(1+G15)-(Dashboard!$C$11)/(1-Dashboard!$C$17)*((1+Dashboard!$C$12)^$CZ15),0)</f>
        <v>3392854.5727838175</v>
      </c>
      <c r="DG15" s="126">
        <f ca="1">MAX(DG14*(1+H15)-(Dashboard!$C$11)/(1-Dashboard!$C$17)*((1+Dashboard!$C$12)^$CZ15),0)</f>
        <v>491452.78981966508</v>
      </c>
      <c r="DH15" s="126">
        <f ca="1">MAX(DH14*(1+I15)-(Dashboard!$C$11)/(1-Dashboard!$C$17)*((1+Dashboard!$C$12)^$CZ15),0)</f>
        <v>1557183.4130858269</v>
      </c>
      <c r="DI15" s="126">
        <f ca="1">MAX(DI14*(1+J15)-(Dashboard!$C$11)/(1-Dashboard!$C$17)*((1+Dashboard!$C$12)^$CZ15),0)</f>
        <v>1455933.8083770678</v>
      </c>
      <c r="DJ15" s="126">
        <f ca="1">MAX(DJ14*(1+K15)-(Dashboard!$C$11)/(1-Dashboard!$C$17)*((1+Dashboard!$C$12)^$CZ15),0)</f>
        <v>1775093.6536305947</v>
      </c>
      <c r="DK15" s="126">
        <f ca="1">MAX(DK14*(1+L15)-(Dashboard!$C$11)/(1-Dashboard!$C$17)*((1+Dashboard!$C$12)^$CZ15),0)</f>
        <v>3939900.3806921844</v>
      </c>
      <c r="DL15" s="126">
        <f ca="1">MAX(DL14*(1+M15)-(Dashboard!$C$11)/(1-Dashboard!$C$17)*((1+Dashboard!$C$12)^$CZ15),0)</f>
        <v>919467.421711787</v>
      </c>
      <c r="DM15" s="126">
        <f ca="1">MAX(DM14*(1+N15)-(Dashboard!$C$11)/(1-Dashboard!$C$17)*((1+Dashboard!$C$12)^$CZ15),0)</f>
        <v>1958245.073405192</v>
      </c>
      <c r="DN15" s="126">
        <f ca="1">MAX(DN14*(1+O15)-(Dashboard!$C$11)/(1-Dashboard!$C$17)*((1+Dashboard!$C$12)^$CZ15),0)</f>
        <v>5639792.0251542125</v>
      </c>
      <c r="DO15" s="126">
        <f ca="1">MAX(DO14*(1+P15)-(Dashboard!$C$11)/(1-Dashboard!$C$17)*((1+Dashboard!$C$12)^$CZ15),0)</f>
        <v>2024771.7033101807</v>
      </c>
      <c r="DP15" s="126">
        <f ca="1">MAX(DP14*(1+Q15)-(Dashboard!$C$11)/(1-Dashboard!$C$17)*((1+Dashboard!$C$12)^$CZ15),0)</f>
        <v>2473908.2638165448</v>
      </c>
      <c r="DQ15" s="126">
        <f ca="1">MAX(DQ14*(1+R15)-(Dashboard!$C$11)/(1-Dashboard!$C$17)*((1+Dashboard!$C$12)^$CZ15),0)</f>
        <v>2212918.6939086532</v>
      </c>
      <c r="DR15" s="126">
        <f ca="1">MAX(DR14*(1+S15)-(Dashboard!$C$11)/(1-Dashboard!$C$17)*((1+Dashboard!$C$12)^$CZ15),0)</f>
        <v>2437322.5068993042</v>
      </c>
      <c r="DS15" s="126">
        <f ca="1">MAX(DS14*(1+T15)-(Dashboard!$C$11)/(1-Dashboard!$C$17)*((1+Dashboard!$C$12)^$CZ15),0)</f>
        <v>2084167.3835829494</v>
      </c>
      <c r="DT15" s="126">
        <f ca="1">MAX(DT14*(1+U15)-(Dashboard!$C$11)/(1-Dashboard!$C$17)*((1+Dashboard!$C$12)^$CZ15),0)</f>
        <v>1659134.2965518511</v>
      </c>
      <c r="DU15" s="126">
        <f ca="1">MAX(DU14*(1+V15)-(Dashboard!$C$11)/(1-Dashboard!$C$17)*((1+Dashboard!$C$12)^$CZ15),0)</f>
        <v>2241580.9290787848</v>
      </c>
      <c r="DV15" s="126">
        <f ca="1">MAX(DV14*(1+W15)-(Dashboard!$C$11)/(1-Dashboard!$C$17)*((1+Dashboard!$C$12)^$CZ15),0)</f>
        <v>3584096.7255207123</v>
      </c>
      <c r="DW15" s="126">
        <f ca="1">MAX(DW14*(1+X15)-(Dashboard!$C$11)/(1-Dashboard!$C$17)*((1+Dashboard!$C$12)^$CZ15),0)</f>
        <v>1934296.8347019225</v>
      </c>
      <c r="DX15" s="126">
        <f ca="1">MAX(DX14*(1+Y15)-(Dashboard!$C$11)/(1-Dashboard!$C$17)*((1+Dashboard!$C$12)^$CZ15),0)</f>
        <v>1415397.5500467897</v>
      </c>
      <c r="DY15" s="126">
        <f ca="1">MAX(DY14*(1+Z15)-(Dashboard!$C$11)/(1-Dashboard!$C$17)*((1+Dashboard!$C$12)^$CZ15),0)</f>
        <v>2859830.9602993019</v>
      </c>
      <c r="DZ15" s="126">
        <f ca="1">MAX(DZ14*(1+AA15)-(Dashboard!$C$11)/(1-Dashboard!$C$17)*((1+Dashboard!$C$12)^$CZ15),0)</f>
        <v>589652.74907157314</v>
      </c>
      <c r="EA15" s="126">
        <f ca="1">MAX(EA14*(1+AB15)-(Dashboard!$C$11)/(1-Dashboard!$C$17)*((1+Dashboard!$C$12)^$CZ15),0)</f>
        <v>1590683.032843278</v>
      </c>
      <c r="EB15" s="126">
        <f ca="1">MAX(EB14*(1+AC15)-(Dashboard!$C$11)/(1-Dashboard!$C$17)*((1+Dashboard!$C$12)^$CZ15),0)</f>
        <v>2208662.1094945497</v>
      </c>
      <c r="EC15" s="126">
        <f ca="1">MAX(EC14*(1+AD15)-(Dashboard!$C$11)/(1-Dashboard!$C$17)*((1+Dashboard!$C$12)^$CZ15),0)</f>
        <v>4228213.7648909288</v>
      </c>
      <c r="ED15" s="126">
        <f ca="1">MAX(ED14*(1+AE15)-(Dashboard!$C$11)/(1-Dashboard!$C$17)*((1+Dashboard!$C$12)^$CZ15),0)</f>
        <v>3526600.5372275398</v>
      </c>
      <c r="EE15" s="126">
        <f ca="1">MAX(EE14*(1+AF15)-(Dashboard!$C$11)/(1-Dashboard!$C$17)*((1+Dashboard!$C$12)^$CZ15),0)</f>
        <v>1904352.7350224378</v>
      </c>
      <c r="EF15" s="126">
        <f ca="1">MAX(EF14*(1+AG15)-(Dashboard!$C$11)/(1-Dashboard!$C$17)*((1+Dashboard!$C$12)^$CZ15),0)</f>
        <v>2525128.9467939516</v>
      </c>
      <c r="EG15" s="126">
        <f ca="1">MAX(EG14*(1+AH15)-(Dashboard!$C$11)/(1-Dashboard!$C$17)*((1+Dashboard!$C$12)^$CZ15),0)</f>
        <v>2940437.6810293486</v>
      </c>
      <c r="EH15" s="126">
        <f ca="1">MAX(EH14*(1+AI15)-(Dashboard!$C$11)/(1-Dashboard!$C$17)*((1+Dashboard!$C$12)^$CZ15),0)</f>
        <v>1936943.7912856368</v>
      </c>
      <c r="EI15" s="126">
        <f ca="1">MAX(EI14*(1+AJ15)-(Dashboard!$C$11)/(1-Dashboard!$C$17)*((1+Dashboard!$C$12)^$CZ15),0)</f>
        <v>675165.87756789476</v>
      </c>
      <c r="EJ15" s="126">
        <f ca="1">MAX(EJ14*(1+AK15)-(Dashboard!$C$11)/(1-Dashboard!$C$17)*((1+Dashboard!$C$12)^$CZ15),0)</f>
        <v>1995824.4292928511</v>
      </c>
      <c r="EK15" s="126">
        <f ca="1">MAX(EK14*(1+AL15)-(Dashboard!$C$11)/(1-Dashboard!$C$17)*((1+Dashboard!$C$12)^$CZ15),0)</f>
        <v>2186193.5264177327</v>
      </c>
      <c r="EL15" s="126">
        <f ca="1">MAX(EL14*(1+AM15)-(Dashboard!$C$11)/(1-Dashboard!$C$17)*((1+Dashboard!$C$12)^$CZ15),0)</f>
        <v>918334.3163287749</v>
      </c>
      <c r="EM15" s="126">
        <f ca="1">MAX(EM14*(1+AN15)-(Dashboard!$C$11)/(1-Dashboard!$C$17)*((1+Dashboard!$C$12)^$CZ15),0)</f>
        <v>2109203.8882068363</v>
      </c>
      <c r="EN15" s="126">
        <f ca="1">MAX(EN14*(1+AO15)-(Dashboard!$C$11)/(1-Dashboard!$C$17)*((1+Dashboard!$C$12)^$CZ15),0)</f>
        <v>2184384.7492621853</v>
      </c>
      <c r="EO15" s="126">
        <f ca="1">MAX(EO14*(1+AP15)-(Dashboard!$C$11)/(1-Dashboard!$C$17)*((1+Dashboard!$C$12)^$CZ15),0)</f>
        <v>1148048.1990259157</v>
      </c>
      <c r="EP15" s="126">
        <f ca="1">MAX(EP14*(1+AQ15)-(Dashboard!$C$11)/(1-Dashboard!$C$17)*((1+Dashboard!$C$12)^$CZ15),0)</f>
        <v>1789689.7397094071</v>
      </c>
      <c r="EQ15" s="126">
        <f ca="1">MAX(EQ14*(1+AR15)-(Dashboard!$C$11)/(1-Dashboard!$C$17)*((1+Dashboard!$C$12)^$CZ15),0)</f>
        <v>1096770.8504640863</v>
      </c>
      <c r="ER15" s="126">
        <f ca="1">MAX(ER14*(1+AS15)-(Dashboard!$C$11)/(1-Dashboard!$C$17)*((1+Dashboard!$C$12)^$CZ15),0)</f>
        <v>902276.34387048904</v>
      </c>
      <c r="ES15" s="126">
        <f ca="1">MAX(ES14*(1+AT15)-(Dashboard!$C$11)/(1-Dashboard!$C$17)*((1+Dashboard!$C$12)^$CZ15),0)</f>
        <v>1469144.4824145096</v>
      </c>
      <c r="ET15" s="126">
        <f ca="1">MAX(ET14*(1+AU15)-(Dashboard!$C$11)/(1-Dashboard!$C$17)*((1+Dashboard!$C$12)^$CZ15),0)</f>
        <v>1726296.9010608722</v>
      </c>
      <c r="EU15" s="126">
        <f ca="1">MAX(EU14*(1+AV15)-(Dashboard!$C$11)/(1-Dashboard!$C$17)*((1+Dashboard!$C$12)^$CZ15),0)</f>
        <v>2085945.2893055619</v>
      </c>
      <c r="EV15" s="126">
        <f ca="1">MAX(EV14*(1+AW15)-(Dashboard!$C$11)/(1-Dashboard!$C$17)*((1+Dashboard!$C$12)^$CZ15),0)</f>
        <v>3753075.5491599846</v>
      </c>
      <c r="EW15" s="126">
        <f ca="1">MAX(EW14*(1+AX15)-(Dashboard!$C$11)/(1-Dashboard!$C$17)*((1+Dashboard!$C$12)^$CZ15),0)</f>
        <v>1947728.9440905186</v>
      </c>
      <c r="EX15" s="126">
        <f ca="1">MAX(EX14*(1+AY15)-(Dashboard!$C$11)/(1-Dashboard!$C$17)*((1+Dashboard!$C$12)^$CZ15),0)</f>
        <v>2078333.7847671758</v>
      </c>
      <c r="EY15" s="126">
        <f ca="1">MAX(EY14*(1+AZ15)-(Dashboard!$C$11)/(1-Dashboard!$C$17)*((1+Dashboard!$C$12)^$CZ15),0)</f>
        <v>3851843.7015933809</v>
      </c>
      <c r="EZ15" s="126">
        <f ca="1">MAX(EZ14*(1+BA15)-(Dashboard!$C$11)/(1-Dashboard!$C$17)*((1+Dashboard!$C$12)^$CZ15),0)</f>
        <v>1274101.3039282977</v>
      </c>
      <c r="FA15" s="126">
        <f ca="1">MAX(FA14*(1+BB15)-(Dashboard!$C$11)/(1-Dashboard!$C$17)*((1+Dashboard!$C$12)^$CZ15),0)</f>
        <v>2182943.878910989</v>
      </c>
      <c r="FB15" s="126">
        <f ca="1">MAX(FB14*(1+BC15)-(Dashboard!$C$11)/(1-Dashboard!$C$17)*((1+Dashboard!$C$12)^$CZ15),0)</f>
        <v>647238.53909488162</v>
      </c>
      <c r="FC15" s="126">
        <f ca="1">MAX(FC14*(1+BD15)-(Dashboard!$C$11)/(1-Dashboard!$C$17)*((1+Dashboard!$C$12)^$CZ15),0)</f>
        <v>1494297.2324031638</v>
      </c>
      <c r="FD15" s="126">
        <f ca="1">MAX(FD14*(1+BE15)-(Dashboard!$C$11)/(1-Dashboard!$C$17)*((1+Dashboard!$C$12)^$CZ15),0)</f>
        <v>3009945.060740083</v>
      </c>
      <c r="FE15" s="126">
        <f ca="1">MAX(FE14*(1+BF15)-(Dashboard!$C$11)/(1-Dashboard!$C$17)*((1+Dashboard!$C$12)^$CZ15),0)</f>
        <v>2553984.6082507432</v>
      </c>
      <c r="FF15" s="126">
        <f ca="1">MAX(FF14*(1+BG15)-(Dashboard!$C$11)/(1-Dashboard!$C$17)*((1+Dashboard!$C$12)^$CZ15),0)</f>
        <v>1446480.512961685</v>
      </c>
      <c r="FG15" s="126">
        <f ca="1">MAX(FG14*(1+BH15)-(Dashboard!$C$11)/(1-Dashboard!$C$17)*((1+Dashboard!$C$12)^$CZ15),0)</f>
        <v>1937834.0055430385</v>
      </c>
      <c r="FH15" s="126">
        <f ca="1">MAX(FH14*(1+BI15)-(Dashboard!$C$11)/(1-Dashboard!$C$17)*((1+Dashboard!$C$12)^$CZ15),0)</f>
        <v>1627007.7381558362</v>
      </c>
      <c r="FI15" s="126">
        <f ca="1">MAX(FI14*(1+BJ15)-(Dashboard!$C$11)/(1-Dashboard!$C$17)*((1+Dashboard!$C$12)^$CZ15),0)</f>
        <v>3147450.439862343</v>
      </c>
      <c r="FJ15" s="126">
        <f ca="1">MAX(FJ14*(1+BK15)-(Dashboard!$C$11)/(1-Dashboard!$C$17)*((1+Dashboard!$C$12)^$CZ15),0)</f>
        <v>1641949.5314318484</v>
      </c>
      <c r="FK15" s="126">
        <f ca="1">MAX(FK14*(1+BL15)-(Dashboard!$C$11)/(1-Dashboard!$C$17)*((1+Dashboard!$C$12)^$CZ15),0)</f>
        <v>2127076.0900441352</v>
      </c>
      <c r="FL15" s="126">
        <f ca="1">MAX(FL14*(1+BM15)-(Dashboard!$C$11)/(1-Dashboard!$C$17)*((1+Dashboard!$C$12)^$CZ15),0)</f>
        <v>2639339.6133779134</v>
      </c>
      <c r="FM15" s="126">
        <f ca="1">MAX(FM14*(1+BN15)-(Dashboard!$C$11)/(1-Dashboard!$C$17)*((1+Dashboard!$C$12)^$CZ15),0)</f>
        <v>2666350.4737557038</v>
      </c>
      <c r="FN15" s="126">
        <f ca="1">MAX(FN14*(1+BO15)-(Dashboard!$C$11)/(1-Dashboard!$C$17)*((1+Dashboard!$C$12)^$CZ15),0)</f>
        <v>1197132.0398836357</v>
      </c>
      <c r="FO15" s="126">
        <f ca="1">MAX(FO14*(1+BP15)-(Dashboard!$C$11)/(1-Dashboard!$C$17)*((1+Dashboard!$C$12)^$CZ15),0)</f>
        <v>1874334.9939019233</v>
      </c>
      <c r="FP15" s="126">
        <f ca="1">MAX(FP14*(1+BQ15)-(Dashboard!$C$11)/(1-Dashboard!$C$17)*((1+Dashboard!$C$12)^$CZ15),0)</f>
        <v>1574123.4351543146</v>
      </c>
      <c r="FQ15" s="126">
        <f ca="1">MAX(FQ14*(1+BR15)-(Dashboard!$C$11)/(1-Dashboard!$C$17)*((1+Dashboard!$C$12)^$CZ15),0)</f>
        <v>2272765.9068977404</v>
      </c>
      <c r="FR15" s="126">
        <f ca="1">MAX(FR14*(1+BS15)-(Dashboard!$C$11)/(1-Dashboard!$C$17)*((1+Dashboard!$C$12)^$CZ15),0)</f>
        <v>3758013.0678583249</v>
      </c>
      <c r="FS15" s="126">
        <f ca="1">MAX(FS14*(1+BT15)-(Dashboard!$C$11)/(1-Dashboard!$C$17)*((1+Dashboard!$C$12)^$CZ15),0)</f>
        <v>6030475.3248522365</v>
      </c>
      <c r="FT15" s="126">
        <f ca="1">MAX(FT14*(1+BU15)-(Dashboard!$C$11)/(1-Dashboard!$C$17)*((1+Dashboard!$C$12)^$CZ15),0)</f>
        <v>1550712.1378139833</v>
      </c>
      <c r="FU15" s="126">
        <f ca="1">MAX(FU14*(1+BV15)-(Dashboard!$C$11)/(1-Dashboard!$C$17)*((1+Dashboard!$C$12)^$CZ15),0)</f>
        <v>1913677.8718352611</v>
      </c>
      <c r="FV15" s="126">
        <f ca="1">MAX(FV14*(1+BW15)-(Dashboard!$C$11)/(1-Dashboard!$C$17)*((1+Dashboard!$C$12)^$CZ15),0)</f>
        <v>717328.48132843687</v>
      </c>
      <c r="FW15" s="126">
        <f ca="1">MAX(FW14*(1+BX15)-(Dashboard!$C$11)/(1-Dashboard!$C$17)*((1+Dashboard!$C$12)^$CZ15),0)</f>
        <v>3056089.9990149825</v>
      </c>
      <c r="FX15" s="126">
        <f ca="1">MAX(FX14*(1+BY15)-(Dashboard!$C$11)/(1-Dashboard!$C$17)*((1+Dashboard!$C$12)^$CZ15),0)</f>
        <v>1673807.5748623679</v>
      </c>
      <c r="FY15" s="126">
        <f ca="1">MAX(FY14*(1+BZ15)-(Dashboard!$C$11)/(1-Dashboard!$C$17)*((1+Dashboard!$C$12)^$CZ15),0)</f>
        <v>1187655.7064085214</v>
      </c>
      <c r="FZ15" s="126">
        <f ca="1">MAX(FZ14*(1+CA15)-(Dashboard!$C$11)/(1-Dashboard!$C$17)*((1+Dashboard!$C$12)^$CZ15),0)</f>
        <v>2647731.3395101763</v>
      </c>
      <c r="GA15" s="126">
        <f ca="1">MAX(GA14*(1+CB15)-(Dashboard!$C$11)/(1-Dashboard!$C$17)*((1+Dashboard!$C$12)^$CZ15),0)</f>
        <v>4893250.2715819441</v>
      </c>
      <c r="GB15" s="126">
        <f ca="1">MAX(GB14*(1+CC15)-(Dashboard!$C$11)/(1-Dashboard!$C$17)*((1+Dashboard!$C$12)^$CZ15),0)</f>
        <v>1624672.0263873169</v>
      </c>
      <c r="GC15" s="126">
        <f ca="1">MAX(GC14*(1+CD15)-(Dashboard!$C$11)/(1-Dashboard!$C$17)*((1+Dashboard!$C$12)^$CZ15),0)</f>
        <v>5177883.3497898784</v>
      </c>
      <c r="GD15" s="126">
        <f ca="1">MAX(GD14*(1+CE15)-(Dashboard!$C$11)/(1-Dashboard!$C$17)*((1+Dashboard!$C$12)^$CZ15),0)</f>
        <v>3227005.3014926878</v>
      </c>
      <c r="GE15" s="126">
        <f ca="1">MAX(GE14*(1+CF15)-(Dashboard!$C$11)/(1-Dashboard!$C$17)*((1+Dashboard!$C$12)^$CZ15),0)</f>
        <v>1338966.073382043</v>
      </c>
      <c r="GF15" s="126">
        <f ca="1">MAX(GF14*(1+CG15)-(Dashboard!$C$11)/(1-Dashboard!$C$17)*((1+Dashboard!$C$12)^$CZ15),0)</f>
        <v>6142200.5371482642</v>
      </c>
      <c r="GG15" s="126">
        <f ca="1">MAX(GG14*(1+CH15)-(Dashboard!$C$11)/(1-Dashboard!$C$17)*((1+Dashboard!$C$12)^$CZ15),0)</f>
        <v>637300.66236871365</v>
      </c>
      <c r="GH15" s="126">
        <f ca="1">MAX(GH14*(1+CI15)-(Dashboard!$C$11)/(1-Dashboard!$C$17)*((1+Dashboard!$C$12)^$CZ15),0)</f>
        <v>1151399.7099293815</v>
      </c>
      <c r="GI15" s="126">
        <f ca="1">MAX(GI14*(1+CJ15)-(Dashboard!$C$11)/(1-Dashboard!$C$17)*((1+Dashboard!$C$12)^$CZ15),0)</f>
        <v>874299.35866118781</v>
      </c>
      <c r="GJ15" s="126">
        <f ca="1">MAX(GJ14*(1+CK15)-(Dashboard!$C$11)/(1-Dashboard!$C$17)*((1+Dashboard!$C$12)^$CZ15),0)</f>
        <v>2507112.9143888606</v>
      </c>
      <c r="GK15" s="126">
        <f ca="1">MAX(GK14*(1+CL15)-(Dashboard!$C$11)/(1-Dashboard!$C$17)*((1+Dashboard!$C$12)^$CZ15),0)</f>
        <v>3230084.6211824459</v>
      </c>
      <c r="GL15" s="126">
        <f ca="1">MAX(GL14*(1+CM15)-(Dashboard!$C$11)/(1-Dashboard!$C$17)*((1+Dashboard!$C$12)^$CZ15),0)</f>
        <v>3141192.960862943</v>
      </c>
      <c r="GM15" s="126">
        <f ca="1">MAX(GM14*(1+CN15)-(Dashboard!$C$11)/(1-Dashboard!$C$17)*((1+Dashboard!$C$12)^$CZ15),0)</f>
        <v>1596934.7827529483</v>
      </c>
      <c r="GN15" s="126">
        <f ca="1">MAX(GN14*(1+CO15)-(Dashboard!$C$11)/(1-Dashboard!$C$17)*((1+Dashboard!$C$12)^$CZ15),0)</f>
        <v>486042.59263324708</v>
      </c>
      <c r="GO15" s="126">
        <f ca="1">MAX(GO14*(1+CP15)-(Dashboard!$C$11)/(1-Dashboard!$C$17)*((1+Dashboard!$C$12)^$CZ15),0)</f>
        <v>2270941.3039756776</v>
      </c>
      <c r="GP15" s="126">
        <f ca="1">MAX(GP14*(1+CQ15)-(Dashboard!$C$11)/(1-Dashboard!$C$17)*((1+Dashboard!$C$12)^$CZ15),0)</f>
        <v>1318058.1082344456</v>
      </c>
      <c r="GQ15" s="126">
        <f ca="1">MAX(GQ14*(1+CR15)-(Dashboard!$C$11)/(1-Dashboard!$C$17)*((1+Dashboard!$C$12)^$CZ15),0)</f>
        <v>1303444.6850568592</v>
      </c>
      <c r="GR15" s="126">
        <f ca="1">MAX(GR14*(1+CS15)-(Dashboard!$C$11)/(1-Dashboard!$C$17)*((1+Dashboard!$C$12)^$CZ15),0)</f>
        <v>1097028.0940358564</v>
      </c>
      <c r="GS15" s="126">
        <f ca="1">MAX(GS14*(1+CT15)-(Dashboard!$C$11)/(1-Dashboard!$C$17)*((1+Dashboard!$C$12)^$CZ15),0)</f>
        <v>2962264.8082971456</v>
      </c>
      <c r="GT15" s="126">
        <f ca="1">MAX(GT14*(1+CU15)-(Dashboard!$C$11)/(1-Dashboard!$C$17)*((1+Dashboard!$C$12)^$CZ15),0)</f>
        <v>3596069.8555484042</v>
      </c>
      <c r="GU15" s="126">
        <f ca="1">MAX(GU14*(1+CV15)-(Dashboard!$C$11)/(1-Dashboard!$C$17)*((1+Dashboard!$C$12)^$CZ15),0)</f>
        <v>651811.4380270429</v>
      </c>
      <c r="GV15" s="126">
        <f ca="1">MAX(GV14*(1+CW15)-(Dashboard!$C$11)/(1-Dashboard!$C$17)*((1+Dashboard!$C$12)^$CZ15),0)</f>
        <v>1062147.4478116918</v>
      </c>
      <c r="GW15" s="115">
        <f t="shared" si="4"/>
        <v>64</v>
      </c>
      <c r="GX15" s="130">
        <f t="shared" ca="1" si="2"/>
        <v>100</v>
      </c>
      <c r="HC15" s="130">
        <f t="shared" si="0"/>
        <v>64</v>
      </c>
      <c r="HD15" s="137">
        <f t="shared" ca="1" si="1"/>
        <v>1323285.099521345</v>
      </c>
      <c r="HE15" s="137">
        <f t="shared" ca="1" si="1"/>
        <v>1937388.8984143375</v>
      </c>
      <c r="HF15" s="137">
        <f t="shared" ca="1" si="1"/>
        <v>2661695.6901943218</v>
      </c>
    </row>
    <row r="16" spans="1:214" ht="16">
      <c r="A16" s="145">
        <f t="shared" si="3"/>
        <v>65</v>
      </c>
      <c r="B16" s="122">
        <f ca="1">(Dashboard!$C$7*'Equity and Bond Returns'!N16)+(Dashboard!$C$8*'Equity and Bond Returns'!DL16)</f>
        <v>-4.8439740132013194E-3</v>
      </c>
      <c r="C16" s="122">
        <f ca="1">(Dashboard!$C$7*'Equity and Bond Returns'!O16)+(Dashboard!$C$8*'Equity and Bond Returns'!DM16)</f>
        <v>-2.6501064230473076E-2</v>
      </c>
      <c r="D16" s="122">
        <f ca="1">(Dashboard!$C$7*'Equity and Bond Returns'!P16)+(Dashboard!$C$8*'Equity and Bond Returns'!DN16)</f>
        <v>0.17233264652162586</v>
      </c>
      <c r="E16" s="122">
        <f ca="1">(Dashboard!$C$7*'Equity and Bond Returns'!Q16)+(Dashboard!$C$8*'Equity and Bond Returns'!DO16)</f>
        <v>1.1828325016603707E-2</v>
      </c>
      <c r="F16" s="122">
        <f ca="1">(Dashboard!$C$7*'Equity and Bond Returns'!R16)+(Dashboard!$C$8*'Equity and Bond Returns'!DP16)</f>
        <v>0.18590677167789538</v>
      </c>
      <c r="G16" s="122">
        <f ca="1">(Dashboard!$C$7*'Equity and Bond Returns'!S16)+(Dashboard!$C$8*'Equity and Bond Returns'!DQ16)</f>
        <v>-0.12905658784488772</v>
      </c>
      <c r="H16" s="122">
        <f ca="1">(Dashboard!$C$7*'Equity and Bond Returns'!T16)+(Dashboard!$C$8*'Equity and Bond Returns'!DR16)</f>
        <v>0.12535974296571376</v>
      </c>
      <c r="I16" s="122">
        <f ca="1">(Dashboard!$C$7*'Equity and Bond Returns'!U16)+(Dashboard!$C$8*'Equity and Bond Returns'!DS16)</f>
        <v>0.26430708885295245</v>
      </c>
      <c r="J16" s="122">
        <f ca="1">(Dashboard!$C$7*'Equity and Bond Returns'!V16)+(Dashboard!$C$8*'Equity and Bond Returns'!DT16)</f>
        <v>0.1129080164558344</v>
      </c>
      <c r="K16" s="122">
        <f ca="1">(Dashboard!$C$7*'Equity and Bond Returns'!W16)+(Dashboard!$C$8*'Equity and Bond Returns'!DU16)</f>
        <v>-0.12351859811700208</v>
      </c>
      <c r="L16" s="122">
        <f ca="1">(Dashboard!$C$7*'Equity and Bond Returns'!X16)+(Dashboard!$C$8*'Equity and Bond Returns'!DV16)</f>
        <v>0.23420787994955505</v>
      </c>
      <c r="M16" s="122">
        <f ca="1">(Dashboard!$C$7*'Equity and Bond Returns'!Y16)+(Dashboard!$C$8*'Equity and Bond Returns'!DW16)</f>
        <v>0.26783978035728473</v>
      </c>
      <c r="N16" s="122">
        <f ca="1">(Dashboard!$C$7*'Equity and Bond Returns'!Z16)+(Dashboard!$C$8*'Equity and Bond Returns'!DX16)</f>
        <v>2.4689895756761188E-2</v>
      </c>
      <c r="O16" s="122">
        <f ca="1">(Dashboard!$C$7*'Equity and Bond Returns'!AA16)+(Dashboard!$C$8*'Equity and Bond Returns'!DY16)</f>
        <v>0.18202832982374334</v>
      </c>
      <c r="P16" s="122">
        <f ca="1">(Dashboard!$C$7*'Equity and Bond Returns'!AB16)+(Dashboard!$C$8*'Equity and Bond Returns'!DZ16)</f>
        <v>-7.2828084761726586E-2</v>
      </c>
      <c r="Q16" s="122">
        <f ca="1">(Dashboard!$C$7*'Equity and Bond Returns'!AC16)+(Dashboard!$C$8*'Equity and Bond Returns'!EA16)</f>
        <v>0.15937830885057036</v>
      </c>
      <c r="R16" s="122">
        <f ca="1">(Dashboard!$C$7*'Equity and Bond Returns'!AD16)+(Dashboard!$C$8*'Equity and Bond Returns'!EB16)</f>
        <v>2.7258141535618438E-2</v>
      </c>
      <c r="S16" s="122">
        <f ca="1">(Dashboard!$C$7*'Equity and Bond Returns'!AE16)+(Dashboard!$C$8*'Equity and Bond Returns'!EC16)</f>
        <v>0.23799937763925486</v>
      </c>
      <c r="T16" s="122">
        <f ca="1">(Dashboard!$C$7*'Equity and Bond Returns'!AF16)+(Dashboard!$C$8*'Equity and Bond Returns'!ED16)</f>
        <v>-0.29823435346303362</v>
      </c>
      <c r="U16" s="122">
        <f ca="1">(Dashboard!$C$7*'Equity and Bond Returns'!AG16)+(Dashboard!$C$8*'Equity and Bond Returns'!EE16)</f>
        <v>-7.4643047958317915E-2</v>
      </c>
      <c r="V16" s="122">
        <f ca="1">(Dashboard!$C$7*'Equity and Bond Returns'!AH16)+(Dashboard!$C$8*'Equity and Bond Returns'!EF16)</f>
        <v>-0.10181980885440253</v>
      </c>
      <c r="W16" s="122">
        <f ca="1">(Dashboard!$C$7*'Equity and Bond Returns'!AI16)+(Dashboard!$C$8*'Equity and Bond Returns'!EG16)</f>
        <v>6.4983668769677969E-2</v>
      </c>
      <c r="X16" s="122">
        <f ca="1">(Dashboard!$C$7*'Equity and Bond Returns'!AJ16)+(Dashboard!$C$8*'Equity and Bond Returns'!EH16)</f>
        <v>2.1986016792122729E-2</v>
      </c>
      <c r="Y16" s="122">
        <f ca="1">(Dashboard!$C$7*'Equity and Bond Returns'!AK16)+(Dashboard!$C$8*'Equity and Bond Returns'!EI16)</f>
        <v>-3.981479637877415E-2</v>
      </c>
      <c r="Z16" s="122">
        <f ca="1">(Dashboard!$C$7*'Equity and Bond Returns'!AL16)+(Dashboard!$C$8*'Equity and Bond Returns'!EJ16)</f>
        <v>0.30629501966224359</v>
      </c>
      <c r="AA16" s="122">
        <f ca="1">(Dashboard!$C$7*'Equity and Bond Returns'!AM16)+(Dashboard!$C$8*'Equity and Bond Returns'!EK16)</f>
        <v>-5.7887617787774938E-2</v>
      </c>
      <c r="AB16" s="122">
        <f ca="1">(Dashboard!$C$7*'Equity and Bond Returns'!AN16)+(Dashboard!$C$8*'Equity and Bond Returns'!EL16)</f>
        <v>0.15663649129764515</v>
      </c>
      <c r="AC16" s="122">
        <f ca="1">(Dashboard!$C$7*'Equity and Bond Returns'!AO16)+(Dashboard!$C$8*'Equity and Bond Returns'!EM16)</f>
        <v>6.5716777868167223E-2</v>
      </c>
      <c r="AD16" s="122">
        <f ca="1">(Dashboard!$C$7*'Equity and Bond Returns'!AP16)+(Dashboard!$C$8*'Equity and Bond Returns'!EN16)</f>
        <v>2.1957953789789403E-2</v>
      </c>
      <c r="AE16" s="122">
        <f ca="1">(Dashboard!$C$7*'Equity and Bond Returns'!AQ16)+(Dashboard!$C$8*'Equity and Bond Returns'!EO16)</f>
        <v>0.22731601311772984</v>
      </c>
      <c r="AF16" s="122">
        <f ca="1">(Dashboard!$C$7*'Equity and Bond Returns'!AR16)+(Dashboard!$C$8*'Equity and Bond Returns'!EP16)</f>
        <v>0.13173827790422044</v>
      </c>
      <c r="AG16" s="122">
        <f ca="1">(Dashboard!$C$7*'Equity and Bond Returns'!AS16)+(Dashboard!$C$8*'Equity and Bond Returns'!EQ16)</f>
        <v>-0.14265422778142151</v>
      </c>
      <c r="AH16" s="122">
        <f ca="1">(Dashboard!$C$7*'Equity and Bond Returns'!AT16)+(Dashboard!$C$8*'Equity and Bond Returns'!ER16)</f>
        <v>0.20682263232753348</v>
      </c>
      <c r="AI16" s="122">
        <f ca="1">(Dashboard!$C$7*'Equity and Bond Returns'!AU16)+(Dashboard!$C$8*'Equity and Bond Returns'!ES16)</f>
        <v>0.36681352066557948</v>
      </c>
      <c r="AJ16" s="122">
        <f ca="1">(Dashboard!$C$7*'Equity and Bond Returns'!AV16)+(Dashboard!$C$8*'Equity and Bond Returns'!ET16)</f>
        <v>-4.1145294048824319E-2</v>
      </c>
      <c r="AK16" s="122">
        <f ca="1">(Dashboard!$C$7*'Equity and Bond Returns'!AW16)+(Dashboard!$C$8*'Equity and Bond Returns'!EU16)</f>
        <v>9.8401964794599672E-2</v>
      </c>
      <c r="AL16" s="122">
        <f ca="1">(Dashboard!$C$7*'Equity and Bond Returns'!AX16)+(Dashboard!$C$8*'Equity and Bond Returns'!EV16)</f>
        <v>0.22886825565923269</v>
      </c>
      <c r="AM16" s="122">
        <f ca="1">(Dashboard!$C$7*'Equity and Bond Returns'!AY16)+(Dashboard!$C$8*'Equity and Bond Returns'!EW16)</f>
        <v>7.7948850909818887E-2</v>
      </c>
      <c r="AN16" s="122">
        <f ca="1">(Dashboard!$C$7*'Equity and Bond Returns'!AZ16)+(Dashboard!$C$8*'Equity and Bond Returns'!EX16)</f>
        <v>0.14409947404337761</v>
      </c>
      <c r="AO16" s="122">
        <f ca="1">(Dashboard!$C$7*'Equity and Bond Returns'!BA16)+(Dashboard!$C$8*'Equity and Bond Returns'!EY16)</f>
        <v>4.8087413212004999E-2</v>
      </c>
      <c r="AP16" s="122">
        <f ca="1">(Dashboard!$C$7*'Equity and Bond Returns'!BB16)+(Dashboard!$C$8*'Equity and Bond Returns'!EZ16)</f>
        <v>0.119290688737579</v>
      </c>
      <c r="AQ16" s="122">
        <f ca="1">(Dashboard!$C$7*'Equity and Bond Returns'!BC16)+(Dashboard!$C$8*'Equity and Bond Returns'!FA16)</f>
        <v>0.16947203191886023</v>
      </c>
      <c r="AR16" s="122">
        <f ca="1">(Dashboard!$C$7*'Equity and Bond Returns'!BD16)+(Dashboard!$C$8*'Equity and Bond Returns'!FB16)</f>
        <v>0.25673531409386013</v>
      </c>
      <c r="AS16" s="122">
        <f ca="1">(Dashboard!$C$7*'Equity and Bond Returns'!BE16)+(Dashboard!$C$8*'Equity and Bond Returns'!FC16)</f>
        <v>0.31365624642872447</v>
      </c>
      <c r="AT16" s="122">
        <f ca="1">(Dashboard!$C$7*'Equity and Bond Returns'!BF16)+(Dashboard!$C$8*'Equity and Bond Returns'!FD16)</f>
        <v>0.24814040323124045</v>
      </c>
      <c r="AU16" s="122">
        <f ca="1">(Dashboard!$C$7*'Equity and Bond Returns'!BG16)+(Dashboard!$C$8*'Equity and Bond Returns'!FE16)</f>
        <v>4.5097273874563665E-2</v>
      </c>
      <c r="AV16" s="122">
        <f ca="1">(Dashboard!$C$7*'Equity and Bond Returns'!BH16)+(Dashboard!$C$8*'Equity and Bond Returns'!FF16)</f>
        <v>4.1164909736641928E-2</v>
      </c>
      <c r="AW16" s="122">
        <f ca="1">(Dashboard!$C$7*'Equity and Bond Returns'!BI16)+(Dashboard!$C$8*'Equity and Bond Returns'!FG16)</f>
        <v>7.0917653448547086E-2</v>
      </c>
      <c r="AX16" s="122">
        <f ca="1">(Dashboard!$C$7*'Equity and Bond Returns'!BJ16)+(Dashboard!$C$8*'Equity and Bond Returns'!FH16)</f>
        <v>0.40619930384584335</v>
      </c>
      <c r="AY16" s="122">
        <f ca="1">(Dashboard!$C$7*'Equity and Bond Returns'!BK16)+(Dashboard!$C$8*'Equity and Bond Returns'!FI16)</f>
        <v>4.2691077791690561E-2</v>
      </c>
      <c r="AZ16" s="122">
        <f ca="1">(Dashboard!$C$7*'Equity and Bond Returns'!BL16)+(Dashboard!$C$8*'Equity and Bond Returns'!FJ16)</f>
        <v>0.19368681847149463</v>
      </c>
      <c r="BA16" s="122">
        <f ca="1">(Dashboard!$C$7*'Equity and Bond Returns'!BM16)+(Dashboard!$C$8*'Equity and Bond Returns'!FK16)</f>
        <v>0.35903030530767099</v>
      </c>
      <c r="BB16" s="122">
        <f ca="1">(Dashboard!$C$7*'Equity and Bond Returns'!BN16)+(Dashboard!$C$8*'Equity and Bond Returns'!FL16)</f>
        <v>0.11764120771830855</v>
      </c>
      <c r="BC16" s="122">
        <f ca="1">(Dashboard!$C$7*'Equity and Bond Returns'!BO16)+(Dashboard!$C$8*'Equity and Bond Returns'!FM16)</f>
        <v>-0.27393261049877315</v>
      </c>
      <c r="BD16" s="122">
        <f ca="1">(Dashboard!$C$7*'Equity and Bond Returns'!BP16)+(Dashboard!$C$8*'Equity and Bond Returns'!FN16)</f>
        <v>0.25268893770382617</v>
      </c>
      <c r="BE16" s="122">
        <f ca="1">(Dashboard!$C$7*'Equity and Bond Returns'!BQ16)+(Dashboard!$C$8*'Equity and Bond Returns'!FO16)</f>
        <v>0.26116853660788231</v>
      </c>
      <c r="BF16" s="122">
        <f ca="1">(Dashboard!$C$7*'Equity and Bond Returns'!BR16)+(Dashboard!$C$8*'Equity and Bond Returns'!FP16)</f>
        <v>2.9236156043941426E-2</v>
      </c>
      <c r="BG16" s="122">
        <f ca="1">(Dashboard!$C$7*'Equity and Bond Returns'!BS16)+(Dashboard!$C$8*'Equity and Bond Returns'!FQ16)</f>
        <v>0.25051434811936313</v>
      </c>
      <c r="BH16" s="122">
        <f ca="1">(Dashboard!$C$7*'Equity and Bond Returns'!BT16)+(Dashboard!$C$8*'Equity and Bond Returns'!FR16)</f>
        <v>-4.1692457099874292E-2</v>
      </c>
      <c r="BI16" s="122">
        <f ca="1">(Dashboard!$C$7*'Equity and Bond Returns'!BU16)+(Dashboard!$C$8*'Equity and Bond Returns'!FS16)</f>
        <v>-8.3065507915713044E-2</v>
      </c>
      <c r="BJ16" s="122">
        <f ca="1">(Dashboard!$C$7*'Equity and Bond Returns'!BV16)+(Dashboard!$C$8*'Equity and Bond Returns'!FT16)</f>
        <v>1.5947777620284945E-2</v>
      </c>
      <c r="BK16" s="122">
        <f ca="1">(Dashboard!$C$7*'Equity and Bond Returns'!BW16)+(Dashboard!$C$8*'Equity and Bond Returns'!FU16)</f>
        <v>2.1176157802008731E-2</v>
      </c>
      <c r="BL16" s="122">
        <f ca="1">(Dashboard!$C$7*'Equity and Bond Returns'!BX16)+(Dashboard!$C$8*'Equity and Bond Returns'!FV16)</f>
        <v>0.20923074914682416</v>
      </c>
      <c r="BM16" s="122">
        <f ca="1">(Dashboard!$C$7*'Equity and Bond Returns'!BY16)+(Dashboard!$C$8*'Equity and Bond Returns'!FW16)</f>
        <v>0.16762479738604927</v>
      </c>
      <c r="BN16" s="122">
        <f ca="1">(Dashboard!$C$7*'Equity and Bond Returns'!BZ16)+(Dashboard!$C$8*'Equity and Bond Returns'!FX16)</f>
        <v>5.128462973030521E-2</v>
      </c>
      <c r="BO16" s="122">
        <f ca="1">(Dashboard!$C$7*'Equity and Bond Returns'!CA16)+(Dashboard!$C$8*'Equity and Bond Returns'!FY16)</f>
        <v>-0.36674965078153249</v>
      </c>
      <c r="BP16" s="122">
        <f ca="1">(Dashboard!$C$7*'Equity and Bond Returns'!CB16)+(Dashboard!$C$8*'Equity and Bond Returns'!FZ16)</f>
        <v>1.0934179026864242E-2</v>
      </c>
      <c r="BQ16" s="122">
        <f ca="1">(Dashboard!$C$7*'Equity and Bond Returns'!CC16)+(Dashboard!$C$8*'Equity and Bond Returns'!GA16)</f>
        <v>0.2333378865554997</v>
      </c>
      <c r="BR16" s="122">
        <f ca="1">(Dashboard!$C$7*'Equity and Bond Returns'!CD16)+(Dashboard!$C$8*'Equity and Bond Returns'!GB16)</f>
        <v>5.2949628221342863E-3</v>
      </c>
      <c r="BS16" s="122">
        <f ca="1">(Dashboard!$C$7*'Equity and Bond Returns'!CE16)+(Dashboard!$C$8*'Equity and Bond Returns'!GC16)</f>
        <v>8.2602980044322788E-2</v>
      </c>
      <c r="BT16" s="122">
        <f ca="1">(Dashboard!$C$7*'Equity and Bond Returns'!CF16)+(Dashboard!$C$8*'Equity and Bond Returns'!GD16)</f>
        <v>-6.7425088114935749E-3</v>
      </c>
      <c r="BU16" s="122">
        <f ca="1">(Dashboard!$C$7*'Equity and Bond Returns'!CG16)+(Dashboard!$C$8*'Equity and Bond Returns'!GE16)</f>
        <v>9.2818983852715684E-3</v>
      </c>
      <c r="BV16" s="122">
        <f ca="1">(Dashboard!$C$7*'Equity and Bond Returns'!CH16)+(Dashboard!$C$8*'Equity and Bond Returns'!GF16)</f>
        <v>0.18589587833109686</v>
      </c>
      <c r="BW16" s="122">
        <f ca="1">(Dashboard!$C$7*'Equity and Bond Returns'!CI16)+(Dashboard!$C$8*'Equity and Bond Returns'!GG16)</f>
        <v>0.24642914254880219</v>
      </c>
      <c r="BX16" s="122">
        <f ca="1">(Dashboard!$C$7*'Equity and Bond Returns'!CJ16)+(Dashboard!$C$8*'Equity and Bond Returns'!GH16)</f>
        <v>7.3809630156905948E-2</v>
      </c>
      <c r="BY16" s="122">
        <f ca="1">(Dashboard!$C$7*'Equity and Bond Returns'!CK16)+(Dashboard!$C$8*'Equity and Bond Returns'!GI16)</f>
        <v>-4.8084983139499535E-2</v>
      </c>
      <c r="BZ16" s="122">
        <f ca="1">(Dashboard!$C$7*'Equity and Bond Returns'!CL16)+(Dashboard!$C$8*'Equity and Bond Returns'!GJ16)</f>
        <v>4.3113724901337858E-2</v>
      </c>
      <c r="CA16" s="122">
        <f ca="1">(Dashboard!$C$7*'Equity and Bond Returns'!CM16)+(Dashboard!$C$8*'Equity and Bond Returns'!GK16)</f>
        <v>0.12175580015690249</v>
      </c>
      <c r="CB16" s="122">
        <f ca="1">(Dashboard!$C$7*'Equity and Bond Returns'!CN16)+(Dashboard!$C$8*'Equity and Bond Returns'!GL16)</f>
        <v>0.20837011437650144</v>
      </c>
      <c r="CC16" s="122">
        <f ca="1">(Dashboard!$C$7*'Equity and Bond Returns'!CO16)+(Dashboard!$C$8*'Equity and Bond Returns'!GM16)</f>
        <v>2.0351452068296451E-2</v>
      </c>
      <c r="CD16" s="122">
        <f ca="1">(Dashboard!$C$7*'Equity and Bond Returns'!CP16)+(Dashboard!$C$8*'Equity and Bond Returns'!GN16)</f>
        <v>1.1312707170606732E-3</v>
      </c>
      <c r="CE16" s="122">
        <f ca="1">(Dashboard!$C$7*'Equity and Bond Returns'!CQ16)+(Dashboard!$C$8*'Equity and Bond Returns'!GO16)</f>
        <v>0.1526598743001103</v>
      </c>
      <c r="CF16" s="122">
        <f ca="1">(Dashboard!$C$7*'Equity and Bond Returns'!CR16)+(Dashboard!$C$8*'Equity and Bond Returns'!GP16)</f>
        <v>0.16960445820999837</v>
      </c>
      <c r="CG16" s="122">
        <f ca="1">(Dashboard!$C$7*'Equity and Bond Returns'!CS16)+(Dashboard!$C$8*'Equity and Bond Returns'!GQ16)</f>
        <v>-1.6268796473402278E-3</v>
      </c>
      <c r="CH16" s="122">
        <f ca="1">(Dashboard!$C$7*'Equity and Bond Returns'!CT16)+(Dashboard!$C$8*'Equity and Bond Returns'!GR16)</f>
        <v>2.3508070653656461E-2</v>
      </c>
      <c r="CI16" s="122">
        <f ca="1">(Dashboard!$C$7*'Equity and Bond Returns'!CU16)+(Dashboard!$C$8*'Equity and Bond Returns'!GS16)</f>
        <v>7.5612148651839933E-2</v>
      </c>
      <c r="CJ16" s="122">
        <f ca="1">(Dashboard!$C$7*'Equity and Bond Returns'!CV16)+(Dashboard!$C$8*'Equity and Bond Returns'!GT16)</f>
        <v>0.33088047468697868</v>
      </c>
      <c r="CK16" s="122">
        <f ca="1">(Dashboard!$C$7*'Equity and Bond Returns'!CW16)+(Dashboard!$C$8*'Equity and Bond Returns'!GU16)</f>
        <v>0.12674048218941297</v>
      </c>
      <c r="CL16" s="122">
        <f ca="1">(Dashboard!$C$7*'Equity and Bond Returns'!CX16)+(Dashboard!$C$8*'Equity and Bond Returns'!GV16)</f>
        <v>6.5488595415912079E-2</v>
      </c>
      <c r="CM16" s="122">
        <f ca="1">(Dashboard!$C$7*'Equity and Bond Returns'!CY16)+(Dashboard!$C$8*'Equity and Bond Returns'!GW16)</f>
        <v>0.18052089548568928</v>
      </c>
      <c r="CN16" s="122">
        <f ca="1">(Dashboard!$C$7*'Equity and Bond Returns'!CZ16)+(Dashboard!$C$8*'Equity and Bond Returns'!GX16)</f>
        <v>0.13453659400947446</v>
      </c>
      <c r="CO16" s="122">
        <f ca="1">(Dashboard!$C$7*'Equity and Bond Returns'!DA16)+(Dashboard!$C$8*'Equity and Bond Returns'!GY16)</f>
        <v>0.10938490745649146</v>
      </c>
      <c r="CP16" s="122">
        <f ca="1">(Dashboard!$C$7*'Equity and Bond Returns'!DB16)+(Dashboard!$C$8*'Equity and Bond Returns'!GZ16)</f>
        <v>-8.7422885118901603E-2</v>
      </c>
      <c r="CQ16" s="122">
        <f ca="1">(Dashboard!$C$7*'Equity and Bond Returns'!DC16)+(Dashboard!$C$8*'Equity and Bond Returns'!HA16)</f>
        <v>-3.1030684498909396E-2</v>
      </c>
      <c r="CR16" s="122">
        <f ca="1">(Dashboard!$C$7*'Equity and Bond Returns'!DD16)+(Dashboard!$C$8*'Equity and Bond Returns'!HB16)</f>
        <v>-3.4433065026478069E-2</v>
      </c>
      <c r="CS16" s="122">
        <f ca="1">(Dashboard!$C$7*'Equity and Bond Returns'!DE16)+(Dashboard!$C$8*'Equity and Bond Returns'!HC16)</f>
        <v>0.27469533965812254</v>
      </c>
      <c r="CT16" s="122">
        <f ca="1">(Dashboard!$C$7*'Equity and Bond Returns'!DF16)+(Dashboard!$C$8*'Equity and Bond Returns'!HD16)</f>
        <v>0.20582101803392847</v>
      </c>
      <c r="CU16" s="122">
        <f ca="1">(Dashboard!$C$7*'Equity and Bond Returns'!DG16)+(Dashboard!$C$8*'Equity and Bond Returns'!HE16)</f>
        <v>0.14649366252259619</v>
      </c>
      <c r="CV16" s="122">
        <f ca="1">(Dashboard!$C$7*'Equity and Bond Returns'!DH16)+(Dashboard!$C$8*'Equity and Bond Returns'!HF16)</f>
        <v>0.27282761576737935</v>
      </c>
      <c r="CW16" s="122">
        <f ca="1">(Dashboard!$C$7*'Equity and Bond Returns'!DI16)+(Dashboard!$C$8*'Equity and Bond Returns'!HG16)</f>
        <v>0.14713899197669539</v>
      </c>
      <c r="CY16" s="147">
        <f t="shared" si="5"/>
        <v>65</v>
      </c>
      <c r="CZ16" s="148">
        <v>15</v>
      </c>
      <c r="DA16" s="126">
        <f ca="1">MAX(DA15*(1+B16)-(Dashboard!$C$11)/(1-Dashboard!$C$17)*((1+Dashboard!$C$12)^$CZ16),0)</f>
        <v>4031505.1004065247</v>
      </c>
      <c r="DB16" s="126">
        <f ca="1">MAX(DB15*(1+C16)-(Dashboard!$C$11)/(1-Dashboard!$C$17)*((1+Dashboard!$C$12)^$CZ16),0)</f>
        <v>234308.33434192027</v>
      </c>
      <c r="DC16" s="126">
        <f ca="1">MAX(DC15*(1+D16)-(Dashboard!$C$11)/(1-Dashboard!$C$17)*((1+Dashboard!$C$12)^$CZ16),0)</f>
        <v>2000594.5979012512</v>
      </c>
      <c r="DD16" s="126">
        <f ca="1">MAX(DD15*(1+E16)-(Dashboard!$C$11)/(1-Dashboard!$C$17)*((1+Dashboard!$C$12)^$CZ16),0)</f>
        <v>592654.75133771484</v>
      </c>
      <c r="DE16" s="126">
        <f ca="1">MAX(DE15*(1+F16)-(Dashboard!$C$11)/(1-Dashboard!$C$17)*((1+Dashboard!$C$12)^$CZ16),0)</f>
        <v>3439593.484158644</v>
      </c>
      <c r="DF16" s="126">
        <f ca="1">MAX(DF15*(1+G16)-(Dashboard!$C$11)/(1-Dashboard!$C$17)*((1+Dashboard!$C$12)^$CZ16),0)</f>
        <v>2922851.2605990227</v>
      </c>
      <c r="DG16" s="126">
        <f ca="1">MAX(DG15*(1+H16)-(Dashboard!$C$11)/(1-Dashboard!$C$17)*((1+Dashboard!$C$12)^$CZ16),0)</f>
        <v>520928.10726385051</v>
      </c>
      <c r="DH16" s="126">
        <f ca="1">MAX(DH15*(1+I16)-(Dashboard!$C$11)/(1-Dashboard!$C$17)*((1+Dashboard!$C$12)^$CZ16),0)</f>
        <v>1936624.9498412553</v>
      </c>
      <c r="DI16" s="126">
        <f ca="1">MAX(DI15*(1+J16)-(Dashboard!$C$11)/(1-Dashboard!$C$17)*((1+Dashboard!$C$12)^$CZ16),0)</f>
        <v>1588187.3288045209</v>
      </c>
      <c r="DJ16" s="126">
        <f ca="1">MAX(DJ15*(1+K16)-(Dashboard!$C$11)/(1-Dashboard!$C$17)*((1+Dashboard!$C$12)^$CZ16),0)</f>
        <v>1523703.4960403657</v>
      </c>
      <c r="DK16" s="126">
        <f ca="1">MAX(DK15*(1+L16)-(Dashboard!$C$11)/(1-Dashboard!$C$17)*((1+Dashboard!$C$12)^$CZ16),0)</f>
        <v>4830523.0180991553</v>
      </c>
      <c r="DL16" s="126">
        <f ca="1">MAX(DL15*(1+M16)-(Dashboard!$C$11)/(1-Dashboard!$C$17)*((1+Dashboard!$C$12)^$CZ16),0)</f>
        <v>1133604.29602136</v>
      </c>
      <c r="DM16" s="126">
        <f ca="1">MAX(DM15*(1+N16)-(Dashboard!$C$11)/(1-Dashboard!$C$17)*((1+Dashboard!$C$12)^$CZ16),0)</f>
        <v>1974460.8621663665</v>
      </c>
      <c r="DN16" s="126">
        <f ca="1">MAX(DN15*(1+O16)-(Dashboard!$C$11)/(1-Dashboard!$C$17)*((1+Dashboard!$C$12)^$CZ16),0)</f>
        <v>6634260.8700789101</v>
      </c>
      <c r="DO16" s="126">
        <f ca="1">MAX(DO15*(1+P16)-(Dashboard!$C$11)/(1-Dashboard!$C$17)*((1+Dashboard!$C$12)^$CZ16),0)</f>
        <v>1845178.3801109702</v>
      </c>
      <c r="DP16" s="126">
        <f ca="1">MAX(DP15*(1+Q16)-(Dashboard!$C$11)/(1-Dashboard!$C$17)*((1+Dashboard!$C$12)^$CZ16),0)</f>
        <v>2836062.5011876854</v>
      </c>
      <c r="DQ16" s="126">
        <f ca="1">MAX(DQ15*(1+R16)-(Dashboard!$C$11)/(1-Dashboard!$C$17)*((1+Dashboard!$C$12)^$CZ16),0)</f>
        <v>2241105.6669066399</v>
      </c>
      <c r="DR16" s="126">
        <f ca="1">MAX(DR15*(1+S16)-(Dashboard!$C$11)/(1-Dashboard!$C$17)*((1+Dashboard!$C$12)^$CZ16),0)</f>
        <v>2985270.668680096</v>
      </c>
      <c r="DS16" s="126">
        <f ca="1">MAX(DS15*(1+T16)-(Dashboard!$C$11)/(1-Dashboard!$C$17)*((1+Dashboard!$C$12)^$CZ16),0)</f>
        <v>1430463.9934639554</v>
      </c>
      <c r="DT16" s="126">
        <f ca="1">MAX(DT15*(1+U16)-(Dashboard!$C$11)/(1-Dashboard!$C$17)*((1+Dashboard!$C$12)^$CZ16),0)</f>
        <v>1503158.3777176505</v>
      </c>
      <c r="DU16" s="126">
        <f ca="1">MAX(DU15*(1+V16)-(Dashboard!$C$11)/(1-Dashboard!$C$17)*((1+Dashboard!$C$12)^$CZ16),0)</f>
        <v>1981210.509380918</v>
      </c>
      <c r="DV16" s="126">
        <f ca="1">MAX(DV15*(1+W16)-(Dashboard!$C$11)/(1-Dashboard!$C$17)*((1+Dashboard!$C$12)^$CZ16),0)</f>
        <v>3784871.4020030466</v>
      </c>
      <c r="DW16" s="126">
        <f ca="1">MAX(DW15*(1+X16)-(Dashboard!$C$11)/(1-Dashboard!$C$17)*((1+Dashboard!$C$12)^$CZ16),0)</f>
        <v>1944691.2394232377</v>
      </c>
      <c r="DX16" s="126">
        <f ca="1">MAX(DX15*(1+Y16)-(Dashboard!$C$11)/(1-Dashboard!$C$17)*((1+Dashboard!$C$12)^$CZ16),0)</f>
        <v>1326910.7068292703</v>
      </c>
      <c r="DY16" s="126">
        <f ca="1">MAX(DY15*(1+Z16)-(Dashboard!$C$11)/(1-Dashboard!$C$17)*((1+Dashboard!$C$12)^$CZ16),0)</f>
        <v>3703649.8625474786</v>
      </c>
      <c r="DZ16" s="126">
        <f ca="1">MAX(DZ15*(1+AA16)-(Dashboard!$C$11)/(1-Dashboard!$C$17)*((1+Dashboard!$C$12)^$CZ16),0)</f>
        <v>523386.0781384164</v>
      </c>
      <c r="EA16" s="126">
        <f ca="1">MAX(EA15*(1+AB16)-(Dashboard!$C$11)/(1-Dashboard!$C$17)*((1+Dashboard!$C$12)^$CZ16),0)</f>
        <v>1807708.9639071552</v>
      </c>
      <c r="EB16" s="126">
        <f ca="1">MAX(EB15*(1+AC16)-(Dashboard!$C$11)/(1-Dashboard!$C$17)*((1+Dashboard!$C$12)^$CZ16),0)</f>
        <v>2321675.1887626499</v>
      </c>
      <c r="EC16" s="126">
        <f ca="1">MAX(EC15*(1+AD16)-(Dashboard!$C$11)/(1-Dashboard!$C$17)*((1+Dashboard!$C$12)^$CZ16),0)</f>
        <v>4288923.6093863649</v>
      </c>
      <c r="ED16" s="126">
        <f ca="1">MAX(ED15*(1+AE16)-(Dashboard!$C$11)/(1-Dashboard!$C$17)*((1+Dashboard!$C$12)^$CZ16),0)</f>
        <v>4296120.2332415581</v>
      </c>
      <c r="EE16" s="126">
        <f ca="1">MAX(EE15*(1+AF16)-(Dashboard!$C$11)/(1-Dashboard!$C$17)*((1+Dashboard!$C$12)^$CZ16),0)</f>
        <v>2123095.8068890949</v>
      </c>
      <c r="EF16" s="126">
        <f ca="1">MAX(EF15*(1+AG16)-(Dashboard!$C$11)/(1-Dashboard!$C$17)*((1+Dashboard!$C$12)^$CZ16),0)</f>
        <v>2132775.5488731554</v>
      </c>
      <c r="EG16" s="126">
        <f ca="1">MAX(EG15*(1+AH16)-(Dashboard!$C$11)/(1-Dashboard!$C$17)*((1+Dashboard!$C$12)^$CZ16),0)</f>
        <v>3516453.6644475157</v>
      </c>
      <c r="EH16" s="126">
        <f ca="1">MAX(EH15*(1+AI16)-(Dashboard!$C$11)/(1-Dashboard!$C$17)*((1+Dashboard!$C$12)^$CZ16),0)</f>
        <v>2615307.8847310659</v>
      </c>
      <c r="EI16" s="126">
        <f ca="1">MAX(EI15*(1+AJ16)-(Dashboard!$C$11)/(1-Dashboard!$C$17)*((1+Dashboard!$C$12)^$CZ16),0)</f>
        <v>615252.90103624051</v>
      </c>
      <c r="EJ16" s="126">
        <f ca="1">MAX(EJ15*(1+AK16)-(Dashboard!$C$11)/(1-Dashboard!$C$17)*((1+Dashboard!$C$12)^$CZ16),0)</f>
        <v>2160084.3965529376</v>
      </c>
      <c r="EK16" s="126">
        <f ca="1">MAX(EK15*(1+AL16)-(Dashboard!$C$11)/(1-Dashboard!$C$17)*((1+Dashboard!$C$12)^$CZ16),0)</f>
        <v>2654410.7473750752</v>
      </c>
      <c r="EL16" s="126">
        <f ca="1">MAX(EL15*(1+AM16)-(Dashboard!$C$11)/(1-Dashboard!$C$17)*((1+Dashboard!$C$12)^$CZ16),0)</f>
        <v>957784.3430702663</v>
      </c>
      <c r="EM16" s="126">
        <f ca="1">MAX(EM15*(1+AN16)-(Dashboard!$C$11)/(1-Dashboard!$C$17)*((1+Dashboard!$C$12)^$CZ16),0)</f>
        <v>2381005.9811802977</v>
      </c>
      <c r="EN16" s="126">
        <f ca="1">MAX(EN15*(1+AO16)-(Dashboard!$C$11)/(1-Dashboard!$C$17)*((1+Dashboard!$C$12)^$CZ16),0)</f>
        <v>2257293.0833465671</v>
      </c>
      <c r="EO16" s="126">
        <f ca="1">MAX(EO15*(1+AP16)-(Dashboard!$C$11)/(1-Dashboard!$C$17)*((1+Dashboard!$C$12)^$CZ16),0)</f>
        <v>1252866.5814242638</v>
      </c>
      <c r="EP16" s="126">
        <f ca="1">MAX(EP15*(1+AQ16)-(Dashboard!$C$11)/(1-Dashboard!$C$17)*((1+Dashboard!$C$12)^$CZ16),0)</f>
        <v>2060859.0184349059</v>
      </c>
      <c r="EQ16" s="126">
        <f ca="1">MAX(EQ15*(1+AR16)-(Dashboard!$C$11)/(1-Dashboard!$C$17)*((1+Dashboard!$C$12)^$CZ16),0)</f>
        <v>1346217.5812795828</v>
      </c>
      <c r="ER16" s="126">
        <f ca="1">MAX(ER15*(1+AS16)-(Dashboard!$C$11)/(1-Dashboard!$C$17)*((1+Dashboard!$C$12)^$CZ16),0)</f>
        <v>1153147.8771629487</v>
      </c>
      <c r="ES16" s="126">
        <f ca="1">MAX(ES15*(1+AT16)-(Dashboard!$C$11)/(1-Dashboard!$C$17)*((1+Dashboard!$C$12)^$CZ16),0)</f>
        <v>1801565.5087184072</v>
      </c>
      <c r="ET16" s="126">
        <f ca="1">MAX(ET15*(1+AU16)-(Dashboard!$C$11)/(1-Dashboard!$C$17)*((1+Dashboard!$C$12)^$CZ16),0)</f>
        <v>1772015.107229434</v>
      </c>
      <c r="EU16" s="126">
        <f ca="1">MAX(EU15*(1+AV16)-(Dashboard!$C$11)/(1-Dashboard!$C$17)*((1+Dashboard!$C$12)^$CZ16),0)</f>
        <v>2139679.9608880081</v>
      </c>
      <c r="EV16" s="126">
        <f ca="1">MAX(EV15*(1+AW16)-(Dashboard!$C$11)/(1-Dashboard!$C$17)*((1+Dashboard!$C$12)^$CZ16),0)</f>
        <v>3987101.7823541374</v>
      </c>
      <c r="EW16" s="126">
        <f ca="1">MAX(EW15*(1+AX16)-(Dashboard!$C$11)/(1-Dashboard!$C$17)*((1+Dashboard!$C$12)^$CZ16),0)</f>
        <v>2706762.0072930958</v>
      </c>
      <c r="EX16" s="126">
        <f ca="1">MAX(EX15*(1+AY16)-(Dashboard!$C$11)/(1-Dashboard!$C$17)*((1+Dashboard!$C$12)^$CZ16),0)</f>
        <v>2134927.016082379</v>
      </c>
      <c r="EY16" s="126">
        <f ca="1">MAX(EY15*(1+AZ16)-(Dashboard!$C$11)/(1-Dashboard!$C$17)*((1+Dashboard!$C$12)^$CZ16),0)</f>
        <v>4565761.9754370777</v>
      </c>
      <c r="EZ16" s="126">
        <f ca="1">MAX(EZ15*(1+BA16)-(Dashboard!$C$11)/(1-Dashboard!$C$17)*((1+Dashboard!$C$12)^$CZ16),0)</f>
        <v>1699409.2061031852</v>
      </c>
      <c r="FA16" s="126">
        <f ca="1">MAX(FA15*(1+BB16)-(Dashboard!$C$11)/(1-Dashboard!$C$17)*((1+Dashboard!$C$12)^$CZ16),0)</f>
        <v>2407614.9552399763</v>
      </c>
      <c r="FB16" s="126">
        <f ca="1">MAX(FB15*(1+BC16)-(Dashboard!$C$11)/(1-Dashboard!$C$17)*((1+Dashboard!$C$12)^$CZ16),0)</f>
        <v>437805.7184978177</v>
      </c>
      <c r="FC16" s="126">
        <f ca="1">MAX(FC15*(1+BD16)-(Dashboard!$C$11)/(1-Dashboard!$C$17)*((1+Dashboard!$C$12)^$CZ16),0)</f>
        <v>1839756.5347054959</v>
      </c>
      <c r="FD16" s="126">
        <f ca="1">MAX(FD15*(1+BE16)-(Dashboard!$C$11)/(1-Dashboard!$C$17)*((1+Dashboard!$C$12)^$CZ16),0)</f>
        <v>3763914.9295563027</v>
      </c>
      <c r="FE16" s="126">
        <f ca="1">MAX(FE15*(1+BF16)-(Dashboard!$C$11)/(1-Dashboard!$C$17)*((1+Dashboard!$C$12)^$CZ16),0)</f>
        <v>2596520.2228239956</v>
      </c>
      <c r="FF16" s="126">
        <f ca="1">MAX(FF15*(1+BG16)-(Dashboard!$C$11)/(1-Dashboard!$C$17)*((1+Dashboard!$C$12)^$CZ16),0)</f>
        <v>1776711.5577662527</v>
      </c>
      <c r="FG16" s="126">
        <f ca="1">MAX(FG15*(1+BH16)-(Dashboard!$C$11)/(1-Dashboard!$C$17)*((1+Dashboard!$C$12)^$CZ16),0)</f>
        <v>1824907.866432867</v>
      </c>
      <c r="FH16" s="126">
        <f ca="1">MAX(FH15*(1+BI16)-(Dashboard!$C$11)/(1-Dashboard!$C$17)*((1+Dashboard!$C$12)^$CZ16),0)</f>
        <v>1459726.4360357355</v>
      </c>
      <c r="FI16" s="126">
        <f ca="1">MAX(FI15*(1+BJ16)-(Dashboard!$C$11)/(1-Dashboard!$C$17)*((1+Dashboard!$C$12)^$CZ16),0)</f>
        <v>3165512.2015807452</v>
      </c>
      <c r="FJ16" s="126">
        <f ca="1">MAX(FJ15*(1+BK16)-(Dashboard!$C$11)/(1-Dashboard!$C$17)*((1+Dashboard!$C$12)^$CZ16),0)</f>
        <v>1644586.6358449925</v>
      </c>
      <c r="FK16" s="126">
        <f ca="1">MAX(FK15*(1+BL16)-(Dashboard!$C$11)/(1-Dashboard!$C$17)*((1+Dashboard!$C$12)^$CZ16),0)</f>
        <v>2539992.7358889761</v>
      </c>
      <c r="FL16" s="126">
        <f ca="1">MAX(FL15*(1+BM16)-(Dashboard!$C$11)/(1-Dashboard!$C$17)*((1+Dashboard!$C$12)^$CZ16),0)</f>
        <v>3049625.3033359684</v>
      </c>
      <c r="FM16" s="126">
        <f ca="1">MAX(FM15*(1+BN16)-(Dashboard!$C$11)/(1-Dashboard!$C$17)*((1+Dashboard!$C$12)^$CZ16),0)</f>
        <v>2770960.1925660977</v>
      </c>
      <c r="FN16" s="126">
        <f ca="1">MAX(FN15*(1+BO16)-(Dashboard!$C$11)/(1-Dashboard!$C$17)*((1+Dashboard!$C$12)^$CZ16),0)</f>
        <v>725951.20434953796</v>
      </c>
      <c r="FO16" s="126">
        <f ca="1">MAX(FO15*(1+BP16)-(Dashboard!$C$11)/(1-Dashboard!$C$17)*((1+Dashboard!$C$12)^$CZ16),0)</f>
        <v>1862696.2303141728</v>
      </c>
      <c r="FP16" s="126">
        <f ca="1">MAX(FP15*(1+BQ16)-(Dashboard!$C$11)/(1-Dashboard!$C$17)*((1+Dashboard!$C$12)^$CZ16),0)</f>
        <v>1909292.992723315</v>
      </c>
      <c r="FQ16" s="126">
        <f ca="1">MAX(FQ15*(1+BR16)-(Dashboard!$C$11)/(1-Dashboard!$C$17)*((1+Dashboard!$C$12)^$CZ16),0)</f>
        <v>2252667.0399107877</v>
      </c>
      <c r="FR16" s="126">
        <f ca="1">MAX(FR15*(1+BS16)-(Dashboard!$C$11)/(1-Dashboard!$C$17)*((1+Dashboard!$C$12)^$CZ16),0)</f>
        <v>4036303.0683415397</v>
      </c>
      <c r="FS16" s="126">
        <f ca="1">MAX(FS15*(1+BT16)-(Dashboard!$C$11)/(1-Dashboard!$C$17)*((1+Dashboard!$C$12)^$CZ16),0)</f>
        <v>5957681.7138695354</v>
      </c>
      <c r="FT16" s="126">
        <f ca="1">MAX(FT15*(1+BU16)-(Dashboard!$C$11)/(1-Dashboard!$C$17)*((1+Dashboard!$C$12)^$CZ16),0)</f>
        <v>1532972.612334589</v>
      </c>
      <c r="FU16" s="126">
        <f ca="1">MAX(FU15*(1+BV16)-(Dashboard!$C$11)/(1-Dashboard!$C$17)*((1+Dashboard!$C$12)^$CZ16),0)</f>
        <v>2237289.6226954702</v>
      </c>
      <c r="FV16" s="126">
        <f ca="1">MAX(FV15*(1+BW16)-(Dashboard!$C$11)/(1-Dashboard!$C$17)*((1+Dashboard!$C$12)^$CZ16),0)</f>
        <v>861966.04594064725</v>
      </c>
      <c r="FW16" s="126">
        <f ca="1">MAX(FW15*(1+BX16)-(Dashboard!$C$11)/(1-Dashboard!$C$17)*((1+Dashboard!$C$12)^$CZ16),0)</f>
        <v>3249525.7936011069</v>
      </c>
      <c r="FX16" s="126">
        <f ca="1">MAX(FX15*(1+BY16)-(Dashboard!$C$11)/(1-Dashboard!$C$17)*((1+Dashboard!$C$12)^$CZ16),0)</f>
        <v>1561189.4878789536</v>
      </c>
      <c r="FY16" s="126">
        <f ca="1">MAX(FY15*(1+BZ16)-(Dashboard!$C$11)/(1-Dashboard!$C$17)*((1+Dashboard!$C$12)^$CZ16),0)</f>
        <v>1206726.8898447314</v>
      </c>
      <c r="FZ16" s="126">
        <f ca="1">MAX(FZ15*(1+CA16)-(Dashboard!$C$11)/(1-Dashboard!$C$17)*((1+Dashboard!$C$12)^$CZ16),0)</f>
        <v>2937974.9093853543</v>
      </c>
      <c r="GA16" s="126">
        <f ca="1">MAX(GA15*(1+CB16)-(Dashboard!$C$11)/(1-Dashboard!$C$17)*((1+Dashboard!$C$12)^$CZ16),0)</f>
        <v>5880724.3123769304</v>
      </c>
      <c r="GB16" s="126">
        <f ca="1">MAX(GB15*(1+CC16)-(Dashboard!$C$11)/(1-Dashboard!$C$17)*((1+Dashboard!$C$12)^$CZ16),0)</f>
        <v>1625603.3832916496</v>
      </c>
      <c r="GC16" s="126">
        <f ca="1">MAX(GC15*(1+CD16)-(Dashboard!$C$11)/(1-Dashboard!$C$17)*((1+Dashboard!$C$12)^$CZ16),0)</f>
        <v>5151607.8596324613</v>
      </c>
      <c r="GD16" s="126">
        <f ca="1">MAX(GD15*(1+CE16)-(Dashboard!$C$11)/(1-Dashboard!$C$17)*((1+Dashboard!$C$12)^$CZ16),0)</f>
        <v>3687506.4472169606</v>
      </c>
      <c r="GE16" s="126">
        <f ca="1">MAX(GE15*(1+CF16)-(Dashboard!$C$11)/(1-Dashboard!$C$17)*((1+Dashboard!$C$12)^$CZ16),0)</f>
        <v>1533927.6108521828</v>
      </c>
      <c r="GF16" s="126">
        <f ca="1">MAX(GF15*(1+CG16)-(Dashboard!$C$11)/(1-Dashboard!$C$17)*((1+Dashboard!$C$12)^$CZ16),0)</f>
        <v>6100074.8381371051</v>
      </c>
      <c r="GG16" s="126">
        <f ca="1">MAX(GG15*(1+CH16)-(Dashboard!$C$11)/(1-Dashboard!$C$17)*((1+Dashboard!$C$12)^$CZ16),0)</f>
        <v>620149.2933999087</v>
      </c>
      <c r="GH16" s="126">
        <f ca="1">MAX(GH15*(1+CI16)-(Dashboard!$C$11)/(1-Dashboard!$C$17)*((1+Dashboard!$C$12)^$CZ16),0)</f>
        <v>1206326.4379868563</v>
      </c>
      <c r="GI16" s="126">
        <f ca="1">MAX(GI15*(1+CJ16)-(Dashboard!$C$11)/(1-Dashboard!$C$17)*((1+Dashboard!$C$12)^$CZ16),0)</f>
        <v>1131454.867506132</v>
      </c>
      <c r="GJ16" s="126">
        <f ca="1">MAX(GJ15*(1+CK16)-(Dashboard!$C$11)/(1-Dashboard!$C$17)*((1+Dashboard!$C$12)^$CZ16),0)</f>
        <v>2792732.5360944183</v>
      </c>
      <c r="GK16" s="126">
        <f ca="1">MAX(GK15*(1+CL16)-(Dashboard!$C$11)/(1-Dashboard!$C$17)*((1+Dashboard!$C$12)^$CZ16),0)</f>
        <v>3409485.2481308319</v>
      </c>
      <c r="GL16" s="126">
        <f ca="1">MAX(GL15*(1+CM16)-(Dashboard!$C$11)/(1-Dashboard!$C$17)*((1+Dashboard!$C$12)^$CZ16),0)</f>
        <v>3676110.8490838739</v>
      </c>
      <c r="GM16" s="126">
        <f ca="1">MAX(GM15*(1+CN16)-(Dashboard!$C$11)/(1-Dashboard!$C$17)*((1+Dashboard!$C$12)^$CZ16),0)</f>
        <v>1779647.8713123994</v>
      </c>
      <c r="GN16" s="126">
        <f ca="1">MAX(GN15*(1+CO16)-(Dashboard!$C$11)/(1-Dashboard!$C$17)*((1+Dashboard!$C$12)^$CZ16),0)</f>
        <v>507075.23868095723</v>
      </c>
      <c r="GO16" s="126">
        <f ca="1">MAX(GO15*(1+CP16)-(Dashboard!$C$11)/(1-Dashboard!$C$17)*((1+Dashboard!$C$12)^$CZ16),0)</f>
        <v>2040275.9852790525</v>
      </c>
      <c r="GP16" s="126">
        <f ca="1">MAX(GP15*(1+CQ16)-(Dashboard!$C$11)/(1-Dashboard!$C$17)*((1+Dashboard!$C$12)^$CZ16),0)</f>
        <v>1245024.7849592022</v>
      </c>
      <c r="GQ16" s="126">
        <f ca="1">MAX(GQ15*(1+CR16)-(Dashboard!$C$11)/(1-Dashboard!$C$17)*((1+Dashboard!$C$12)^$CZ16),0)</f>
        <v>1226430.0114904884</v>
      </c>
      <c r="GR16" s="126">
        <f ca="1">MAX(GR15*(1+CS16)-(Dashboard!$C$11)/(1-Dashboard!$C$17)*((1+Dashboard!$C$12)^$CZ16),0)</f>
        <v>1366243.5209741481</v>
      </c>
      <c r="GS16" s="126">
        <f ca="1">MAX(GS15*(1+CT16)-(Dashboard!$C$11)/(1-Dashboard!$C$17)*((1+Dashboard!$C$12)^$CZ16),0)</f>
        <v>3539828.088859553</v>
      </c>
      <c r="GT16" s="126">
        <f ca="1">MAX(GT15*(1+CU16)-(Dashboard!$C$11)/(1-Dashboard!$C$17)*((1+Dashboard!$C$12)^$CZ16),0)</f>
        <v>4090738.2214074023</v>
      </c>
      <c r="GU16" s="126">
        <f ca="1">MAX(GU15*(1+CV16)-(Dashboard!$C$11)/(1-Dashboard!$C$17)*((1+Dashboard!$C$12)^$CZ16),0)</f>
        <v>797510.52062647708</v>
      </c>
      <c r="GV16" s="126">
        <f ca="1">MAX(GV15*(1+CW16)-(Dashboard!$C$11)/(1-Dashboard!$C$17)*((1+Dashboard!$C$12)^$CZ16),0)</f>
        <v>1186297.6746459329</v>
      </c>
      <c r="GW16" s="115">
        <f t="shared" si="4"/>
        <v>65</v>
      </c>
      <c r="GX16" s="130">
        <f t="shared" ca="1" si="2"/>
        <v>100</v>
      </c>
      <c r="HC16" s="130">
        <f t="shared" si="0"/>
        <v>65</v>
      </c>
      <c r="HD16" s="137">
        <f t="shared" ca="1" si="1"/>
        <v>1382298.6390966</v>
      </c>
      <c r="HE16" s="137">
        <f t="shared" ca="1" si="1"/>
        <v>1990902.5536410846</v>
      </c>
      <c r="HF16" s="137">
        <f t="shared" ca="1" si="1"/>
        <v>2973446.7288564108</v>
      </c>
    </row>
    <row r="17" spans="1:214" ht="16">
      <c r="A17" s="145">
        <f t="shared" si="3"/>
        <v>66</v>
      </c>
      <c r="B17" s="122">
        <f ca="1">(Dashboard!$C$7*'Equity and Bond Returns'!N17)+(Dashboard!$C$8*'Equity and Bond Returns'!DL17)</f>
        <v>0.23051232233624716</v>
      </c>
      <c r="C17" s="122">
        <f ca="1">(Dashboard!$C$7*'Equity and Bond Returns'!O17)+(Dashboard!$C$8*'Equity and Bond Returns'!DM17)</f>
        <v>0.10886139757858643</v>
      </c>
      <c r="D17" s="122">
        <f ca="1">(Dashboard!$C$7*'Equity and Bond Returns'!P17)+(Dashboard!$C$8*'Equity and Bond Returns'!DN17)</f>
        <v>0.22088920048935484</v>
      </c>
      <c r="E17" s="122">
        <f ca="1">(Dashboard!$C$7*'Equity and Bond Returns'!Q17)+(Dashboard!$C$8*'Equity and Bond Returns'!DO17)</f>
        <v>0.14273811816113574</v>
      </c>
      <c r="F17" s="122">
        <f ca="1">(Dashboard!$C$7*'Equity and Bond Returns'!R17)+(Dashboard!$C$8*'Equity and Bond Returns'!DP17)</f>
        <v>0.10550225583698405</v>
      </c>
      <c r="G17" s="122">
        <f ca="1">(Dashboard!$C$7*'Equity and Bond Returns'!S17)+(Dashboard!$C$8*'Equity and Bond Returns'!DQ17)</f>
        <v>-6.4996063865338294E-2</v>
      </c>
      <c r="H17" s="122">
        <f ca="1">(Dashboard!$C$7*'Equity and Bond Returns'!T17)+(Dashboard!$C$8*'Equity and Bond Returns'!DR17)</f>
        <v>0.33433559572782068</v>
      </c>
      <c r="I17" s="122">
        <f ca="1">(Dashboard!$C$7*'Equity and Bond Returns'!U17)+(Dashboard!$C$8*'Equity and Bond Returns'!DS17)</f>
        <v>0.15591219784424679</v>
      </c>
      <c r="J17" s="122">
        <f ca="1">(Dashboard!$C$7*'Equity and Bond Returns'!V17)+(Dashboard!$C$8*'Equity and Bond Returns'!DT17)</f>
        <v>0.1311339837554156</v>
      </c>
      <c r="K17" s="122">
        <f ca="1">(Dashboard!$C$7*'Equity and Bond Returns'!W17)+(Dashboard!$C$8*'Equity and Bond Returns'!DU17)</f>
        <v>0.20818442388806135</v>
      </c>
      <c r="L17" s="122">
        <f ca="1">(Dashboard!$C$7*'Equity and Bond Returns'!X17)+(Dashboard!$C$8*'Equity and Bond Returns'!DV17)</f>
        <v>0.27766072050937629</v>
      </c>
      <c r="M17" s="122">
        <f ca="1">(Dashboard!$C$7*'Equity and Bond Returns'!Y17)+(Dashboard!$C$8*'Equity and Bond Returns'!DW17)</f>
        <v>-0.18096680906290938</v>
      </c>
      <c r="N17" s="122">
        <f ca="1">(Dashboard!$C$7*'Equity and Bond Returns'!Z17)+(Dashboard!$C$8*'Equity and Bond Returns'!DX17)</f>
        <v>0.14753400226288615</v>
      </c>
      <c r="O17" s="122">
        <f ca="1">(Dashboard!$C$7*'Equity and Bond Returns'!AA17)+(Dashboard!$C$8*'Equity and Bond Returns'!DY17)</f>
        <v>0.27454975055198472</v>
      </c>
      <c r="P17" s="122">
        <f ca="1">(Dashboard!$C$7*'Equity and Bond Returns'!AB17)+(Dashboard!$C$8*'Equity and Bond Returns'!DZ17)</f>
        <v>-4.6091939281825541E-2</v>
      </c>
      <c r="Q17" s="122">
        <f ca="1">(Dashboard!$C$7*'Equity and Bond Returns'!AC17)+(Dashboard!$C$8*'Equity and Bond Returns'!EA17)</f>
        <v>0.25366058619915866</v>
      </c>
      <c r="R17" s="122">
        <f ca="1">(Dashboard!$C$7*'Equity and Bond Returns'!AD17)+(Dashboard!$C$8*'Equity and Bond Returns'!EB17)</f>
        <v>-8.3263135190607372E-3</v>
      </c>
      <c r="S17" s="122">
        <f ca="1">(Dashboard!$C$7*'Equity and Bond Returns'!AE17)+(Dashboard!$C$8*'Equity and Bond Returns'!EC17)</f>
        <v>0.17668705621704403</v>
      </c>
      <c r="T17" s="122">
        <f ca="1">(Dashboard!$C$7*'Equity and Bond Returns'!AF17)+(Dashboard!$C$8*'Equity and Bond Returns'!ED17)</f>
        <v>4.4927095928765995E-3</v>
      </c>
      <c r="U17" s="122">
        <f ca="1">(Dashboard!$C$7*'Equity and Bond Returns'!AG17)+(Dashboard!$C$8*'Equity and Bond Returns'!EE17)</f>
        <v>-3.502577006722879E-2</v>
      </c>
      <c r="V17" s="122">
        <f ca="1">(Dashboard!$C$7*'Equity and Bond Returns'!AH17)+(Dashboard!$C$8*'Equity and Bond Returns'!EF17)</f>
        <v>0.26187017791683326</v>
      </c>
      <c r="W17" s="122">
        <f ca="1">(Dashboard!$C$7*'Equity and Bond Returns'!AI17)+(Dashboard!$C$8*'Equity and Bond Returns'!EG17)</f>
        <v>0.33356106501576155</v>
      </c>
      <c r="X17" s="122">
        <f ca="1">(Dashboard!$C$7*'Equity and Bond Returns'!AJ17)+(Dashboard!$C$8*'Equity and Bond Returns'!EH17)</f>
        <v>0.18876186227578942</v>
      </c>
      <c r="Y17" s="122">
        <f ca="1">(Dashboard!$C$7*'Equity and Bond Returns'!AK17)+(Dashboard!$C$8*'Equity and Bond Returns'!EI17)</f>
        <v>0.24109039113068403</v>
      </c>
      <c r="Z17" s="122">
        <f ca="1">(Dashboard!$C$7*'Equity and Bond Returns'!AL17)+(Dashboard!$C$8*'Equity and Bond Returns'!EJ17)</f>
        <v>3.8283666667166219E-2</v>
      </c>
      <c r="AA17" s="122">
        <f ca="1">(Dashboard!$C$7*'Equity and Bond Returns'!AM17)+(Dashboard!$C$8*'Equity and Bond Returns'!EK17)</f>
        <v>0.20001475432102442</v>
      </c>
      <c r="AB17" s="122">
        <f ca="1">(Dashboard!$C$7*'Equity and Bond Returns'!AN17)+(Dashboard!$C$8*'Equity and Bond Returns'!EL17)</f>
        <v>0.24513250351087551</v>
      </c>
      <c r="AC17" s="122">
        <f ca="1">(Dashboard!$C$7*'Equity and Bond Returns'!AO17)+(Dashboard!$C$8*'Equity and Bond Returns'!EM17)</f>
        <v>0.27210145704563038</v>
      </c>
      <c r="AD17" s="122">
        <f ca="1">(Dashboard!$C$7*'Equity and Bond Returns'!AP17)+(Dashboard!$C$8*'Equity and Bond Returns'!EN17)</f>
        <v>1.373193088871966E-2</v>
      </c>
      <c r="AE17" s="122">
        <f ca="1">(Dashboard!$C$7*'Equity and Bond Returns'!AQ17)+(Dashboard!$C$8*'Equity and Bond Returns'!EO17)</f>
        <v>-0.11372648585010159</v>
      </c>
      <c r="AF17" s="122">
        <f ca="1">(Dashboard!$C$7*'Equity and Bond Returns'!AR17)+(Dashboard!$C$8*'Equity and Bond Returns'!EP17)</f>
        <v>0.17095528089032228</v>
      </c>
      <c r="AG17" s="122">
        <f ca="1">(Dashboard!$C$7*'Equity and Bond Returns'!AS17)+(Dashboard!$C$8*'Equity and Bond Returns'!EQ17)</f>
        <v>-0.25264844755347632</v>
      </c>
      <c r="AH17" s="122">
        <f ca="1">(Dashboard!$C$7*'Equity and Bond Returns'!AT17)+(Dashboard!$C$8*'Equity and Bond Returns'!ER17)</f>
        <v>0.27888181470341528</v>
      </c>
      <c r="AI17" s="122">
        <f ca="1">(Dashboard!$C$7*'Equity and Bond Returns'!AU17)+(Dashboard!$C$8*'Equity and Bond Returns'!ES17)</f>
        <v>5.4372468828958874E-2</v>
      </c>
      <c r="AJ17" s="122">
        <f ca="1">(Dashboard!$C$7*'Equity and Bond Returns'!AV17)+(Dashboard!$C$8*'Equity and Bond Returns'!ET17)</f>
        <v>0.20665753147864152</v>
      </c>
      <c r="AK17" s="122">
        <f ca="1">(Dashboard!$C$7*'Equity and Bond Returns'!AW17)+(Dashboard!$C$8*'Equity and Bond Returns'!EU17)</f>
        <v>0.26829855278552417</v>
      </c>
      <c r="AL17" s="122">
        <f ca="1">(Dashboard!$C$7*'Equity and Bond Returns'!AX17)+(Dashboard!$C$8*'Equity and Bond Returns'!EV17)</f>
        <v>0.13519357967079162</v>
      </c>
      <c r="AM17" s="122">
        <f ca="1">(Dashboard!$C$7*'Equity and Bond Returns'!AY17)+(Dashboard!$C$8*'Equity and Bond Returns'!EW17)</f>
        <v>-7.155685543901974E-2</v>
      </c>
      <c r="AN17" s="122">
        <f ca="1">(Dashboard!$C$7*'Equity and Bond Returns'!AZ17)+(Dashboard!$C$8*'Equity and Bond Returns'!EX17)</f>
        <v>0.1544857827976216</v>
      </c>
      <c r="AO17" s="122">
        <f ca="1">(Dashboard!$C$7*'Equity and Bond Returns'!BA17)+(Dashboard!$C$8*'Equity and Bond Returns'!EY17)</f>
        <v>-4.9023221887392901E-2</v>
      </c>
      <c r="AP17" s="122">
        <f ca="1">(Dashboard!$C$7*'Equity and Bond Returns'!BB17)+(Dashboard!$C$8*'Equity and Bond Returns'!EZ17)</f>
        <v>-0.11719450891334854</v>
      </c>
      <c r="AQ17" s="122">
        <f ca="1">(Dashboard!$C$7*'Equity and Bond Returns'!BC17)+(Dashboard!$C$8*'Equity and Bond Returns'!FA17)</f>
        <v>-0.10976070221290266</v>
      </c>
      <c r="AR17" s="122">
        <f ca="1">(Dashboard!$C$7*'Equity and Bond Returns'!BD17)+(Dashboard!$C$8*'Equity and Bond Returns'!FB17)</f>
        <v>-0.15613439257810158</v>
      </c>
      <c r="AS17" s="122">
        <f ca="1">(Dashboard!$C$7*'Equity and Bond Returns'!BE17)+(Dashboard!$C$8*'Equity and Bond Returns'!FC17)</f>
        <v>-7.756913752811169E-2</v>
      </c>
      <c r="AT17" s="122">
        <f ca="1">(Dashboard!$C$7*'Equity and Bond Returns'!BF17)+(Dashboard!$C$8*'Equity and Bond Returns'!FD17)</f>
        <v>8.7684209270871616E-2</v>
      </c>
      <c r="AU17" s="122">
        <f ca="1">(Dashboard!$C$7*'Equity and Bond Returns'!BG17)+(Dashboard!$C$8*'Equity and Bond Returns'!FE17)</f>
        <v>-4.0985552567706023E-2</v>
      </c>
      <c r="AV17" s="122">
        <f ca="1">(Dashboard!$C$7*'Equity and Bond Returns'!BH17)+(Dashboard!$C$8*'Equity and Bond Returns'!FF17)</f>
        <v>0.10693798523186329</v>
      </c>
      <c r="AW17" s="122">
        <f ca="1">(Dashboard!$C$7*'Equity and Bond Returns'!BI17)+(Dashboard!$C$8*'Equity and Bond Returns'!FG17)</f>
        <v>0.15367264372735326</v>
      </c>
      <c r="AX17" s="122">
        <f ca="1">(Dashboard!$C$7*'Equity and Bond Returns'!BJ17)+(Dashboard!$C$8*'Equity and Bond Returns'!FH17)</f>
        <v>-3.7545311334171737E-2</v>
      </c>
      <c r="AY17" s="122">
        <f ca="1">(Dashboard!$C$7*'Equity and Bond Returns'!BK17)+(Dashboard!$C$8*'Equity and Bond Returns'!FI17)</f>
        <v>-4.4459773258808476E-2</v>
      </c>
      <c r="AZ17" s="122">
        <f ca="1">(Dashboard!$C$7*'Equity and Bond Returns'!BL17)+(Dashboard!$C$8*'Equity and Bond Returns'!FJ17)</f>
        <v>-2.1469146507764582E-2</v>
      </c>
      <c r="BA17" s="122">
        <f ca="1">(Dashboard!$C$7*'Equity and Bond Returns'!BM17)+(Dashboard!$C$8*'Equity and Bond Returns'!FK17)</f>
        <v>0.14760659718421507</v>
      </c>
      <c r="BB17" s="122">
        <f ca="1">(Dashboard!$C$7*'Equity and Bond Returns'!BN17)+(Dashboard!$C$8*'Equity and Bond Returns'!FL17)</f>
        <v>0.2343450452093449</v>
      </c>
      <c r="BC17" s="122">
        <f ca="1">(Dashboard!$C$7*'Equity and Bond Returns'!BO17)+(Dashboard!$C$8*'Equity and Bond Returns'!FM17)</f>
        <v>0.1118030694581168</v>
      </c>
      <c r="BD17" s="122">
        <f ca="1">(Dashboard!$C$7*'Equity and Bond Returns'!BP17)+(Dashboard!$C$8*'Equity and Bond Returns'!FN17)</f>
        <v>0.18035586956771221</v>
      </c>
      <c r="BE17" s="122">
        <f ca="1">(Dashboard!$C$7*'Equity and Bond Returns'!BQ17)+(Dashboard!$C$8*'Equity and Bond Returns'!FO17)</f>
        <v>-8.0248751935723464E-2</v>
      </c>
      <c r="BF17" s="122">
        <f ca="1">(Dashboard!$C$7*'Equity and Bond Returns'!BR17)+(Dashboard!$C$8*'Equity and Bond Returns'!FP17)</f>
        <v>0.18180973025232827</v>
      </c>
      <c r="BG17" s="122">
        <f ca="1">(Dashboard!$C$7*'Equity and Bond Returns'!BS17)+(Dashboard!$C$8*'Equity and Bond Returns'!FQ17)</f>
        <v>2.890867428993894E-2</v>
      </c>
      <c r="BH17" s="122">
        <f ca="1">(Dashboard!$C$7*'Equity and Bond Returns'!BT17)+(Dashboard!$C$8*'Equity and Bond Returns'!FR17)</f>
        <v>0.1288468677018452</v>
      </c>
      <c r="BI17" s="122">
        <f ca="1">(Dashboard!$C$7*'Equity and Bond Returns'!BU17)+(Dashboard!$C$8*'Equity and Bond Returns'!FS17)</f>
        <v>0.28380056970390899</v>
      </c>
      <c r="BJ17" s="122">
        <f ca="1">(Dashboard!$C$7*'Equity and Bond Returns'!BV17)+(Dashboard!$C$8*'Equity and Bond Returns'!FT17)</f>
        <v>0.16071545494959891</v>
      </c>
      <c r="BK17" s="122">
        <f ca="1">(Dashboard!$C$7*'Equity and Bond Returns'!BW17)+(Dashboard!$C$8*'Equity and Bond Returns'!FU17)</f>
        <v>7.6699017281646159E-2</v>
      </c>
      <c r="BL17" s="122">
        <f ca="1">(Dashboard!$C$7*'Equity and Bond Returns'!BX17)+(Dashboard!$C$8*'Equity and Bond Returns'!FV17)</f>
        <v>0.1797966408265719</v>
      </c>
      <c r="BM17" s="122">
        <f ca="1">(Dashboard!$C$7*'Equity and Bond Returns'!BY17)+(Dashboard!$C$8*'Equity and Bond Returns'!FW17)</f>
        <v>5.6783001153633321E-2</v>
      </c>
      <c r="BN17" s="122">
        <f ca="1">(Dashboard!$C$7*'Equity and Bond Returns'!BZ17)+(Dashboard!$C$8*'Equity and Bond Returns'!FX17)</f>
        <v>0.33526293426436821</v>
      </c>
      <c r="BO17" s="122">
        <f ca="1">(Dashboard!$C$7*'Equity and Bond Returns'!CA17)+(Dashboard!$C$8*'Equity and Bond Returns'!FY17)</f>
        <v>-0.21962645442175868</v>
      </c>
      <c r="BP17" s="122">
        <f ca="1">(Dashboard!$C$7*'Equity and Bond Returns'!CB17)+(Dashboard!$C$8*'Equity and Bond Returns'!FZ17)</f>
        <v>8.8958576627631569E-2</v>
      </c>
      <c r="BQ17" s="122">
        <f ca="1">(Dashboard!$C$7*'Equity and Bond Returns'!CC17)+(Dashboard!$C$8*'Equity and Bond Returns'!GA17)</f>
        <v>0.25996798334943361</v>
      </c>
      <c r="BR17" s="122">
        <f ca="1">(Dashboard!$C$7*'Equity and Bond Returns'!CD17)+(Dashboard!$C$8*'Equity and Bond Returns'!GB17)</f>
        <v>1.6979156493282584E-2</v>
      </c>
      <c r="BS17" s="122">
        <f ca="1">(Dashboard!$C$7*'Equity and Bond Returns'!CE17)+(Dashboard!$C$8*'Equity and Bond Returns'!GC17)</f>
        <v>4.5793213197514671E-2</v>
      </c>
      <c r="BT17" s="122">
        <f ca="1">(Dashboard!$C$7*'Equity and Bond Returns'!CF17)+(Dashboard!$C$8*'Equity and Bond Returns'!GD17)</f>
        <v>-0.1236412236181849</v>
      </c>
      <c r="BU17" s="122">
        <f ca="1">(Dashboard!$C$7*'Equity and Bond Returns'!CG17)+(Dashboard!$C$8*'Equity and Bond Returns'!GE17)</f>
        <v>-2.8369830026434596E-2</v>
      </c>
      <c r="BV17" s="122">
        <f ca="1">(Dashboard!$C$7*'Equity and Bond Returns'!CH17)+(Dashboard!$C$8*'Equity and Bond Returns'!GF17)</f>
        <v>0.11184978299835689</v>
      </c>
      <c r="BW17" s="122">
        <f ca="1">(Dashboard!$C$7*'Equity and Bond Returns'!CI17)+(Dashboard!$C$8*'Equity and Bond Returns'!GG17)</f>
        <v>1.132854191935655E-2</v>
      </c>
      <c r="BX17" s="122">
        <f ca="1">(Dashboard!$C$7*'Equity and Bond Returns'!CJ17)+(Dashboard!$C$8*'Equity and Bond Returns'!GH17)</f>
        <v>7.9715524681444105E-2</v>
      </c>
      <c r="BY17" s="122">
        <f ca="1">(Dashboard!$C$7*'Equity and Bond Returns'!CK17)+(Dashboard!$C$8*'Equity and Bond Returns'!GI17)</f>
        <v>0.27425494863653316</v>
      </c>
      <c r="BZ17" s="122">
        <f ca="1">(Dashboard!$C$7*'Equity and Bond Returns'!CL17)+(Dashboard!$C$8*'Equity and Bond Returns'!GJ17)</f>
        <v>0.10617753655640444</v>
      </c>
      <c r="CA17" s="122">
        <f ca="1">(Dashboard!$C$7*'Equity and Bond Returns'!CM17)+(Dashboard!$C$8*'Equity and Bond Returns'!GK17)</f>
        <v>0.27606576396163318</v>
      </c>
      <c r="CB17" s="122">
        <f ca="1">(Dashboard!$C$7*'Equity and Bond Returns'!CN17)+(Dashboard!$C$8*'Equity and Bond Returns'!GL17)</f>
        <v>-5.1258601232891693E-2</v>
      </c>
      <c r="CC17" s="122">
        <f ca="1">(Dashboard!$C$7*'Equity and Bond Returns'!CO17)+(Dashboard!$C$8*'Equity and Bond Returns'!GM17)</f>
        <v>-8.8376776881577968E-2</v>
      </c>
      <c r="CD17" s="122">
        <f ca="1">(Dashboard!$C$7*'Equity and Bond Returns'!CP17)+(Dashboard!$C$8*'Equity and Bond Returns'!GN17)</f>
        <v>-0.11911833717754501</v>
      </c>
      <c r="CE17" s="122">
        <f ca="1">(Dashboard!$C$7*'Equity and Bond Returns'!CQ17)+(Dashboard!$C$8*'Equity and Bond Returns'!GO17)</f>
        <v>0.12137410868766677</v>
      </c>
      <c r="CF17" s="122">
        <f ca="1">(Dashboard!$C$7*'Equity and Bond Returns'!CR17)+(Dashboard!$C$8*'Equity and Bond Returns'!GP17)</f>
        <v>0.23428948420698192</v>
      </c>
      <c r="CG17" s="122">
        <f ca="1">(Dashboard!$C$7*'Equity and Bond Returns'!CS17)+(Dashboard!$C$8*'Equity and Bond Returns'!GQ17)</f>
        <v>1.2512643681541504E-2</v>
      </c>
      <c r="CH17" s="122">
        <f ca="1">(Dashboard!$C$7*'Equity and Bond Returns'!CT17)+(Dashboard!$C$8*'Equity and Bond Returns'!GR17)</f>
        <v>0.21774587345450028</v>
      </c>
      <c r="CI17" s="122">
        <f ca="1">(Dashboard!$C$7*'Equity and Bond Returns'!CU17)+(Dashboard!$C$8*'Equity and Bond Returns'!GS17)</f>
        <v>0.20965688015071421</v>
      </c>
      <c r="CJ17" s="122">
        <f ca="1">(Dashboard!$C$7*'Equity and Bond Returns'!CV17)+(Dashboard!$C$8*'Equity and Bond Returns'!GT17)</f>
        <v>0.24100845939588139</v>
      </c>
      <c r="CK17" s="122">
        <f ca="1">(Dashboard!$C$7*'Equity and Bond Returns'!CW17)+(Dashboard!$C$8*'Equity and Bond Returns'!GU17)</f>
        <v>-2.6125765350036516E-2</v>
      </c>
      <c r="CL17" s="122">
        <f ca="1">(Dashboard!$C$7*'Equity and Bond Returns'!CX17)+(Dashboard!$C$8*'Equity and Bond Returns'!GV17)</f>
        <v>8.2124479038429135E-2</v>
      </c>
      <c r="CM17" s="122">
        <f ca="1">(Dashboard!$C$7*'Equity and Bond Returns'!CY17)+(Dashboard!$C$8*'Equity and Bond Returns'!GW17)</f>
        <v>0.21829926115100026</v>
      </c>
      <c r="CN17" s="122">
        <f ca="1">(Dashboard!$C$7*'Equity and Bond Returns'!CZ17)+(Dashboard!$C$8*'Equity and Bond Returns'!GX17)</f>
        <v>0.15408530262691741</v>
      </c>
      <c r="CO17" s="122">
        <f ca="1">(Dashboard!$C$7*'Equity and Bond Returns'!DA17)+(Dashboard!$C$8*'Equity and Bond Returns'!GY17)</f>
        <v>-5.0470514554251306E-2</v>
      </c>
      <c r="CP17" s="122">
        <f ca="1">(Dashboard!$C$7*'Equity and Bond Returns'!DB17)+(Dashboard!$C$8*'Equity and Bond Returns'!GZ17)</f>
        <v>-9.630925576830715E-2</v>
      </c>
      <c r="CQ17" s="122">
        <f ca="1">(Dashboard!$C$7*'Equity and Bond Returns'!DC17)+(Dashboard!$C$8*'Equity and Bond Returns'!HA17)</f>
        <v>5.3688728891763862E-2</v>
      </c>
      <c r="CR17" s="122">
        <f ca="1">(Dashboard!$C$7*'Equity and Bond Returns'!DD17)+(Dashboard!$C$8*'Equity and Bond Returns'!HB17)</f>
        <v>1.5414655016915999E-2</v>
      </c>
      <c r="CS17" s="122">
        <f ca="1">(Dashboard!$C$7*'Equity and Bond Returns'!DE17)+(Dashboard!$C$8*'Equity and Bond Returns'!HC17)</f>
        <v>-6.1983323765504229E-2</v>
      </c>
      <c r="CT17" s="122">
        <f ca="1">(Dashboard!$C$7*'Equity and Bond Returns'!DF17)+(Dashboard!$C$8*'Equity and Bond Returns'!HD17)</f>
        <v>-0.14683366622616018</v>
      </c>
      <c r="CU17" s="122">
        <f ca="1">(Dashboard!$C$7*'Equity and Bond Returns'!DG17)+(Dashboard!$C$8*'Equity and Bond Returns'!HE17)</f>
        <v>0.11359295055068813</v>
      </c>
      <c r="CV17" s="122">
        <f ca="1">(Dashboard!$C$7*'Equity and Bond Returns'!DH17)+(Dashboard!$C$8*'Equity and Bond Returns'!HF17)</f>
        <v>0.19332288579060081</v>
      </c>
      <c r="CW17" s="122">
        <f ca="1">(Dashboard!$C$7*'Equity and Bond Returns'!DI17)+(Dashboard!$C$8*'Equity and Bond Returns'!HG17)</f>
        <v>-1.0622187542118158E-2</v>
      </c>
      <c r="CY17" s="147">
        <f t="shared" si="5"/>
        <v>66</v>
      </c>
      <c r="CZ17" s="148">
        <v>16</v>
      </c>
      <c r="DA17" s="126">
        <f ca="1">MAX(DA16*(1+B17)-(Dashboard!$C$11)/(1-Dashboard!$C$17)*((1+Dashboard!$C$12)^$CZ17),0)</f>
        <v>4927719.6333052451</v>
      </c>
      <c r="DB17" s="126">
        <f ca="1">MAX(DB16*(1+C17)-(Dashboard!$C$11)/(1-Dashboard!$C$17)*((1+Dashboard!$C$12)^$CZ17),0)</f>
        <v>226718.3967762799</v>
      </c>
      <c r="DC17" s="126">
        <f ca="1">MAX(DC16*(1+D17)-(Dashboard!$C$11)/(1-Dashboard!$C$17)*((1+Dashboard!$C$12)^$CZ17),0)</f>
        <v>2409407.2688285685</v>
      </c>
      <c r="DD17" s="126">
        <f ca="1">MAX(DD16*(1+E17)-(Dashboard!$C$11)/(1-Dashboard!$C$17)*((1+Dashboard!$C$12)^$CZ17),0)</f>
        <v>644152.10495650361</v>
      </c>
      <c r="DE17" s="126">
        <f ca="1">MAX(DE16*(1+F17)-(Dashboard!$C$11)/(1-Dashboard!$C$17)*((1+Dashboard!$C$12)^$CZ17),0)</f>
        <v>3769381.28559316</v>
      </c>
      <c r="DF17" s="126">
        <f ca="1">MAX(DF16*(1+G17)-(Dashboard!$C$11)/(1-Dashboard!$C$17)*((1+Dashboard!$C$12)^$CZ17),0)</f>
        <v>2699780.3630898315</v>
      </c>
      <c r="DG17" s="126">
        <f ca="1">MAX(DG16*(1+H17)-(Dashboard!$C$11)/(1-Dashboard!$C$17)*((1+Dashboard!$C$12)^$CZ17),0)</f>
        <v>661995.84603086347</v>
      </c>
      <c r="DH17" s="126">
        <f ca="1">MAX(DH16*(1+I17)-(Dashboard!$C$11)/(1-Dashboard!$C$17)*((1+Dashboard!$C$12)^$CZ17),0)</f>
        <v>2205471.3318645973</v>
      </c>
      <c r="DI17" s="126">
        <f ca="1">MAX(DI16*(1+J17)-(Dashboard!$C$11)/(1-Dashboard!$C$17)*((1+Dashboard!$C$12)^$CZ17),0)</f>
        <v>1763355.5898741172</v>
      </c>
      <c r="DJ17" s="126">
        <f ca="1">MAX(DJ16*(1+K17)-(Dashboard!$C$11)/(1-Dashboard!$C$17)*((1+Dashboard!$C$12)^$CZ17),0)</f>
        <v>1807817.7602333415</v>
      </c>
      <c r="DK17" s="126">
        <f ca="1">MAX(DK16*(1+L17)-(Dashboard!$C$11)/(1-Dashboard!$C$17)*((1+Dashboard!$C$12)^$CZ17),0)</f>
        <v>6138672.4494352806</v>
      </c>
      <c r="DL17" s="126">
        <f ca="1">MAX(DL16*(1+M17)-(Dashboard!$C$11)/(1-Dashboard!$C$17)*((1+Dashboard!$C$12)^$CZ17),0)</f>
        <v>895362.47352395614</v>
      </c>
      <c r="DM17" s="126">
        <f ca="1">MAX(DM16*(1+N17)-(Dashboard!$C$11)/(1-Dashboard!$C$17)*((1+Dashboard!$C$12)^$CZ17),0)</f>
        <v>2232663.9051667871</v>
      </c>
      <c r="DN17" s="126">
        <f ca="1">MAX(DN16*(1+O17)-(Dashboard!$C$11)/(1-Dashboard!$C$17)*((1+Dashboard!$C$12)^$CZ17),0)</f>
        <v>8422598.4667494558</v>
      </c>
      <c r="DO17" s="126">
        <f ca="1">MAX(DO16*(1+P17)-(Dashboard!$C$11)/(1-Dashboard!$C$17)*((1+Dashboard!$C$12)^$CZ17),0)</f>
        <v>1727033.4599443458</v>
      </c>
      <c r="DP17" s="126">
        <f ca="1">MAX(DP16*(1+Q17)-(Dashboard!$C$11)/(1-Dashboard!$C$17)*((1+Dashboard!$C$12)^$CZ17),0)</f>
        <v>3522362.707429993</v>
      </c>
      <c r="DQ17" s="126">
        <f ca="1">MAX(DQ16*(1+R17)-(Dashboard!$C$11)/(1-Dashboard!$C$17)*((1+Dashboard!$C$12)^$CZ17),0)</f>
        <v>2189348.4481882192</v>
      </c>
      <c r="DR17" s="126">
        <f ca="1">MAX(DR16*(1+S17)-(Dashboard!$C$11)/(1-Dashboard!$C$17)*((1+Dashboard!$C$12)^$CZ17),0)</f>
        <v>3479632.2848338559</v>
      </c>
      <c r="DS17" s="126">
        <f ca="1">MAX(DS16*(1+T17)-(Dashboard!$C$11)/(1-Dashboard!$C$17)*((1+Dashboard!$C$12)^$CZ17),0)</f>
        <v>1403793.582463243</v>
      </c>
      <c r="DT17" s="126">
        <f ca="1">MAX(DT16*(1+U17)-(Dashboard!$C$11)/(1-Dashboard!$C$17)*((1+Dashboard!$C$12)^$CZ17),0)</f>
        <v>1417412.0276986712</v>
      </c>
      <c r="DU17" s="126">
        <f ca="1">MAX(DU16*(1+V17)-(Dashboard!$C$11)/(1-Dashboard!$C$17)*((1+Dashboard!$C$12)^$CZ17),0)</f>
        <v>2466933.3876567865</v>
      </c>
      <c r="DV17" s="126">
        <f ca="1">MAX(DV16*(1+W17)-(Dashboard!$C$11)/(1-Dashboard!$C$17)*((1+Dashboard!$C$12)^$CZ17),0)</f>
        <v>5014260.0674964692</v>
      </c>
      <c r="DW17" s="126">
        <f ca="1">MAX(DW16*(1+X17)-(Dashboard!$C$11)/(1-Dashboard!$C$17)*((1+Dashboard!$C$12)^$CZ17),0)</f>
        <v>2278677.7090217685</v>
      </c>
      <c r="DX17" s="126">
        <f ca="1">MAX(DX16*(1+Y17)-(Dashboard!$C$11)/(1-Dashboard!$C$17)*((1+Dashboard!$C$12)^$CZ17),0)</f>
        <v>1613719.0578278191</v>
      </c>
      <c r="DY17" s="126">
        <f ca="1">MAX(DY16*(1+Z17)-(Dashboard!$C$11)/(1-Dashboard!$C$17)*((1+Dashboard!$C$12)^$CZ17),0)</f>
        <v>3812342.0890307296</v>
      </c>
      <c r="DZ17" s="126">
        <f ca="1">MAX(DZ16*(1+AA17)-(Dashboard!$C$11)/(1-Dashboard!$C$17)*((1+Dashboard!$C$12)^$CZ17),0)</f>
        <v>594973.94566590374</v>
      </c>
      <c r="EA17" s="126">
        <f ca="1">MAX(EA16*(1+AB17)-(Dashboard!$C$11)/(1-Dashboard!$C$17)*((1+Dashboard!$C$12)^$CZ17),0)</f>
        <v>2217740.1175423549</v>
      </c>
      <c r="EB17" s="126">
        <f ca="1">MAX(EB16*(1+AC17)-(Dashboard!$C$11)/(1-Dashboard!$C$17)*((1+Dashboard!$C$12)^$CZ17),0)</f>
        <v>2920309.3201052435</v>
      </c>
      <c r="EC17" s="126">
        <f ca="1">MAX(EC16*(1+AD17)-(Dashboard!$C$11)/(1-Dashboard!$C$17)*((1+Dashboard!$C$12)^$CZ17),0)</f>
        <v>4314721.7416710434</v>
      </c>
      <c r="ED17" s="126">
        <f ca="1">MAX(ED16*(1+AE17)-(Dashboard!$C$11)/(1-Dashboard!$C$17)*((1+Dashboard!$C$12)^$CZ17),0)</f>
        <v>3774440.5060190647</v>
      </c>
      <c r="EE17" s="126">
        <f ca="1">MAX(EE16*(1+AF17)-(Dashboard!$C$11)/(1-Dashboard!$C$17)*((1+Dashboard!$C$12)^$CZ17),0)</f>
        <v>2452953.176606473</v>
      </c>
      <c r="EF17" s="126">
        <f ca="1">MAX(EF16*(1+AG17)-(Dashboard!$C$11)/(1-Dashboard!$C$17)*((1+Dashboard!$C$12)^$CZ17),0)</f>
        <v>1560836.047163927</v>
      </c>
      <c r="EG17" s="126">
        <f ca="1">MAX(EG16*(1+AH17)-(Dashboard!$C$11)/(1-Dashboard!$C$17)*((1+Dashboard!$C$12)^$CZ17),0)</f>
        <v>4464031.5734027009</v>
      </c>
      <c r="EH17" s="126">
        <f ca="1">MAX(EH16*(1+AI17)-(Dashboard!$C$11)/(1-Dashboard!$C$17)*((1+Dashboard!$C$12)^$CZ17),0)</f>
        <v>2724411.5608653235</v>
      </c>
      <c r="EI17" s="126">
        <f ca="1">MAX(EI16*(1+AJ17)-(Dashboard!$C$11)/(1-Dashboard!$C$17)*((1+Dashboard!$C$12)^$CZ17),0)</f>
        <v>709302.47649305034</v>
      </c>
      <c r="EJ17" s="126">
        <f ca="1">MAX(EJ16*(1+AK17)-(Dashboard!$C$11)/(1-Dashboard!$C$17)*((1+Dashboard!$C$12)^$CZ17),0)</f>
        <v>2706534.8437362704</v>
      </c>
      <c r="EK17" s="126">
        <f ca="1">MAX(EK16*(1+AL17)-(Dashboard!$C$11)/(1-Dashboard!$C$17)*((1+Dashboard!$C$12)^$CZ17),0)</f>
        <v>2980172.9679229208</v>
      </c>
      <c r="EL17" s="126">
        <f ca="1">MAX(EL16*(1+AM17)-(Dashboard!$C$11)/(1-Dashboard!$C$17)*((1+Dashboard!$C$12)^$CZ17),0)</f>
        <v>856151.23698501824</v>
      </c>
      <c r="EM17" s="126">
        <f ca="1">MAX(EM16*(1+AN17)-(Dashboard!$C$11)/(1-Dashboard!$C$17)*((1+Dashboard!$C$12)^$CZ17),0)</f>
        <v>2715740.4837223426</v>
      </c>
      <c r="EN17" s="126">
        <f ca="1">MAX(EN16*(1+AO17)-(Dashboard!$C$11)/(1-Dashboard!$C$17)*((1+Dashboard!$C$12)^$CZ17),0)</f>
        <v>2113536.2333503785</v>
      </c>
      <c r="EO17" s="126">
        <f ca="1">MAX(EO16*(1+AP17)-(Dashboard!$C$11)/(1-Dashboard!$C$17)*((1+Dashboard!$C$12)^$CZ17),0)</f>
        <v>1072940.4273738889</v>
      </c>
      <c r="EP17" s="126">
        <f ca="1">MAX(EP16*(1+AQ17)-(Dashboard!$C$11)/(1-Dashboard!$C$17)*((1+Dashboard!$C$12)^$CZ17),0)</f>
        <v>1801560.6151032848</v>
      </c>
      <c r="EQ17" s="126">
        <f ca="1">MAX(EQ16*(1+AR17)-(Dashboard!$C$11)/(1-Dashboard!$C$17)*((1+Dashboard!$C$12)^$CZ17),0)</f>
        <v>1102929.6466421217</v>
      </c>
      <c r="ER17" s="126">
        <f ca="1">MAX(ER16*(1+AS17)-(Dashboard!$C$11)/(1-Dashboard!$C$17)*((1+Dashboard!$C$12)^$CZ17),0)</f>
        <v>1030602.1205826333</v>
      </c>
      <c r="ES17" s="126">
        <f ca="1">MAX(ES16*(1+AT17)-(Dashboard!$C$11)/(1-Dashboard!$C$17)*((1+Dashboard!$C$12)^$CZ17),0)</f>
        <v>1926437.285493644</v>
      </c>
      <c r="ET17" s="126">
        <f ca="1">MAX(ET16*(1+AU17)-(Dashboard!$C$11)/(1-Dashboard!$C$17)*((1+Dashboard!$C$12)^$CZ17),0)</f>
        <v>1666291.0185949004</v>
      </c>
      <c r="EU17" s="126">
        <f ca="1">MAX(EU16*(1+AV17)-(Dashboard!$C$11)/(1-Dashboard!$C$17)*((1+Dashboard!$C$12)^$CZ17),0)</f>
        <v>2335395.9546399512</v>
      </c>
      <c r="EV17" s="126">
        <f ca="1">MAX(EV16*(1+AW17)-(Dashboard!$C$11)/(1-Dashboard!$C$17)*((1+Dashboard!$C$12)^$CZ17),0)</f>
        <v>4566713.183752127</v>
      </c>
      <c r="EW17" s="126">
        <f ca="1">MAX(EW16*(1+AX17)-(Dashboard!$C$11)/(1-Dashboard!$C$17)*((1+Dashboard!$C$12)^$CZ17),0)</f>
        <v>2572038.7147153565</v>
      </c>
      <c r="EX17" s="126">
        <f ca="1">MAX(EX16*(1+AY17)-(Dashboard!$C$11)/(1-Dashboard!$C$17)*((1+Dashboard!$C$12)^$CZ17),0)</f>
        <v>2006911.5747168395</v>
      </c>
      <c r="EY17" s="126">
        <f ca="1">MAX(EY16*(1+AZ17)-(Dashboard!$C$11)/(1-Dashboard!$C$17)*((1+Dashboard!$C$12)^$CZ17),0)</f>
        <v>4434641.8923604256</v>
      </c>
      <c r="EZ17" s="126">
        <f ca="1">MAX(EZ16*(1+BA17)-(Dashboard!$C$11)/(1-Dashboard!$C$17)*((1+Dashboard!$C$12)^$CZ17),0)</f>
        <v>1917156.1459331925</v>
      </c>
      <c r="FA17" s="126">
        <f ca="1">MAX(FA16*(1+BB17)-(Dashboard!$C$11)/(1-Dashboard!$C$17)*((1+Dashboard!$C$12)^$CZ17),0)</f>
        <v>2938730.520465971</v>
      </c>
      <c r="FB17" s="126">
        <f ca="1">MAX(FB16*(1+BC17)-(Dashboard!$C$11)/(1-Dashboard!$C$17)*((1+Dashboard!$C$12)^$CZ17),0)</f>
        <v>453656.6713457774</v>
      </c>
      <c r="FC17" s="126">
        <f ca="1">MAX(FC16*(1+BD17)-(Dashboard!$C$11)/(1-Dashboard!$C$17)*((1+Dashboard!$C$12)^$CZ17),0)</f>
        <v>2138470.3540087738</v>
      </c>
      <c r="FD17" s="126">
        <f ca="1">MAX(FD16*(1+BE17)-(Dashboard!$C$11)/(1-Dashboard!$C$17)*((1+Dashboard!$C$12)^$CZ17),0)</f>
        <v>3428768.3837607605</v>
      </c>
      <c r="FE17" s="126">
        <f ca="1">MAX(FE16*(1+BF17)-(Dashboard!$C$11)/(1-Dashboard!$C$17)*((1+Dashboard!$C$12)^$CZ17),0)</f>
        <v>3035495.793823929</v>
      </c>
      <c r="FF17" s="126">
        <f ca="1">MAX(FF16*(1+BG17)-(Dashboard!$C$11)/(1-Dashboard!$C$17)*((1+Dashboard!$C$12)^$CZ17),0)</f>
        <v>1794976.8631904749</v>
      </c>
      <c r="FG17" s="126">
        <f ca="1">MAX(FG16*(1+BH17)-(Dashboard!$C$11)/(1-Dashboard!$C$17)*((1+Dashboard!$C$12)^$CZ17),0)</f>
        <v>2026944.4585607869</v>
      </c>
      <c r="FH17" s="126">
        <f ca="1">MAX(FH16*(1+BI17)-(Dashboard!$C$11)/(1-Dashboard!$C$17)*((1+Dashboard!$C$12)^$CZ17),0)</f>
        <v>1840900.5598881214</v>
      </c>
      <c r="FI17" s="126">
        <f ca="1">MAX(FI16*(1+BJ17)-(Dashboard!$C$11)/(1-Dashboard!$C$17)*((1+Dashboard!$C$12)^$CZ17),0)</f>
        <v>3641161.8648998882</v>
      </c>
      <c r="FJ17" s="126">
        <f ca="1">MAX(FJ16*(1+BK17)-(Dashboard!$C$11)/(1-Dashboard!$C$17)*((1+Dashboard!$C$12)^$CZ17),0)</f>
        <v>1737627.7443424196</v>
      </c>
      <c r="FK17" s="126">
        <f ca="1">MAX(FK16*(1+BL17)-(Dashboard!$C$11)/(1-Dashboard!$C$17)*((1+Dashboard!$C$12)^$CZ17),0)</f>
        <v>2963577.8272192958</v>
      </c>
      <c r="FL17" s="126">
        <f ca="1">MAX(FL16*(1+BM17)-(Dashboard!$C$11)/(1-Dashboard!$C$17)*((1+Dashboard!$C$12)^$CZ17),0)</f>
        <v>3189695.1101470315</v>
      </c>
      <c r="FM17" s="126">
        <f ca="1">MAX(FM16*(1+BN17)-(Dashboard!$C$11)/(1-Dashboard!$C$17)*((1+Dashboard!$C$12)^$CZ17),0)</f>
        <v>3666863.3671491542</v>
      </c>
      <c r="FN17" s="126">
        <f ca="1">MAX(FN16*(1+BO17)-(Dashboard!$C$11)/(1-Dashboard!$C$17)*((1+Dashboard!$C$12)^$CZ17),0)</f>
        <v>533416.04494863085</v>
      </c>
      <c r="FO17" s="126">
        <f ca="1">MAX(FO16*(1+BP17)-(Dashboard!$C$11)/(1-Dashboard!$C$17)*((1+Dashboard!$C$12)^$CZ17),0)</f>
        <v>1995301.9653461641</v>
      </c>
      <c r="FP17" s="126">
        <f ca="1">MAX(FP16*(1+BQ17)-(Dashboard!$C$11)/(1-Dashboard!$C$17)*((1+Dashboard!$C$12)^$CZ17),0)</f>
        <v>2372550.9713583873</v>
      </c>
      <c r="FQ17" s="126">
        <f ca="1">MAX(FQ16*(1+BR17)-(Dashboard!$C$11)/(1-Dashboard!$C$17)*((1+Dashboard!$C$12)^$CZ17),0)</f>
        <v>2257818.3558022804</v>
      </c>
      <c r="FR17" s="126">
        <f ca="1">MAX(FR16*(1+BS17)-(Dashboard!$C$11)/(1-Dashboard!$C$17)*((1+Dashboard!$C$12)^$CZ17),0)</f>
        <v>4188041.2849734747</v>
      </c>
      <c r="FS17" s="126">
        <f ca="1">MAX(FS16*(1+BT17)-(Dashboard!$C$11)/(1-Dashboard!$C$17)*((1+Dashboard!$C$12)^$CZ17),0)</f>
        <v>5187969.5865326086</v>
      </c>
      <c r="FT17" s="126">
        <f ca="1">MAX(FT16*(1+BU17)-(Dashboard!$C$11)/(1-Dashboard!$C$17)*((1+Dashboard!$C$12)^$CZ17),0)</f>
        <v>1456385.3695810649</v>
      </c>
      <c r="FU17" s="126">
        <f ca="1">MAX(FU16*(1+BV17)-(Dashboard!$C$11)/(1-Dashboard!$C$17)*((1+Dashboard!$C$12)^$CZ17),0)</f>
        <v>2454432.9111920218</v>
      </c>
      <c r="FV17" s="126">
        <f ca="1">MAX(FV16*(1+BW17)-(Dashboard!$C$11)/(1-Dashboard!$C$17)*((1+Dashboard!$C$12)^$CZ17),0)</f>
        <v>838633.79411873536</v>
      </c>
      <c r="FW17" s="126">
        <f ca="1">MAX(FW16*(1+BX17)-(Dashboard!$C$11)/(1-Dashboard!$C$17)*((1+Dashboard!$C$12)^$CZ17),0)</f>
        <v>3475466.3768974924</v>
      </c>
      <c r="FX17" s="126">
        <f ca="1">MAX(FX16*(1+BY17)-(Dashboard!$C$11)/(1-Dashboard!$C$17)*((1+Dashboard!$C$12)^$CZ17),0)</f>
        <v>1956256.3603826789</v>
      </c>
      <c r="FY17" s="126">
        <f ca="1">MAX(FY16*(1+BZ17)-(Dashboard!$C$11)/(1-Dashboard!$C$17)*((1+Dashboard!$C$12)^$CZ17),0)</f>
        <v>1301757.1079984042</v>
      </c>
      <c r="FZ17" s="126">
        <f ca="1">MAX(FZ16*(1+CA17)-(Dashboard!$C$11)/(1-Dashboard!$C$17)*((1+Dashboard!$C$12)^$CZ17),0)</f>
        <v>3715952.1269385195</v>
      </c>
      <c r="GA17" s="126">
        <f ca="1">MAX(GA16*(1+CB17)-(Dashboard!$C$11)/(1-Dashboard!$C$17)*((1+Dashboard!$C$12)^$CZ17),0)</f>
        <v>5546189.5395818166</v>
      </c>
      <c r="GB17" s="126">
        <f ca="1">MAX(GB16*(1+CC17)-(Dashboard!$C$11)/(1-Dashboard!$C$17)*((1+Dashboard!$C$12)^$CZ17),0)</f>
        <v>1448840.7254821328</v>
      </c>
      <c r="GC17" s="126">
        <f ca="1">MAX(GC16*(1+CD17)-(Dashboard!$C$11)/(1-Dashboard!$C$17)*((1+Dashboard!$C$12)^$CZ17),0)</f>
        <v>4504859.8272958575</v>
      </c>
      <c r="GD17" s="126">
        <f ca="1">MAX(GD16*(1+CE17)-(Dashboard!$C$11)/(1-Dashboard!$C$17)*((1+Dashboard!$C$12)^$CZ17),0)</f>
        <v>4101977.1852215314</v>
      </c>
      <c r="GE17" s="126">
        <f ca="1">MAX(GE16*(1+CF17)-(Dashboard!$C$11)/(1-Dashboard!$C$17)*((1+Dashboard!$C$12)^$CZ17),0)</f>
        <v>1860213.6493031767</v>
      </c>
      <c r="GF17" s="126">
        <f ca="1">MAX(GF16*(1+CG17)-(Dashboard!$C$11)/(1-Dashboard!$C$17)*((1+Dashboard!$C$12)^$CZ17),0)</f>
        <v>6143305.8307110388</v>
      </c>
      <c r="GG17" s="126">
        <f ca="1">MAX(GG16*(1+CH17)-(Dashboard!$C$11)/(1-Dashboard!$C$17)*((1+Dashboard!$C$12)^$CZ17),0)</f>
        <v>722087.17265705054</v>
      </c>
      <c r="GH17" s="126">
        <f ca="1">MAX(GH16*(1+CI17)-(Dashboard!$C$11)/(1-Dashboard!$C$17)*((1+Dashboard!$C$12)^$CZ17),0)</f>
        <v>1426144.0051120922</v>
      </c>
      <c r="GI17" s="126">
        <f ca="1">MAX(GI16*(1+CJ17)-(Dashboard!$C$11)/(1-Dashboard!$C$17)*((1+Dashboard!$C$12)^$CZ17),0)</f>
        <v>1371047.9916933437</v>
      </c>
      <c r="GJ17" s="126">
        <f ca="1">MAX(GJ16*(1+CK17)-(Dashboard!$C$11)/(1-Dashboard!$C$17)*((1+Dashboard!$C$12)^$CZ17),0)</f>
        <v>2686673.1908645905</v>
      </c>
      <c r="GK17" s="126">
        <f ca="1">MAX(GK16*(1+CL17)-(Dashboard!$C$11)/(1-Dashboard!$C$17)*((1+Dashboard!$C$12)^$CZ17),0)</f>
        <v>3656390.3776163738</v>
      </c>
      <c r="GL17" s="126">
        <f ca="1">MAX(GL16*(1+CM17)-(Dashboard!$C$11)/(1-Dashboard!$C$17)*((1+Dashboard!$C$12)^$CZ17),0)</f>
        <v>4445506.0610416466</v>
      </c>
      <c r="GM17" s="126">
        <f ca="1">MAX(GM16*(1+CN17)-(Dashboard!$C$11)/(1-Dashboard!$C$17)*((1+Dashboard!$C$12)^$CZ17),0)</f>
        <v>2020768.3818265072</v>
      </c>
      <c r="GN17" s="126">
        <f ca="1">MAX(GN16*(1+CO17)-(Dashboard!$C$11)/(1-Dashboard!$C$17)*((1+Dashboard!$C$12)^$CZ17),0)</f>
        <v>448385.82016059704</v>
      </c>
      <c r="GO17" s="126">
        <f ca="1">MAX(GO16*(1+CP17)-(Dashboard!$C$11)/(1-Dashboard!$C$17)*((1+Dashboard!$C$12)^$CZ17),0)</f>
        <v>1810681.4532684649</v>
      </c>
      <c r="GP17" s="126">
        <f ca="1">MAX(GP16*(1+CQ17)-(Dashboard!$C$11)/(1-Dashboard!$C$17)*((1+Dashboard!$C$12)^$CZ17),0)</f>
        <v>1278771.5127959908</v>
      </c>
      <c r="GQ17" s="126">
        <f ca="1">MAX(GQ16*(1+CR17)-(Dashboard!$C$11)/(1-Dashboard!$C$17)*((1+Dashboard!$C$12)^$CZ17),0)</f>
        <v>1212237.9367135942</v>
      </c>
      <c r="GR17" s="126">
        <f ca="1">MAX(GR16*(1+CS17)-(Dashboard!$C$11)/(1-Dashboard!$C$17)*((1+Dashboard!$C$12)^$CZ17),0)</f>
        <v>1248462.1361646727</v>
      </c>
      <c r="GS17" s="126">
        <f ca="1">MAX(GS16*(1+CT17)-(Dashboard!$C$11)/(1-Dashboard!$C$17)*((1+Dashboard!$C$12)^$CZ17),0)</f>
        <v>2986965.0824555503</v>
      </c>
      <c r="GT17" s="126">
        <f ca="1">MAX(GT16*(1+CU17)-(Dashboard!$C$11)/(1-Dashboard!$C$17)*((1+Dashboard!$C$12)^$CZ17),0)</f>
        <v>4522320.1756011304</v>
      </c>
      <c r="GU17" s="126">
        <f ca="1">MAX(GU16*(1+CV17)-(Dashboard!$C$11)/(1-Dashboard!$C$17)*((1+Dashboard!$C$12)^$CZ17),0)</f>
        <v>918590.4856159396</v>
      </c>
      <c r="GV17" s="126">
        <f ca="1">MAX(GV16*(1+CW17)-(Dashboard!$C$11)/(1-Dashboard!$C$17)*((1+Dashboard!$C$12)^$CZ17),0)</f>
        <v>1140599.5279586527</v>
      </c>
      <c r="GW17" s="115">
        <f t="shared" si="4"/>
        <v>66</v>
      </c>
      <c r="GX17" s="130">
        <f t="shared" ca="1" si="2"/>
        <v>100</v>
      </c>
      <c r="HC17" s="130">
        <f t="shared" si="0"/>
        <v>66</v>
      </c>
      <c r="HD17" s="137">
        <f t="shared" ca="1" si="1"/>
        <v>1419595.0220520264</v>
      </c>
      <c r="HE17" s="137">
        <f t="shared" ca="1" si="1"/>
        <v>2197409.8900264082</v>
      </c>
      <c r="HF17" s="137">
        <f t="shared" ca="1" si="1"/>
        <v>3463791.8786133095</v>
      </c>
    </row>
    <row r="18" spans="1:214" ht="16">
      <c r="A18" s="145">
        <f t="shared" si="3"/>
        <v>67</v>
      </c>
      <c r="B18" s="122">
        <f ca="1">(Dashboard!$C$7*'Equity and Bond Returns'!N18)+(Dashboard!$C$8*'Equity and Bond Returns'!DL18)</f>
        <v>0.27842837865098968</v>
      </c>
      <c r="C18" s="122">
        <f ca="1">(Dashboard!$C$7*'Equity and Bond Returns'!O18)+(Dashboard!$C$8*'Equity and Bond Returns'!DM18)</f>
        <v>0.26893045422225925</v>
      </c>
      <c r="D18" s="122">
        <f ca="1">(Dashboard!$C$7*'Equity and Bond Returns'!P18)+(Dashboard!$C$8*'Equity and Bond Returns'!DN18)</f>
        <v>0.20532677380344189</v>
      </c>
      <c r="E18" s="122">
        <f ca="1">(Dashboard!$C$7*'Equity and Bond Returns'!Q18)+(Dashboard!$C$8*'Equity and Bond Returns'!DO18)</f>
        <v>8.2184975048254033E-2</v>
      </c>
      <c r="F18" s="122">
        <f ca="1">(Dashboard!$C$7*'Equity and Bond Returns'!R18)+(Dashboard!$C$8*'Equity and Bond Returns'!DP18)</f>
        <v>-3.0127358314713734E-2</v>
      </c>
      <c r="G18" s="122">
        <f ca="1">(Dashboard!$C$7*'Equity and Bond Returns'!S18)+(Dashboard!$C$8*'Equity and Bond Returns'!DQ18)</f>
        <v>0.16271974417891286</v>
      </c>
      <c r="H18" s="122">
        <f ca="1">(Dashboard!$C$7*'Equity and Bond Returns'!T18)+(Dashboard!$C$8*'Equity and Bond Returns'!DR18)</f>
        <v>-4.8144474123952008E-2</v>
      </c>
      <c r="I18" s="122">
        <f ca="1">(Dashboard!$C$7*'Equity and Bond Returns'!U18)+(Dashboard!$C$8*'Equity and Bond Returns'!DS18)</f>
        <v>0.31488688182164792</v>
      </c>
      <c r="J18" s="122">
        <f ca="1">(Dashboard!$C$7*'Equity and Bond Returns'!V18)+(Dashboard!$C$8*'Equity and Bond Returns'!DT18)</f>
        <v>0.1255494480015539</v>
      </c>
      <c r="K18" s="122">
        <f ca="1">(Dashboard!$C$7*'Equity and Bond Returns'!W18)+(Dashboard!$C$8*'Equity and Bond Returns'!DU18)</f>
        <v>-3.7577117521975824E-2</v>
      </c>
      <c r="L18" s="122">
        <f ca="1">(Dashboard!$C$7*'Equity and Bond Returns'!X18)+(Dashboard!$C$8*'Equity and Bond Returns'!DV18)</f>
        <v>-0.17579514222968673</v>
      </c>
      <c r="M18" s="122">
        <f ca="1">(Dashboard!$C$7*'Equity and Bond Returns'!Y18)+(Dashboard!$C$8*'Equity and Bond Returns'!DW18)</f>
        <v>4.0442831258382023E-2</v>
      </c>
      <c r="N18" s="122">
        <f ca="1">(Dashboard!$C$7*'Equity and Bond Returns'!Z18)+(Dashboard!$C$8*'Equity and Bond Returns'!DX18)</f>
        <v>-0.13504081326451203</v>
      </c>
      <c r="O18" s="122">
        <f ca="1">(Dashboard!$C$7*'Equity and Bond Returns'!AA18)+(Dashboard!$C$8*'Equity and Bond Returns'!DY18)</f>
        <v>3.5659991684375648E-2</v>
      </c>
      <c r="P18" s="122">
        <f ca="1">(Dashboard!$C$7*'Equity and Bond Returns'!AB18)+(Dashboard!$C$8*'Equity and Bond Returns'!DZ18)</f>
        <v>0.15771857410125181</v>
      </c>
      <c r="Q18" s="122">
        <f ca="1">(Dashboard!$C$7*'Equity and Bond Returns'!AC18)+(Dashboard!$C$8*'Equity and Bond Returns'!EA18)</f>
        <v>9.0510843252400192E-2</v>
      </c>
      <c r="R18" s="122">
        <f ca="1">(Dashboard!$C$7*'Equity and Bond Returns'!AD18)+(Dashboard!$C$8*'Equity and Bond Returns'!EB18)</f>
        <v>0.3756590702816987</v>
      </c>
      <c r="S18" s="122">
        <f ca="1">(Dashboard!$C$7*'Equity and Bond Returns'!AE18)+(Dashboard!$C$8*'Equity and Bond Returns'!EC18)</f>
        <v>7.9070084280797717E-2</v>
      </c>
      <c r="T18" s="122">
        <f ca="1">(Dashboard!$C$7*'Equity and Bond Returns'!AF18)+(Dashboard!$C$8*'Equity and Bond Returns'!ED18)</f>
        <v>-0.11465670366964313</v>
      </c>
      <c r="U18" s="122">
        <f ca="1">(Dashboard!$C$7*'Equity and Bond Returns'!AG18)+(Dashboard!$C$8*'Equity and Bond Returns'!EE18)</f>
        <v>0.26110828434173217</v>
      </c>
      <c r="V18" s="122">
        <f ca="1">(Dashboard!$C$7*'Equity and Bond Returns'!AH18)+(Dashboard!$C$8*'Equity and Bond Returns'!EF18)</f>
        <v>7.9454214719532706E-2</v>
      </c>
      <c r="W18" s="122">
        <f ca="1">(Dashboard!$C$7*'Equity and Bond Returns'!AI18)+(Dashboard!$C$8*'Equity and Bond Returns'!EG18)</f>
        <v>0.12913389345680687</v>
      </c>
      <c r="X18" s="122">
        <f ca="1">(Dashboard!$C$7*'Equity and Bond Returns'!AJ18)+(Dashboard!$C$8*'Equity and Bond Returns'!EH18)</f>
        <v>-0.15319813923653891</v>
      </c>
      <c r="Y18" s="122">
        <f ca="1">(Dashboard!$C$7*'Equity and Bond Returns'!AK18)+(Dashboard!$C$8*'Equity and Bond Returns'!EI18)</f>
        <v>7.4634160392415605E-2</v>
      </c>
      <c r="Z18" s="122">
        <f ca="1">(Dashboard!$C$7*'Equity and Bond Returns'!AL18)+(Dashboard!$C$8*'Equity and Bond Returns'!EJ18)</f>
        <v>0.44917727612405633</v>
      </c>
      <c r="AA18" s="122">
        <f ca="1">(Dashboard!$C$7*'Equity and Bond Returns'!AM18)+(Dashboard!$C$8*'Equity and Bond Returns'!EK18)</f>
        <v>2.9747087863144506E-2</v>
      </c>
      <c r="AB18" s="122">
        <f ca="1">(Dashboard!$C$7*'Equity and Bond Returns'!AN18)+(Dashboard!$C$8*'Equity and Bond Returns'!EL18)</f>
        <v>3.2694335064817046E-2</v>
      </c>
      <c r="AC18" s="122">
        <f ca="1">(Dashboard!$C$7*'Equity and Bond Returns'!AO18)+(Dashboard!$C$8*'Equity and Bond Returns'!EM18)</f>
        <v>0.29394480547760593</v>
      </c>
      <c r="AD18" s="122">
        <f ca="1">(Dashboard!$C$7*'Equity and Bond Returns'!AP18)+(Dashboard!$C$8*'Equity and Bond Returns'!EN18)</f>
        <v>0.33360101787963514</v>
      </c>
      <c r="AE18" s="122">
        <f ca="1">(Dashboard!$C$7*'Equity and Bond Returns'!AQ18)+(Dashboard!$C$8*'Equity and Bond Returns'!EO18)</f>
        <v>0.18003103908851437</v>
      </c>
      <c r="AF18" s="122">
        <f ca="1">(Dashboard!$C$7*'Equity and Bond Returns'!AR18)+(Dashboard!$C$8*'Equity and Bond Returns'!EP18)</f>
        <v>0.20721613027481314</v>
      </c>
      <c r="AG18" s="122">
        <f ca="1">(Dashboard!$C$7*'Equity and Bond Returns'!AS18)+(Dashboard!$C$8*'Equity and Bond Returns'!EQ18)</f>
        <v>0.10775636160272609</v>
      </c>
      <c r="AH18" s="122">
        <f ca="1">(Dashboard!$C$7*'Equity and Bond Returns'!AT18)+(Dashboard!$C$8*'Equity and Bond Returns'!ER18)</f>
        <v>-0.15184337505338741</v>
      </c>
      <c r="AI18" s="122">
        <f ca="1">(Dashboard!$C$7*'Equity and Bond Returns'!AU18)+(Dashboard!$C$8*'Equity and Bond Returns'!ES18)</f>
        <v>2.3301170088775587E-2</v>
      </c>
      <c r="AJ18" s="122">
        <f ca="1">(Dashboard!$C$7*'Equity and Bond Returns'!AV18)+(Dashboard!$C$8*'Equity and Bond Returns'!ET18)</f>
        <v>2.4997912903524315E-2</v>
      </c>
      <c r="AK18" s="122">
        <f ca="1">(Dashboard!$C$7*'Equity and Bond Returns'!AW18)+(Dashboard!$C$8*'Equity and Bond Returns'!EU18)</f>
        <v>-3.1486098735301261E-2</v>
      </c>
      <c r="AL18" s="122">
        <f ca="1">(Dashboard!$C$7*'Equity and Bond Returns'!AX18)+(Dashboard!$C$8*'Equity and Bond Returns'!EV18)</f>
        <v>-3.8529430856035378E-2</v>
      </c>
      <c r="AM18" s="122">
        <f ca="1">(Dashboard!$C$7*'Equity and Bond Returns'!AY18)+(Dashboard!$C$8*'Equity and Bond Returns'!EW18)</f>
        <v>-5.2737118908228464E-2</v>
      </c>
      <c r="AN18" s="122">
        <f ca="1">(Dashboard!$C$7*'Equity and Bond Returns'!AZ18)+(Dashboard!$C$8*'Equity and Bond Returns'!EX18)</f>
        <v>-0.24073131802076989</v>
      </c>
      <c r="AO18" s="122">
        <f ca="1">(Dashboard!$C$7*'Equity and Bond Returns'!BA18)+(Dashboard!$C$8*'Equity and Bond Returns'!EY18)</f>
        <v>5.5038701639023142E-2</v>
      </c>
      <c r="AP18" s="122">
        <f ca="1">(Dashboard!$C$7*'Equity and Bond Returns'!BB18)+(Dashboard!$C$8*'Equity and Bond Returns'!EZ18)</f>
        <v>-0.30592765818669593</v>
      </c>
      <c r="AQ18" s="122">
        <f ca="1">(Dashboard!$C$7*'Equity and Bond Returns'!BC18)+(Dashboard!$C$8*'Equity and Bond Returns'!FA18)</f>
        <v>0.18694527984975451</v>
      </c>
      <c r="AR18" s="122">
        <f ca="1">(Dashboard!$C$7*'Equity and Bond Returns'!BD18)+(Dashboard!$C$8*'Equity and Bond Returns'!FB18)</f>
        <v>-1.1864925384078191E-2</v>
      </c>
      <c r="AS18" s="122">
        <f ca="1">(Dashboard!$C$7*'Equity and Bond Returns'!BE18)+(Dashboard!$C$8*'Equity and Bond Returns'!FC18)</f>
        <v>0.17883622460659665</v>
      </c>
      <c r="AT18" s="122">
        <f ca="1">(Dashboard!$C$7*'Equity and Bond Returns'!BF18)+(Dashboard!$C$8*'Equity and Bond Returns'!FD18)</f>
        <v>0.20775323025991968</v>
      </c>
      <c r="AU18" s="122">
        <f ca="1">(Dashboard!$C$7*'Equity and Bond Returns'!BG18)+(Dashboard!$C$8*'Equity and Bond Returns'!FE18)</f>
        <v>-3.7799437955544461E-3</v>
      </c>
      <c r="AV18" s="122">
        <f ca="1">(Dashboard!$C$7*'Equity and Bond Returns'!BH18)+(Dashboard!$C$8*'Equity and Bond Returns'!FF18)</f>
        <v>0.16777823055912777</v>
      </c>
      <c r="AW18" s="122">
        <f ca="1">(Dashboard!$C$7*'Equity and Bond Returns'!BI18)+(Dashboard!$C$8*'Equity and Bond Returns'!FG18)</f>
        <v>0.18197333780936931</v>
      </c>
      <c r="AX18" s="122">
        <f ca="1">(Dashboard!$C$7*'Equity and Bond Returns'!BJ18)+(Dashboard!$C$8*'Equity and Bond Returns'!FH18)</f>
        <v>0.18948332408139587</v>
      </c>
      <c r="AY18" s="122">
        <f ca="1">(Dashboard!$C$7*'Equity and Bond Returns'!BK18)+(Dashboard!$C$8*'Equity and Bond Returns'!FI18)</f>
        <v>-5.0593939216959934E-2</v>
      </c>
      <c r="AZ18" s="122">
        <f ca="1">(Dashboard!$C$7*'Equity and Bond Returns'!BL18)+(Dashboard!$C$8*'Equity and Bond Returns'!FJ18)</f>
        <v>-0.11487623778935718</v>
      </c>
      <c r="BA18" s="122">
        <f ca="1">(Dashboard!$C$7*'Equity and Bond Returns'!BM18)+(Dashboard!$C$8*'Equity and Bond Returns'!FK18)</f>
        <v>0.21553874943560336</v>
      </c>
      <c r="BB18" s="122">
        <f ca="1">(Dashboard!$C$7*'Equity and Bond Returns'!BN18)+(Dashboard!$C$8*'Equity and Bond Returns'!FL18)</f>
        <v>0.18519172295728098</v>
      </c>
      <c r="BC18" s="122">
        <f ca="1">(Dashboard!$C$7*'Equity and Bond Returns'!BO18)+(Dashboard!$C$8*'Equity and Bond Returns'!FM18)</f>
        <v>0.27129643201566378</v>
      </c>
      <c r="BD18" s="122">
        <f ca="1">(Dashboard!$C$7*'Equity and Bond Returns'!BP18)+(Dashboard!$C$8*'Equity and Bond Returns'!FN18)</f>
        <v>0.30879442516536004</v>
      </c>
      <c r="BE18" s="122">
        <f ca="1">(Dashboard!$C$7*'Equity and Bond Returns'!BQ18)+(Dashboard!$C$8*'Equity and Bond Returns'!FO18)</f>
        <v>0.24057351452714637</v>
      </c>
      <c r="BF18" s="122">
        <f ca="1">(Dashboard!$C$7*'Equity and Bond Returns'!BR18)+(Dashboard!$C$8*'Equity and Bond Returns'!FP18)</f>
        <v>0.25337199562959833</v>
      </c>
      <c r="BG18" s="122">
        <f ca="1">(Dashboard!$C$7*'Equity and Bond Returns'!BS18)+(Dashboard!$C$8*'Equity and Bond Returns'!FQ18)</f>
        <v>3.6304921845109125E-2</v>
      </c>
      <c r="BH18" s="122">
        <f ca="1">(Dashboard!$C$7*'Equity and Bond Returns'!BT18)+(Dashboard!$C$8*'Equity and Bond Returns'!FR18)</f>
        <v>0.12298458087287571</v>
      </c>
      <c r="BI18" s="122">
        <f ca="1">(Dashboard!$C$7*'Equity and Bond Returns'!BU18)+(Dashboard!$C$8*'Equity and Bond Returns'!FS18)</f>
        <v>0.16051928218233935</v>
      </c>
      <c r="BJ18" s="122">
        <f ca="1">(Dashboard!$C$7*'Equity and Bond Returns'!BV18)+(Dashboard!$C$8*'Equity and Bond Returns'!FT18)</f>
        <v>0.20933287194033329</v>
      </c>
      <c r="BK18" s="122">
        <f ca="1">(Dashboard!$C$7*'Equity and Bond Returns'!BW18)+(Dashboard!$C$8*'Equity and Bond Returns'!FU18)</f>
        <v>-0.12926842607281969</v>
      </c>
      <c r="BL18" s="122">
        <f ca="1">(Dashboard!$C$7*'Equity and Bond Returns'!BX18)+(Dashboard!$C$8*'Equity and Bond Returns'!FV18)</f>
        <v>-0.11387203853777746</v>
      </c>
      <c r="BM18" s="122">
        <f ca="1">(Dashboard!$C$7*'Equity and Bond Returns'!BY18)+(Dashboard!$C$8*'Equity and Bond Returns'!FW18)</f>
        <v>-0.29133995696223403</v>
      </c>
      <c r="BN18" s="122">
        <f ca="1">(Dashboard!$C$7*'Equity and Bond Returns'!BZ18)+(Dashboard!$C$8*'Equity and Bond Returns'!FX18)</f>
        <v>0.32070095294062018</v>
      </c>
      <c r="BO18" s="122">
        <f ca="1">(Dashboard!$C$7*'Equity and Bond Returns'!CA18)+(Dashboard!$C$8*'Equity and Bond Returns'!FY18)</f>
        <v>-4.8507780263152781E-3</v>
      </c>
      <c r="BP18" s="122">
        <f ca="1">(Dashboard!$C$7*'Equity and Bond Returns'!CB18)+(Dashboard!$C$8*'Equity and Bond Returns'!FZ18)</f>
        <v>0.29751254988656667</v>
      </c>
      <c r="BQ18" s="122">
        <f ca="1">(Dashboard!$C$7*'Equity and Bond Returns'!CC18)+(Dashboard!$C$8*'Equity and Bond Returns'!GA18)</f>
        <v>2.8710559430686775E-2</v>
      </c>
      <c r="BR18" s="122">
        <f ca="1">(Dashboard!$C$7*'Equity and Bond Returns'!CD18)+(Dashboard!$C$8*'Equity and Bond Returns'!GB18)</f>
        <v>0.12979691590663742</v>
      </c>
      <c r="BS18" s="122">
        <f ca="1">(Dashboard!$C$7*'Equity and Bond Returns'!CE18)+(Dashboard!$C$8*'Equity and Bond Returns'!GC18)</f>
        <v>3.2764448744557542E-2</v>
      </c>
      <c r="BT18" s="122">
        <f ca="1">(Dashboard!$C$7*'Equity and Bond Returns'!CF18)+(Dashboard!$C$8*'Equity and Bond Returns'!GD18)</f>
        <v>0.18173613152335683</v>
      </c>
      <c r="BU18" s="122">
        <f ca="1">(Dashboard!$C$7*'Equity and Bond Returns'!CG18)+(Dashboard!$C$8*'Equity and Bond Returns'!GE18)</f>
        <v>-5.6276245202858496E-2</v>
      </c>
      <c r="BV18" s="122">
        <f ca="1">(Dashboard!$C$7*'Equity and Bond Returns'!CH18)+(Dashboard!$C$8*'Equity and Bond Returns'!GF18)</f>
        <v>-0.13987795241433809</v>
      </c>
      <c r="BW18" s="122">
        <f ca="1">(Dashboard!$C$7*'Equity and Bond Returns'!CI18)+(Dashboard!$C$8*'Equity and Bond Returns'!GG18)</f>
        <v>0.43215031112438307</v>
      </c>
      <c r="BX18" s="122">
        <f ca="1">(Dashboard!$C$7*'Equity and Bond Returns'!CJ18)+(Dashboard!$C$8*'Equity and Bond Returns'!GH18)</f>
        <v>0.14513724773676565</v>
      </c>
      <c r="BY18" s="122">
        <f ca="1">(Dashboard!$C$7*'Equity and Bond Returns'!CK18)+(Dashboard!$C$8*'Equity and Bond Returns'!GI18)</f>
        <v>-3.1302728632402278E-2</v>
      </c>
      <c r="BZ18" s="122">
        <f ca="1">(Dashboard!$C$7*'Equity and Bond Returns'!CL18)+(Dashboard!$C$8*'Equity and Bond Returns'!GJ18)</f>
        <v>0.16685817910958228</v>
      </c>
      <c r="CA18" s="122">
        <f ca="1">(Dashboard!$C$7*'Equity and Bond Returns'!CM18)+(Dashboard!$C$8*'Equity and Bond Returns'!GK18)</f>
        <v>0.10464341600399572</v>
      </c>
      <c r="CB18" s="122">
        <f ca="1">(Dashboard!$C$7*'Equity and Bond Returns'!CN18)+(Dashboard!$C$8*'Equity and Bond Returns'!GL18)</f>
        <v>-0.18980451992179609</v>
      </c>
      <c r="CC18" s="122">
        <f ca="1">(Dashboard!$C$7*'Equity and Bond Returns'!CO18)+(Dashboard!$C$8*'Equity and Bond Returns'!GM18)</f>
        <v>-0.10788546396800824</v>
      </c>
      <c r="CD18" s="122">
        <f ca="1">(Dashboard!$C$7*'Equity and Bond Returns'!CP18)+(Dashboard!$C$8*'Equity and Bond Returns'!GN18)</f>
        <v>-2.7116442054279828E-2</v>
      </c>
      <c r="CE18" s="122">
        <f ca="1">(Dashboard!$C$7*'Equity and Bond Returns'!CQ18)+(Dashboard!$C$8*'Equity and Bond Returns'!GO18)</f>
        <v>0.25064948632315792</v>
      </c>
      <c r="CF18" s="122">
        <f ca="1">(Dashboard!$C$7*'Equity and Bond Returns'!CR18)+(Dashboard!$C$8*'Equity and Bond Returns'!GP18)</f>
        <v>-7.42646427747648E-2</v>
      </c>
      <c r="CG18" s="122">
        <f ca="1">(Dashboard!$C$7*'Equity and Bond Returns'!CS18)+(Dashboard!$C$8*'Equity and Bond Returns'!GQ18)</f>
        <v>6.1508284415289771E-3</v>
      </c>
      <c r="CH18" s="122">
        <f ca="1">(Dashboard!$C$7*'Equity and Bond Returns'!CT18)+(Dashboard!$C$8*'Equity and Bond Returns'!GR18)</f>
        <v>-0.11272815593368637</v>
      </c>
      <c r="CI18" s="122">
        <f ca="1">(Dashboard!$C$7*'Equity and Bond Returns'!CU18)+(Dashboard!$C$8*'Equity and Bond Returns'!GS18)</f>
        <v>0.19600273796988485</v>
      </c>
      <c r="CJ18" s="122">
        <f ca="1">(Dashboard!$C$7*'Equity and Bond Returns'!CV18)+(Dashboard!$C$8*'Equity and Bond Returns'!GT18)</f>
        <v>-0.11167816678782669</v>
      </c>
      <c r="CK18" s="122">
        <f ca="1">(Dashboard!$C$7*'Equity and Bond Returns'!CW18)+(Dashboard!$C$8*'Equity and Bond Returns'!GU18)</f>
        <v>0.33871260633281164</v>
      </c>
      <c r="CL18" s="122">
        <f ca="1">(Dashboard!$C$7*'Equity and Bond Returns'!CX18)+(Dashboard!$C$8*'Equity and Bond Returns'!GV18)</f>
        <v>0.27754003830981533</v>
      </c>
      <c r="CM18" s="122">
        <f ca="1">(Dashboard!$C$7*'Equity and Bond Returns'!CY18)+(Dashboard!$C$8*'Equity and Bond Returns'!GW18)</f>
        <v>-6.9390343484411587E-2</v>
      </c>
      <c r="CN18" s="122">
        <f ca="1">(Dashboard!$C$7*'Equity and Bond Returns'!CZ18)+(Dashboard!$C$8*'Equity and Bond Returns'!GX18)</f>
        <v>6.2357712291131073E-2</v>
      </c>
      <c r="CO18" s="122">
        <f ca="1">(Dashboard!$C$7*'Equity and Bond Returns'!DA18)+(Dashboard!$C$8*'Equity and Bond Returns'!GY18)</f>
        <v>0.35439845151504845</v>
      </c>
      <c r="CP18" s="122">
        <f ca="1">(Dashboard!$C$7*'Equity and Bond Returns'!DB18)+(Dashboard!$C$8*'Equity and Bond Returns'!GZ18)</f>
        <v>0.19859959758374446</v>
      </c>
      <c r="CQ18" s="122">
        <f ca="1">(Dashboard!$C$7*'Equity and Bond Returns'!DC18)+(Dashboard!$C$8*'Equity and Bond Returns'!HA18)</f>
        <v>0.25576536137613093</v>
      </c>
      <c r="CR18" s="122">
        <f ca="1">(Dashboard!$C$7*'Equity and Bond Returns'!DD18)+(Dashboard!$C$8*'Equity and Bond Returns'!HB18)</f>
        <v>-0.18257886750201266</v>
      </c>
      <c r="CS18" s="122">
        <f ca="1">(Dashboard!$C$7*'Equity and Bond Returns'!DE18)+(Dashboard!$C$8*'Equity and Bond Returns'!HC18)</f>
        <v>-6.8648753994006745E-2</v>
      </c>
      <c r="CT18" s="122">
        <f ca="1">(Dashboard!$C$7*'Equity and Bond Returns'!DF18)+(Dashboard!$C$8*'Equity and Bond Returns'!HD18)</f>
        <v>0.30984767379869382</v>
      </c>
      <c r="CU18" s="122">
        <f ca="1">(Dashboard!$C$7*'Equity and Bond Returns'!DG18)+(Dashboard!$C$8*'Equity and Bond Returns'!HE18)</f>
        <v>-6.0448276939134869E-2</v>
      </c>
      <c r="CV18" s="122">
        <f ca="1">(Dashboard!$C$7*'Equity and Bond Returns'!DH18)+(Dashboard!$C$8*'Equity and Bond Returns'!HF18)</f>
        <v>5.3633511475019949E-2</v>
      </c>
      <c r="CW18" s="122">
        <f ca="1">(Dashboard!$C$7*'Equity and Bond Returns'!DI18)+(Dashboard!$C$8*'Equity and Bond Returns'!HG18)</f>
        <v>-4.986718145518633E-2</v>
      </c>
      <c r="CY18" s="147">
        <f t="shared" si="5"/>
        <v>67</v>
      </c>
      <c r="CZ18" s="148">
        <v>17</v>
      </c>
      <c r="DA18" s="126">
        <f ca="1">MAX(DA17*(1+B18)-(Dashboard!$C$11)/(1-Dashboard!$C$17)*((1+Dashboard!$C$12)^$CZ18),0)</f>
        <v>6265646.6388374688</v>
      </c>
      <c r="DB18" s="126">
        <f ca="1">MAX(DB17*(1+C18)-(Dashboard!$C$11)/(1-Dashboard!$C$17)*((1+Dashboard!$C$12)^$CZ18),0)</f>
        <v>253599.89578626241</v>
      </c>
      <c r="DC18" s="126">
        <f ca="1">MAX(DC17*(1+D18)-(Dashboard!$C$11)/(1-Dashboard!$C$17)*((1+Dashboard!$C$12)^$CZ18),0)</f>
        <v>2870033.107700096</v>
      </c>
      <c r="DD18" s="126">
        <f ca="1">MAX(DD17*(1+E18)-(Dashboard!$C$11)/(1-Dashboard!$C$17)*((1+Dashboard!$C$12)^$CZ18),0)</f>
        <v>663001.74721402919</v>
      </c>
      <c r="DE18" s="126">
        <f ca="1">MAX(DE17*(1+F18)-(Dashboard!$C$11)/(1-Dashboard!$C$17)*((1+Dashboard!$C$12)^$CZ18),0)</f>
        <v>3621729.8025617138</v>
      </c>
      <c r="DF18" s="126">
        <f ca="1">MAX(DF17*(1+G18)-(Dashboard!$C$11)/(1-Dashboard!$C$17)*((1+Dashboard!$C$12)^$CZ18),0)</f>
        <v>3104997.9506954565</v>
      </c>
      <c r="DG18" s="126">
        <f ca="1">MAX(DG17*(1+H18)-(Dashboard!$C$11)/(1-Dashboard!$C$17)*((1+Dashboard!$C$12)^$CZ18),0)</f>
        <v>596034.42173586192</v>
      </c>
      <c r="DH18" s="126">
        <f ca="1">MAX(DH17*(1+I18)-(Dashboard!$C$11)/(1-Dashboard!$C$17)*((1+Dashboard!$C$12)^$CZ18),0)</f>
        <v>2865855.3400868722</v>
      </c>
      <c r="DI18" s="126">
        <f ca="1">MAX(DI17*(1+J18)-(Dashboard!$C$11)/(1-Dashboard!$C$17)*((1+Dashboard!$C$12)^$CZ18),0)</f>
        <v>1950653.9283976622</v>
      </c>
      <c r="DJ18" s="126">
        <f ca="1">MAX(DJ17*(1+K18)-(Dashboard!$C$11)/(1-Dashboard!$C$17)*((1+Dashboard!$C$12)^$CZ18),0)</f>
        <v>1705795.1973831332</v>
      </c>
      <c r="DK18" s="126">
        <f ca="1">MAX(DK17*(1+L18)-(Dashboard!$C$11)/(1-Dashboard!$C$17)*((1+Dashboard!$C$12)^$CZ18),0)</f>
        <v>5025433.6706697419</v>
      </c>
      <c r="DL18" s="126">
        <f ca="1">MAX(DL17*(1+M18)-(Dashboard!$C$11)/(1-Dashboard!$C$17)*((1+Dashboard!$C$12)^$CZ18),0)</f>
        <v>897483.4845401682</v>
      </c>
      <c r="DM18" s="126">
        <f ca="1">MAX(DM17*(1+N18)-(Dashboard!$C$11)/(1-Dashboard!$C$17)*((1+Dashboard!$C$12)^$CZ18),0)</f>
        <v>1897073.1732511381</v>
      </c>
      <c r="DN18" s="126">
        <f ca="1">MAX(DN17*(1+O18)-(Dashboard!$C$11)/(1-Dashboard!$C$17)*((1+Dashboard!$C$12)^$CZ18),0)</f>
        <v>8688858.2756189704</v>
      </c>
      <c r="DO18" s="126">
        <f ca="1">MAX(DO17*(1+P18)-(Dashboard!$C$11)/(1-Dashboard!$C$17)*((1+Dashboard!$C$12)^$CZ18),0)</f>
        <v>1965328.7322563147</v>
      </c>
      <c r="DP18" s="126">
        <f ca="1">MAX(DP17*(1+Q18)-(Dashboard!$C$11)/(1-Dashboard!$C$17)*((1+Dashboard!$C$12)^$CZ18),0)</f>
        <v>3807084.7439046842</v>
      </c>
      <c r="DQ18" s="126">
        <f ca="1">MAX(DQ17*(1+R18)-(Dashboard!$C$11)/(1-Dashboard!$C$17)*((1+Dashboard!$C$12)^$CZ18),0)</f>
        <v>2977707.0683416803</v>
      </c>
      <c r="DR18" s="126">
        <f ca="1">MAX(DR17*(1+S18)-(Dashboard!$C$11)/(1-Dashboard!$C$17)*((1+Dashboard!$C$12)^$CZ18),0)</f>
        <v>3720677.1204462484</v>
      </c>
      <c r="DS18" s="126">
        <f ca="1">MAX(DS17*(1+T18)-(Dashboard!$C$11)/(1-Dashboard!$C$17)*((1+Dashboard!$C$12)^$CZ18),0)</f>
        <v>1208749.2552498034</v>
      </c>
      <c r="DT18" s="126">
        <f ca="1">MAX(DT17*(1+U18)-(Dashboard!$C$11)/(1-Dashboard!$C$17)*((1+Dashboard!$C$12)^$CZ18),0)</f>
        <v>1753420.0680408019</v>
      </c>
      <c r="DU18" s="126">
        <f ca="1">MAX(DU17*(1+V18)-(Dashboard!$C$11)/(1-Dashboard!$C$17)*((1+Dashboard!$C$12)^$CZ18),0)</f>
        <v>2628851.6603228482</v>
      </c>
      <c r="DV18" s="126">
        <f ca="1">MAX(DV17*(1+W18)-(Dashboard!$C$11)/(1-Dashboard!$C$17)*((1+Dashboard!$C$12)^$CZ18),0)</f>
        <v>5627681.0104016755</v>
      </c>
      <c r="DW18" s="126">
        <f ca="1">MAX(DW17*(1+X18)-(Dashboard!$C$11)/(1-Dashboard!$C$17)*((1+Dashboard!$C$12)^$CZ18),0)</f>
        <v>1895498.5416642493</v>
      </c>
      <c r="DX18" s="126">
        <f ca="1">MAX(DX17*(1+Y18)-(Dashboard!$C$11)/(1-Dashboard!$C$17)*((1+Dashboard!$C$12)^$CZ18),0)</f>
        <v>1700067.6424024336</v>
      </c>
      <c r="DY18" s="126">
        <f ca="1">MAX(DY17*(1+Z18)-(Dashboard!$C$11)/(1-Dashboard!$C$17)*((1+Dashboard!$C$12)^$CZ18),0)</f>
        <v>5490669.5418190425</v>
      </c>
      <c r="DZ18" s="126">
        <f ca="1">MAX(DZ17*(1+AA18)-(Dashboard!$C$11)/(1-Dashboard!$C$17)*((1+Dashboard!$C$12)^$CZ18),0)</f>
        <v>578582.70548830426</v>
      </c>
      <c r="EA18" s="126">
        <f ca="1">MAX(EA17*(1+AB18)-(Dashboard!$C$11)/(1-Dashboard!$C$17)*((1+Dashboard!$C$12)^$CZ18),0)</f>
        <v>2256157.6736163665</v>
      </c>
      <c r="EB18" s="126">
        <f ca="1">MAX(EB17*(1+AC18)-(Dashboard!$C$11)/(1-Dashboard!$C$17)*((1+Dashboard!$C$12)^$CZ18),0)</f>
        <v>3744629.0927224141</v>
      </c>
      <c r="EC18" s="126">
        <f ca="1">MAX(EC17*(1+AD18)-(Dashboard!$C$11)/(1-Dashboard!$C$17)*((1+Dashboard!$C$12)^$CZ18),0)</f>
        <v>5720027.3241442917</v>
      </c>
      <c r="ED18" s="126">
        <f ca="1">MAX(ED17*(1+AE18)-(Dashboard!$C$11)/(1-Dashboard!$C$17)*((1+Dashboard!$C$12)^$CZ18),0)</f>
        <v>4419866.9698798498</v>
      </c>
      <c r="EE18" s="126">
        <f ca="1">MAX(EE17*(1+AF18)-(Dashboard!$C$11)/(1-Dashboard!$C$17)*((1+Dashboard!$C$12)^$CZ18),0)</f>
        <v>2927154.6591925719</v>
      </c>
      <c r="EF18" s="126">
        <f ca="1">MAX(EF17*(1+AG18)-(Dashboard!$C$11)/(1-Dashboard!$C$17)*((1+Dashboard!$C$12)^$CZ18),0)</f>
        <v>1694936.078249088</v>
      </c>
      <c r="EG18" s="126">
        <f ca="1">MAX(EG17*(1+AH18)-(Dashboard!$C$11)/(1-Dashboard!$C$17)*((1+Dashboard!$C$12)^$CZ18),0)</f>
        <v>3752107.9705367466</v>
      </c>
      <c r="EH18" s="126">
        <f ca="1">MAX(EH17*(1+AI18)-(Dashboard!$C$11)/(1-Dashboard!$C$17)*((1+Dashboard!$C$12)^$CZ18),0)</f>
        <v>2753803.5556212678</v>
      </c>
      <c r="EI18" s="126">
        <f ca="1">MAX(EI17*(1+AJ18)-(Dashboard!$C$11)/(1-Dashboard!$C$17)*((1+Dashboard!$C$12)^$CZ18),0)</f>
        <v>692943.57560707279</v>
      </c>
      <c r="EJ18" s="126">
        <f ca="1">MAX(EJ17*(1+AK18)-(Dashboard!$C$11)/(1-Dashboard!$C$17)*((1+Dashboard!$C$12)^$CZ18),0)</f>
        <v>2587226.6380002522</v>
      </c>
      <c r="EK18" s="126">
        <f ca="1">MAX(EK17*(1+AL18)-(Dashboard!$C$11)/(1-Dashboard!$C$17)*((1+Dashboard!$C$12)^$CZ18),0)</f>
        <v>2831258.6172007043</v>
      </c>
      <c r="EL18" s="126">
        <f ca="1">MAX(EL17*(1+AM18)-(Dashboard!$C$11)/(1-Dashboard!$C$17)*((1+Dashboard!$C$12)^$CZ18),0)</f>
        <v>776910.30498110759</v>
      </c>
      <c r="EM18" s="126">
        <f ca="1">MAX(EM17*(1+AN18)-(Dashboard!$C$11)/(1-Dashboard!$C$17)*((1+Dashboard!$C$12)^$CZ18),0)</f>
        <v>2027886.7152578952</v>
      </c>
      <c r="EN18" s="126">
        <f ca="1">MAX(EN17*(1+AO18)-(Dashboard!$C$11)/(1-Dashboard!$C$17)*((1+Dashboard!$C$12)^$CZ18),0)</f>
        <v>2195772.5410854099</v>
      </c>
      <c r="EO18" s="126">
        <f ca="1">MAX(EO17*(1+AP18)-(Dashboard!$C$11)/(1-Dashboard!$C$17)*((1+Dashboard!$C$12)^$CZ18),0)</f>
        <v>710608.29263795761</v>
      </c>
      <c r="EP18" s="126">
        <f ca="1">MAX(EP17*(1+AQ18)-(Dashboard!$C$11)/(1-Dashboard!$C$17)*((1+Dashboard!$C$12)^$CZ18),0)</f>
        <v>2104263.8860444594</v>
      </c>
      <c r="EQ18" s="126">
        <f ca="1">MAX(EQ17*(1+AR18)-(Dashboard!$C$11)/(1-Dashboard!$C$17)*((1+Dashboard!$C$12)^$CZ18),0)</f>
        <v>1055753.4862652202</v>
      </c>
      <c r="ER18" s="126">
        <f ca="1">MAX(ER17*(1+AS18)-(Dashboard!$C$11)/(1-Dashboard!$C$17)*((1+Dashboard!$C$12)^$CZ18),0)</f>
        <v>1180821.1304835791</v>
      </c>
      <c r="ES18" s="126">
        <f ca="1">MAX(ES17*(1+AT18)-(Dashboard!$C$11)/(1-Dashboard!$C$17)*((1+Dashboard!$C$12)^$CZ18),0)</f>
        <v>2292570.8720324947</v>
      </c>
      <c r="ET18" s="126">
        <f ca="1">MAX(ET17*(1+AU18)-(Dashboard!$C$11)/(1-Dashboard!$C$17)*((1+Dashboard!$C$12)^$CZ18),0)</f>
        <v>1625902.5497819695</v>
      </c>
      <c r="EU18" s="126">
        <f ca="1">MAX(EU17*(1+AV18)-(Dashboard!$C$11)/(1-Dashboard!$C$17)*((1+Dashboard!$C$12)^$CZ18),0)</f>
        <v>2693134.5731487824</v>
      </c>
      <c r="EV18" s="126">
        <f ca="1">MAX(EV17*(1+AW18)-(Dashboard!$C$11)/(1-Dashboard!$C$17)*((1+Dashboard!$C$12)^$CZ18),0)</f>
        <v>5363643.2422019485</v>
      </c>
      <c r="EW18" s="126">
        <f ca="1">MAX(EW17*(1+AX18)-(Dashboard!$C$11)/(1-Dashboard!$C$17)*((1+Dashboard!$C$12)^$CZ18),0)</f>
        <v>3025307.177630058</v>
      </c>
      <c r="EX18" s="126">
        <f ca="1">MAX(EX17*(1+AY18)-(Dashboard!$C$11)/(1-Dashboard!$C$17)*((1+Dashboard!$C$12)^$CZ18),0)</f>
        <v>1871284.0300761973</v>
      </c>
      <c r="EY18" s="126">
        <f ca="1">MAX(EY17*(1+AZ18)-(Dashboard!$C$11)/(1-Dashboard!$C$17)*((1+Dashboard!$C$12)^$CZ18),0)</f>
        <v>3891116.9334073793</v>
      </c>
      <c r="EZ18" s="126">
        <f ca="1">MAX(EZ17*(1+BA18)-(Dashboard!$C$11)/(1-Dashboard!$C$17)*((1+Dashboard!$C$12)^$CZ18),0)</f>
        <v>2296287.6016848092</v>
      </c>
      <c r="FA18" s="126">
        <f ca="1">MAX(FA17*(1+BB18)-(Dashboard!$C$11)/(1-Dashboard!$C$17)*((1+Dashboard!$C$12)^$CZ18),0)</f>
        <v>3448869.1064426065</v>
      </c>
      <c r="FB18" s="126">
        <f ca="1">MAX(FB17*(1+BC18)-(Dashboard!$C$11)/(1-Dashboard!$C$17)*((1+Dashboard!$C$12)^$CZ18),0)</f>
        <v>542642.12522638449</v>
      </c>
      <c r="FC18" s="126">
        <f ca="1">MAX(FC17*(1+BD18)-(Dashboard!$C$11)/(1-Dashboard!$C$17)*((1+Dashboard!$C$12)^$CZ18),0)</f>
        <v>2764728.0952924723</v>
      </c>
      <c r="FD18" s="126">
        <f ca="1">MAX(FD17*(1+BE18)-(Dashboard!$C$11)/(1-Dashboard!$C$17)*((1+Dashboard!$C$12)^$CZ18),0)</f>
        <v>4219549.2619260456</v>
      </c>
      <c r="FE18" s="126">
        <f ca="1">MAX(FE17*(1+BF18)-(Dashboard!$C$11)/(1-Dashboard!$C$17)*((1+Dashboard!$C$12)^$CZ18),0)</f>
        <v>3770515.438414745</v>
      </c>
      <c r="FF18" s="126">
        <f ca="1">MAX(FF17*(1+BG18)-(Dashboard!$C$11)/(1-Dashboard!$C$17)*((1+Dashboard!$C$12)^$CZ18),0)</f>
        <v>1826053.3755067792</v>
      </c>
      <c r="FG18" s="126">
        <f ca="1">MAX(FG17*(1+BH18)-(Dashboard!$C$11)/(1-Dashboard!$C$17)*((1+Dashboard!$C$12)^$CZ18),0)</f>
        <v>2242137.3908338784</v>
      </c>
      <c r="FH18" s="126">
        <f ca="1">MAX(FH17*(1+BI18)-(Dashboard!$C$11)/(1-Dashboard!$C$17)*((1+Dashboard!$C$12)^$CZ18),0)</f>
        <v>2102310.6139148246</v>
      </c>
      <c r="FI18" s="126">
        <f ca="1">MAX(FI17*(1+BJ18)-(Dashboard!$C$11)/(1-Dashboard!$C$17)*((1+Dashboard!$C$12)^$CZ18),0)</f>
        <v>4369286.7528633978</v>
      </c>
      <c r="FJ18" s="126">
        <f ca="1">MAX(FJ17*(1+BK18)-(Dashboard!$C$11)/(1-Dashboard!$C$17)*((1+Dashboard!$C$12)^$CZ18),0)</f>
        <v>1478917.3583152064</v>
      </c>
      <c r="FK18" s="126">
        <f ca="1">MAX(FK17*(1+BL18)-(Dashboard!$C$11)/(1-Dashboard!$C$17)*((1+Dashboard!$C$12)^$CZ18),0)</f>
        <v>2592019.1962528722</v>
      </c>
      <c r="FL18" s="126">
        <f ca="1">MAX(FL17*(1+BM18)-(Dashboard!$C$11)/(1-Dashboard!$C$17)*((1+Dashboard!$C$12)^$CZ18),0)</f>
        <v>2226319.491618542</v>
      </c>
      <c r="FM18" s="126">
        <f ca="1">MAX(FM17*(1+BN18)-(Dashboard!$C$11)/(1-Dashboard!$C$17)*((1+Dashboard!$C$12)^$CZ18),0)</f>
        <v>4808739.9608813347</v>
      </c>
      <c r="FN18" s="126">
        <f ca="1">MAX(FN17*(1+BO18)-(Dashboard!$C$11)/(1-Dashboard!$C$17)*((1+Dashboard!$C$12)^$CZ18),0)</f>
        <v>496738.57970330515</v>
      </c>
      <c r="FO18" s="126">
        <f ca="1">MAX(FO17*(1+BP18)-(Dashboard!$C$11)/(1-Dashboard!$C$17)*((1+Dashboard!$C$12)^$CZ18),0)</f>
        <v>2554839.3584343744</v>
      </c>
      <c r="FP18" s="126">
        <f ca="1">MAX(FP17*(1+BQ18)-(Dashboard!$C$11)/(1-Dashboard!$C$17)*((1+Dashboard!$C$12)^$CZ18),0)</f>
        <v>2406578.254608301</v>
      </c>
      <c r="FQ18" s="126">
        <f ca="1">MAX(FQ17*(1+BR18)-(Dashboard!$C$11)/(1-Dashboard!$C$17)*((1+Dashboard!$C$12)^$CZ18),0)</f>
        <v>2516786.2326472066</v>
      </c>
      <c r="FR18" s="126">
        <f ca="1">MAX(FR17*(1+BS18)-(Dashboard!$C$11)/(1-Dashboard!$C$17)*((1+Dashboard!$C$12)^$CZ18),0)</f>
        <v>4291170.1665794747</v>
      </c>
      <c r="FS18" s="126">
        <f ca="1">MAX(FS17*(1+BT18)-(Dashboard!$C$11)/(1-Dashboard!$C$17)*((1+Dashboard!$C$12)^$CZ18),0)</f>
        <v>6096721.1272342689</v>
      </c>
      <c r="FT18" s="126">
        <f ca="1">MAX(FT17*(1+BU18)-(Dashboard!$C$11)/(1-Dashboard!$C$17)*((1+Dashboard!$C$12)^$CZ18),0)</f>
        <v>1340335.4869970605</v>
      </c>
      <c r="FU18" s="126">
        <f ca="1">MAX(FU17*(1+BV18)-(Dashboard!$C$11)/(1-Dashboard!$C$17)*((1+Dashboard!$C$12)^$CZ18),0)</f>
        <v>2077021.8788205138</v>
      </c>
      <c r="FV18" s="126">
        <f ca="1">MAX(FV17*(1+BW18)-(Dashboard!$C$11)/(1-Dashboard!$C$17)*((1+Dashboard!$C$12)^$CZ18),0)</f>
        <v>1166959.6667509638</v>
      </c>
      <c r="FW18" s="126">
        <f ca="1">MAX(FW17*(1+BX18)-(Dashboard!$C$11)/(1-Dashboard!$C$17)*((1+Dashboard!$C$12)^$CZ18),0)</f>
        <v>3945796.0190264583</v>
      </c>
      <c r="FX18" s="126">
        <f ca="1">MAX(FX17*(1+BY18)-(Dashboard!$C$11)/(1-Dashboard!$C$17)*((1+Dashboard!$C$12)^$CZ18),0)</f>
        <v>1860930.2159826041</v>
      </c>
      <c r="FY18" s="126">
        <f ca="1">MAX(FY17*(1+BZ18)-(Dashboard!$C$11)/(1-Dashboard!$C$17)*((1+Dashboard!$C$12)^$CZ18),0)</f>
        <v>1484875.9462663687</v>
      </c>
      <c r="FZ18" s="126">
        <f ca="1">MAX(FZ17*(1+CA18)-(Dashboard!$C$11)/(1-Dashboard!$C$17)*((1+Dashboard!$C$12)^$CZ18),0)</f>
        <v>4070712.0687930752</v>
      </c>
      <c r="GA18" s="126">
        <f ca="1">MAX(GA17*(1+CB18)-(Dashboard!$C$11)/(1-Dashboard!$C$17)*((1+Dashboard!$C$12)^$CZ18),0)</f>
        <v>4459407.7142105978</v>
      </c>
      <c r="GB18" s="126">
        <f ca="1">MAX(GB17*(1+CC18)-(Dashboard!$C$11)/(1-Dashboard!$C$17)*((1+Dashboard!$C$12)^$CZ18),0)</f>
        <v>1258441.8891821422</v>
      </c>
      <c r="GC18" s="126">
        <f ca="1">MAX(GC17*(1+CD18)-(Dashboard!$C$11)/(1-Dashboard!$C$17)*((1+Dashboard!$C$12)^$CZ18),0)</f>
        <v>4348614.0744107319</v>
      </c>
      <c r="GD18" s="126">
        <f ca="1">MAX(GD17*(1+CE18)-(Dashboard!$C$11)/(1-Dashboard!$C$17)*((1+Dashboard!$C$12)^$CZ18),0)</f>
        <v>5096045.6771910172</v>
      </c>
      <c r="GE18" s="126">
        <f ca="1">MAX(GE17*(1+CF18)-(Dashboard!$C$11)/(1-Dashboard!$C$17)*((1+Dashboard!$C$12)^$CZ18),0)</f>
        <v>1687975.5647373297</v>
      </c>
      <c r="GF18" s="126">
        <f ca="1">MAX(GF17*(1+CG18)-(Dashboard!$C$11)/(1-Dashboard!$C$17)*((1+Dashboard!$C$12)^$CZ18),0)</f>
        <v>6147002.2685239827</v>
      </c>
      <c r="GG18" s="126">
        <f ca="1">MAX(GG17*(1+CH18)-(Dashboard!$C$11)/(1-Dashboard!$C$17)*((1+Dashboard!$C$12)^$CZ18),0)</f>
        <v>606597.63484444702</v>
      </c>
      <c r="GH18" s="126">
        <f ca="1">MAX(GH17*(1+CI18)-(Dashboard!$C$11)/(1-Dashboard!$C$17)*((1+Dashboard!$C$12)^$CZ18),0)</f>
        <v>1671582.1524377947</v>
      </c>
      <c r="GI18" s="126">
        <f ca="1">MAX(GI17*(1+CJ18)-(Dashboard!$C$11)/(1-Dashboard!$C$17)*((1+Dashboard!$C$12)^$CZ18),0)</f>
        <v>1183841.8829872948</v>
      </c>
      <c r="GJ18" s="126">
        <f ca="1">MAX(GJ17*(1+CK18)-(Dashboard!$C$11)/(1-Dashboard!$C$17)*((1+Dashboard!$C$12)^$CZ18),0)</f>
        <v>3562593.2872912227</v>
      </c>
      <c r="GK18" s="126">
        <f ca="1">MAX(GK17*(1+CL18)-(Dashboard!$C$11)/(1-Dashboard!$C$17)*((1+Dashboard!$C$12)^$CZ18),0)</f>
        <v>4637095.1206800584</v>
      </c>
      <c r="GL18" s="126">
        <f ca="1">MAX(GL17*(1+CM18)-(Dashboard!$C$11)/(1-Dashboard!$C$17)*((1+Dashboard!$C$12)^$CZ18),0)</f>
        <v>4102940.886088328</v>
      </c>
      <c r="GM18" s="126">
        <f ca="1">MAX(GM17*(1+CN18)-(Dashboard!$C$11)/(1-Dashboard!$C$17)*((1+Dashboard!$C$12)^$CZ18),0)</f>
        <v>2112688.8927718541</v>
      </c>
      <c r="GN18" s="126">
        <f ca="1">MAX(GN17*(1+CO18)-(Dashboard!$C$11)/(1-Dashboard!$C$17)*((1+Dashboard!$C$12)^$CZ18),0)</f>
        <v>573203.07809121278</v>
      </c>
      <c r="GO18" s="126">
        <f ca="1">MAX(GO17*(1+CP18)-(Dashboard!$C$11)/(1-Dashboard!$C$17)*((1+Dashboard!$C$12)^$CZ18),0)</f>
        <v>2136192.0788243269</v>
      </c>
      <c r="GP18" s="126">
        <f ca="1">MAX(GP17*(1+CQ18)-(Dashboard!$C$11)/(1-Dashboard!$C$17)*((1+Dashboard!$C$12)^$CZ18),0)</f>
        <v>1571746.9884681543</v>
      </c>
      <c r="GQ18" s="126">
        <f ca="1">MAX(GQ17*(1+CR18)-(Dashboard!$C$11)/(1-Dashboard!$C$17)*((1+Dashboard!$C$12)^$CZ18),0)</f>
        <v>956818.9246698448</v>
      </c>
      <c r="GR18" s="126">
        <f ca="1">MAX(GR17*(1+CS18)-(Dashboard!$C$11)/(1-Dashboard!$C$17)*((1+Dashboard!$C$12)^$CZ18),0)</f>
        <v>1128666.783692667</v>
      </c>
      <c r="GS18" s="126">
        <f ca="1">MAX(GS17*(1+CT18)-(Dashboard!$C$11)/(1-Dashboard!$C$17)*((1+Dashboard!$C$12)^$CZ18),0)</f>
        <v>3878379.282556721</v>
      </c>
      <c r="GT18" s="126">
        <f ca="1">MAX(GT17*(1+CU18)-(Dashboard!$C$11)/(1-Dashboard!$C$17)*((1+Dashboard!$C$12)^$CZ18),0)</f>
        <v>4214863.7308033518</v>
      </c>
      <c r="GU18" s="126">
        <f ca="1">MAX(GU17*(1+CV18)-(Dashboard!$C$11)/(1-Dashboard!$C$17)*((1+Dashboard!$C$12)^$CZ18),0)</f>
        <v>933767.73655146139</v>
      </c>
      <c r="GV18" s="126">
        <f ca="1">MAX(GV17*(1+CW18)-(Dashboard!$C$11)/(1-Dashboard!$C$17)*((1+Dashboard!$C$12)^$CZ18),0)</f>
        <v>1049631.0619146337</v>
      </c>
      <c r="GW18" s="115">
        <f t="shared" si="4"/>
        <v>67</v>
      </c>
      <c r="GX18" s="130">
        <f t="shared" ca="1" si="2"/>
        <v>100</v>
      </c>
      <c r="HC18" s="130">
        <f t="shared" si="0"/>
        <v>67</v>
      </c>
      <c r="HD18" s="137">
        <f t="shared" ca="1" si="1"/>
        <v>1480407.0053029968</v>
      </c>
      <c r="HE18" s="137">
        <f t="shared" ca="1" si="1"/>
        <v>2249147.5322251227</v>
      </c>
      <c r="HF18" s="137">
        <f t="shared" ca="1" si="1"/>
        <v>3765913.5714452453</v>
      </c>
    </row>
    <row r="19" spans="1:214" ht="16">
      <c r="A19" s="145">
        <f t="shared" si="3"/>
        <v>68</v>
      </c>
      <c r="B19" s="122">
        <f ca="1">(Dashboard!$C$7*'Equity and Bond Returns'!N19)+(Dashboard!$C$8*'Equity and Bond Returns'!DL19)</f>
        <v>2.8602721074257081E-2</v>
      </c>
      <c r="C19" s="122">
        <f ca="1">(Dashboard!$C$7*'Equity and Bond Returns'!O19)+(Dashboard!$C$8*'Equity and Bond Returns'!DM19)</f>
        <v>6.4855942935907157E-2</v>
      </c>
      <c r="D19" s="122">
        <f ca="1">(Dashboard!$C$7*'Equity and Bond Returns'!P19)+(Dashboard!$C$8*'Equity and Bond Returns'!DN19)</f>
        <v>0.26357541076219465</v>
      </c>
      <c r="E19" s="122">
        <f ca="1">(Dashboard!$C$7*'Equity and Bond Returns'!Q19)+(Dashboard!$C$8*'Equity and Bond Returns'!DO19)</f>
        <v>-4.3447863725877126E-2</v>
      </c>
      <c r="F19" s="122">
        <f ca="1">(Dashboard!$C$7*'Equity and Bond Returns'!R19)+(Dashboard!$C$8*'Equity and Bond Returns'!DP19)</f>
        <v>-5.7822899917685508E-2</v>
      </c>
      <c r="G19" s="122">
        <f ca="1">(Dashboard!$C$7*'Equity and Bond Returns'!S19)+(Dashboard!$C$8*'Equity and Bond Returns'!DQ19)</f>
        <v>0.14365197068993574</v>
      </c>
      <c r="H19" s="122">
        <f ca="1">(Dashboard!$C$7*'Equity and Bond Returns'!T19)+(Dashboard!$C$8*'Equity and Bond Returns'!DR19)</f>
        <v>0.15756099130108023</v>
      </c>
      <c r="I19" s="122">
        <f ca="1">(Dashboard!$C$7*'Equity and Bond Returns'!U19)+(Dashboard!$C$8*'Equity and Bond Returns'!DS19)</f>
        <v>-9.0686184050265423E-3</v>
      </c>
      <c r="J19" s="122">
        <f ca="1">(Dashboard!$C$7*'Equity and Bond Returns'!V19)+(Dashboard!$C$8*'Equity and Bond Returns'!DT19)</f>
        <v>-5.2194982498109527E-2</v>
      </c>
      <c r="K19" s="122">
        <f ca="1">(Dashboard!$C$7*'Equity and Bond Returns'!W19)+(Dashboard!$C$8*'Equity and Bond Returns'!DU19)</f>
        <v>7.2757405412631499E-3</v>
      </c>
      <c r="L19" s="122">
        <f ca="1">(Dashboard!$C$7*'Equity and Bond Returns'!X19)+(Dashboard!$C$8*'Equity and Bond Returns'!DV19)</f>
        <v>2.6446737063740275E-2</v>
      </c>
      <c r="M19" s="122">
        <f ca="1">(Dashboard!$C$7*'Equity and Bond Returns'!Y19)+(Dashboard!$C$8*'Equity and Bond Returns'!DW19)</f>
        <v>0.12683799365668119</v>
      </c>
      <c r="N19" s="122">
        <f ca="1">(Dashboard!$C$7*'Equity and Bond Returns'!Z19)+(Dashboard!$C$8*'Equity and Bond Returns'!DX19)</f>
        <v>-1.853931078477843E-2</v>
      </c>
      <c r="O19" s="122">
        <f ca="1">(Dashboard!$C$7*'Equity and Bond Returns'!AA19)+(Dashboard!$C$8*'Equity and Bond Returns'!DY19)</f>
        <v>-9.9872127841173872E-2</v>
      </c>
      <c r="P19" s="122">
        <f ca="1">(Dashboard!$C$7*'Equity and Bond Returns'!AB19)+(Dashboard!$C$8*'Equity and Bond Returns'!DZ19)</f>
        <v>-4.1605155677351853E-2</v>
      </c>
      <c r="Q19" s="122">
        <f ca="1">(Dashboard!$C$7*'Equity and Bond Returns'!AC19)+(Dashboard!$C$8*'Equity and Bond Returns'!EA19)</f>
        <v>-0.14815064126043007</v>
      </c>
      <c r="R19" s="122">
        <f ca="1">(Dashboard!$C$7*'Equity and Bond Returns'!AD19)+(Dashboard!$C$8*'Equity and Bond Returns'!EB19)</f>
        <v>9.6005476646328053E-2</v>
      </c>
      <c r="S19" s="122">
        <f ca="1">(Dashboard!$C$7*'Equity and Bond Returns'!AE19)+(Dashboard!$C$8*'Equity and Bond Returns'!EC19)</f>
        <v>0.34998004980893221</v>
      </c>
      <c r="T19" s="122">
        <f ca="1">(Dashboard!$C$7*'Equity and Bond Returns'!AF19)+(Dashboard!$C$8*'Equity and Bond Returns'!ED19)</f>
        <v>0.14937392487656836</v>
      </c>
      <c r="U19" s="122">
        <f ca="1">(Dashboard!$C$7*'Equity and Bond Returns'!AG19)+(Dashboard!$C$8*'Equity and Bond Returns'!EE19)</f>
        <v>5.9703062784744014E-2</v>
      </c>
      <c r="V19" s="122">
        <f ca="1">(Dashboard!$C$7*'Equity and Bond Returns'!AH19)+(Dashboard!$C$8*'Equity and Bond Returns'!EF19)</f>
        <v>0.13277453892755739</v>
      </c>
      <c r="W19" s="122">
        <f ca="1">(Dashboard!$C$7*'Equity and Bond Returns'!AI19)+(Dashboard!$C$8*'Equity and Bond Returns'!EG19)</f>
        <v>-0.21955788410370949</v>
      </c>
      <c r="X19" s="122">
        <f ca="1">(Dashboard!$C$7*'Equity and Bond Returns'!AJ19)+(Dashboard!$C$8*'Equity and Bond Returns'!EH19)</f>
        <v>6.1736849632497294E-2</v>
      </c>
      <c r="Y19" s="122">
        <f ca="1">(Dashboard!$C$7*'Equity and Bond Returns'!AK19)+(Dashboard!$C$8*'Equity and Bond Returns'!EI19)</f>
        <v>1.1513223126338817E-2</v>
      </c>
      <c r="Z19" s="122">
        <f ca="1">(Dashboard!$C$7*'Equity and Bond Returns'!AL19)+(Dashboard!$C$8*'Equity and Bond Returns'!EJ19)</f>
        <v>-6.3146787051743633E-2</v>
      </c>
      <c r="AA19" s="122">
        <f ca="1">(Dashboard!$C$7*'Equity and Bond Returns'!AM19)+(Dashboard!$C$8*'Equity and Bond Returns'!EK19)</f>
        <v>0.11207646478437186</v>
      </c>
      <c r="AB19" s="122">
        <f ca="1">(Dashboard!$C$7*'Equity and Bond Returns'!AN19)+(Dashboard!$C$8*'Equity and Bond Returns'!EL19)</f>
        <v>3.1520967981889129E-2</v>
      </c>
      <c r="AC19" s="122">
        <f ca="1">(Dashboard!$C$7*'Equity and Bond Returns'!AO19)+(Dashboard!$C$8*'Equity and Bond Returns'!EM19)</f>
        <v>0.16322478439689841</v>
      </c>
      <c r="AD19" s="122">
        <f ca="1">(Dashboard!$C$7*'Equity and Bond Returns'!AP19)+(Dashboard!$C$8*'Equity and Bond Returns'!EN19)</f>
        <v>1.585394060389899E-2</v>
      </c>
      <c r="AE19" s="122">
        <f ca="1">(Dashboard!$C$7*'Equity and Bond Returns'!AQ19)+(Dashboard!$C$8*'Equity and Bond Returns'!EO19)</f>
        <v>0.18323868088105805</v>
      </c>
      <c r="AF19" s="122">
        <f ca="1">(Dashboard!$C$7*'Equity and Bond Returns'!AR19)+(Dashboard!$C$8*'Equity and Bond Returns'!EP19)</f>
        <v>7.5135158139639793E-2</v>
      </c>
      <c r="AG19" s="122">
        <f ca="1">(Dashboard!$C$7*'Equity and Bond Returns'!AS19)+(Dashboard!$C$8*'Equity and Bond Returns'!EQ19)</f>
        <v>-0.12639654247621285</v>
      </c>
      <c r="AH19" s="122">
        <f ca="1">(Dashboard!$C$7*'Equity and Bond Returns'!AT19)+(Dashboard!$C$8*'Equity and Bond Returns'!ER19)</f>
        <v>9.5115731481228899E-2</v>
      </c>
      <c r="AI19" s="122">
        <f ca="1">(Dashboard!$C$7*'Equity and Bond Returns'!AU19)+(Dashboard!$C$8*'Equity and Bond Returns'!ES19)</f>
        <v>0.26190118393177092</v>
      </c>
      <c r="AJ19" s="122">
        <f ca="1">(Dashboard!$C$7*'Equity and Bond Returns'!AV19)+(Dashboard!$C$8*'Equity and Bond Returns'!ET19)</f>
        <v>2.5941662425830476E-2</v>
      </c>
      <c r="AK19" s="122">
        <f ca="1">(Dashboard!$C$7*'Equity and Bond Returns'!AW19)+(Dashboard!$C$8*'Equity and Bond Returns'!EU19)</f>
        <v>0.14864146556059965</v>
      </c>
      <c r="AL19" s="122">
        <f ca="1">(Dashboard!$C$7*'Equity and Bond Returns'!AX19)+(Dashboard!$C$8*'Equity and Bond Returns'!EV19)</f>
        <v>0.11948042629597595</v>
      </c>
      <c r="AM19" s="122">
        <f ca="1">(Dashboard!$C$7*'Equity and Bond Returns'!AY19)+(Dashboard!$C$8*'Equity and Bond Returns'!EW19)</f>
        <v>-5.6658452470809258E-2</v>
      </c>
      <c r="AN19" s="122">
        <f ca="1">(Dashboard!$C$7*'Equity and Bond Returns'!AZ19)+(Dashboard!$C$8*'Equity and Bond Returns'!EX19)</f>
        <v>0.14305802165545081</v>
      </c>
      <c r="AO19" s="122">
        <f ca="1">(Dashboard!$C$7*'Equity and Bond Returns'!BA19)+(Dashboard!$C$8*'Equity and Bond Returns'!EY19)</f>
        <v>-0.10615571467184481</v>
      </c>
      <c r="AP19" s="122">
        <f ca="1">(Dashboard!$C$7*'Equity and Bond Returns'!BB19)+(Dashboard!$C$8*'Equity and Bond Returns'!EZ19)</f>
        <v>8.2077561127697818E-2</v>
      </c>
      <c r="AQ19" s="122">
        <f ca="1">(Dashboard!$C$7*'Equity and Bond Returns'!BC19)+(Dashboard!$C$8*'Equity and Bond Returns'!FA19)</f>
        <v>-6.9549858551666219E-2</v>
      </c>
      <c r="AR19" s="122">
        <f ca="1">(Dashboard!$C$7*'Equity and Bond Returns'!BD19)+(Dashboard!$C$8*'Equity and Bond Returns'!FB19)</f>
        <v>0.37106875859466926</v>
      </c>
      <c r="AS19" s="122">
        <f ca="1">(Dashboard!$C$7*'Equity and Bond Returns'!BE19)+(Dashboard!$C$8*'Equity and Bond Returns'!FC19)</f>
        <v>-6.6858257477024147E-2</v>
      </c>
      <c r="AT19" s="122">
        <f ca="1">(Dashboard!$C$7*'Equity and Bond Returns'!BF19)+(Dashboard!$C$8*'Equity and Bond Returns'!FD19)</f>
        <v>0.43477828131641444</v>
      </c>
      <c r="AU19" s="122">
        <f ca="1">(Dashboard!$C$7*'Equity and Bond Returns'!BG19)+(Dashboard!$C$8*'Equity and Bond Returns'!FE19)</f>
        <v>-0.13652072480950717</v>
      </c>
      <c r="AV19" s="122">
        <f ca="1">(Dashboard!$C$7*'Equity and Bond Returns'!BH19)+(Dashboard!$C$8*'Equity and Bond Returns'!FF19)</f>
        <v>0.18956778471048125</v>
      </c>
      <c r="AW19" s="122">
        <f ca="1">(Dashboard!$C$7*'Equity and Bond Returns'!BI19)+(Dashboard!$C$8*'Equity and Bond Returns'!FG19)</f>
        <v>5.8838852231547084E-2</v>
      </c>
      <c r="AX19" s="122">
        <f ca="1">(Dashboard!$C$7*'Equity and Bond Returns'!BJ19)+(Dashboard!$C$8*'Equity and Bond Returns'!FH19)</f>
        <v>0.14977116362278425</v>
      </c>
      <c r="AY19" s="122">
        <f ca="1">(Dashboard!$C$7*'Equity and Bond Returns'!BK19)+(Dashboard!$C$8*'Equity and Bond Returns'!FI19)</f>
        <v>0.24749555612178595</v>
      </c>
      <c r="AZ19" s="122">
        <f ca="1">(Dashboard!$C$7*'Equity and Bond Returns'!BL19)+(Dashboard!$C$8*'Equity and Bond Returns'!FJ19)</f>
        <v>0.30245051377754223</v>
      </c>
      <c r="BA19" s="122">
        <f ca="1">(Dashboard!$C$7*'Equity and Bond Returns'!BM19)+(Dashboard!$C$8*'Equity and Bond Returns'!FK19)</f>
        <v>0.1838755443417433</v>
      </c>
      <c r="BB19" s="122">
        <f ca="1">(Dashboard!$C$7*'Equity and Bond Returns'!BN19)+(Dashboard!$C$8*'Equity and Bond Returns'!FL19)</f>
        <v>0.4636533820178631</v>
      </c>
      <c r="BC19" s="122">
        <f ca="1">(Dashboard!$C$7*'Equity and Bond Returns'!BO19)+(Dashboard!$C$8*'Equity and Bond Returns'!FM19)</f>
        <v>0.36858068818554518</v>
      </c>
      <c r="BD19" s="122">
        <f ca="1">(Dashboard!$C$7*'Equity and Bond Returns'!BP19)+(Dashboard!$C$8*'Equity and Bond Returns'!FN19)</f>
        <v>0.28969302629152388</v>
      </c>
      <c r="BE19" s="122">
        <f ca="1">(Dashboard!$C$7*'Equity and Bond Returns'!BQ19)+(Dashboard!$C$8*'Equity and Bond Returns'!FO19)</f>
        <v>0.18688296569436336</v>
      </c>
      <c r="BF19" s="122">
        <f ca="1">(Dashboard!$C$7*'Equity and Bond Returns'!BR19)+(Dashboard!$C$8*'Equity and Bond Returns'!FP19)</f>
        <v>0.21759941291581816</v>
      </c>
      <c r="BG19" s="122">
        <f ca="1">(Dashboard!$C$7*'Equity and Bond Returns'!BS19)+(Dashboard!$C$8*'Equity and Bond Returns'!FQ19)</f>
        <v>1.3467610522224066E-2</v>
      </c>
      <c r="BH19" s="122">
        <f ca="1">(Dashboard!$C$7*'Equity and Bond Returns'!BT19)+(Dashboard!$C$8*'Equity and Bond Returns'!FR19)</f>
        <v>-1.1749713984065756E-2</v>
      </c>
      <c r="BI19" s="122">
        <f ca="1">(Dashboard!$C$7*'Equity and Bond Returns'!BU19)+(Dashboard!$C$8*'Equity and Bond Returns'!FS19)</f>
        <v>0.28878876829037414</v>
      </c>
      <c r="BJ19" s="122">
        <f ca="1">(Dashboard!$C$7*'Equity and Bond Returns'!BV19)+(Dashboard!$C$8*'Equity and Bond Returns'!FT19)</f>
        <v>0.11724602844046547</v>
      </c>
      <c r="BK19" s="122">
        <f ca="1">(Dashboard!$C$7*'Equity and Bond Returns'!BW19)+(Dashboard!$C$8*'Equity and Bond Returns'!FU19)</f>
        <v>4.4726833506945674E-2</v>
      </c>
      <c r="BL19" s="122">
        <f ca="1">(Dashboard!$C$7*'Equity and Bond Returns'!BX19)+(Dashboard!$C$8*'Equity and Bond Returns'!FV19)</f>
        <v>-0.10533209987762003</v>
      </c>
      <c r="BM19" s="122">
        <f ca="1">(Dashboard!$C$7*'Equity and Bond Returns'!BY19)+(Dashboard!$C$8*'Equity and Bond Returns'!FW19)</f>
        <v>3.0980994616075921E-2</v>
      </c>
      <c r="BN19" s="122">
        <f ca="1">(Dashboard!$C$7*'Equity and Bond Returns'!BZ19)+(Dashboard!$C$8*'Equity and Bond Returns'!FX19)</f>
        <v>-8.4534604455774841E-3</v>
      </c>
      <c r="BO19" s="122">
        <f ca="1">(Dashboard!$C$7*'Equity and Bond Returns'!CA19)+(Dashboard!$C$8*'Equity and Bond Returns'!FY19)</f>
        <v>-4.2902311794694593E-2</v>
      </c>
      <c r="BP19" s="122">
        <f ca="1">(Dashboard!$C$7*'Equity and Bond Returns'!CB19)+(Dashboard!$C$8*'Equity and Bond Returns'!FZ19)</f>
        <v>6.6634113509172685E-2</v>
      </c>
      <c r="BQ19" s="122">
        <f ca="1">(Dashboard!$C$7*'Equity and Bond Returns'!CC19)+(Dashboard!$C$8*'Equity and Bond Returns'!GA19)</f>
        <v>-0.11919189268647579</v>
      </c>
      <c r="BR19" s="122">
        <f ca="1">(Dashboard!$C$7*'Equity and Bond Returns'!CD19)+(Dashboard!$C$8*'Equity and Bond Returns'!GB19)</f>
        <v>0.29432594723195638</v>
      </c>
      <c r="BS19" s="122">
        <f ca="1">(Dashboard!$C$7*'Equity and Bond Returns'!CE19)+(Dashboard!$C$8*'Equity and Bond Returns'!GC19)</f>
        <v>9.2479758174488155E-3</v>
      </c>
      <c r="BT19" s="122">
        <f ca="1">(Dashboard!$C$7*'Equity and Bond Returns'!CF19)+(Dashboard!$C$8*'Equity and Bond Returns'!GD19)</f>
        <v>0.13438115076272369</v>
      </c>
      <c r="BU19" s="122">
        <f ca="1">(Dashboard!$C$7*'Equity and Bond Returns'!CG19)+(Dashboard!$C$8*'Equity and Bond Returns'!GE19)</f>
        <v>-0.10693270798157874</v>
      </c>
      <c r="BV19" s="122">
        <f ca="1">(Dashboard!$C$7*'Equity and Bond Returns'!CH19)+(Dashboard!$C$8*'Equity and Bond Returns'!GF19)</f>
        <v>7.2435053626324547E-2</v>
      </c>
      <c r="BW19" s="122">
        <f ca="1">(Dashboard!$C$7*'Equity and Bond Returns'!CI19)+(Dashboard!$C$8*'Equity and Bond Returns'!GG19)</f>
        <v>0.22078393651312928</v>
      </c>
      <c r="BX19" s="122">
        <f ca="1">(Dashboard!$C$7*'Equity and Bond Returns'!CJ19)+(Dashboard!$C$8*'Equity and Bond Returns'!GH19)</f>
        <v>-7.2777885081797403E-2</v>
      </c>
      <c r="BY19" s="122">
        <f ca="1">(Dashboard!$C$7*'Equity and Bond Returns'!CK19)+(Dashboard!$C$8*'Equity and Bond Returns'!GI19)</f>
        <v>-0.2406639389703607</v>
      </c>
      <c r="BZ19" s="122">
        <f ca="1">(Dashboard!$C$7*'Equity and Bond Returns'!CL19)+(Dashboard!$C$8*'Equity and Bond Returns'!GJ19)</f>
        <v>-4.5714183436411669E-2</v>
      </c>
      <c r="CA19" s="122">
        <f ca="1">(Dashboard!$C$7*'Equity and Bond Returns'!CM19)+(Dashboard!$C$8*'Equity and Bond Returns'!GK19)</f>
        <v>7.1984329806613651E-2</v>
      </c>
      <c r="CB19" s="122">
        <f ca="1">(Dashboard!$C$7*'Equity and Bond Returns'!CN19)+(Dashboard!$C$8*'Equity and Bond Returns'!GL19)</f>
        <v>4.5298446472173945E-2</v>
      </c>
      <c r="CC19" s="122">
        <f ca="1">(Dashboard!$C$7*'Equity and Bond Returns'!CO19)+(Dashboard!$C$8*'Equity and Bond Returns'!GM19)</f>
        <v>0.13324984893730735</v>
      </c>
      <c r="CD19" s="122">
        <f ca="1">(Dashboard!$C$7*'Equity and Bond Returns'!CP19)+(Dashboard!$C$8*'Equity and Bond Returns'!GN19)</f>
        <v>0.20315308510829683</v>
      </c>
      <c r="CE19" s="122">
        <f ca="1">(Dashboard!$C$7*'Equity and Bond Returns'!CQ19)+(Dashboard!$C$8*'Equity and Bond Returns'!GO19)</f>
        <v>0.37380429538206533</v>
      </c>
      <c r="CF19" s="122">
        <f ca="1">(Dashboard!$C$7*'Equity and Bond Returns'!CR19)+(Dashboard!$C$8*'Equity and Bond Returns'!GP19)</f>
        <v>5.1576305383704661E-2</v>
      </c>
      <c r="CG19" s="122">
        <f ca="1">(Dashboard!$C$7*'Equity and Bond Returns'!CS19)+(Dashboard!$C$8*'Equity and Bond Returns'!GQ19)</f>
        <v>0.17450658391207086</v>
      </c>
      <c r="CH19" s="122">
        <f ca="1">(Dashboard!$C$7*'Equity and Bond Returns'!CT19)+(Dashboard!$C$8*'Equity and Bond Returns'!GR19)</f>
        <v>0.23713532900029577</v>
      </c>
      <c r="CI19" s="122">
        <f ca="1">(Dashboard!$C$7*'Equity and Bond Returns'!CU19)+(Dashboard!$C$8*'Equity and Bond Returns'!GS19)</f>
        <v>0.11502564576484688</v>
      </c>
      <c r="CJ19" s="122">
        <f ca="1">(Dashboard!$C$7*'Equity and Bond Returns'!CV19)+(Dashboard!$C$8*'Equity and Bond Returns'!GT19)</f>
        <v>3.227153260100997E-2</v>
      </c>
      <c r="CK19" s="122">
        <f ca="1">(Dashboard!$C$7*'Equity and Bond Returns'!CW19)+(Dashboard!$C$8*'Equity and Bond Returns'!GU19)</f>
        <v>0.13035230784349297</v>
      </c>
      <c r="CL19" s="122">
        <f ca="1">(Dashboard!$C$7*'Equity and Bond Returns'!CX19)+(Dashboard!$C$8*'Equity and Bond Returns'!GV19)</f>
        <v>-0.11452150623932336</v>
      </c>
      <c r="CM19" s="122">
        <f ca="1">(Dashboard!$C$7*'Equity and Bond Returns'!CY19)+(Dashboard!$C$8*'Equity and Bond Returns'!GW19)</f>
        <v>-9.6694865341900305E-2</v>
      </c>
      <c r="CN19" s="122">
        <f ca="1">(Dashboard!$C$7*'Equity and Bond Returns'!CZ19)+(Dashboard!$C$8*'Equity and Bond Returns'!GX19)</f>
        <v>-9.9391555851811031E-2</v>
      </c>
      <c r="CO19" s="122">
        <f ca="1">(Dashboard!$C$7*'Equity and Bond Returns'!DA19)+(Dashboard!$C$8*'Equity and Bond Returns'!GY19)</f>
        <v>-0.32316069702848627</v>
      </c>
      <c r="CP19" s="122">
        <f ca="1">(Dashboard!$C$7*'Equity and Bond Returns'!DB19)+(Dashboard!$C$8*'Equity and Bond Returns'!GZ19)</f>
        <v>-0.10894728789035851</v>
      </c>
      <c r="CQ19" s="122">
        <f ca="1">(Dashboard!$C$7*'Equity and Bond Returns'!DC19)+(Dashboard!$C$8*'Equity and Bond Returns'!HA19)</f>
        <v>9.6924033919779953E-2</v>
      </c>
      <c r="CR19" s="122">
        <f ca="1">(Dashboard!$C$7*'Equity and Bond Returns'!DD19)+(Dashboard!$C$8*'Equity and Bond Returns'!HB19)</f>
        <v>-0.14847791035359406</v>
      </c>
      <c r="CS19" s="122">
        <f ca="1">(Dashboard!$C$7*'Equity and Bond Returns'!DE19)+(Dashboard!$C$8*'Equity and Bond Returns'!HC19)</f>
        <v>0.24960151018218696</v>
      </c>
      <c r="CT19" s="122">
        <f ca="1">(Dashboard!$C$7*'Equity and Bond Returns'!DF19)+(Dashboard!$C$8*'Equity and Bond Returns'!HD19)</f>
        <v>-0.21991705673495127</v>
      </c>
      <c r="CU19" s="122">
        <f ca="1">(Dashboard!$C$7*'Equity and Bond Returns'!DG19)+(Dashboard!$C$8*'Equity and Bond Returns'!HE19)</f>
        <v>0.28949659004906403</v>
      </c>
      <c r="CV19" s="122">
        <f ca="1">(Dashboard!$C$7*'Equity and Bond Returns'!DH19)+(Dashboard!$C$8*'Equity and Bond Returns'!HF19)</f>
        <v>0.12084900943470031</v>
      </c>
      <c r="CW19" s="122">
        <f ca="1">(Dashboard!$C$7*'Equity and Bond Returns'!DI19)+(Dashboard!$C$8*'Equity and Bond Returns'!HG19)</f>
        <v>6.0488109436688156E-2</v>
      </c>
      <c r="CY19" s="147">
        <f t="shared" si="5"/>
        <v>68</v>
      </c>
      <c r="CZ19" s="148">
        <v>18</v>
      </c>
      <c r="DA19" s="126">
        <f ca="1">MAX(DA18*(1+B19)-(Dashboard!$C$11)/(1-Dashboard!$C$17)*((1+Dashboard!$C$12)^$CZ19),0)</f>
        <v>6409748.5001099203</v>
      </c>
      <c r="DB19" s="126">
        <f ca="1">MAX(DB18*(1+C19)-(Dashboard!$C$11)/(1-Dashboard!$C$17)*((1+Dashboard!$C$12)^$CZ19),0)</f>
        <v>234934.67426785527</v>
      </c>
      <c r="DC19" s="126">
        <f ca="1">MAX(DC18*(1+D19)-(Dashboard!$C$11)/(1-Dashboard!$C$17)*((1+Dashboard!$C$12)^$CZ19),0)</f>
        <v>3591390.5810751733</v>
      </c>
      <c r="DD19" s="126">
        <f ca="1">MAX(DD18*(1+E19)-(Dashboard!$C$11)/(1-Dashboard!$C$17)*((1+Dashboard!$C$12)^$CZ19),0)</f>
        <v>599083.05576298258</v>
      </c>
      <c r="DE19" s="126">
        <f ca="1">MAX(DE18*(1+F19)-(Dashboard!$C$11)/(1-Dashboard!$C$17)*((1+Dashboard!$C$12)^$CZ19),0)</f>
        <v>3377198.2007712158</v>
      </c>
      <c r="DF19" s="126">
        <f ca="1">MAX(DF18*(1+G19)-(Dashboard!$C$11)/(1-Dashboard!$C$17)*((1+Dashboard!$C$12)^$CZ19),0)</f>
        <v>3515924.3434129977</v>
      </c>
      <c r="DG19" s="126">
        <f ca="1">MAX(DG18*(1+H19)-(Dashboard!$C$11)/(1-Dashboard!$C$17)*((1+Dashboard!$C$12)^$CZ19),0)</f>
        <v>654833.51418605749</v>
      </c>
      <c r="DH19" s="126">
        <f ca="1">MAX(DH18*(1+I19)-(Dashboard!$C$11)/(1-Dashboard!$C$17)*((1+Dashboard!$C$12)^$CZ19),0)</f>
        <v>2804753.3097155434</v>
      </c>
      <c r="DI19" s="126">
        <f ca="1">MAX(DI18*(1+J19)-(Dashboard!$C$11)/(1-Dashboard!$C$17)*((1+Dashboard!$C$12)^$CZ19),0)</f>
        <v>1813726.8988570047</v>
      </c>
      <c r="DJ19" s="126">
        <f ca="1">MAX(DJ18*(1+K19)-(Dashboard!$C$11)/(1-Dashboard!$C$17)*((1+Dashboard!$C$12)^$CZ19),0)</f>
        <v>1683093.4387677526</v>
      </c>
      <c r="DK19" s="126">
        <f ca="1">MAX(DK18*(1+L19)-(Dashboard!$C$11)/(1-Dashboard!$C$17)*((1+Dashboard!$C$12)^$CZ19),0)</f>
        <v>5123227.3117011385</v>
      </c>
      <c r="DL19" s="126">
        <f ca="1">MAX(DL18*(1+M19)-(Dashboard!$C$11)/(1-Dashboard!$C$17)*((1+Dashboard!$C$12)^$CZ19),0)</f>
        <v>976205.80717117724</v>
      </c>
      <c r="DM19" s="126">
        <f ca="1">MAX(DM18*(1+N19)-(Dashboard!$C$11)/(1-Dashboard!$C$17)*((1+Dashboard!$C$12)^$CZ19),0)</f>
        <v>1826790.0622226964</v>
      </c>
      <c r="DN19" s="126">
        <f ca="1">MAX(DN18*(1+O19)-(Dashboard!$C$11)/(1-Dashboard!$C$17)*((1+Dashboard!$C$12)^$CZ19),0)</f>
        <v>7785970.8292344389</v>
      </c>
      <c r="DO19" s="126">
        <f ca="1">MAX(DO18*(1+P19)-(Dashboard!$C$11)/(1-Dashboard!$C$17)*((1+Dashboard!$C$12)^$CZ19),0)</f>
        <v>1848448.242505545</v>
      </c>
      <c r="DP19" s="126">
        <f ca="1">MAX(DP18*(1+Q19)-(Dashboard!$C$11)/(1-Dashboard!$C$17)*((1+Dashboard!$C$12)^$CZ19),0)</f>
        <v>3207950.0158743318</v>
      </c>
      <c r="DQ19" s="126">
        <f ca="1">MAX(DQ18*(1+R19)-(Dashboard!$C$11)/(1-Dashboard!$C$17)*((1+Dashboard!$C$12)^$CZ19),0)</f>
        <v>3228470.5728628905</v>
      </c>
      <c r="DR19" s="126">
        <f ca="1">MAX(DR18*(1+S19)-(Dashboard!$C$11)/(1-Dashboard!$C$17)*((1+Dashboard!$C$12)^$CZ19),0)</f>
        <v>4987727.2024949081</v>
      </c>
      <c r="DS19" s="126">
        <f ca="1">MAX(DS18*(1+T19)-(Dashboard!$C$11)/(1-Dashboard!$C$17)*((1+Dashboard!$C$12)^$CZ19),0)</f>
        <v>1354192.1938100227</v>
      </c>
      <c r="DT19" s="126">
        <f ca="1">MAX(DT18*(1+U19)-(Dashboard!$C$11)/(1-Dashboard!$C$17)*((1+Dashboard!$C$12)^$CZ19),0)</f>
        <v>1822991.9345629988</v>
      </c>
      <c r="DU19" s="126">
        <f ca="1">MAX(DU18*(1+V19)-(Dashboard!$C$11)/(1-Dashboard!$C$17)*((1+Dashboard!$C$12)^$CZ19),0)</f>
        <v>2942783.5455430849</v>
      </c>
      <c r="DV19" s="126">
        <f ca="1">MAX(DV18*(1+W19)-(Dashboard!$C$11)/(1-Dashboard!$C$17)*((1+Dashboard!$C$12)^$CZ19),0)</f>
        <v>4356966.5934591852</v>
      </c>
      <c r="DW19" s="126">
        <f ca="1">MAX(DW18*(1+X19)-(Dashboard!$C$11)/(1-Dashboard!$C$17)*((1+Dashboard!$C$12)^$CZ19),0)</f>
        <v>1977407.9682215198</v>
      </c>
      <c r="DX19" s="126">
        <f ca="1">MAX(DX18*(1+Y19)-(Dashboard!$C$11)/(1-Dashboard!$C$17)*((1+Dashboard!$C$12)^$CZ19),0)</f>
        <v>1684528.2186112087</v>
      </c>
      <c r="DY19" s="126">
        <f ca="1">MAX(DY18*(1+Z19)-(Dashboard!$C$11)/(1-Dashboard!$C$17)*((1+Dashboard!$C$12)^$CZ19),0)</f>
        <v>5108838.7196022281</v>
      </c>
      <c r="DZ19" s="126">
        <f ca="1">MAX(DZ18*(1+AA19)-(Dashboard!$C$11)/(1-Dashboard!$C$17)*((1+Dashboard!$C$12)^$CZ19),0)</f>
        <v>608315.52781673789</v>
      </c>
      <c r="EA19" s="126">
        <f ca="1">MAX(EA18*(1+AB19)-(Dashboard!$C$11)/(1-Dashboard!$C$17)*((1+Dashboard!$C$12)^$CZ19),0)</f>
        <v>2292161.2655204479</v>
      </c>
      <c r="EB19" s="126">
        <f ca="1">MAX(EB18*(1+AC19)-(Dashboard!$C$11)/(1-Dashboard!$C$17)*((1+Dashboard!$C$12)^$CZ19),0)</f>
        <v>4320732.6871403102</v>
      </c>
      <c r="EC19" s="126">
        <f ca="1">MAX(EC18*(1+AD19)-(Dashboard!$C$11)/(1-Dashboard!$C$17)*((1+Dashboard!$C$12)^$CZ19),0)</f>
        <v>5775599.6157058813</v>
      </c>
      <c r="ED19" s="126">
        <f ca="1">MAX(ED18*(1+AE19)-(Dashboard!$C$11)/(1-Dashboard!$C$17)*((1+Dashboard!$C$12)^$CZ19),0)</f>
        <v>5194644.8812223198</v>
      </c>
      <c r="EE19" s="126">
        <f ca="1">MAX(EE18*(1+AF19)-(Dashboard!$C$11)/(1-Dashboard!$C$17)*((1+Dashboard!$C$12)^$CZ19),0)</f>
        <v>3111974.2055221158</v>
      </c>
      <c r="EF19" s="126">
        <f ca="1">MAX(EF18*(1+AG19)-(Dashboard!$C$11)/(1-Dashboard!$C$17)*((1+Dashboard!$C$12)^$CZ19),0)</f>
        <v>1445589.3363521385</v>
      </c>
      <c r="EG19" s="126">
        <f ca="1">MAX(EG18*(1+AH19)-(Dashboard!$C$11)/(1-Dashboard!$C$17)*((1+Dashboard!$C$12)^$CZ19),0)</f>
        <v>4073879.7828628253</v>
      </c>
      <c r="EH19" s="126">
        <f ca="1">MAX(EH18*(1+AI19)-(Dashboard!$C$11)/(1-Dashboard!$C$17)*((1+Dashboard!$C$12)^$CZ19),0)</f>
        <v>3439915.2852659249</v>
      </c>
      <c r="EI19" s="126">
        <f ca="1">MAX(EI18*(1+AJ19)-(Dashboard!$C$11)/(1-Dashboard!$C$17)*((1+Dashboard!$C$12)^$CZ19),0)</f>
        <v>675807.00203754636</v>
      </c>
      <c r="EJ19" s="126">
        <f ca="1">MAX(EJ18*(1+AK19)-(Dashboard!$C$11)/(1-Dashboard!$C$17)*((1+Dashboard!$C$12)^$CZ19),0)</f>
        <v>2936683.1153219594</v>
      </c>
      <c r="EK19" s="126">
        <f ca="1">MAX(EK18*(1+AL19)-(Dashboard!$C$11)/(1-Dashboard!$C$17)*((1+Dashboard!$C$12)^$CZ19),0)</f>
        <v>3134425.9218499265</v>
      </c>
      <c r="EL19" s="126">
        <f ca="1">MAX(EL18*(1+AM19)-(Dashboard!$C$11)/(1-Dashboard!$C$17)*((1+Dashboard!$C$12)^$CZ19),0)</f>
        <v>697779.08750418061</v>
      </c>
      <c r="EM19" s="126">
        <f ca="1">MAX(EM18*(1+AN19)-(Dashboard!$C$11)/(1-Dashboard!$C$17)*((1+Dashboard!$C$12)^$CZ19),0)</f>
        <v>2282879.494995987</v>
      </c>
      <c r="EN19" s="126">
        <f ca="1">MAX(EN18*(1+AO19)-(Dashboard!$C$11)/(1-Dashboard!$C$17)*((1+Dashboard!$C$12)^$CZ19),0)</f>
        <v>1927566.0558416026</v>
      </c>
      <c r="EO19" s="126">
        <f ca="1">MAX(EO18*(1+AP19)-(Dashboard!$C$11)/(1-Dashboard!$C$17)*((1+Dashboard!$C$12)^$CZ19),0)</f>
        <v>733820.60632672557</v>
      </c>
      <c r="EP19" s="126">
        <f ca="1">MAX(EP18*(1+AQ19)-(Dashboard!$C$11)/(1-Dashboard!$C$17)*((1+Dashboard!$C$12)^$CZ19),0)</f>
        <v>1922799.9485266148</v>
      </c>
      <c r="EQ19" s="126">
        <f ca="1">MAX(EQ18*(1+AR19)-(Dashboard!$C$11)/(1-Dashboard!$C$17)*((1+Dashboard!$C$12)^$CZ19),0)</f>
        <v>1412397.9399075767</v>
      </c>
      <c r="ER19" s="126">
        <f ca="1">MAX(ER18*(1+AS19)-(Dashboard!$C$11)/(1-Dashboard!$C$17)*((1+Dashboard!$C$12)^$CZ19),0)</f>
        <v>1066760.8054193242</v>
      </c>
      <c r="ES19" s="126">
        <f ca="1">MAX(ES18*(1+AT19)-(Dashboard!$C$11)/(1-Dashboard!$C$17)*((1+Dashboard!$C$12)^$CZ19),0)</f>
        <v>3254218.2136827833</v>
      </c>
      <c r="ET19" s="126">
        <f ca="1">MAX(ET18*(1+AU19)-(Dashboard!$C$11)/(1-Dashboard!$C$17)*((1+Dashboard!$C$12)^$CZ19),0)</f>
        <v>1368820.4733280363</v>
      </c>
      <c r="EU19" s="126">
        <f ca="1">MAX(EU18*(1+AV19)-(Dashboard!$C$11)/(1-Dashboard!$C$17)*((1+Dashboard!$C$12)^$CZ19),0)</f>
        <v>3168553.4462197316</v>
      </c>
      <c r="EV19" s="126">
        <f ca="1">MAX(EV18*(1+AW19)-(Dashboard!$C$11)/(1-Dashboard!$C$17)*((1+Dashboard!$C$12)^$CZ19),0)</f>
        <v>5644121.1724645318</v>
      </c>
      <c r="EW19" s="126">
        <f ca="1">MAX(EW18*(1+AX19)-(Dashboard!$C$11)/(1-Dashboard!$C$17)*((1+Dashboard!$C$12)^$CZ19),0)</f>
        <v>3443298.2720519998</v>
      </c>
      <c r="EX19" s="126">
        <f ca="1">MAX(EX18*(1+AY19)-(Dashboard!$C$11)/(1-Dashboard!$C$17)*((1+Dashboard!$C$12)^$CZ19),0)</f>
        <v>2299305.8298736494</v>
      </c>
      <c r="EY19" s="126">
        <f ca="1">MAX(EY18*(1+AZ19)-(Dashboard!$C$11)/(1-Dashboard!$C$17)*((1+Dashboard!$C$12)^$CZ19),0)</f>
        <v>5032874.5671968628</v>
      </c>
      <c r="EZ19" s="126">
        <f ca="1">MAX(EZ18*(1+BA19)-(Dashboard!$C$11)/(1-Dashboard!$C$17)*((1+Dashboard!$C$12)^$CZ19),0)</f>
        <v>2683406.0525217266</v>
      </c>
      <c r="FA19" s="126">
        <f ca="1">MAX(FA18*(1+BB19)-(Dashboard!$C$11)/(1-Dashboard!$C$17)*((1+Dashboard!$C$12)^$CZ19),0)</f>
        <v>5012836.2498935731</v>
      </c>
      <c r="FB19" s="126">
        <f ca="1">MAX(FB18*(1+BC19)-(Dashboard!$C$11)/(1-Dashboard!$C$17)*((1+Dashboard!$C$12)^$CZ19),0)</f>
        <v>707536.85129271902</v>
      </c>
      <c r="FC19" s="126">
        <f ca="1">MAX(FC18*(1+BD19)-(Dashboard!$C$11)/(1-Dashboard!$C$17)*((1+Dashboard!$C$12)^$CZ19),0)</f>
        <v>3530537.8622028758</v>
      </c>
      <c r="FD19" s="126">
        <f ca="1">MAX(FD18*(1+BE19)-(Dashboard!$C$11)/(1-Dashboard!$C$17)*((1+Dashboard!$C$12)^$CZ19),0)</f>
        <v>4972998.4600001741</v>
      </c>
      <c r="FE19" s="126">
        <f ca="1">MAX(FE18*(1+BF19)-(Dashboard!$C$11)/(1-Dashboard!$C$17)*((1+Dashboard!$C$12)^$CZ19),0)</f>
        <v>4555864.7023157496</v>
      </c>
      <c r="FF19" s="126">
        <f ca="1">MAX(FF18*(1+BG19)-(Dashboard!$C$11)/(1-Dashboard!$C$17)*((1+Dashboard!$C$12)^$CZ19),0)</f>
        <v>1815533.2692728241</v>
      </c>
      <c r="FG19" s="126">
        <f ca="1">MAX(FG18*(1+BH19)-(Dashboard!$C$11)/(1-Dashboard!$C$17)*((1+Dashboard!$C$12)^$CZ19),0)</f>
        <v>2180680.2358905277</v>
      </c>
      <c r="FH19" s="126">
        <f ca="1">MAX(FH18*(1+BI19)-(Dashboard!$C$11)/(1-Dashboard!$C$17)*((1+Dashboard!$C$12)^$CZ19),0)</f>
        <v>2674321.6247829939</v>
      </c>
      <c r="FI19" s="126">
        <f ca="1">MAX(FI18*(1+BJ19)-(Dashboard!$C$11)/(1-Dashboard!$C$17)*((1+Dashboard!$C$12)^$CZ19),0)</f>
        <v>4846455.5898660962</v>
      </c>
      <c r="FJ19" s="126">
        <f ca="1">MAX(FJ18*(1+BK19)-(Dashboard!$C$11)/(1-Dashboard!$C$17)*((1+Dashboard!$C$12)^$CZ19),0)</f>
        <v>1509951.9668830296</v>
      </c>
      <c r="FK19" s="126">
        <f ca="1">MAX(FK18*(1+BL19)-(Dashboard!$C$11)/(1-Dashboard!$C$17)*((1+Dashboard!$C$12)^$CZ19),0)</f>
        <v>2283883.6895003831</v>
      </c>
      <c r="FL19" s="126">
        <f ca="1">MAX(FL18*(1+BM19)-(Dashboard!$C$11)/(1-Dashboard!$C$17)*((1+Dashboard!$C$12)^$CZ19),0)</f>
        <v>2260180.4019139679</v>
      </c>
      <c r="FM19" s="126">
        <f ca="1">MAX(FM18*(1+BN19)-(Dashboard!$C$11)/(1-Dashboard!$C$17)*((1+Dashboard!$C$12)^$CZ19),0)</f>
        <v>4732976.7859408837</v>
      </c>
      <c r="FN19" s="126">
        <f ca="1">MAX(FN18*(1+BO19)-(Dashboard!$C$11)/(1-Dashboard!$C$17)*((1+Dashboard!$C$12)^$CZ19),0)</f>
        <v>440314.66438834718</v>
      </c>
      <c r="FO19" s="126">
        <f ca="1">MAX(FO18*(1+BP19)-(Dashboard!$C$11)/(1-Dashboard!$C$17)*((1+Dashboard!$C$12)^$CZ19),0)</f>
        <v>2689966.1323539191</v>
      </c>
      <c r="FP19" s="126">
        <f ca="1">MAX(FP18*(1+BQ19)-(Dashboard!$C$11)/(1-Dashboard!$C$17)*((1+Dashboard!$C$12)^$CZ19),0)</f>
        <v>2084620.9556553492</v>
      </c>
      <c r="FQ19" s="126">
        <f ca="1">MAX(FQ18*(1+BR19)-(Dashboard!$C$11)/(1-Dashboard!$C$17)*((1+Dashboard!$C$12)^$CZ19),0)</f>
        <v>3222429.0426633693</v>
      </c>
      <c r="FR19" s="126">
        <f ca="1">MAX(FR18*(1+BS19)-(Dashboard!$C$11)/(1-Dashboard!$C$17)*((1+Dashboard!$C$12)^$CZ19),0)</f>
        <v>4295742.1226204867</v>
      </c>
      <c r="FS19" s="126">
        <f ca="1">MAX(FS18*(1+BT19)-(Dashboard!$C$11)/(1-Dashboard!$C$17)*((1+Dashboard!$C$12)^$CZ19),0)</f>
        <v>6880892.8463033475</v>
      </c>
      <c r="FT19" s="126">
        <f ca="1">MAX(FT18*(1+BU19)-(Dashboard!$C$11)/(1-Dashboard!$C$17)*((1+Dashboard!$C$12)^$CZ19),0)</f>
        <v>1161897.1018805837</v>
      </c>
      <c r="FU19" s="126">
        <f ca="1">MAX(FU18*(1+BV19)-(Dashboard!$C$11)/(1-Dashboard!$C$17)*((1+Dashboard!$C$12)^$CZ19),0)</f>
        <v>2192358.3881078539</v>
      </c>
      <c r="FV19" s="126">
        <f ca="1">MAX(FV18*(1+BW19)-(Dashboard!$C$11)/(1-Dashboard!$C$17)*((1+Dashboard!$C$12)^$CZ19),0)</f>
        <v>1389492.933840218</v>
      </c>
      <c r="FW19" s="126">
        <f ca="1">MAX(FW18*(1+BX19)-(Dashboard!$C$11)/(1-Dashboard!$C$17)*((1+Dashboard!$C$12)^$CZ19),0)</f>
        <v>3623516.6479094638</v>
      </c>
      <c r="FX19" s="126">
        <f ca="1">MAX(FX18*(1+BY19)-(Dashboard!$C$11)/(1-Dashboard!$C$17)*((1+Dashboard!$C$12)^$CZ19),0)</f>
        <v>1377958.7381671937</v>
      </c>
      <c r="FY19" s="126">
        <f ca="1">MAX(FY18*(1+BZ19)-(Dashboard!$C$11)/(1-Dashboard!$C$17)*((1+Dashboard!$C$12)^$CZ19),0)</f>
        <v>1381883.3729903596</v>
      </c>
      <c r="FZ19" s="126">
        <f ca="1">MAX(FZ18*(1+CA19)-(Dashboard!$C$11)/(1-Dashboard!$C$17)*((1+Dashboard!$C$12)^$CZ19),0)</f>
        <v>4328626.8670127653</v>
      </c>
      <c r="GA19" s="126">
        <f ca="1">MAX(GA18*(1+CB19)-(Dashboard!$C$11)/(1-Dashboard!$C$17)*((1+Dashboard!$C$12)^$CZ19),0)</f>
        <v>4626299.2739622938</v>
      </c>
      <c r="GB19" s="126">
        <f ca="1">MAX(GB18*(1+CC19)-(Dashboard!$C$11)/(1-Dashboard!$C$17)*((1+Dashboard!$C$12)^$CZ19),0)</f>
        <v>1391016.3989239694</v>
      </c>
      <c r="GC19" s="126">
        <f ca="1">MAX(GC18*(1+CD19)-(Dashboard!$C$11)/(1-Dashboard!$C$17)*((1+Dashboard!$C$12)^$CZ19),0)</f>
        <v>5196935.7576845596</v>
      </c>
      <c r="GD19" s="126">
        <f ca="1">MAX(GD18*(1+CE19)-(Dashboard!$C$11)/(1-Dashboard!$C$17)*((1+Dashboard!$C$12)^$CZ19),0)</f>
        <v>6965856.7589001525</v>
      </c>
      <c r="GE19" s="126">
        <f ca="1">MAX(GE18*(1+CF19)-(Dashboard!$C$11)/(1-Dashboard!$C$17)*((1+Dashboard!$C$12)^$CZ19),0)</f>
        <v>1739922.4260563806</v>
      </c>
      <c r="GF19" s="126">
        <f ca="1">MAX(GF18*(1+CG19)-(Dashboard!$C$11)/(1-Dashboard!$C$17)*((1+Dashboard!$C$12)^$CZ19),0)</f>
        <v>7184581.9538157796</v>
      </c>
      <c r="GG19" s="126">
        <f ca="1">MAX(GG18*(1+CH19)-(Dashboard!$C$11)/(1-Dashboard!$C$17)*((1+Dashboard!$C$12)^$CZ19),0)</f>
        <v>715330.68266601325</v>
      </c>
      <c r="GH19" s="126">
        <f ca="1">MAX(GH18*(1+CI19)-(Dashboard!$C$11)/(1-Dashboard!$C$17)*((1+Dashboard!$C$12)^$CZ19),0)</f>
        <v>1828744.2870828717</v>
      </c>
      <c r="GI19" s="126">
        <f ca="1">MAX(GI18*(1+CJ19)-(Dashboard!$C$11)/(1-Dashboard!$C$17)*((1+Dashboard!$C$12)^$CZ19),0)</f>
        <v>1186933.5930204873</v>
      </c>
      <c r="GJ19" s="126">
        <f ca="1">MAX(GJ18*(1+CK19)-(Dashboard!$C$11)/(1-Dashboard!$C$17)*((1+Dashboard!$C$12)^$CZ19),0)</f>
        <v>3991872.8623092966</v>
      </c>
      <c r="GK19" s="126">
        <f ca="1">MAX(GK18*(1+CL19)-(Dashboard!$C$11)/(1-Dashboard!$C$17)*((1+Dashboard!$C$12)^$CZ19),0)</f>
        <v>4070935.3209966882</v>
      </c>
      <c r="GL19" s="126">
        <f ca="1">MAX(GL18*(1+CM19)-(Dashboard!$C$11)/(1-Dashboard!$C$17)*((1+Dashboard!$C$12)^$CZ19),0)</f>
        <v>3671094.8877141667</v>
      </c>
      <c r="GM19" s="126">
        <f ca="1">MAX(GM18*(1+CN19)-(Dashboard!$C$11)/(1-Dashboard!$C$17)*((1+Dashboard!$C$12)^$CZ19),0)</f>
        <v>1867592.7748003465</v>
      </c>
      <c r="GN19" s="126">
        <f ca="1">MAX(GN18*(1+CO19)-(Dashboard!$C$11)/(1-Dashboard!$C$17)*((1+Dashboard!$C$12)^$CZ19),0)</f>
        <v>352853.68994830962</v>
      </c>
      <c r="GO19" s="126">
        <f ca="1">MAX(GO18*(1+CP19)-(Dashboard!$C$11)/(1-Dashboard!$C$17)*((1+Dashboard!$C$12)^$CZ19),0)</f>
        <v>1868347.0635354763</v>
      </c>
      <c r="GP19" s="126">
        <f ca="1">MAX(GP18*(1+CQ19)-(Dashboard!$C$11)/(1-Dashboard!$C$17)*((1+Dashboard!$C$12)^$CZ19),0)</f>
        <v>1688974.3650036806</v>
      </c>
      <c r="GQ19" s="126">
        <f ca="1">MAX(GQ18*(1+CR19)-(Dashboard!$C$11)/(1-Dashboard!$C$17)*((1+Dashboard!$C$12)^$CZ19),0)</f>
        <v>779639.7682600203</v>
      </c>
      <c r="GR19" s="126">
        <f ca="1">MAX(GR18*(1+CS19)-(Dashboard!$C$11)/(1-Dashboard!$C$17)*((1+Dashboard!$C$12)^$CZ19),0)</f>
        <v>1375271.0355067553</v>
      </c>
      <c r="GS19" s="126">
        <f ca="1">MAX(GS18*(1+CT19)-(Dashboard!$C$11)/(1-Dashboard!$C$17)*((1+Dashboard!$C$12)^$CZ19),0)</f>
        <v>2990344.8439469617</v>
      </c>
      <c r="GT19" s="126">
        <f ca="1">MAX(GT18*(1+CU19)-(Dashboard!$C$11)/(1-Dashboard!$C$17)*((1+Dashboard!$C$12)^$CZ19),0)</f>
        <v>5399939.7265043259</v>
      </c>
      <c r="GU19" s="126">
        <f ca="1">MAX(GU18*(1+CV19)-(Dashboard!$C$11)/(1-Dashboard!$C$17)*((1+Dashboard!$C$12)^$CZ19),0)</f>
        <v>1011499.9606677147</v>
      </c>
      <c r="GV19" s="126">
        <f ca="1">MAX(GV18*(1+CW19)-(Dashboard!$C$11)/(1-Dashboard!$C$17)*((1+Dashboard!$C$12)^$CZ19),0)</f>
        <v>1078008.5785678003</v>
      </c>
      <c r="GW19" s="115">
        <f t="shared" si="4"/>
        <v>68</v>
      </c>
      <c r="GX19" s="130">
        <f t="shared" ca="1" si="2"/>
        <v>100</v>
      </c>
      <c r="HC19" s="130">
        <f t="shared" si="0"/>
        <v>68</v>
      </c>
      <c r="HD19" s="137">
        <f t="shared" ca="1" si="1"/>
        <v>1389873.800111156</v>
      </c>
      <c r="HE19" s="137">
        <f t="shared" ca="1" si="1"/>
        <v>2288022.4775104155</v>
      </c>
      <c r="HF19" s="137">
        <f t="shared" ca="1" si="1"/>
        <v>4051169.7063248404</v>
      </c>
    </row>
    <row r="20" spans="1:214" ht="16">
      <c r="A20" s="145">
        <f t="shared" si="3"/>
        <v>69</v>
      </c>
      <c r="B20" s="122">
        <f ca="1">(Dashboard!$C$7*'Equity and Bond Returns'!N20)+(Dashboard!$C$8*'Equity and Bond Returns'!DL20)</f>
        <v>0.14117378859514992</v>
      </c>
      <c r="C20" s="122">
        <f ca="1">(Dashboard!$C$7*'Equity and Bond Returns'!O20)+(Dashboard!$C$8*'Equity and Bond Returns'!DM20)</f>
        <v>9.3047179298359359E-2</v>
      </c>
      <c r="D20" s="122">
        <f ca="1">(Dashboard!$C$7*'Equity and Bond Returns'!P20)+(Dashboard!$C$8*'Equity and Bond Returns'!DN20)</f>
        <v>0.15667892350952828</v>
      </c>
      <c r="E20" s="122">
        <f ca="1">(Dashboard!$C$7*'Equity and Bond Returns'!Q20)+(Dashboard!$C$8*'Equity and Bond Returns'!DO20)</f>
        <v>0.34906399019450518</v>
      </c>
      <c r="F20" s="122">
        <f ca="1">(Dashboard!$C$7*'Equity and Bond Returns'!R20)+(Dashboard!$C$8*'Equity and Bond Returns'!DP20)</f>
        <v>-0.14502044136270439</v>
      </c>
      <c r="G20" s="122">
        <f ca="1">(Dashboard!$C$7*'Equity and Bond Returns'!S20)+(Dashboard!$C$8*'Equity and Bond Returns'!DQ20)</f>
        <v>8.4498966466813902E-2</v>
      </c>
      <c r="H20" s="122">
        <f ca="1">(Dashboard!$C$7*'Equity and Bond Returns'!T20)+(Dashboard!$C$8*'Equity and Bond Returns'!DR20)</f>
        <v>4.2764358767142012E-2</v>
      </c>
      <c r="I20" s="122">
        <f ca="1">(Dashboard!$C$7*'Equity and Bond Returns'!U20)+(Dashboard!$C$8*'Equity and Bond Returns'!DS20)</f>
        <v>0.28600357220115624</v>
      </c>
      <c r="J20" s="122">
        <f ca="1">(Dashboard!$C$7*'Equity and Bond Returns'!V20)+(Dashboard!$C$8*'Equity and Bond Returns'!DT20)</f>
        <v>3.2590183656343846E-3</v>
      </c>
      <c r="K20" s="122">
        <f ca="1">(Dashboard!$C$7*'Equity and Bond Returns'!W20)+(Dashboard!$C$8*'Equity and Bond Returns'!DU20)</f>
        <v>0.18045884528933923</v>
      </c>
      <c r="L20" s="122">
        <f ca="1">(Dashboard!$C$7*'Equity and Bond Returns'!X20)+(Dashboard!$C$8*'Equity and Bond Returns'!DV20)</f>
        <v>0.13631905429980548</v>
      </c>
      <c r="M20" s="122">
        <f ca="1">(Dashboard!$C$7*'Equity and Bond Returns'!Y20)+(Dashboard!$C$8*'Equity and Bond Returns'!DW20)</f>
        <v>0.14476579646071103</v>
      </c>
      <c r="N20" s="122">
        <f ca="1">(Dashboard!$C$7*'Equity and Bond Returns'!Z20)+(Dashboard!$C$8*'Equity and Bond Returns'!DX20)</f>
        <v>0.24380954259423634</v>
      </c>
      <c r="O20" s="122">
        <f ca="1">(Dashboard!$C$7*'Equity and Bond Returns'!AA20)+(Dashboard!$C$8*'Equity and Bond Returns'!DY20)</f>
        <v>0.18972162963470593</v>
      </c>
      <c r="P20" s="122">
        <f ca="1">(Dashboard!$C$7*'Equity and Bond Returns'!AB20)+(Dashboard!$C$8*'Equity and Bond Returns'!DZ20)</f>
        <v>0.22896136601107686</v>
      </c>
      <c r="Q20" s="122">
        <f ca="1">(Dashboard!$C$7*'Equity and Bond Returns'!AC20)+(Dashboard!$C$8*'Equity and Bond Returns'!EA20)</f>
        <v>6.5351686659084807E-2</v>
      </c>
      <c r="R20" s="122">
        <f ca="1">(Dashboard!$C$7*'Equity and Bond Returns'!AD20)+(Dashboard!$C$8*'Equity and Bond Returns'!EB20)</f>
        <v>6.518357166706279E-2</v>
      </c>
      <c r="S20" s="122">
        <f ca="1">(Dashboard!$C$7*'Equity and Bond Returns'!AE20)+(Dashboard!$C$8*'Equity and Bond Returns'!EC20)</f>
        <v>0.25582752356989696</v>
      </c>
      <c r="T20" s="122">
        <f ca="1">(Dashboard!$C$7*'Equity and Bond Returns'!AF20)+(Dashboard!$C$8*'Equity and Bond Returns'!ED20)</f>
        <v>-0.13987003657453537</v>
      </c>
      <c r="U20" s="122">
        <f ca="1">(Dashboard!$C$7*'Equity and Bond Returns'!AG20)+(Dashboard!$C$8*'Equity and Bond Returns'!EE20)</f>
        <v>9.7115959125259277E-2</v>
      </c>
      <c r="V20" s="122">
        <f ca="1">(Dashboard!$C$7*'Equity and Bond Returns'!AH20)+(Dashboard!$C$8*'Equity and Bond Returns'!EF20)</f>
        <v>9.8049085677596709E-2</v>
      </c>
      <c r="W20" s="122">
        <f ca="1">(Dashboard!$C$7*'Equity and Bond Returns'!AI20)+(Dashboard!$C$8*'Equity and Bond Returns'!EG20)</f>
        <v>0.31101621619515341</v>
      </c>
      <c r="X20" s="122">
        <f ca="1">(Dashboard!$C$7*'Equity and Bond Returns'!AJ20)+(Dashboard!$C$8*'Equity and Bond Returns'!EH20)</f>
        <v>0.23426345981257762</v>
      </c>
      <c r="Y20" s="122">
        <f ca="1">(Dashboard!$C$7*'Equity and Bond Returns'!AK20)+(Dashboard!$C$8*'Equity and Bond Returns'!EI20)</f>
        <v>7.0753515307092063E-2</v>
      </c>
      <c r="Z20" s="122">
        <f ca="1">(Dashboard!$C$7*'Equity and Bond Returns'!AL20)+(Dashboard!$C$8*'Equity and Bond Returns'!EJ20)</f>
        <v>9.4820802165851509E-2</v>
      </c>
      <c r="AA20" s="122">
        <f ca="1">(Dashboard!$C$7*'Equity and Bond Returns'!AM20)+(Dashboard!$C$8*'Equity and Bond Returns'!EK20)</f>
        <v>-0.16128575617016941</v>
      </c>
      <c r="AB20" s="122">
        <f ca="1">(Dashboard!$C$7*'Equity and Bond Returns'!AN20)+(Dashboard!$C$8*'Equity and Bond Returns'!EL20)</f>
        <v>-6.585846978180164E-2</v>
      </c>
      <c r="AC20" s="122">
        <f ca="1">(Dashboard!$C$7*'Equity and Bond Returns'!AO20)+(Dashboard!$C$8*'Equity and Bond Returns'!EM20)</f>
        <v>0.37628085235379316</v>
      </c>
      <c r="AD20" s="122">
        <f ca="1">(Dashboard!$C$7*'Equity and Bond Returns'!AP20)+(Dashboard!$C$8*'Equity and Bond Returns'!EN20)</f>
        <v>2.9215862019013536E-3</v>
      </c>
      <c r="AE20" s="122">
        <f ca="1">(Dashboard!$C$7*'Equity and Bond Returns'!AQ20)+(Dashboard!$C$8*'Equity and Bond Returns'!EO20)</f>
        <v>-7.2322357528193312E-2</v>
      </c>
      <c r="AF20" s="122">
        <f ca="1">(Dashboard!$C$7*'Equity and Bond Returns'!AR20)+(Dashboard!$C$8*'Equity and Bond Returns'!EP20)</f>
        <v>0.11544796119437775</v>
      </c>
      <c r="AG20" s="122">
        <f ca="1">(Dashboard!$C$7*'Equity and Bond Returns'!AS20)+(Dashboard!$C$8*'Equity and Bond Returns'!EQ20)</f>
        <v>-2.8493916649156691E-3</v>
      </c>
      <c r="AH20" s="122">
        <f ca="1">(Dashboard!$C$7*'Equity and Bond Returns'!AT20)+(Dashboard!$C$8*'Equity and Bond Returns'!ER20)</f>
        <v>6.2555888688001632E-2</v>
      </c>
      <c r="AI20" s="122">
        <f ca="1">(Dashboard!$C$7*'Equity and Bond Returns'!AU20)+(Dashboard!$C$8*'Equity and Bond Returns'!ES20)</f>
        <v>0.15171358867716914</v>
      </c>
      <c r="AJ20" s="122">
        <f ca="1">(Dashboard!$C$7*'Equity and Bond Returns'!AV20)+(Dashboard!$C$8*'Equity and Bond Returns'!ET20)</f>
        <v>0.45500323298017048</v>
      </c>
      <c r="AK20" s="122">
        <f ca="1">(Dashboard!$C$7*'Equity and Bond Returns'!AW20)+(Dashboard!$C$8*'Equity and Bond Returns'!EU20)</f>
        <v>0.14589067090839367</v>
      </c>
      <c r="AL20" s="122">
        <f ca="1">(Dashboard!$C$7*'Equity and Bond Returns'!AX20)+(Dashboard!$C$8*'Equity and Bond Returns'!EV20)</f>
        <v>0.17497465208160798</v>
      </c>
      <c r="AM20" s="122">
        <f ca="1">(Dashboard!$C$7*'Equity and Bond Returns'!AY20)+(Dashboard!$C$8*'Equity and Bond Returns'!EW20)</f>
        <v>0.19269649803359665</v>
      </c>
      <c r="AN20" s="122">
        <f ca="1">(Dashboard!$C$7*'Equity and Bond Returns'!AZ20)+(Dashboard!$C$8*'Equity and Bond Returns'!EX20)</f>
        <v>3.270318936189856E-2</v>
      </c>
      <c r="AO20" s="122">
        <f ca="1">(Dashboard!$C$7*'Equity and Bond Returns'!BA20)+(Dashboard!$C$8*'Equity and Bond Returns'!EY20)</f>
        <v>-0.13720258264285135</v>
      </c>
      <c r="AP20" s="122">
        <f ca="1">(Dashboard!$C$7*'Equity and Bond Returns'!BB20)+(Dashboard!$C$8*'Equity and Bond Returns'!EZ20)</f>
        <v>0.16190247376108108</v>
      </c>
      <c r="AQ20" s="122">
        <f ca="1">(Dashboard!$C$7*'Equity and Bond Returns'!BC20)+(Dashboard!$C$8*'Equity and Bond Returns'!FA20)</f>
        <v>5.1389423283423885E-2</v>
      </c>
      <c r="AR20" s="122">
        <f ca="1">(Dashboard!$C$7*'Equity and Bond Returns'!BD20)+(Dashboard!$C$8*'Equity and Bond Returns'!FB20)</f>
        <v>0.1474630993711093</v>
      </c>
      <c r="AS20" s="122">
        <f ca="1">(Dashboard!$C$7*'Equity and Bond Returns'!BE20)+(Dashboard!$C$8*'Equity and Bond Returns'!FC20)</f>
        <v>-0.23367156137444448</v>
      </c>
      <c r="AT20" s="122">
        <f ca="1">(Dashboard!$C$7*'Equity and Bond Returns'!BF20)+(Dashboard!$C$8*'Equity and Bond Returns'!FD20)</f>
        <v>7.9855159770735318E-2</v>
      </c>
      <c r="AU20" s="122">
        <f ca="1">(Dashboard!$C$7*'Equity and Bond Returns'!BG20)+(Dashboard!$C$8*'Equity and Bond Returns'!FE20)</f>
        <v>-5.8073983087096034E-2</v>
      </c>
      <c r="AV20" s="122">
        <f ca="1">(Dashboard!$C$7*'Equity and Bond Returns'!BH20)+(Dashboard!$C$8*'Equity and Bond Returns'!FF20)</f>
        <v>4.5008734937788772E-2</v>
      </c>
      <c r="AW20" s="122">
        <f ca="1">(Dashboard!$C$7*'Equity and Bond Returns'!BI20)+(Dashboard!$C$8*'Equity and Bond Returns'!FG20)</f>
        <v>-6.5973834689179528E-2</v>
      </c>
      <c r="AX20" s="122">
        <f ca="1">(Dashboard!$C$7*'Equity and Bond Returns'!BJ20)+(Dashboard!$C$8*'Equity and Bond Returns'!FH20)</f>
        <v>-0.25265908248969832</v>
      </c>
      <c r="AY20" s="122">
        <f ca="1">(Dashboard!$C$7*'Equity and Bond Returns'!BK20)+(Dashboard!$C$8*'Equity and Bond Returns'!FI20)</f>
        <v>0.19602657583500305</v>
      </c>
      <c r="AZ20" s="122">
        <f ca="1">(Dashboard!$C$7*'Equity and Bond Returns'!BL20)+(Dashboard!$C$8*'Equity and Bond Returns'!FJ20)</f>
        <v>5.4076949816023727E-2</v>
      </c>
      <c r="BA20" s="122">
        <f ca="1">(Dashboard!$C$7*'Equity and Bond Returns'!BM20)+(Dashboard!$C$8*'Equity and Bond Returns'!FK20)</f>
        <v>-2.3196631205114695E-2</v>
      </c>
      <c r="BB20" s="122">
        <f ca="1">(Dashboard!$C$7*'Equity and Bond Returns'!BN20)+(Dashboard!$C$8*'Equity and Bond Returns'!FL20)</f>
        <v>6.2919211847242862E-2</v>
      </c>
      <c r="BC20" s="122">
        <f ca="1">(Dashboard!$C$7*'Equity and Bond Returns'!BO20)+(Dashboard!$C$8*'Equity and Bond Returns'!FM20)</f>
        <v>3.5235164626997412E-2</v>
      </c>
      <c r="BD20" s="122">
        <f ca="1">(Dashboard!$C$7*'Equity and Bond Returns'!BP20)+(Dashboard!$C$8*'Equity and Bond Returns'!FN20)</f>
        <v>0.24559809047711978</v>
      </c>
      <c r="BE20" s="122">
        <f ca="1">(Dashboard!$C$7*'Equity and Bond Returns'!BQ20)+(Dashboard!$C$8*'Equity and Bond Returns'!FO20)</f>
        <v>-9.9894787214098141E-2</v>
      </c>
      <c r="BF20" s="122">
        <f ca="1">(Dashboard!$C$7*'Equity and Bond Returns'!BR20)+(Dashboard!$C$8*'Equity and Bond Returns'!FP20)</f>
        <v>-5.1161190606057866E-3</v>
      </c>
      <c r="BG20" s="122">
        <f ca="1">(Dashboard!$C$7*'Equity and Bond Returns'!BS20)+(Dashboard!$C$8*'Equity and Bond Returns'!FQ20)</f>
        <v>0.14000505758852078</v>
      </c>
      <c r="BH20" s="122">
        <f ca="1">(Dashboard!$C$7*'Equity and Bond Returns'!BT20)+(Dashboard!$C$8*'Equity and Bond Returns'!FR20)</f>
        <v>0.14771011779526491</v>
      </c>
      <c r="BI20" s="122">
        <f ca="1">(Dashboard!$C$7*'Equity and Bond Returns'!BU20)+(Dashboard!$C$8*'Equity and Bond Returns'!FS20)</f>
        <v>0.1229794250538612</v>
      </c>
      <c r="BJ20" s="122">
        <f ca="1">(Dashboard!$C$7*'Equity and Bond Returns'!BV20)+(Dashboard!$C$8*'Equity and Bond Returns'!FT20)</f>
        <v>3.7705868664292416E-2</v>
      </c>
      <c r="BK20" s="122">
        <f ca="1">(Dashboard!$C$7*'Equity and Bond Returns'!BW20)+(Dashboard!$C$8*'Equity and Bond Returns'!FU20)</f>
        <v>0.29108476278372353</v>
      </c>
      <c r="BL20" s="122">
        <f ca="1">(Dashboard!$C$7*'Equity and Bond Returns'!BX20)+(Dashboard!$C$8*'Equity and Bond Returns'!FV20)</f>
        <v>4.9191270038581245E-2</v>
      </c>
      <c r="BM20" s="122">
        <f ca="1">(Dashboard!$C$7*'Equity and Bond Returns'!BY20)+(Dashboard!$C$8*'Equity and Bond Returns'!FW20)</f>
        <v>3.3666817115631388E-2</v>
      </c>
      <c r="BN20" s="122">
        <f ca="1">(Dashboard!$C$7*'Equity and Bond Returns'!BZ20)+(Dashboard!$C$8*'Equity and Bond Returns'!FX20)</f>
        <v>2.0263405614195408E-3</v>
      </c>
      <c r="BO20" s="122">
        <f ca="1">(Dashboard!$C$7*'Equity and Bond Returns'!CA20)+(Dashboard!$C$8*'Equity and Bond Returns'!FY20)</f>
        <v>0.17964384707963638</v>
      </c>
      <c r="BP20" s="122">
        <f ca="1">(Dashboard!$C$7*'Equity and Bond Returns'!CB20)+(Dashboard!$C$8*'Equity and Bond Returns'!FZ20)</f>
        <v>-0.18599472070837891</v>
      </c>
      <c r="BQ20" s="122">
        <f ca="1">(Dashboard!$C$7*'Equity and Bond Returns'!CC20)+(Dashboard!$C$8*'Equity and Bond Returns'!GA20)</f>
        <v>0.3303480498722729</v>
      </c>
      <c r="BR20" s="122">
        <f ca="1">(Dashboard!$C$7*'Equity and Bond Returns'!CD20)+(Dashboard!$C$8*'Equity and Bond Returns'!GB20)</f>
        <v>-1.4946069069412045E-2</v>
      </c>
      <c r="BS20" s="122">
        <f ca="1">(Dashboard!$C$7*'Equity and Bond Returns'!CE20)+(Dashboard!$C$8*'Equity and Bond Returns'!GC20)</f>
        <v>0.19343507253450609</v>
      </c>
      <c r="BT20" s="122">
        <f ca="1">(Dashboard!$C$7*'Equity and Bond Returns'!CF20)+(Dashboard!$C$8*'Equity and Bond Returns'!GD20)</f>
        <v>0.14847363181794945</v>
      </c>
      <c r="BU20" s="122">
        <f ca="1">(Dashboard!$C$7*'Equity and Bond Returns'!CG20)+(Dashboard!$C$8*'Equity and Bond Returns'!GE20)</f>
        <v>0.28038035293798297</v>
      </c>
      <c r="BV20" s="122">
        <f ca="1">(Dashboard!$C$7*'Equity and Bond Returns'!CH20)+(Dashboard!$C$8*'Equity and Bond Returns'!GF20)</f>
        <v>0.34986764923581121</v>
      </c>
      <c r="BW20" s="122">
        <f ca="1">(Dashboard!$C$7*'Equity and Bond Returns'!CI20)+(Dashboard!$C$8*'Equity and Bond Returns'!GG20)</f>
        <v>-1.7650851839692637E-2</v>
      </c>
      <c r="BX20" s="122">
        <f ca="1">(Dashboard!$C$7*'Equity and Bond Returns'!CJ20)+(Dashboard!$C$8*'Equity and Bond Returns'!GH20)</f>
        <v>-0.12182937016992881</v>
      </c>
      <c r="BY20" s="122">
        <f ca="1">(Dashboard!$C$7*'Equity and Bond Returns'!CK20)+(Dashboard!$C$8*'Equity and Bond Returns'!GI20)</f>
        <v>3.1650021323746107E-2</v>
      </c>
      <c r="BZ20" s="122">
        <f ca="1">(Dashboard!$C$7*'Equity and Bond Returns'!CL20)+(Dashboard!$C$8*'Equity and Bond Returns'!GJ20)</f>
        <v>0.22565794691812638</v>
      </c>
      <c r="CA20" s="122">
        <f ca="1">(Dashboard!$C$7*'Equity and Bond Returns'!CM20)+(Dashboard!$C$8*'Equity and Bond Returns'!GK20)</f>
        <v>0.11972066152837618</v>
      </c>
      <c r="CB20" s="122">
        <f ca="1">(Dashboard!$C$7*'Equity and Bond Returns'!CN20)+(Dashboard!$C$8*'Equity and Bond Returns'!GL20)</f>
        <v>-0.14366234154080557</v>
      </c>
      <c r="CC20" s="122">
        <f ca="1">(Dashboard!$C$7*'Equity and Bond Returns'!CO20)+(Dashboard!$C$8*'Equity and Bond Returns'!GM20)</f>
        <v>0.32846746285197198</v>
      </c>
      <c r="CD20" s="122">
        <f ca="1">(Dashboard!$C$7*'Equity and Bond Returns'!CP20)+(Dashboard!$C$8*'Equity and Bond Returns'!GN20)</f>
        <v>-0.14742851147892574</v>
      </c>
      <c r="CE20" s="122">
        <f ca="1">(Dashboard!$C$7*'Equity and Bond Returns'!CQ20)+(Dashboard!$C$8*'Equity and Bond Returns'!GO20)</f>
        <v>9.4416092363954193E-2</v>
      </c>
      <c r="CF20" s="122">
        <f ca="1">(Dashboard!$C$7*'Equity and Bond Returns'!CR20)+(Dashboard!$C$8*'Equity and Bond Returns'!GP20)</f>
        <v>-1.6153959930141591E-3</v>
      </c>
      <c r="CG20" s="122">
        <f ca="1">(Dashboard!$C$7*'Equity and Bond Returns'!CS20)+(Dashboard!$C$8*'Equity and Bond Returns'!GQ20)</f>
        <v>-1.4787867003129E-2</v>
      </c>
      <c r="CH20" s="122">
        <f ca="1">(Dashboard!$C$7*'Equity and Bond Returns'!CT20)+(Dashboard!$C$8*'Equity and Bond Returns'!GR20)</f>
        <v>0.41087466420526325</v>
      </c>
      <c r="CI20" s="122">
        <f ca="1">(Dashboard!$C$7*'Equity and Bond Returns'!CU20)+(Dashboard!$C$8*'Equity and Bond Returns'!GS20)</f>
        <v>0.28991038908934025</v>
      </c>
      <c r="CJ20" s="122">
        <f ca="1">(Dashboard!$C$7*'Equity and Bond Returns'!CV20)+(Dashboard!$C$8*'Equity and Bond Returns'!GT20)</f>
        <v>0.12265135118115665</v>
      </c>
      <c r="CK20" s="122">
        <f ca="1">(Dashboard!$C$7*'Equity and Bond Returns'!CW20)+(Dashboard!$C$8*'Equity and Bond Returns'!GU20)</f>
        <v>7.2982506809230352E-2</v>
      </c>
      <c r="CL20" s="122">
        <f ca="1">(Dashboard!$C$7*'Equity and Bond Returns'!CX20)+(Dashboard!$C$8*'Equity and Bond Returns'!GV20)</f>
        <v>0.22637148833044216</v>
      </c>
      <c r="CM20" s="122">
        <f ca="1">(Dashboard!$C$7*'Equity and Bond Returns'!CY20)+(Dashboard!$C$8*'Equity and Bond Returns'!GW20)</f>
        <v>-9.2539473288042337E-2</v>
      </c>
      <c r="CN20" s="122">
        <f ca="1">(Dashboard!$C$7*'Equity and Bond Returns'!CZ20)+(Dashboard!$C$8*'Equity and Bond Returns'!GX20)</f>
        <v>-0.33494464743359237</v>
      </c>
      <c r="CO20" s="122">
        <f ca="1">(Dashboard!$C$7*'Equity and Bond Returns'!DA20)+(Dashboard!$C$8*'Equity and Bond Returns'!GY20)</f>
        <v>0.11246970774031029</v>
      </c>
      <c r="CP20" s="122">
        <f ca="1">(Dashboard!$C$7*'Equity and Bond Returns'!DB20)+(Dashboard!$C$8*'Equity and Bond Returns'!GZ20)</f>
        <v>0.12074215288660411</v>
      </c>
      <c r="CQ20" s="122">
        <f ca="1">(Dashboard!$C$7*'Equity and Bond Returns'!DC20)+(Dashboard!$C$8*'Equity and Bond Returns'!HA20)</f>
        <v>-3.4917308065051285E-2</v>
      </c>
      <c r="CR20" s="122">
        <f ca="1">(Dashboard!$C$7*'Equity and Bond Returns'!DD20)+(Dashboard!$C$8*'Equity and Bond Returns'!HB20)</f>
        <v>0.16896295156515376</v>
      </c>
      <c r="CS20" s="122">
        <f ca="1">(Dashboard!$C$7*'Equity and Bond Returns'!DE20)+(Dashboard!$C$8*'Equity and Bond Returns'!HC20)</f>
        <v>-5.9774789478220632E-2</v>
      </c>
      <c r="CT20" s="122">
        <f ca="1">(Dashboard!$C$7*'Equity and Bond Returns'!DF20)+(Dashboard!$C$8*'Equity and Bond Returns'!HD20)</f>
        <v>-7.0864188960266528E-2</v>
      </c>
      <c r="CU20" s="122">
        <f ca="1">(Dashboard!$C$7*'Equity and Bond Returns'!DG20)+(Dashboard!$C$8*'Equity and Bond Returns'!HE20)</f>
        <v>0.28173618583522697</v>
      </c>
      <c r="CV20" s="122">
        <f ca="1">(Dashboard!$C$7*'Equity and Bond Returns'!DH20)+(Dashboard!$C$8*'Equity and Bond Returns'!HF20)</f>
        <v>0.20429672022616258</v>
      </c>
      <c r="CW20" s="122">
        <f ca="1">(Dashboard!$C$7*'Equity and Bond Returns'!DI20)+(Dashboard!$C$8*'Equity and Bond Returns'!HG20)</f>
        <v>0.12858226515103327</v>
      </c>
      <c r="CY20" s="147">
        <f t="shared" si="5"/>
        <v>69</v>
      </c>
      <c r="CZ20" s="148">
        <v>19</v>
      </c>
      <c r="DA20" s="126">
        <f ca="1">MAX(DA19*(1+B20)-(Dashboard!$C$11)/(1-Dashboard!$C$17)*((1+Dashboard!$C$12)^$CZ20),0)</f>
        <v>7278470.9174678018</v>
      </c>
      <c r="DB20" s="126">
        <f ca="1">MAX(DB19*(1+C20)-(Dashboard!$C$11)/(1-Dashboard!$C$17)*((1+Dashboard!$C$12)^$CZ20),0)</f>
        <v>220628.62068314286</v>
      </c>
      <c r="DC20" s="126">
        <f ca="1">MAX(DC19*(1+D20)-(Dashboard!$C$11)/(1-Dashboard!$C$17)*((1+Dashboard!$C$12)^$CZ20),0)</f>
        <v>4117919.7288755756</v>
      </c>
      <c r="DD20" s="126">
        <f ca="1">MAX(DD19*(1+E20)-(Dashboard!$C$11)/(1-Dashboard!$C$17)*((1+Dashboard!$C$12)^$CZ20),0)</f>
        <v>772035.31532081135</v>
      </c>
      <c r="DE20" s="126">
        <f ca="1">MAX(DE19*(1+F20)-(Dashboard!$C$11)/(1-Dashboard!$C$17)*((1+Dashboard!$C$12)^$CZ20),0)</f>
        <v>2851269.364781328</v>
      </c>
      <c r="DF20" s="126">
        <f ca="1">MAX(DF19*(1+G20)-(Dashboard!$C$11)/(1-Dashboard!$C$17)*((1+Dashboard!$C$12)^$CZ20),0)</f>
        <v>3776850.2542621922</v>
      </c>
      <c r="DG20" s="126">
        <f ca="1">MAX(DG19*(1+H20)-(Dashboard!$C$11)/(1-Dashboard!$C$17)*((1+Dashboard!$C$12)^$CZ20),0)</f>
        <v>646670.9871747432</v>
      </c>
      <c r="DH20" s="126">
        <f ca="1">MAX(DH19*(1+I20)-(Dashboard!$C$11)/(1-Dashboard!$C$17)*((1+Dashboard!$C$12)^$CZ20),0)</f>
        <v>3570756.7130924896</v>
      </c>
      <c r="DI20" s="126">
        <f ca="1">MAX(DI19*(1+J20)-(Dashboard!$C$11)/(1-Dashboard!$C$17)*((1+Dashboard!$C$12)^$CZ20),0)</f>
        <v>1783471.8057859098</v>
      </c>
      <c r="DJ20" s="126">
        <f ca="1">MAX(DJ19*(1+K20)-(Dashboard!$C$11)/(1-Dashboard!$C$17)*((1+Dashboard!$C$12)^$CZ20),0)</f>
        <v>1950656.4748971292</v>
      </c>
      <c r="DK20" s="126">
        <f ca="1">MAX(DK19*(1+L20)-(Dashboard!$C$11)/(1-Dashboard!$C$17)*((1+Dashboard!$C$12)^$CZ20),0)</f>
        <v>5785454.7514504567</v>
      </c>
      <c r="DL20" s="126">
        <f ca="1">MAX(DL19*(1+M20)-(Dashboard!$C$11)/(1-Dashboard!$C$17)*((1+Dashboard!$C$12)^$CZ20),0)</f>
        <v>1081360.9560111687</v>
      </c>
      <c r="DM20" s="126">
        <f ca="1">MAX(DM19*(1+N20)-(Dashboard!$C$11)/(1-Dashboard!$C$17)*((1+Dashboard!$C$12)^$CZ20),0)</f>
        <v>2236012.8493641936</v>
      </c>
      <c r="DN20" s="126">
        <f ca="1">MAX(DN19*(1+O20)-(Dashboard!$C$11)/(1-Dashboard!$C$17)*((1+Dashboard!$C$12)^$CZ20),0)</f>
        <v>9226971.8409003653</v>
      </c>
      <c r="DO20" s="126">
        <f ca="1">MAX(DO19*(1+P20)-(Dashboard!$C$11)/(1-Dashboard!$C$17)*((1+Dashboard!$C$12)^$CZ20),0)</f>
        <v>2235505.4147656742</v>
      </c>
      <c r="DP20" s="126">
        <f ca="1">MAX(DP19*(1+Q20)-(Dashboard!$C$11)/(1-Dashboard!$C$17)*((1+Dashboard!$C$12)^$CZ20),0)</f>
        <v>3381428.8977850424</v>
      </c>
      <c r="DQ20" s="126">
        <f ca="1">MAX(DQ19*(1+R20)-(Dashboard!$C$11)/(1-Dashboard!$C$17)*((1+Dashboard!$C$12)^$CZ20),0)</f>
        <v>3402747.7534793871</v>
      </c>
      <c r="DR20" s="126">
        <f ca="1">MAX(DR19*(1+S20)-(Dashboard!$C$11)/(1-Dashboard!$C$17)*((1+Dashboard!$C$12)^$CZ20),0)</f>
        <v>6227559.0386066753</v>
      </c>
      <c r="DS20" s="126">
        <f ca="1">MAX(DS19*(1+T20)-(Dashboard!$C$11)/(1-Dashboard!$C$17)*((1+Dashboard!$C$12)^$CZ20),0)</f>
        <v>1128615.2197881492</v>
      </c>
      <c r="DT20" s="126">
        <f ca="1">MAX(DT19*(1+U20)-(Dashboard!$C$11)/(1-Dashboard!$C$17)*((1+Dashboard!$C$12)^$CZ20),0)</f>
        <v>1963867.4824209812</v>
      </c>
      <c r="DU20" s="126">
        <f ca="1">MAX(DU19*(1+V20)-(Dashboard!$C$11)/(1-Dashboard!$C$17)*((1+Dashboard!$C$12)^$CZ20),0)</f>
        <v>3195154.7191859456</v>
      </c>
      <c r="DV20" s="126">
        <f ca="1">MAX(DV19*(1+W20)-(Dashboard!$C$11)/(1-Dashboard!$C$17)*((1+Dashboard!$C$12)^$CZ20),0)</f>
        <v>5675887.7951008324</v>
      </c>
      <c r="DW20" s="126">
        <f ca="1">MAX(DW19*(1+X20)-(Dashboard!$C$11)/(1-Dashboard!$C$17)*((1+Dashboard!$C$12)^$CZ20),0)</f>
        <v>2404476.3379733376</v>
      </c>
      <c r="DX20" s="126">
        <f ca="1">MAX(DX19*(1+Y20)-(Dashboard!$C$11)/(1-Dashboard!$C$17)*((1+Dashboard!$C$12)^$CZ20),0)</f>
        <v>1767548.4493672301</v>
      </c>
      <c r="DY20" s="126">
        <f ca="1">MAX(DY19*(1+Z20)-(Dashboard!$C$11)/(1-Dashboard!$C$17)*((1+Dashboard!$C$12)^$CZ20),0)</f>
        <v>5557096.8427861575</v>
      </c>
      <c r="DZ20" s="126">
        <f ca="1">MAX(DZ19*(1+AA20)-(Dashboard!$C$11)/(1-Dashboard!$C$17)*((1+Dashboard!$C$12)^$CZ20),0)</f>
        <v>474036.83557804441</v>
      </c>
      <c r="EA20" s="126">
        <f ca="1">MAX(EA19*(1+AB20)-(Dashboard!$C$11)/(1-Dashboard!$C$17)*((1+Dashboard!$C$12)^$CZ20),0)</f>
        <v>2105036.969735438</v>
      </c>
      <c r="EB20" s="126">
        <f ca="1">MAX(EB19*(1+AC20)-(Dashboard!$C$11)/(1-Dashboard!$C$17)*((1+Dashboard!$C$12)^$CZ20),0)</f>
        <v>5910375.6031056466</v>
      </c>
      <c r="EC20" s="126">
        <f ca="1">MAX(EC19*(1+AD20)-(Dashboard!$C$11)/(1-Dashboard!$C$17)*((1+Dashboard!$C$12)^$CZ20),0)</f>
        <v>5756307.4655061197</v>
      </c>
      <c r="ED20" s="126">
        <f ca="1">MAX(ED19*(1+AE20)-(Dashboard!$C$11)/(1-Dashboard!$C$17)*((1+Dashboard!$C$12)^$CZ20),0)</f>
        <v>4782789.8545458447</v>
      </c>
      <c r="EE20" s="126">
        <f ca="1">MAX(EE19*(1+AF20)-(Dashboard!$C$11)/(1-Dashboard!$C$17)*((1+Dashboard!$C$12)^$CZ20),0)</f>
        <v>3435079.2204944226</v>
      </c>
      <c r="EF20" s="126">
        <f ca="1">MAX(EF19*(1+AG20)-(Dashboard!$C$11)/(1-Dashboard!$C$17)*((1+Dashboard!$C$12)^$CZ20),0)</f>
        <v>1405304.2238015304</v>
      </c>
      <c r="EG20" s="126">
        <f ca="1">MAX(EG19*(1+AH20)-(Dashboard!$C$11)/(1-Dashboard!$C$17)*((1+Dashboard!$C$12)^$CZ20),0)</f>
        <v>4292558.8907431774</v>
      </c>
      <c r="EH20" s="126">
        <f ca="1">MAX(EH19*(1+AI20)-(Dashboard!$C$11)/(1-Dashboard!$C$17)*((1+Dashboard!$C$12)^$CZ20),0)</f>
        <v>3925631.1155943517</v>
      </c>
      <c r="EI20" s="126">
        <f ca="1">MAX(EI19*(1+AJ20)-(Dashboard!$C$11)/(1-Dashboard!$C$17)*((1+Dashboard!$C$12)^$CZ20),0)</f>
        <v>947135.3104905514</v>
      </c>
      <c r="EJ20" s="126">
        <f ca="1">MAX(EJ19*(1+AK20)-(Dashboard!$C$11)/(1-Dashboard!$C$17)*((1+Dashboard!$C$12)^$CZ20),0)</f>
        <v>3328951.7229169165</v>
      </c>
      <c r="EK20" s="126">
        <f ca="1">MAX(EK19*(1+AL20)-(Dashboard!$C$11)/(1-Dashboard!$C$17)*((1+Dashboard!$C$12)^$CZ20),0)</f>
        <v>3646704.9446564759</v>
      </c>
      <c r="EL20" s="126">
        <f ca="1">MAX(EL19*(1+AM20)-(Dashboard!$C$11)/(1-Dashboard!$C$17)*((1+Dashboard!$C$12)^$CZ20),0)</f>
        <v>796072.61172259948</v>
      </c>
      <c r="EM20" s="126">
        <f ca="1">MAX(EM19*(1+AN20)-(Dashboard!$C$11)/(1-Dashboard!$C$17)*((1+Dashboard!$C$12)^$CZ20),0)</f>
        <v>2321370.8730665212</v>
      </c>
      <c r="EN20" s="126">
        <f ca="1">MAX(EN19*(1+AO20)-(Dashboard!$C$11)/(1-Dashboard!$C$17)*((1+Dashboard!$C$12)^$CZ20),0)</f>
        <v>1626932.9524207248</v>
      </c>
      <c r="EO20" s="126">
        <f ca="1">MAX(EO19*(1+AP20)-(Dashboard!$C$11)/(1-Dashboard!$C$17)*((1+Dashboard!$C$12)^$CZ20),0)</f>
        <v>816461.9154431636</v>
      </c>
      <c r="EP20" s="126">
        <f ca="1">MAX(EP19*(1+AQ20)-(Dashboard!$C$11)/(1-Dashboard!$C$17)*((1+Dashboard!$C$12)^$CZ20),0)</f>
        <v>1985445.4666260793</v>
      </c>
      <c r="EQ20" s="126">
        <f ca="1">MAX(EQ19*(1+AR20)-(Dashboard!$C$11)/(1-Dashboard!$C$17)*((1+Dashboard!$C$12)^$CZ20),0)</f>
        <v>1584508.4553270023</v>
      </c>
      <c r="ER20" s="126">
        <f ca="1">MAX(ER19*(1+AS20)-(Dashboard!$C$11)/(1-Dashboard!$C$17)*((1+Dashboard!$C$12)^$CZ20),0)</f>
        <v>781323.08005921554</v>
      </c>
      <c r="ES20" s="126">
        <f ca="1">MAX(ES19*(1+AT20)-(Dashboard!$C$11)/(1-Dashboard!$C$17)*((1+Dashboard!$C$12)^$CZ20),0)</f>
        <v>3477918.2667205436</v>
      </c>
      <c r="ET20" s="126">
        <f ca="1">MAX(ET19*(1+AU20)-(Dashboard!$C$11)/(1-Dashboard!$C$17)*((1+Dashboard!$C$12)^$CZ20),0)</f>
        <v>1253161.5539659979</v>
      </c>
      <c r="EU20" s="126">
        <f ca="1">MAX(EU19*(1+AV20)-(Dashboard!$C$11)/(1-Dashboard!$C$17)*((1+Dashboard!$C$12)^$CZ20),0)</f>
        <v>3274999.9660721375</v>
      </c>
      <c r="EV20" s="126">
        <f ca="1">MAX(EV19*(1+AW20)-(Dashboard!$C$11)/(1-Dashboard!$C$17)*((1+Dashboard!$C$12)^$CZ20),0)</f>
        <v>5235590.7929219436</v>
      </c>
      <c r="EW20" s="126">
        <f ca="1">MAX(EW19*(1+AX20)-(Dashboard!$C$11)/(1-Dashboard!$C$17)*((1+Dashboard!$C$12)^$CZ20),0)</f>
        <v>2537151.6275522625</v>
      </c>
      <c r="EX20" s="126">
        <f ca="1">MAX(EX19*(1+AY20)-(Dashboard!$C$11)/(1-Dashboard!$C$17)*((1+Dashboard!$C$12)^$CZ20),0)</f>
        <v>2713864.8161565261</v>
      </c>
      <c r="EY20" s="126">
        <f ca="1">MAX(EY19*(1+AZ20)-(Dashboard!$C$11)/(1-Dashboard!$C$17)*((1+Dashboard!$C$12)^$CZ20),0)</f>
        <v>5268871.0102527943</v>
      </c>
      <c r="EZ20" s="126">
        <f ca="1">MAX(EZ19*(1+BA20)-(Dashboard!$C$11)/(1-Dashboard!$C$17)*((1+Dashboard!$C$12)^$CZ20),0)</f>
        <v>2584994.0096030924</v>
      </c>
      <c r="FA20" s="126">
        <f ca="1">MAX(FA19*(1+BB20)-(Dashboard!$C$11)/(1-Dashboard!$C$17)*((1+Dashboard!$C$12)^$CZ20),0)</f>
        <v>5292073.8935114499</v>
      </c>
      <c r="FB20" s="126">
        <f ca="1">MAX(FB19*(1+BC20)-(Dashboard!$C$11)/(1-Dashboard!$C$17)*((1+Dashboard!$C$12)^$CZ20),0)</f>
        <v>696300.96638297022</v>
      </c>
      <c r="FC20" s="126">
        <f ca="1">MAX(FC19*(1+BD20)-(Dashboard!$C$11)/(1-Dashboard!$C$17)*((1+Dashboard!$C$12)^$CZ20),0)</f>
        <v>4361465.1571723595</v>
      </c>
      <c r="FD20" s="126">
        <f ca="1">MAX(FD19*(1+BE20)-(Dashboard!$C$11)/(1-Dashboard!$C$17)*((1+Dashboard!$C$12)^$CZ20),0)</f>
        <v>4440055.7746777041</v>
      </c>
      <c r="FE20" s="126">
        <f ca="1">MAX(FE19*(1+BF20)-(Dashboard!$C$11)/(1-Dashboard!$C$17)*((1+Dashboard!$C$12)^$CZ20),0)</f>
        <v>4496390.2937299758</v>
      </c>
      <c r="FF20" s="126">
        <f ca="1">MAX(FF19*(1+BG20)-(Dashboard!$C$11)/(1-Dashboard!$C$17)*((1+Dashboard!$C$12)^$CZ20),0)</f>
        <v>2033551.046846526</v>
      </c>
      <c r="FG20" s="126">
        <f ca="1">MAX(FG19*(1+BH20)-(Dashboard!$C$11)/(1-Dashboard!$C$17)*((1+Dashboard!$C$12)^$CZ20),0)</f>
        <v>2466622.7080630087</v>
      </c>
      <c r="FH20" s="126">
        <f ca="1">MAX(FH19*(1+BI20)-(Dashboard!$C$11)/(1-Dashboard!$C$17)*((1+Dashboard!$C$12)^$CZ20),0)</f>
        <v>2967042.0982631994</v>
      </c>
      <c r="FI20" s="126">
        <f ca="1">MAX(FI19*(1+BJ20)-(Dashboard!$C$11)/(1-Dashboard!$C$17)*((1+Dashboard!$C$12)^$CZ20),0)</f>
        <v>4993029.345480198</v>
      </c>
      <c r="FJ20" s="126">
        <f ca="1">MAX(FJ19*(1+BK20)-(Dashboard!$C$11)/(1-Dashboard!$C$17)*((1+Dashboard!$C$12)^$CZ20),0)</f>
        <v>1913309.9146332776</v>
      </c>
      <c r="FK20" s="126">
        <f ca="1">MAX(FK19*(1+BL20)-(Dashboard!$C$11)/(1-Dashboard!$C$17)*((1+Dashboard!$C$12)^$CZ20),0)</f>
        <v>2360064.7664625929</v>
      </c>
      <c r="FL20" s="126">
        <f ca="1">MAX(FL19*(1+BM20)-(Dashboard!$C$11)/(1-Dashboard!$C$17)*((1+Dashboard!$C$12)^$CZ20),0)</f>
        <v>2300107.4198088245</v>
      </c>
      <c r="FM20" s="126">
        <f ca="1">MAX(FM19*(1+BN20)-(Dashboard!$C$11)/(1-Dashboard!$C$17)*((1+Dashboard!$C$12)^$CZ20),0)</f>
        <v>4706401.3464337783</v>
      </c>
      <c r="FN20" s="126">
        <f ca="1">MAX(FN19*(1+BO20)-(Dashboard!$C$11)/(1-Dashboard!$C$17)*((1+Dashboard!$C$12)^$CZ20),0)</f>
        <v>483248.4222799337</v>
      </c>
      <c r="FO20" s="126">
        <f ca="1">MAX(FO19*(1+BP20)-(Dashboard!$C$11)/(1-Dashboard!$C$17)*((1+Dashboard!$C$12)^$CZ20),0)</f>
        <v>2153480.5705070384</v>
      </c>
      <c r="FP20" s="126">
        <f ca="1">MAX(FP19*(1+BQ20)-(Dashboard!$C$11)/(1-Dashboard!$C$17)*((1+Dashboard!$C$12)^$CZ20),0)</f>
        <v>2737105.3607342527</v>
      </c>
      <c r="FQ20" s="126">
        <f ca="1">MAX(FQ19*(1+BR20)-(Dashboard!$C$11)/(1-Dashboard!$C$17)*((1+Dashboard!$C$12)^$CZ20),0)</f>
        <v>3138100.3332757279</v>
      </c>
      <c r="FR20" s="126">
        <f ca="1">MAX(FR19*(1+BS20)-(Dashboard!$C$11)/(1-Dashboard!$C$17)*((1+Dashboard!$C$12)^$CZ20),0)</f>
        <v>5090523.2493543979</v>
      </c>
      <c r="FS20" s="126">
        <f ca="1">MAX(FS19*(1+BT20)-(Dashboard!$C$11)/(1-Dashboard!$C$17)*((1+Dashboard!$C$12)^$CZ20),0)</f>
        <v>7866357.9349994371</v>
      </c>
      <c r="FT20" s="126">
        <f ca="1">MAX(FT19*(1+BU20)-(Dashboard!$C$11)/(1-Dashboard!$C$17)*((1+Dashboard!$C$12)^$CZ20),0)</f>
        <v>1451504.1590387661</v>
      </c>
      <c r="FU20" s="126">
        <f ca="1">MAX(FU19*(1+BV20)-(Dashboard!$C$11)/(1-Dashboard!$C$17)*((1+Dashboard!$C$12)^$CZ20),0)</f>
        <v>2923227.6012928463</v>
      </c>
      <c r="FV20" s="126">
        <f ca="1">MAX(FV19*(1+BW20)-(Dashboard!$C$11)/(1-Dashboard!$C$17)*((1+Dashboard!$C$12)^$CZ20),0)</f>
        <v>1328801.1375879892</v>
      </c>
      <c r="FW20" s="126">
        <f ca="1">MAX(FW19*(1+BX20)-(Dashboard!$C$11)/(1-Dashboard!$C$17)*((1+Dashboard!$C$12)^$CZ20),0)</f>
        <v>3145899.8345496873</v>
      </c>
      <c r="FX20" s="126">
        <f ca="1">MAX(FX19*(1+BY20)-(Dashboard!$C$11)/(1-Dashboard!$C$17)*((1+Dashboard!$C$12)^$CZ20),0)</f>
        <v>1385405.0992687123</v>
      </c>
      <c r="FY20" s="126">
        <f ca="1">MAX(FY19*(1+BZ20)-(Dashboard!$C$11)/(1-Dashboard!$C$17)*((1+Dashboard!$C$12)^$CZ20),0)</f>
        <v>1657550.2754749444</v>
      </c>
      <c r="FZ20" s="126">
        <f ca="1">MAX(FZ19*(1+CA20)-(Dashboard!$C$11)/(1-Dashboard!$C$17)*((1+Dashboard!$C$12)^$CZ20),0)</f>
        <v>4810686.8766963203</v>
      </c>
      <c r="GA20" s="126">
        <f ca="1">MAX(GA19*(1+CB20)-(Dashboard!$C$11)/(1-Dashboard!$C$17)*((1+Dashboard!$C$12)^$CZ20),0)</f>
        <v>3925508.2252516267</v>
      </c>
      <c r="GB20" s="126">
        <f ca="1">MAX(GB19*(1+CC20)-(Dashboard!$C$11)/(1-Dashboard!$C$17)*((1+Dashboard!$C$12)^$CZ20),0)</f>
        <v>1811753.9639192969</v>
      </c>
      <c r="GC20" s="126">
        <f ca="1">MAX(GC19*(1+CD20)-(Dashboard!$C$11)/(1-Dashboard!$C$17)*((1+Dashboard!$C$12)^$CZ20),0)</f>
        <v>4394593.192332807</v>
      </c>
      <c r="GD20" s="126">
        <f ca="1">MAX(GD19*(1+CE20)-(Dashboard!$C$11)/(1-Dashboard!$C$17)*((1+Dashboard!$C$12)^$CZ20),0)</f>
        <v>7587379.671697828</v>
      </c>
      <c r="GE20" s="126">
        <f ca="1">MAX(GE19*(1+CF20)-(Dashboard!$C$11)/(1-Dashboard!$C$17)*((1+Dashboard!$C$12)^$CZ20),0)</f>
        <v>1700945.6999964584</v>
      </c>
      <c r="GF20" s="126">
        <f ca="1">MAX(GF19*(1+CG20)-(Dashboard!$C$11)/(1-Dashboard!$C$17)*((1+Dashboard!$C$12)^$CZ20),0)</f>
        <v>7042171.2490649568</v>
      </c>
      <c r="GG20" s="126">
        <f ca="1">MAX(GG19*(1+CH20)-(Dashboard!$C$11)/(1-Dashboard!$C$17)*((1+Dashboard!$C$12)^$CZ20),0)</f>
        <v>973075.87435741792</v>
      </c>
      <c r="GH20" s="126">
        <f ca="1">MAX(GH19*(1+CI20)-(Dashboard!$C$11)/(1-Dashboard!$C$17)*((1+Dashboard!$C$12)^$CZ20),0)</f>
        <v>2322750.1925512599</v>
      </c>
      <c r="GI20" s="126">
        <f ca="1">MAX(GI19*(1+CJ20)-(Dashboard!$C$11)/(1-Dashboard!$C$17)*((1+Dashboard!$C$12)^$CZ20),0)</f>
        <v>1296346.53962204</v>
      </c>
      <c r="GJ20" s="126">
        <f ca="1">MAX(GJ19*(1+CK20)-(Dashboard!$C$11)/(1-Dashboard!$C$17)*((1+Dashboard!$C$12)^$CZ20),0)</f>
        <v>4247043.6883196514</v>
      </c>
      <c r="GK20" s="126">
        <f ca="1">MAX(GK19*(1+CL20)-(Dashboard!$C$11)/(1-Dashboard!$C$17)*((1+Dashboard!$C$12)^$CZ20),0)</f>
        <v>4956312.9461629596</v>
      </c>
      <c r="GL20" s="126">
        <f ca="1">MAX(GL19*(1+CM20)-(Dashboard!$C$11)/(1-Dashboard!$C$17)*((1+Dashboard!$C$12)^$CZ20),0)</f>
        <v>3295207.6380699575</v>
      </c>
      <c r="GM20" s="126">
        <f ca="1">MAX(GM19*(1+CN20)-(Dashboard!$C$11)/(1-Dashboard!$C$17)*((1+Dashboard!$C$12)^$CZ20),0)</f>
        <v>1205886.5089506046</v>
      </c>
      <c r="GN20" s="126">
        <f ca="1">MAX(GN19*(1+CO20)-(Dashboard!$C$11)/(1-Dashboard!$C$17)*((1+Dashboard!$C$12)^$CZ20),0)</f>
        <v>356372.97898717091</v>
      </c>
      <c r="GO20" s="126">
        <f ca="1">MAX(GO19*(1+CP20)-(Dashboard!$C$11)/(1-Dashboard!$C$17)*((1+Dashboard!$C$12)^$CZ20),0)</f>
        <v>2057769.2479813995</v>
      </c>
      <c r="GP20" s="126">
        <f ca="1">MAX(GP19*(1+CQ20)-(Dashboard!$C$11)/(1-Dashboard!$C$17)*((1+Dashboard!$C$12)^$CZ20),0)</f>
        <v>1593833.8644421573</v>
      </c>
      <c r="GQ20" s="126">
        <f ca="1">MAX(GQ19*(1+CR20)-(Dashboard!$C$11)/(1-Dashboard!$C$17)*((1+Dashboard!$C$12)^$CZ20),0)</f>
        <v>875203.94231809059</v>
      </c>
      <c r="GR20" s="126">
        <f ca="1">MAX(GR19*(1+CS20)-(Dashboard!$C$11)/(1-Dashboard!$C$17)*((1+Dashboard!$C$12)^$CZ20),0)</f>
        <v>1256898.4365391294</v>
      </c>
      <c r="GS20" s="126">
        <f ca="1">MAX(GS19*(1+CT20)-(Dashboard!$C$11)/(1-Dashboard!$C$17)*((1+Dashboard!$C$12)^$CZ20),0)</f>
        <v>2742270.4195244303</v>
      </c>
      <c r="GT20" s="126">
        <f ca="1">MAX(GT19*(1+CU20)-(Dashboard!$C$11)/(1-Dashboard!$C$17)*((1+Dashboard!$C$12)^$CZ20),0)</f>
        <v>6885132.0864450587</v>
      </c>
      <c r="GU20" s="126">
        <f ca="1">MAX(GU19*(1+CV20)-(Dashboard!$C$11)/(1-Dashboard!$C$17)*((1+Dashboard!$C$12)^$CZ20),0)</f>
        <v>1181980.0227963061</v>
      </c>
      <c r="GV20" s="126">
        <f ca="1">MAX(GV19*(1+CW20)-(Dashboard!$C$11)/(1-Dashboard!$C$17)*((1+Dashboard!$C$12)^$CZ20),0)</f>
        <v>1180455.3011075784</v>
      </c>
      <c r="GW20" s="115">
        <f t="shared" si="4"/>
        <v>69</v>
      </c>
      <c r="GX20" s="130">
        <f t="shared" ca="1" si="2"/>
        <v>100</v>
      </c>
      <c r="HC20" s="130">
        <f t="shared" si="0"/>
        <v>69</v>
      </c>
      <c r="HD20" s="137">
        <f t="shared" ca="1" si="1"/>
        <v>1416854.2076108393</v>
      </c>
      <c r="HE20" s="137">
        <f t="shared" ca="1" si="1"/>
        <v>2501887.1678076359</v>
      </c>
      <c r="HF20" s="137">
        <f t="shared" ca="1" si="1"/>
        <v>4281180.0901372954</v>
      </c>
    </row>
    <row r="21" spans="1:214" ht="16">
      <c r="A21" s="145">
        <f t="shared" si="3"/>
        <v>70</v>
      </c>
      <c r="B21" s="122">
        <f ca="1">(Dashboard!$C$7*'Equity and Bond Returns'!N21)+(Dashboard!$C$8*'Equity and Bond Returns'!DL21)</f>
        <v>-3.7529303463375935E-2</v>
      </c>
      <c r="C21" s="122">
        <f ca="1">(Dashboard!$C$7*'Equity and Bond Returns'!O21)+(Dashboard!$C$8*'Equity and Bond Returns'!DM21)</f>
        <v>6.1057186605877022E-2</v>
      </c>
      <c r="D21" s="122">
        <f ca="1">(Dashboard!$C$7*'Equity and Bond Returns'!P21)+(Dashboard!$C$8*'Equity and Bond Returns'!DN21)</f>
        <v>3.166764101960963E-3</v>
      </c>
      <c r="E21" s="122">
        <f ca="1">(Dashboard!$C$7*'Equity and Bond Returns'!Q21)+(Dashboard!$C$8*'Equity and Bond Returns'!DO21)</f>
        <v>0.18224430239375083</v>
      </c>
      <c r="F21" s="122">
        <f ca="1">(Dashboard!$C$7*'Equity and Bond Returns'!R21)+(Dashboard!$C$8*'Equity and Bond Returns'!DP21)</f>
        <v>4.5368725803052956E-2</v>
      </c>
      <c r="G21" s="122">
        <f ca="1">(Dashboard!$C$7*'Equity and Bond Returns'!S21)+(Dashboard!$C$8*'Equity and Bond Returns'!DQ21)</f>
        <v>7.707129291093559E-2</v>
      </c>
      <c r="H21" s="122">
        <f ca="1">(Dashboard!$C$7*'Equity and Bond Returns'!T21)+(Dashboard!$C$8*'Equity and Bond Returns'!DR21)</f>
        <v>-1.3769472639400808E-2</v>
      </c>
      <c r="I21" s="122">
        <f ca="1">(Dashboard!$C$7*'Equity and Bond Returns'!U21)+(Dashboard!$C$8*'Equity and Bond Returns'!DS21)</f>
        <v>0.39746548789114922</v>
      </c>
      <c r="J21" s="122">
        <f ca="1">(Dashboard!$C$7*'Equity and Bond Returns'!V21)+(Dashboard!$C$8*'Equity and Bond Returns'!DT21)</f>
        <v>0.10020442955047359</v>
      </c>
      <c r="K21" s="122">
        <f ca="1">(Dashboard!$C$7*'Equity and Bond Returns'!W21)+(Dashboard!$C$8*'Equity and Bond Returns'!DU21)</f>
        <v>0.25540732089401075</v>
      </c>
      <c r="L21" s="122">
        <f ca="1">(Dashboard!$C$7*'Equity and Bond Returns'!X21)+(Dashboard!$C$8*'Equity and Bond Returns'!DV21)</f>
        <v>0.34039497395986745</v>
      </c>
      <c r="M21" s="122">
        <f ca="1">(Dashboard!$C$7*'Equity and Bond Returns'!Y21)+(Dashboard!$C$8*'Equity and Bond Returns'!DW21)</f>
        <v>-0.27964730808418437</v>
      </c>
      <c r="N21" s="122">
        <f ca="1">(Dashboard!$C$7*'Equity and Bond Returns'!Z21)+(Dashboard!$C$8*'Equity and Bond Returns'!DX21)</f>
        <v>0.2350282867001878</v>
      </c>
      <c r="O21" s="122">
        <f ca="1">(Dashboard!$C$7*'Equity and Bond Returns'!AA21)+(Dashboard!$C$8*'Equity and Bond Returns'!DY21)</f>
        <v>0.10078157436362332</v>
      </c>
      <c r="P21" s="122">
        <f ca="1">(Dashboard!$C$7*'Equity and Bond Returns'!AB21)+(Dashboard!$C$8*'Equity and Bond Returns'!DZ21)</f>
        <v>0.186619620121067</v>
      </c>
      <c r="Q21" s="122">
        <f ca="1">(Dashboard!$C$7*'Equity and Bond Returns'!AC21)+(Dashboard!$C$8*'Equity and Bond Returns'!EA21)</f>
        <v>0.15826887698674658</v>
      </c>
      <c r="R21" s="122">
        <f ca="1">(Dashboard!$C$7*'Equity and Bond Returns'!AD21)+(Dashboard!$C$8*'Equity and Bond Returns'!EB21)</f>
        <v>0.2250651506139604</v>
      </c>
      <c r="S21" s="122">
        <f ca="1">(Dashboard!$C$7*'Equity and Bond Returns'!AE21)+(Dashboard!$C$8*'Equity and Bond Returns'!EC21)</f>
        <v>0.35224064642415331</v>
      </c>
      <c r="T21" s="122">
        <f ca="1">(Dashboard!$C$7*'Equity and Bond Returns'!AF21)+(Dashboard!$C$8*'Equity and Bond Returns'!ED21)</f>
        <v>0.19416966049953477</v>
      </c>
      <c r="U21" s="122">
        <f ca="1">(Dashboard!$C$7*'Equity and Bond Returns'!AG21)+(Dashboard!$C$8*'Equity and Bond Returns'!EE21)</f>
        <v>6.5017490338772493E-2</v>
      </c>
      <c r="V21" s="122">
        <f ca="1">(Dashboard!$C$7*'Equity and Bond Returns'!AH21)+(Dashboard!$C$8*'Equity and Bond Returns'!EF21)</f>
        <v>0.19702429727574533</v>
      </c>
      <c r="W21" s="122">
        <f ca="1">(Dashboard!$C$7*'Equity and Bond Returns'!AI21)+(Dashboard!$C$8*'Equity and Bond Returns'!EG21)</f>
        <v>0.12776014399554242</v>
      </c>
      <c r="X21" s="122">
        <f ca="1">(Dashboard!$C$7*'Equity and Bond Returns'!AJ21)+(Dashboard!$C$8*'Equity and Bond Returns'!EH21)</f>
        <v>7.2227834055807127E-2</v>
      </c>
      <c r="Y21" s="122">
        <f ca="1">(Dashboard!$C$7*'Equity and Bond Returns'!AK21)+(Dashboard!$C$8*'Equity and Bond Returns'!EI21)</f>
        <v>3.8106081428537122E-2</v>
      </c>
      <c r="Z21" s="122">
        <f ca="1">(Dashboard!$C$7*'Equity and Bond Returns'!AL21)+(Dashboard!$C$8*'Equity and Bond Returns'!EJ21)</f>
        <v>-0.11469559737658995</v>
      </c>
      <c r="AA21" s="122">
        <f ca="1">(Dashboard!$C$7*'Equity and Bond Returns'!AM21)+(Dashboard!$C$8*'Equity and Bond Returns'!EK21)</f>
        <v>0.16012219969525113</v>
      </c>
      <c r="AB21" s="122">
        <f ca="1">(Dashboard!$C$7*'Equity and Bond Returns'!AN21)+(Dashboard!$C$8*'Equity and Bond Returns'!EL21)</f>
        <v>6.2929445025709407E-2</v>
      </c>
      <c r="AC21" s="122">
        <f ca="1">(Dashboard!$C$7*'Equity and Bond Returns'!AO21)+(Dashboard!$C$8*'Equity and Bond Returns'!EM21)</f>
        <v>4.3692681027314544E-2</v>
      </c>
      <c r="AD21" s="122">
        <f ca="1">(Dashboard!$C$7*'Equity and Bond Returns'!AP21)+(Dashboard!$C$8*'Equity and Bond Returns'!EN21)</f>
        <v>-4.7377308359311456E-2</v>
      </c>
      <c r="AE21" s="122">
        <f ca="1">(Dashboard!$C$7*'Equity and Bond Returns'!AQ21)+(Dashboard!$C$8*'Equity and Bond Returns'!EO21)</f>
        <v>-1.2564179943994173E-2</v>
      </c>
      <c r="AF21" s="122">
        <f ca="1">(Dashboard!$C$7*'Equity and Bond Returns'!AR21)+(Dashboard!$C$8*'Equity and Bond Returns'!EP21)</f>
        <v>0.11873239797901777</v>
      </c>
      <c r="AG21" s="122">
        <f ca="1">(Dashboard!$C$7*'Equity and Bond Returns'!AS21)+(Dashboard!$C$8*'Equity and Bond Returns'!EQ21)</f>
        <v>4.3873360234234458E-4</v>
      </c>
      <c r="AH21" s="122">
        <f ca="1">(Dashboard!$C$7*'Equity and Bond Returns'!AT21)+(Dashboard!$C$8*'Equity and Bond Returns'!ER21)</f>
        <v>4.9901956053533272E-2</v>
      </c>
      <c r="AI21" s="122">
        <f ca="1">(Dashboard!$C$7*'Equity and Bond Returns'!AU21)+(Dashboard!$C$8*'Equity and Bond Returns'!ES21)</f>
        <v>0.20809919203560898</v>
      </c>
      <c r="AJ21" s="122">
        <f ca="1">(Dashboard!$C$7*'Equity and Bond Returns'!AV21)+(Dashboard!$C$8*'Equity and Bond Returns'!ET21)</f>
        <v>-0.13956416490761614</v>
      </c>
      <c r="AK21" s="122">
        <f ca="1">(Dashboard!$C$7*'Equity and Bond Returns'!AW21)+(Dashboard!$C$8*'Equity and Bond Returns'!EU21)</f>
        <v>-0.15896983912115281</v>
      </c>
      <c r="AL21" s="122">
        <f ca="1">(Dashboard!$C$7*'Equity and Bond Returns'!AX21)+(Dashboard!$C$8*'Equity and Bond Returns'!EV21)</f>
        <v>0.26538922226665984</v>
      </c>
      <c r="AM21" s="122">
        <f ca="1">(Dashboard!$C$7*'Equity and Bond Returns'!AY21)+(Dashboard!$C$8*'Equity and Bond Returns'!EW21)</f>
        <v>0.12980115718017371</v>
      </c>
      <c r="AN21" s="122">
        <f ca="1">(Dashboard!$C$7*'Equity and Bond Returns'!AZ21)+(Dashboard!$C$8*'Equity and Bond Returns'!EX21)</f>
        <v>0.11280371995751048</v>
      </c>
      <c r="AO21" s="122">
        <f ca="1">(Dashboard!$C$7*'Equity and Bond Returns'!BA21)+(Dashboard!$C$8*'Equity and Bond Returns'!EY21)</f>
        <v>0.1490227465572678</v>
      </c>
      <c r="AP21" s="122">
        <f ca="1">(Dashboard!$C$7*'Equity and Bond Returns'!BB21)+(Dashboard!$C$8*'Equity and Bond Returns'!EZ21)</f>
        <v>5.7027584975061579E-2</v>
      </c>
      <c r="AQ21" s="122">
        <f ca="1">(Dashboard!$C$7*'Equity and Bond Returns'!BC21)+(Dashboard!$C$8*'Equity and Bond Returns'!FA21)</f>
        <v>-1.3419176929106033E-2</v>
      </c>
      <c r="AR21" s="122">
        <f ca="1">(Dashboard!$C$7*'Equity and Bond Returns'!BD21)+(Dashboard!$C$8*'Equity and Bond Returns'!FB21)</f>
        <v>0.18396823504945253</v>
      </c>
      <c r="AS21" s="122">
        <f ca="1">(Dashboard!$C$7*'Equity and Bond Returns'!BE21)+(Dashboard!$C$8*'Equity and Bond Returns'!FC21)</f>
        <v>0.16039761157199214</v>
      </c>
      <c r="AT21" s="122">
        <f ca="1">(Dashboard!$C$7*'Equity and Bond Returns'!BF21)+(Dashboard!$C$8*'Equity and Bond Returns'!FD21)</f>
        <v>0.2543126778676994</v>
      </c>
      <c r="AU21" s="122">
        <f ca="1">(Dashboard!$C$7*'Equity and Bond Returns'!BG21)+(Dashboard!$C$8*'Equity and Bond Returns'!FE21)</f>
        <v>0.19336892787847823</v>
      </c>
      <c r="AV21" s="122">
        <f ca="1">(Dashboard!$C$7*'Equity and Bond Returns'!BH21)+(Dashboard!$C$8*'Equity and Bond Returns'!FF21)</f>
        <v>-0.16187621870517691</v>
      </c>
      <c r="AW21" s="122">
        <f ca="1">(Dashboard!$C$7*'Equity and Bond Returns'!BI21)+(Dashboard!$C$8*'Equity and Bond Returns'!FG21)</f>
        <v>7.6690560616993808E-2</v>
      </c>
      <c r="AX21" s="122">
        <f ca="1">(Dashboard!$C$7*'Equity and Bond Returns'!BJ21)+(Dashboard!$C$8*'Equity and Bond Returns'!FH21)</f>
        <v>-9.7700645347895909E-2</v>
      </c>
      <c r="AY21" s="122">
        <f ca="1">(Dashboard!$C$7*'Equity and Bond Returns'!BK21)+(Dashboard!$C$8*'Equity and Bond Returns'!FI21)</f>
        <v>0.12166783006938693</v>
      </c>
      <c r="AZ21" s="122">
        <f ca="1">(Dashboard!$C$7*'Equity and Bond Returns'!BL21)+(Dashboard!$C$8*'Equity and Bond Returns'!FJ21)</f>
        <v>2.7087655872339838E-2</v>
      </c>
      <c r="BA21" s="122">
        <f ca="1">(Dashboard!$C$7*'Equity and Bond Returns'!BM21)+(Dashboard!$C$8*'Equity and Bond Returns'!FK21)</f>
        <v>9.0222049574095783E-2</v>
      </c>
      <c r="BB21" s="122">
        <f ca="1">(Dashboard!$C$7*'Equity and Bond Returns'!BN21)+(Dashboard!$C$8*'Equity and Bond Returns'!FL21)</f>
        <v>0.18554765740708906</v>
      </c>
      <c r="BC21" s="122">
        <f ca="1">(Dashboard!$C$7*'Equity and Bond Returns'!BO21)+(Dashboard!$C$8*'Equity and Bond Returns'!FM21)</f>
        <v>0.11731275004647679</v>
      </c>
      <c r="BD21" s="122">
        <f ca="1">(Dashboard!$C$7*'Equity and Bond Returns'!BP21)+(Dashboard!$C$8*'Equity and Bond Returns'!FN21)</f>
        <v>0.19987867239120782</v>
      </c>
      <c r="BE21" s="122">
        <f ca="1">(Dashboard!$C$7*'Equity and Bond Returns'!BQ21)+(Dashboard!$C$8*'Equity and Bond Returns'!FO21)</f>
        <v>0.11474709556726047</v>
      </c>
      <c r="BF21" s="122">
        <f ca="1">(Dashboard!$C$7*'Equity and Bond Returns'!BR21)+(Dashboard!$C$8*'Equity and Bond Returns'!FP21)</f>
        <v>0.2630921414811474</v>
      </c>
      <c r="BG21" s="122">
        <f ca="1">(Dashboard!$C$7*'Equity and Bond Returns'!BS21)+(Dashboard!$C$8*'Equity and Bond Returns'!FQ21)</f>
        <v>0.34734726792808596</v>
      </c>
      <c r="BH21" s="122">
        <f ca="1">(Dashboard!$C$7*'Equity and Bond Returns'!BT21)+(Dashboard!$C$8*'Equity and Bond Returns'!FR21)</f>
        <v>0.13896876542875061</v>
      </c>
      <c r="BI21" s="122">
        <f ca="1">(Dashboard!$C$7*'Equity and Bond Returns'!BU21)+(Dashboard!$C$8*'Equity and Bond Returns'!FS21)</f>
        <v>0.12184388048719097</v>
      </c>
      <c r="BJ21" s="122">
        <f ca="1">(Dashboard!$C$7*'Equity and Bond Returns'!BV21)+(Dashboard!$C$8*'Equity and Bond Returns'!FT21)</f>
        <v>-6.2894675257933422E-2</v>
      </c>
      <c r="BK21" s="122">
        <f ca="1">(Dashboard!$C$7*'Equity and Bond Returns'!BW21)+(Dashboard!$C$8*'Equity and Bond Returns'!FU21)</f>
        <v>-3.871862985390407E-2</v>
      </c>
      <c r="BL21" s="122">
        <f ca="1">(Dashboard!$C$7*'Equity and Bond Returns'!BX21)+(Dashboard!$C$8*'Equity and Bond Returns'!FV21)</f>
        <v>0.23461324982475892</v>
      </c>
      <c r="BM21" s="122">
        <f ca="1">(Dashboard!$C$7*'Equity and Bond Returns'!BY21)+(Dashboard!$C$8*'Equity and Bond Returns'!FW21)</f>
        <v>0.22911553085950717</v>
      </c>
      <c r="BN21" s="122">
        <f ca="1">(Dashboard!$C$7*'Equity and Bond Returns'!BZ21)+(Dashboard!$C$8*'Equity and Bond Returns'!FX21)</f>
        <v>-1.677396272017195E-2</v>
      </c>
      <c r="BO21" s="122">
        <f ca="1">(Dashboard!$C$7*'Equity and Bond Returns'!CA21)+(Dashboard!$C$8*'Equity and Bond Returns'!FY21)</f>
        <v>-0.12731731492786408</v>
      </c>
      <c r="BP21" s="122">
        <f ca="1">(Dashboard!$C$7*'Equity and Bond Returns'!CB21)+(Dashboard!$C$8*'Equity and Bond Returns'!FZ21)</f>
        <v>0.21345615310414806</v>
      </c>
      <c r="BQ21" s="122">
        <f ca="1">(Dashboard!$C$7*'Equity and Bond Returns'!CC21)+(Dashboard!$C$8*'Equity and Bond Returns'!GA21)</f>
        <v>0.17534420870708248</v>
      </c>
      <c r="BR21" s="122">
        <f ca="1">(Dashboard!$C$7*'Equity and Bond Returns'!CD21)+(Dashboard!$C$8*'Equity and Bond Returns'!GB21)</f>
        <v>-5.4919543638007481E-2</v>
      </c>
      <c r="BS21" s="122">
        <f ca="1">(Dashboard!$C$7*'Equity and Bond Returns'!CE21)+(Dashboard!$C$8*'Equity and Bond Returns'!GC21)</f>
        <v>-4.7957717907991665E-2</v>
      </c>
      <c r="BT21" s="122">
        <f ca="1">(Dashboard!$C$7*'Equity and Bond Returns'!CF21)+(Dashboard!$C$8*'Equity and Bond Returns'!GD21)</f>
        <v>5.0025364931878133E-2</v>
      </c>
      <c r="BU21" s="122">
        <f ca="1">(Dashboard!$C$7*'Equity and Bond Returns'!CG21)+(Dashboard!$C$8*'Equity and Bond Returns'!GE21)</f>
        <v>9.1892627561091705E-2</v>
      </c>
      <c r="BV21" s="122">
        <f ca="1">(Dashboard!$C$7*'Equity and Bond Returns'!CH21)+(Dashboard!$C$8*'Equity and Bond Returns'!GF21)</f>
        <v>-0.25988292634311222</v>
      </c>
      <c r="BW21" s="122">
        <f ca="1">(Dashboard!$C$7*'Equity and Bond Returns'!CI21)+(Dashboard!$C$8*'Equity and Bond Returns'!GG21)</f>
        <v>0.21986579776150666</v>
      </c>
      <c r="BX21" s="122">
        <f ca="1">(Dashboard!$C$7*'Equity and Bond Returns'!CJ21)+(Dashboard!$C$8*'Equity and Bond Returns'!GH21)</f>
        <v>-0.15827518828228745</v>
      </c>
      <c r="BY21" s="122">
        <f ca="1">(Dashboard!$C$7*'Equity and Bond Returns'!CK21)+(Dashboard!$C$8*'Equity and Bond Returns'!GI21)</f>
        <v>6.8096600620005943E-4</v>
      </c>
      <c r="BZ21" s="122">
        <f ca="1">(Dashboard!$C$7*'Equity and Bond Returns'!CL21)+(Dashboard!$C$8*'Equity and Bond Returns'!GJ21)</f>
        <v>2.7728712541171281E-3</v>
      </c>
      <c r="CA21" s="122">
        <f ca="1">(Dashboard!$C$7*'Equity and Bond Returns'!CM21)+(Dashboard!$C$8*'Equity and Bond Returns'!GK21)</f>
        <v>0.10765962844512511</v>
      </c>
      <c r="CB21" s="122">
        <f ca="1">(Dashboard!$C$7*'Equity and Bond Returns'!CN21)+(Dashboard!$C$8*'Equity and Bond Returns'!GL21)</f>
        <v>4.0423906976455544E-2</v>
      </c>
      <c r="CC21" s="122">
        <f ca="1">(Dashboard!$C$7*'Equity and Bond Returns'!CO21)+(Dashboard!$C$8*'Equity and Bond Returns'!GM21)</f>
        <v>-0.17441549071266715</v>
      </c>
      <c r="CD21" s="122">
        <f ca="1">(Dashboard!$C$7*'Equity and Bond Returns'!CP21)+(Dashboard!$C$8*'Equity and Bond Returns'!GN21)</f>
        <v>2.8232708587241872E-2</v>
      </c>
      <c r="CE21" s="122">
        <f ca="1">(Dashboard!$C$7*'Equity and Bond Returns'!CQ21)+(Dashboard!$C$8*'Equity and Bond Returns'!GO21)</f>
        <v>0.10063823624133227</v>
      </c>
      <c r="CF21" s="122">
        <f ca="1">(Dashboard!$C$7*'Equity and Bond Returns'!CR21)+(Dashboard!$C$8*'Equity and Bond Returns'!GP21)</f>
        <v>-3.7127853309747522E-2</v>
      </c>
      <c r="CG21" s="122">
        <f ca="1">(Dashboard!$C$7*'Equity and Bond Returns'!CS21)+(Dashboard!$C$8*'Equity and Bond Returns'!GQ21)</f>
        <v>-5.3035610600218247E-2</v>
      </c>
      <c r="CH21" s="122">
        <f ca="1">(Dashboard!$C$7*'Equity and Bond Returns'!CT21)+(Dashboard!$C$8*'Equity and Bond Returns'!GR21)</f>
        <v>0.11255525335818282</v>
      </c>
      <c r="CI21" s="122">
        <f ca="1">(Dashboard!$C$7*'Equity and Bond Returns'!CU21)+(Dashboard!$C$8*'Equity and Bond Returns'!GS21)</f>
        <v>-7.5715022829805925E-2</v>
      </c>
      <c r="CJ21" s="122">
        <f ca="1">(Dashboard!$C$7*'Equity and Bond Returns'!CV21)+(Dashboard!$C$8*'Equity and Bond Returns'!GT21)</f>
        <v>0.19115326771872818</v>
      </c>
      <c r="CK21" s="122">
        <f ca="1">(Dashboard!$C$7*'Equity and Bond Returns'!CW21)+(Dashboard!$C$8*'Equity and Bond Returns'!GU21)</f>
        <v>1.8596658739325068E-2</v>
      </c>
      <c r="CL21" s="122">
        <f ca="1">(Dashboard!$C$7*'Equity and Bond Returns'!CX21)+(Dashboard!$C$8*'Equity and Bond Returns'!GV21)</f>
        <v>0.20507334662719909</v>
      </c>
      <c r="CM21" s="122">
        <f ca="1">(Dashboard!$C$7*'Equity and Bond Returns'!CY21)+(Dashboard!$C$8*'Equity and Bond Returns'!GW21)</f>
        <v>-0.12494816500684598</v>
      </c>
      <c r="CN21" s="122">
        <f ca="1">(Dashboard!$C$7*'Equity and Bond Returns'!CZ21)+(Dashboard!$C$8*'Equity and Bond Returns'!GX21)</f>
        <v>0.20419745881040258</v>
      </c>
      <c r="CO21" s="122">
        <f ca="1">(Dashboard!$C$7*'Equity and Bond Returns'!DA21)+(Dashboard!$C$8*'Equity and Bond Returns'!GY21)</f>
        <v>-8.9451497257271889E-2</v>
      </c>
      <c r="CP21" s="122">
        <f ca="1">(Dashboard!$C$7*'Equity and Bond Returns'!DB21)+(Dashboard!$C$8*'Equity and Bond Returns'!GZ21)</f>
        <v>0.18416309705012854</v>
      </c>
      <c r="CQ21" s="122">
        <f ca="1">(Dashboard!$C$7*'Equity and Bond Returns'!DC21)+(Dashboard!$C$8*'Equity and Bond Returns'!HA21)</f>
        <v>7.1182348637249732E-2</v>
      </c>
      <c r="CR21" s="122">
        <f ca="1">(Dashboard!$C$7*'Equity and Bond Returns'!DD21)+(Dashboard!$C$8*'Equity and Bond Returns'!HB21)</f>
        <v>0.1590929593117571</v>
      </c>
      <c r="CS21" s="122">
        <f ca="1">(Dashboard!$C$7*'Equity and Bond Returns'!DE21)+(Dashboard!$C$8*'Equity and Bond Returns'!HC21)</f>
        <v>0.10526921163865008</v>
      </c>
      <c r="CT21" s="122">
        <f ca="1">(Dashboard!$C$7*'Equity and Bond Returns'!DF21)+(Dashboard!$C$8*'Equity and Bond Returns'!HD21)</f>
        <v>-2.1250918566767953E-2</v>
      </c>
      <c r="CU21" s="122">
        <f ca="1">(Dashboard!$C$7*'Equity and Bond Returns'!DG21)+(Dashboard!$C$8*'Equity and Bond Returns'!HE21)</f>
        <v>0.35620849298278862</v>
      </c>
      <c r="CV21" s="122">
        <f ca="1">(Dashboard!$C$7*'Equity and Bond Returns'!DH21)+(Dashboard!$C$8*'Equity and Bond Returns'!HF21)</f>
        <v>0.10980223295105278</v>
      </c>
      <c r="CW21" s="122">
        <f ca="1">(Dashboard!$C$7*'Equity and Bond Returns'!DI21)+(Dashboard!$C$8*'Equity and Bond Returns'!HG21)</f>
        <v>7.6485471452939865E-2</v>
      </c>
      <c r="CY21" s="147">
        <f t="shared" si="5"/>
        <v>70</v>
      </c>
      <c r="CZ21" s="148">
        <v>20</v>
      </c>
      <c r="DA21" s="126">
        <f ca="1">MAX(DA20*(1+B21)-(Dashboard!$C$11)/(1-Dashboard!$C$17)*((1+Dashboard!$C$12)^$CZ21),0)</f>
        <v>6968063.9294417398</v>
      </c>
      <c r="DB21" s="126">
        <f ca="1">MAX(DB20*(1+C21)-(Dashboard!$C$11)/(1-Dashboard!$C$17)*((1+Dashboard!$C$12)^$CZ21),0)</f>
        <v>196848.53933173415</v>
      </c>
      <c r="DC21" s="126">
        <f ca="1">MAX(DC20*(1+D21)-(Dashboard!$C$11)/(1-Dashboard!$C$17)*((1+Dashboard!$C$12)^$CZ21),0)</f>
        <v>4093709.1650326792</v>
      </c>
      <c r="DD21" s="126">
        <f ca="1">MAX(DD20*(1+E21)-(Dashboard!$C$11)/(1-Dashboard!$C$17)*((1+Dashboard!$C$12)^$CZ21),0)</f>
        <v>875483.30856973538</v>
      </c>
      <c r="DE21" s="126">
        <f ca="1">MAX(DE20*(1+F21)-(Dashboard!$C$11)/(1-Dashboard!$C$17)*((1+Dashboard!$C$12)^$CZ21),0)</f>
        <v>2943376.7785676806</v>
      </c>
      <c r="DF21" s="126">
        <f ca="1">MAX(DF20*(1+G21)-(Dashboard!$C$11)/(1-Dashboard!$C$17)*((1+Dashboard!$C$12)^$CZ21),0)</f>
        <v>4030685.9422741188</v>
      </c>
      <c r="DG21" s="126">
        <f ca="1">MAX(DG20*(1+H21)-(Dashboard!$C$11)/(1-Dashboard!$C$17)*((1+Dashboard!$C$12)^$CZ21),0)</f>
        <v>600515.62449508964</v>
      </c>
      <c r="DH21" s="126">
        <f ca="1">MAX(DH20*(1+I21)-(Dashboard!$C$11)/(1-Dashboard!$C$17)*((1+Dashboard!$C$12)^$CZ21),0)</f>
        <v>4952758.2279873351</v>
      </c>
      <c r="DI21" s="126">
        <f ca="1">MAX(DI20*(1+J21)-(Dashboard!$C$11)/(1-Dashboard!$C$17)*((1+Dashboard!$C$12)^$CZ21),0)</f>
        <v>1924932.5364889833</v>
      </c>
      <c r="DJ21" s="126">
        <f ca="1">MAX(DJ20*(1+K21)-(Dashboard!$C$11)/(1-Dashboard!$C$17)*((1+Dashboard!$C$12)^$CZ21),0)</f>
        <v>2411617.3749201037</v>
      </c>
      <c r="DK21" s="126">
        <f ca="1">MAX(DK20*(1+L21)-(Dashboard!$C$11)/(1-Dashboard!$C$17)*((1+Dashboard!$C$12)^$CZ21),0)</f>
        <v>7717543.4267013697</v>
      </c>
      <c r="DL21" s="126">
        <f ca="1">MAX(DL20*(1+M21)-(Dashboard!$C$11)/(1-Dashboard!$C$17)*((1+Dashboard!$C$12)^$CZ21),0)</f>
        <v>741710.23138024856</v>
      </c>
      <c r="DM21" s="126">
        <f ca="1">MAX(DM20*(1+N21)-(Dashboard!$C$11)/(1-Dashboard!$C$17)*((1+Dashboard!$C$12)^$CZ21),0)</f>
        <v>2724288.0741748088</v>
      </c>
      <c r="DN21" s="126">
        <f ca="1">MAX(DN20*(1+O21)-(Dashboard!$C$11)/(1-Dashboard!$C$17)*((1+Dashboard!$C$12)^$CZ21),0)</f>
        <v>10119629.545420067</v>
      </c>
      <c r="DO21" s="126">
        <f ca="1">MAX(DO20*(1+P21)-(Dashboard!$C$11)/(1-Dashboard!$C$17)*((1+Dashboard!$C$12)^$CZ21),0)</f>
        <v>2615443.5418327763</v>
      </c>
      <c r="DP21" s="126">
        <f ca="1">MAX(DP20*(1+Q21)-(Dashboard!$C$11)/(1-Dashboard!$C$17)*((1+Dashboard!$C$12)^$CZ21),0)</f>
        <v>3879352.8078329568</v>
      </c>
      <c r="DQ21" s="126">
        <f ca="1">MAX(DQ20*(1+R21)-(Dashboard!$C$11)/(1-Dashboard!$C$17)*((1+Dashboard!$C$12)^$CZ21),0)</f>
        <v>4131336.6449024845</v>
      </c>
      <c r="DR21" s="126">
        <f ca="1">MAX(DR20*(1+S21)-(Dashboard!$C$11)/(1-Dashboard!$C$17)*((1+Dashboard!$C$12)^$CZ21),0)</f>
        <v>8383907.4157950133</v>
      </c>
      <c r="DS21" s="126">
        <f ca="1">MAX(DS20*(1+T21)-(Dashboard!$C$11)/(1-Dashboard!$C$17)*((1+Dashboard!$C$12)^$CZ21),0)</f>
        <v>1310507.0096339653</v>
      </c>
      <c r="DT21" s="126">
        <f ca="1">MAX(DT20*(1+U21)-(Dashboard!$C$11)/(1-Dashboard!$C$17)*((1+Dashboard!$C$12)^$CZ21),0)</f>
        <v>2054302.1732708605</v>
      </c>
      <c r="DU21" s="126">
        <f ca="1">MAX(DU20*(1+V21)-(Dashboard!$C$11)/(1-Dashboard!$C$17)*((1+Dashboard!$C$12)^$CZ21),0)</f>
        <v>3787426.788205781</v>
      </c>
      <c r="DV21" s="126">
        <f ca="1">MAX(DV20*(1+W21)-(Dashboard!$C$11)/(1-Dashboard!$C$17)*((1+Dashboard!$C$12)^$CZ21),0)</f>
        <v>6363788.9928903999</v>
      </c>
      <c r="DW21" s="126">
        <f ca="1">MAX(DW20*(1+X21)-(Dashboard!$C$11)/(1-Dashboard!$C$17)*((1+Dashboard!$C$12)^$CZ21),0)</f>
        <v>2540895.4116885341</v>
      </c>
      <c r="DX21" s="126">
        <f ca="1">MAX(DX20*(1+Y21)-(Dashboard!$C$11)/(1-Dashboard!$C$17)*((1+Dashboard!$C$12)^$CZ21),0)</f>
        <v>1797651.7502926458</v>
      </c>
      <c r="DY21" s="126">
        <f ca="1">MAX(DY20*(1+Z21)-(Dashboard!$C$11)/(1-Dashboard!$C$17)*((1+Dashboard!$C$12)^$CZ21),0)</f>
        <v>4882471.2565081799</v>
      </c>
      <c r="DZ21" s="126">
        <f ca="1">MAX(DZ20*(1+AA21)-(Dashboard!$C$11)/(1-Dashboard!$C$17)*((1+Dashboard!$C$12)^$CZ21),0)</f>
        <v>512689.61221232027</v>
      </c>
      <c r="EA21" s="126">
        <f ca="1">MAX(EA20*(1+AB21)-(Dashboard!$C$11)/(1-Dashboard!$C$17)*((1+Dashboard!$C$12)^$CZ21),0)</f>
        <v>2200254.7337844335</v>
      </c>
      <c r="EB21" s="126">
        <f ca="1">MAX(EB20*(1+AC21)-(Dashboard!$C$11)/(1-Dashboard!$C$17)*((1+Dashboard!$C$12)^$CZ21),0)</f>
        <v>6131364.7148687067</v>
      </c>
      <c r="EC21" s="126">
        <f ca="1">MAX(EC20*(1+AD21)-(Dashboard!$C$11)/(1-Dashboard!$C$17)*((1+Dashboard!$C$12)^$CZ21),0)</f>
        <v>5446338.0674867732</v>
      </c>
      <c r="ED21" s="126">
        <f ca="1">MAX(ED20*(1+AE21)-(Dashboard!$C$11)/(1-Dashboard!$C$17)*((1+Dashboard!$C$12)^$CZ21),0)</f>
        <v>4685446.9779639635</v>
      </c>
      <c r="EE21" s="126">
        <f ca="1">MAX(EE20*(1+AF21)-(Dashboard!$C$11)/(1-Dashboard!$C$17)*((1+Dashboard!$C$12)^$CZ21),0)</f>
        <v>3805683.3693765639</v>
      </c>
      <c r="EF21" s="126">
        <f ca="1">MAX(EF20*(1+AG21)-(Dashboard!$C$11)/(1-Dashboard!$C$17)*((1+Dashboard!$C$12)^$CZ21),0)</f>
        <v>1368669.7337709693</v>
      </c>
      <c r="EG21" s="126">
        <f ca="1">MAX(EG20*(1+AH21)-(Dashboard!$C$11)/(1-Dashboard!$C$17)*((1+Dashboard!$C$12)^$CZ21),0)</f>
        <v>4469514.9316511899</v>
      </c>
      <c r="EH21" s="126">
        <f ca="1">MAX(EH20*(1+AI21)-(Dashboard!$C$11)/(1-Dashboard!$C$17)*((1+Dashboard!$C$12)^$CZ21),0)</f>
        <v>4705300.7347643254</v>
      </c>
      <c r="EI21" s="126">
        <f ca="1">MAX(EI20*(1+AJ21)-(Dashboard!$C$11)/(1-Dashboard!$C$17)*((1+Dashboard!$C$12)^$CZ21),0)</f>
        <v>777698.11761236517</v>
      </c>
      <c r="EJ21" s="126">
        <f ca="1">MAX(EJ20*(1+AK21)-(Dashboard!$C$11)/(1-Dashboard!$C$17)*((1+Dashboard!$C$12)^$CZ21),0)</f>
        <v>2762497.7588676731</v>
      </c>
      <c r="EK21" s="126">
        <f ca="1">MAX(EK20*(1+AL21)-(Dashboard!$C$11)/(1-Dashboard!$C$17)*((1+Dashboard!$C$12)^$CZ21),0)</f>
        <v>4577250.089539784</v>
      </c>
      <c r="EL21" s="126">
        <f ca="1">MAX(EL20*(1+AM21)-(Dashboard!$C$11)/(1-Dashboard!$C$17)*((1+Dashboard!$C$12)^$CZ21),0)</f>
        <v>862152.71370857942</v>
      </c>
      <c r="EM21" s="126">
        <f ca="1">MAX(EM20*(1+AN21)-(Dashboard!$C$11)/(1-Dashboard!$C$17)*((1+Dashboard!$C$12)^$CZ21),0)</f>
        <v>2545979.0987343821</v>
      </c>
      <c r="EN21" s="126">
        <f ca="1">MAX(EN20*(1+AO21)-(Dashboard!$C$11)/(1-Dashboard!$C$17)*((1+Dashboard!$C$12)^$CZ21),0)</f>
        <v>1832131.9252399292</v>
      </c>
      <c r="EO21" s="126">
        <f ca="1">MAX(EO20*(1+AP21)-(Dashboard!$C$11)/(1-Dashboard!$C$17)*((1+Dashboard!$C$12)^$CZ21),0)</f>
        <v>825771.7224899435</v>
      </c>
      <c r="EP21" s="126">
        <f ca="1">MAX(EP20*(1+AQ21)-(Dashboard!$C$11)/(1-Dashboard!$C$17)*((1+Dashboard!$C$12)^$CZ21),0)</f>
        <v>1921551.378411276</v>
      </c>
      <c r="EQ21" s="126">
        <f ca="1">MAX(EQ20*(1+AR21)-(Dashboard!$C$11)/(1-Dashboard!$C$17)*((1+Dashboard!$C$12)^$CZ21),0)</f>
        <v>1838756.6350593886</v>
      </c>
      <c r="ER21" s="126">
        <f ca="1">MAX(ER20*(1+AS21)-(Dashboard!$C$11)/(1-Dashboard!$C$17)*((1+Dashboard!$C$12)^$CZ21),0)</f>
        <v>869394.3917517293</v>
      </c>
      <c r="ES21" s="126">
        <f ca="1">MAX(ES20*(1+AT21)-(Dashboard!$C$11)/(1-Dashboard!$C$17)*((1+Dashboard!$C$12)^$CZ21),0)</f>
        <v>4325145.9303201754</v>
      </c>
      <c r="ET21" s="126">
        <f ca="1">MAX(ET20*(1+AU21)-(Dashboard!$C$11)/(1-Dashboard!$C$17)*((1+Dashboard!$C$12)^$CZ21),0)</f>
        <v>1458233.015899874</v>
      </c>
      <c r="EU21" s="126">
        <f ca="1">MAX(EU20*(1+AV21)-(Dashboard!$C$11)/(1-Dashboard!$C$17)*((1+Dashboard!$C$12)^$CZ21),0)</f>
        <v>2707604.3110897406</v>
      </c>
      <c r="EV21" s="126">
        <f ca="1">MAX(EV20*(1+AW21)-(Dashboard!$C$11)/(1-Dashboard!$C$17)*((1+Dashboard!$C$12)^$CZ21),0)</f>
        <v>5599860.1417772416</v>
      </c>
      <c r="EW21" s="126">
        <f ca="1">MAX(EW20*(1+AX21)-(Dashboard!$C$11)/(1-Dashboard!$C$17)*((1+Dashboard!$C$12)^$CZ21),0)</f>
        <v>2252019.2319798856</v>
      </c>
      <c r="EX21" s="126">
        <f ca="1">MAX(EX20*(1+AY21)-(Dashboard!$C$11)/(1-Dashboard!$C$17)*((1+Dashboard!$C$12)^$CZ21),0)</f>
        <v>3006803.8152248897</v>
      </c>
      <c r="EY21" s="126">
        <f ca="1">MAX(EY20*(1+AZ21)-(Dashboard!$C$11)/(1-Dashboard!$C$17)*((1+Dashboard!$C$12)^$CZ21),0)</f>
        <v>5374341.3307992127</v>
      </c>
      <c r="EZ21" s="126">
        <f ca="1">MAX(EZ20*(1+BA21)-(Dashboard!$C$11)/(1-Dashboard!$C$17)*((1+Dashboard!$C$12)^$CZ21),0)</f>
        <v>2780966.4230711865</v>
      </c>
      <c r="FA21" s="126">
        <f ca="1">MAX(FA20*(1+BB21)-(Dashboard!$C$11)/(1-Dashboard!$C$17)*((1+Dashboard!$C$12)^$CZ21),0)</f>
        <v>6236754.7630626559</v>
      </c>
      <c r="FB21" s="126">
        <f ca="1">MAX(FB20*(1+BC21)-(Dashboard!$C$11)/(1-Dashboard!$C$17)*((1+Dashboard!$C$12)^$CZ21),0)</f>
        <v>740734.90339431912</v>
      </c>
      <c r="FC21" s="126">
        <f ca="1">MAX(FC20*(1+BD21)-(Dashboard!$C$11)/(1-Dashboard!$C$17)*((1+Dashboard!$C$12)^$CZ21),0)</f>
        <v>5195977.9782534242</v>
      </c>
      <c r="FD21" s="126">
        <f ca="1">MAX(FD20*(1+BE21)-(Dashboard!$C$11)/(1-Dashboard!$C$17)*((1+Dashboard!$C$12)^$CZ21),0)</f>
        <v>4912288.2347635562</v>
      </c>
      <c r="FE21" s="126">
        <f ca="1">MAX(FE20*(1+BF21)-(Dashboard!$C$11)/(1-Dashboard!$C$17)*((1+Dashboard!$C$12)^$CZ21),0)</f>
        <v>5642104.2008273834</v>
      </c>
      <c r="FF21" s="126">
        <f ca="1">MAX(FF20*(1+BG21)-(Dashboard!$C$11)/(1-Dashboard!$C$17)*((1+Dashboard!$C$12)^$CZ21),0)</f>
        <v>2702648.4029459096</v>
      </c>
      <c r="FG21" s="126">
        <f ca="1">MAX(FG20*(1+BH21)-(Dashboard!$C$11)/(1-Dashboard!$C$17)*((1+Dashboard!$C$12)^$CZ21),0)</f>
        <v>2772155.1763659897</v>
      </c>
      <c r="FH21" s="126">
        <f ca="1">MAX(FH20*(1+BI21)-(Dashboard!$C$11)/(1-Dashboard!$C$17)*((1+Dashboard!$C$12)^$CZ21),0)</f>
        <v>3291306.976869388</v>
      </c>
      <c r="FI21" s="126">
        <f ca="1">MAX(FI20*(1+BJ21)-(Dashboard!$C$11)/(1-Dashboard!$C$17)*((1+Dashboard!$C$12)^$CZ21),0)</f>
        <v>4641743.3420278318</v>
      </c>
      <c r="FJ21" s="126">
        <f ca="1">MAX(FJ20*(1+BK21)-(Dashboard!$C$11)/(1-Dashboard!$C$17)*((1+Dashboard!$C$12)^$CZ21),0)</f>
        <v>1801978.1320377304</v>
      </c>
      <c r="FK21" s="126">
        <f ca="1">MAX(FK20*(1+BL21)-(Dashboard!$C$11)/(1-Dashboard!$C$17)*((1+Dashboard!$C$12)^$CZ21),0)</f>
        <v>2876516.1869042357</v>
      </c>
      <c r="FL21" s="126">
        <f ca="1">MAX(FL20*(1+BM21)-(Dashboard!$C$11)/(1-Dashboard!$C$17)*((1+Dashboard!$C$12)^$CZ21),0)</f>
        <v>2789846.7081171582</v>
      </c>
      <c r="FM21" s="126">
        <f ca="1">MAX(FM20*(1+BN21)-(Dashboard!$C$11)/(1-Dashboard!$C$17)*((1+Dashboard!$C$12)^$CZ21),0)</f>
        <v>4590205.3014874738</v>
      </c>
      <c r="FN21" s="126">
        <f ca="1">MAX(FN20*(1+BO21)-(Dashboard!$C$11)/(1-Dashboard!$C$17)*((1+Dashboard!$C$12)^$CZ21),0)</f>
        <v>384471.48649706924</v>
      </c>
      <c r="FO21" s="126">
        <f ca="1">MAX(FO20*(1+BP21)-(Dashboard!$C$11)/(1-Dashboard!$C$17)*((1+Dashboard!$C$12)^$CZ21),0)</f>
        <v>2575903.2046569404</v>
      </c>
      <c r="FP21" s="126">
        <f ca="1">MAX(FP20*(1+BQ21)-(Dashboard!$C$11)/(1-Dashboard!$C$17)*((1+Dashboard!$C$12)^$CZ21),0)</f>
        <v>3179789.8901450573</v>
      </c>
      <c r="FQ21" s="126">
        <f ca="1">MAX(FQ20*(1+BR21)-(Dashboard!$C$11)/(1-Dashboard!$C$17)*((1+Dashboard!$C$12)^$CZ21),0)</f>
        <v>2928506.2508668895</v>
      </c>
      <c r="FR21" s="126">
        <f ca="1">MAX(FR20*(1+BS21)-(Dashboard!$C$11)/(1-Dashboard!$C$17)*((1+Dashboard!$C$12)^$CZ21),0)</f>
        <v>4809142.3271427294</v>
      </c>
      <c r="FS21" s="126">
        <f ca="1">MAX(FS20*(1+BT21)-(Dashboard!$C$11)/(1-Dashboard!$C$17)*((1+Dashboard!$C$12)^$CZ21),0)</f>
        <v>8222624.317167501</v>
      </c>
      <c r="FT21" s="126">
        <f ca="1">MAX(FT20*(1+BU21)-(Dashboard!$C$11)/(1-Dashboard!$C$17)*((1+Dashboard!$C$12)^$CZ21),0)</f>
        <v>1547635.6459136342</v>
      </c>
      <c r="FU21" s="126">
        <f ca="1">MAX(FU20*(1+BV21)-(Dashboard!$C$11)/(1-Dashboard!$C$17)*((1+Dashboard!$C$12)^$CZ21),0)</f>
        <v>2126279.6136868484</v>
      </c>
      <c r="FV21" s="126">
        <f ca="1">MAX(FV20*(1+BW21)-(Dashboard!$C$11)/(1-Dashboard!$C$17)*((1+Dashboard!$C$12)^$CZ21),0)</f>
        <v>1583708.0155551133</v>
      </c>
      <c r="FW21" s="126">
        <f ca="1">MAX(FW20*(1+BX21)-(Dashboard!$C$11)/(1-Dashboard!$C$17)*((1+Dashboard!$C$12)^$CZ21),0)</f>
        <v>2610730.9017040618</v>
      </c>
      <c r="FX21" s="126">
        <f ca="1">MAX(FX20*(1+BY21)-(Dashboard!$C$11)/(1-Dashboard!$C$17)*((1+Dashboard!$C$12)^$CZ21),0)</f>
        <v>1349097.4688310742</v>
      </c>
      <c r="FY21" s="126">
        <f ca="1">MAX(FY20*(1+BZ21)-(Dashboard!$C$11)/(1-Dashboard!$C$17)*((1+Dashboard!$C$12)^$CZ21),0)</f>
        <v>1624895.4047710062</v>
      </c>
      <c r="FZ21" s="126">
        <f ca="1">MAX(FZ20*(1+CA21)-(Dashboard!$C$11)/(1-Dashboard!$C$17)*((1+Dashboard!$C$12)^$CZ21),0)</f>
        <v>5291352.5941922292</v>
      </c>
      <c r="GA21" s="126">
        <f ca="1">MAX(GA20*(1+CB21)-(Dashboard!$C$11)/(1-Dashboard!$C$17)*((1+Dashboard!$C$12)^$CZ21),0)</f>
        <v>4046941.5603694529</v>
      </c>
      <c r="GB21" s="126">
        <f ca="1">MAX(GB20*(1+CC21)-(Dashboard!$C$11)/(1-Dashboard!$C$17)*((1+Dashboard!$C$12)^$CZ21),0)</f>
        <v>1458504.9630366364</v>
      </c>
      <c r="GC21" s="126">
        <f ca="1">MAX(GC20*(1+CD21)-(Dashboard!$C$11)/(1-Dashboard!$C$17)*((1+Dashboard!$C$12)^$CZ21),0)</f>
        <v>4481413.4170763586</v>
      </c>
      <c r="GD21" s="126">
        <f ca="1">MAX(GD20*(1+CE21)-(Dashboard!$C$11)/(1-Dashboard!$C$17)*((1+Dashboard!$C$12)^$CZ21),0)</f>
        <v>8313709.1353357788</v>
      </c>
      <c r="GE21" s="126">
        <f ca="1">MAX(GE20*(1+CF21)-(Dashboard!$C$11)/(1-Dashboard!$C$17)*((1+Dashboard!$C$12)^$CZ21),0)</f>
        <v>1600542.1933440873</v>
      </c>
      <c r="GF21" s="126">
        <f ca="1">MAX(GF20*(1+CG21)-(Dashboard!$C$11)/(1-Dashboard!$C$17)*((1+Dashboard!$C$12)^$CZ21),0)</f>
        <v>6631434.3527044384</v>
      </c>
      <c r="GG21" s="126">
        <f ca="1">MAX(GG20*(1+CH21)-(Dashboard!$C$11)/(1-Dashboard!$C$17)*((1+Dashboard!$C$12)^$CZ21),0)</f>
        <v>1045349.6317173956</v>
      </c>
      <c r="GH21" s="126">
        <f ca="1">MAX(GH20*(1+CI21)-(Dashboard!$C$11)/(1-Dashboard!$C$17)*((1+Dashboard!$C$12)^$CZ21),0)</f>
        <v>2109632.0644792486</v>
      </c>
      <c r="GI21" s="126">
        <f ca="1">MAX(GI20*(1+CJ21)-(Dashboard!$C$11)/(1-Dashboard!$C$17)*((1+Dashboard!$C$12)^$CZ21),0)</f>
        <v>1506896.3725516021</v>
      </c>
      <c r="GJ21" s="126">
        <f ca="1">MAX(GJ20*(1+CK21)-(Dashboard!$C$11)/(1-Dashboard!$C$17)*((1+Dashboard!$C$12)^$CZ21),0)</f>
        <v>4288773.46622728</v>
      </c>
      <c r="GK21" s="126">
        <f ca="1">MAX(GK20*(1+CL21)-(Dashboard!$C$11)/(1-Dashboard!$C$17)*((1+Dashboard!$C$12)^$CZ21),0)</f>
        <v>5935469.5847492535</v>
      </c>
      <c r="GL21" s="126">
        <f ca="1">MAX(GL20*(1+CM21)-(Dashboard!$C$11)/(1-Dashboard!$C$17)*((1+Dashboard!$C$12)^$CZ21),0)</f>
        <v>2846226.4461615165</v>
      </c>
      <c r="GM21" s="126">
        <f ca="1">MAX(GM20*(1+CN21)-(Dashboard!$C$11)/(1-Dashboard!$C$17)*((1+Dashboard!$C$12)^$CZ21),0)</f>
        <v>1414874.4254770093</v>
      </c>
      <c r="GN21" s="126">
        <f ca="1">MAX(GN20*(1+CO21)-(Dashboard!$C$11)/(1-Dashboard!$C$17)*((1+Dashboard!$C$12)^$CZ21),0)</f>
        <v>287243.83821967756</v>
      </c>
      <c r="GO21" s="126">
        <f ca="1">MAX(GO20*(1+CP21)-(Dashboard!$C$11)/(1-Dashboard!$C$17)*((1+Dashboard!$C$12)^$CZ21),0)</f>
        <v>2399483.3614891111</v>
      </c>
      <c r="GP21" s="126">
        <f ca="1">MAX(GP20*(1+CQ21)-(Dashboard!$C$11)/(1-Dashboard!$C$17)*((1+Dashboard!$C$12)^$CZ21),0)</f>
        <v>1670035.6580356776</v>
      </c>
      <c r="GQ21" s="126">
        <f ca="1">MAX(GQ20*(1+CR21)-(Dashboard!$C$11)/(1-Dashboard!$C$17)*((1+Dashboard!$C$12)^$CZ21),0)</f>
        <v>977191.68328773533</v>
      </c>
      <c r="GR21" s="126">
        <f ca="1">MAX(GR20*(1+CS21)-(Dashboard!$C$11)/(1-Dashboard!$C$17)*((1+Dashboard!$C$12)^$CZ21),0)</f>
        <v>1351960.0998483987</v>
      </c>
      <c r="GS21" s="126">
        <f ca="1">MAX(GS20*(1+CT21)-(Dashboard!$C$11)/(1-Dashboard!$C$17)*((1+Dashboard!$C$12)^$CZ21),0)</f>
        <v>2646743.6099360036</v>
      </c>
      <c r="GT21" s="126">
        <f ca="1">MAX(GT20*(1+CU21)-(Dashboard!$C$11)/(1-Dashboard!$C$17)*((1+Dashboard!$C$12)^$CZ21),0)</f>
        <v>9300423.5667300392</v>
      </c>
      <c r="GU21" s="126">
        <f ca="1">MAX(GU20*(1+CV21)-(Dashboard!$C$11)/(1-Dashboard!$C$17)*((1+Dashboard!$C$12)^$CZ21),0)</f>
        <v>1274513.0243878202</v>
      </c>
      <c r="GV21" s="126">
        <f ca="1">MAX(GV20*(1+CW21)-(Dashboard!$C$11)/(1-Dashboard!$C$17)*((1+Dashboard!$C$12)^$CZ21),0)</f>
        <v>1233491.9371268572</v>
      </c>
      <c r="GW21" s="115">
        <f t="shared" si="4"/>
        <v>70</v>
      </c>
      <c r="GX21" s="130">
        <f t="shared" ca="1" si="2"/>
        <v>100</v>
      </c>
      <c r="HC21" s="130">
        <f t="shared" si="0"/>
        <v>70</v>
      </c>
      <c r="HD21" s="137">
        <f t="shared" ca="1" si="1"/>
        <v>1517081.1908921101</v>
      </c>
      <c r="HE21" s="137">
        <f t="shared" ca="1" si="1"/>
        <v>2705126.3570178254</v>
      </c>
      <c r="HF21" s="137">
        <f t="shared" ca="1" si="1"/>
        <v>4586966.4985005511</v>
      </c>
    </row>
    <row r="22" spans="1:214" ht="16">
      <c r="A22" s="145">
        <f t="shared" si="3"/>
        <v>71</v>
      </c>
      <c r="B22" s="122">
        <f ca="1">(Dashboard!$C$7*'Equity and Bond Returns'!N22)+(Dashboard!$C$8*'Equity and Bond Returns'!DL22)</f>
        <v>0.14635132111389082</v>
      </c>
      <c r="C22" s="122">
        <f ca="1">(Dashboard!$C$7*'Equity and Bond Returns'!O22)+(Dashboard!$C$8*'Equity and Bond Returns'!DM22)</f>
        <v>2.7758564139333843E-2</v>
      </c>
      <c r="D22" s="122">
        <f ca="1">(Dashboard!$C$7*'Equity and Bond Returns'!P22)+(Dashboard!$C$8*'Equity and Bond Returns'!DN22)</f>
        <v>-4.0150578343577041E-2</v>
      </c>
      <c r="E22" s="122">
        <f ca="1">(Dashboard!$C$7*'Equity and Bond Returns'!Q22)+(Dashboard!$C$8*'Equity and Bond Returns'!DO22)</f>
        <v>8.5811749588827702E-2</v>
      </c>
      <c r="F22" s="122">
        <f ca="1">(Dashboard!$C$7*'Equity and Bond Returns'!R22)+(Dashboard!$C$8*'Equity and Bond Returns'!DP22)</f>
        <v>0.11266712102629552</v>
      </c>
      <c r="G22" s="122">
        <f ca="1">(Dashboard!$C$7*'Equity and Bond Returns'!S22)+(Dashboard!$C$8*'Equity and Bond Returns'!DQ22)</f>
        <v>0.27253609652667171</v>
      </c>
      <c r="H22" s="122">
        <f ca="1">(Dashboard!$C$7*'Equity and Bond Returns'!T22)+(Dashboard!$C$8*'Equity and Bond Returns'!DR22)</f>
        <v>0.19040184631087892</v>
      </c>
      <c r="I22" s="122">
        <f ca="1">(Dashboard!$C$7*'Equity and Bond Returns'!U22)+(Dashboard!$C$8*'Equity and Bond Returns'!DS22)</f>
        <v>-0.13391500759998434</v>
      </c>
      <c r="J22" s="122">
        <f ca="1">(Dashboard!$C$7*'Equity and Bond Returns'!V22)+(Dashboard!$C$8*'Equity and Bond Returns'!DT22)</f>
        <v>0.14248280813307709</v>
      </c>
      <c r="K22" s="122">
        <f ca="1">(Dashboard!$C$7*'Equity and Bond Returns'!W22)+(Dashboard!$C$8*'Equity and Bond Returns'!DU22)</f>
        <v>0.12223807784733612</v>
      </c>
      <c r="L22" s="122">
        <f ca="1">(Dashboard!$C$7*'Equity and Bond Returns'!X22)+(Dashboard!$C$8*'Equity and Bond Returns'!DV22)</f>
        <v>0.1336395777729377</v>
      </c>
      <c r="M22" s="122">
        <f ca="1">(Dashboard!$C$7*'Equity and Bond Returns'!Y22)+(Dashboard!$C$8*'Equity and Bond Returns'!DW22)</f>
        <v>7.6794198075535627E-2</v>
      </c>
      <c r="N22" s="122">
        <f ca="1">(Dashboard!$C$7*'Equity and Bond Returns'!Z22)+(Dashboard!$C$8*'Equity and Bond Returns'!DX22)</f>
        <v>-4.5016312160707998E-2</v>
      </c>
      <c r="O22" s="122">
        <f ca="1">(Dashboard!$C$7*'Equity and Bond Returns'!AA22)+(Dashboard!$C$8*'Equity and Bond Returns'!DY22)</f>
        <v>0.37416647679418508</v>
      </c>
      <c r="P22" s="122">
        <f ca="1">(Dashboard!$C$7*'Equity and Bond Returns'!AB22)+(Dashboard!$C$8*'Equity and Bond Returns'!DZ22)</f>
        <v>-7.7324900589829271E-2</v>
      </c>
      <c r="Q22" s="122">
        <f ca="1">(Dashboard!$C$7*'Equity and Bond Returns'!AC22)+(Dashboard!$C$8*'Equity and Bond Returns'!EA22)</f>
        <v>-0.30347495734175467</v>
      </c>
      <c r="R22" s="122">
        <f ca="1">(Dashboard!$C$7*'Equity and Bond Returns'!AD22)+(Dashboard!$C$8*'Equity and Bond Returns'!EB22)</f>
        <v>0.2945240537172461</v>
      </c>
      <c r="S22" s="122">
        <f ca="1">(Dashboard!$C$7*'Equity and Bond Returns'!AE22)+(Dashboard!$C$8*'Equity and Bond Returns'!EC22)</f>
        <v>0.11353130435729333</v>
      </c>
      <c r="T22" s="122">
        <f ca="1">(Dashboard!$C$7*'Equity and Bond Returns'!AF22)+(Dashboard!$C$8*'Equity and Bond Returns'!ED22)</f>
        <v>0.14379580597347988</v>
      </c>
      <c r="U22" s="122">
        <f ca="1">(Dashboard!$C$7*'Equity and Bond Returns'!AG22)+(Dashboard!$C$8*'Equity and Bond Returns'!EE22)</f>
        <v>-3.2038394782080322E-2</v>
      </c>
      <c r="V22" s="122">
        <f ca="1">(Dashboard!$C$7*'Equity and Bond Returns'!AH22)+(Dashboard!$C$8*'Equity and Bond Returns'!EF22)</f>
        <v>-7.9259987678036048E-2</v>
      </c>
      <c r="W22" s="122">
        <f ca="1">(Dashboard!$C$7*'Equity and Bond Returns'!AI22)+(Dashboard!$C$8*'Equity and Bond Returns'!EG22)</f>
        <v>0.1477554875045928</v>
      </c>
      <c r="X22" s="122">
        <f ca="1">(Dashboard!$C$7*'Equity and Bond Returns'!AJ22)+(Dashboard!$C$8*'Equity and Bond Returns'!EH22)</f>
        <v>-1.333066733799905E-2</v>
      </c>
      <c r="Y22" s="122">
        <f ca="1">(Dashboard!$C$7*'Equity and Bond Returns'!AK22)+(Dashboard!$C$8*'Equity and Bond Returns'!EI22)</f>
        <v>3.6102753078036953E-2</v>
      </c>
      <c r="Z22" s="122">
        <f ca="1">(Dashboard!$C$7*'Equity and Bond Returns'!AL22)+(Dashboard!$C$8*'Equity and Bond Returns'!EJ22)</f>
        <v>3.7581923821527183E-2</v>
      </c>
      <c r="AA22" s="122">
        <f ca="1">(Dashboard!$C$7*'Equity and Bond Returns'!AM22)+(Dashboard!$C$8*'Equity and Bond Returns'!EK22)</f>
        <v>0.38449105304612718</v>
      </c>
      <c r="AB22" s="122">
        <f ca="1">(Dashboard!$C$7*'Equity and Bond Returns'!AN22)+(Dashboard!$C$8*'Equity and Bond Returns'!EL22)</f>
        <v>6.7704209467663284E-2</v>
      </c>
      <c r="AC22" s="122">
        <f ca="1">(Dashboard!$C$7*'Equity and Bond Returns'!AO22)+(Dashboard!$C$8*'Equity and Bond Returns'!EM22)</f>
        <v>7.7430167885060616E-2</v>
      </c>
      <c r="AD22" s="122">
        <f ca="1">(Dashboard!$C$7*'Equity and Bond Returns'!AP22)+(Dashboard!$C$8*'Equity and Bond Returns'!EN22)</f>
        <v>4.1420781176655437E-2</v>
      </c>
      <c r="AE22" s="122">
        <f ca="1">(Dashboard!$C$7*'Equity and Bond Returns'!AQ22)+(Dashboard!$C$8*'Equity and Bond Returns'!EO22)</f>
        <v>-0.25346144550800925</v>
      </c>
      <c r="AF22" s="122">
        <f ca="1">(Dashboard!$C$7*'Equity and Bond Returns'!AR22)+(Dashboard!$C$8*'Equity and Bond Returns'!EP22)</f>
        <v>0.15490549848131774</v>
      </c>
      <c r="AG22" s="122">
        <f ca="1">(Dashboard!$C$7*'Equity and Bond Returns'!AS22)+(Dashboard!$C$8*'Equity and Bond Returns'!EQ22)</f>
        <v>7.837068812899553E-2</v>
      </c>
      <c r="AH22" s="122">
        <f ca="1">(Dashboard!$C$7*'Equity and Bond Returns'!AT22)+(Dashboard!$C$8*'Equity and Bond Returns'!ER22)</f>
        <v>3.9255943228955877E-2</v>
      </c>
      <c r="AI22" s="122">
        <f ca="1">(Dashboard!$C$7*'Equity and Bond Returns'!AU22)+(Dashboard!$C$8*'Equity and Bond Returns'!ES22)</f>
        <v>-2.2975618435587063E-2</v>
      </c>
      <c r="AJ22" s="122">
        <f ca="1">(Dashboard!$C$7*'Equity and Bond Returns'!AV22)+(Dashboard!$C$8*'Equity and Bond Returns'!ET22)</f>
        <v>-0.22375105498067799</v>
      </c>
      <c r="AK22" s="122">
        <f ca="1">(Dashboard!$C$7*'Equity and Bond Returns'!AW22)+(Dashboard!$C$8*'Equity and Bond Returns'!EU22)</f>
        <v>8.4805617848426829E-2</v>
      </c>
      <c r="AL22" s="122">
        <f ca="1">(Dashboard!$C$7*'Equity and Bond Returns'!AX22)+(Dashboard!$C$8*'Equity and Bond Returns'!EV22)</f>
        <v>3.667302968293408E-2</v>
      </c>
      <c r="AM22" s="122">
        <f ca="1">(Dashboard!$C$7*'Equity and Bond Returns'!AY22)+(Dashboard!$C$8*'Equity and Bond Returns'!EW22)</f>
        <v>0.1103629976827832</v>
      </c>
      <c r="AN22" s="122">
        <f ca="1">(Dashboard!$C$7*'Equity and Bond Returns'!AZ22)+(Dashboard!$C$8*'Equity and Bond Returns'!EX22)</f>
        <v>0.41209087150230816</v>
      </c>
      <c r="AO22" s="122">
        <f ca="1">(Dashboard!$C$7*'Equity and Bond Returns'!BA22)+(Dashboard!$C$8*'Equity and Bond Returns'!EY22)</f>
        <v>0.34582895457591589</v>
      </c>
      <c r="AP22" s="122">
        <f ca="1">(Dashboard!$C$7*'Equity and Bond Returns'!BB22)+(Dashboard!$C$8*'Equity and Bond Returns'!EZ22)</f>
        <v>7.1315467799690432E-3</v>
      </c>
      <c r="AQ22" s="122">
        <f ca="1">(Dashboard!$C$7*'Equity and Bond Returns'!BC22)+(Dashboard!$C$8*'Equity and Bond Returns'!FA22)</f>
        <v>-0.10186417040509993</v>
      </c>
      <c r="AR22" s="122">
        <f ca="1">(Dashboard!$C$7*'Equity and Bond Returns'!BD22)+(Dashboard!$C$8*'Equity and Bond Returns'!FB22)</f>
        <v>-0.22135394991035859</v>
      </c>
      <c r="AS22" s="122">
        <f ca="1">(Dashboard!$C$7*'Equity and Bond Returns'!BE22)+(Dashboard!$C$8*'Equity and Bond Returns'!FC22)</f>
        <v>5.5946259066364523E-3</v>
      </c>
      <c r="AT22" s="122">
        <f ca="1">(Dashboard!$C$7*'Equity and Bond Returns'!BF22)+(Dashboard!$C$8*'Equity and Bond Returns'!FD22)</f>
        <v>1.3472609139359871E-2</v>
      </c>
      <c r="AU22" s="122">
        <f ca="1">(Dashboard!$C$7*'Equity and Bond Returns'!BG22)+(Dashboard!$C$8*'Equity and Bond Returns'!FE22)</f>
        <v>8.4255832787970258E-3</v>
      </c>
      <c r="AV22" s="122">
        <f ca="1">(Dashboard!$C$7*'Equity and Bond Returns'!BH22)+(Dashboard!$C$8*'Equity and Bond Returns'!FF22)</f>
        <v>7.1189072434698318E-4</v>
      </c>
      <c r="AW22" s="122">
        <f ca="1">(Dashboard!$C$7*'Equity and Bond Returns'!BI22)+(Dashboard!$C$8*'Equity and Bond Returns'!FG22)</f>
        <v>7.7514937216792493E-3</v>
      </c>
      <c r="AX22" s="122">
        <f ca="1">(Dashboard!$C$7*'Equity and Bond Returns'!BJ22)+(Dashboard!$C$8*'Equity and Bond Returns'!FH22)</f>
        <v>9.0448052359912101E-2</v>
      </c>
      <c r="AY22" s="122">
        <f ca="1">(Dashboard!$C$7*'Equity and Bond Returns'!BK22)+(Dashboard!$C$8*'Equity and Bond Returns'!FI22)</f>
        <v>6.8685233297628809E-2</v>
      </c>
      <c r="AZ22" s="122">
        <f ca="1">(Dashboard!$C$7*'Equity and Bond Returns'!BL22)+(Dashboard!$C$8*'Equity and Bond Returns'!FJ22)</f>
        <v>7.5561632707643586E-2</v>
      </c>
      <c r="BA22" s="122">
        <f ca="1">(Dashboard!$C$7*'Equity and Bond Returns'!BM22)+(Dashboard!$C$8*'Equity and Bond Returns'!FK22)</f>
        <v>0.21450637593428587</v>
      </c>
      <c r="BB22" s="122">
        <f ca="1">(Dashboard!$C$7*'Equity and Bond Returns'!BN22)+(Dashboard!$C$8*'Equity and Bond Returns'!FL22)</f>
        <v>0.12655851915525274</v>
      </c>
      <c r="BC22" s="122">
        <f ca="1">(Dashboard!$C$7*'Equity and Bond Returns'!BO22)+(Dashboard!$C$8*'Equity and Bond Returns'!FM22)</f>
        <v>0.1940283053319154</v>
      </c>
      <c r="BD22" s="122">
        <f ca="1">(Dashboard!$C$7*'Equity and Bond Returns'!BP22)+(Dashboard!$C$8*'Equity and Bond Returns'!FN22)</f>
        <v>6.279423109023638E-2</v>
      </c>
      <c r="BE22" s="122">
        <f ca="1">(Dashboard!$C$7*'Equity and Bond Returns'!BQ22)+(Dashboard!$C$8*'Equity and Bond Returns'!FO22)</f>
        <v>0.15409091170130301</v>
      </c>
      <c r="BF22" s="122">
        <f ca="1">(Dashboard!$C$7*'Equity and Bond Returns'!BR22)+(Dashboard!$C$8*'Equity and Bond Returns'!FP22)</f>
        <v>4.6218891471751192E-2</v>
      </c>
      <c r="BG22" s="122">
        <f ca="1">(Dashboard!$C$7*'Equity and Bond Returns'!BS22)+(Dashboard!$C$8*'Equity and Bond Returns'!FQ22)</f>
        <v>0.1820148765943107</v>
      </c>
      <c r="BH22" s="122">
        <f ca="1">(Dashboard!$C$7*'Equity and Bond Returns'!BT22)+(Dashboard!$C$8*'Equity and Bond Returns'!FR22)</f>
        <v>0.37915088930936736</v>
      </c>
      <c r="BI22" s="122">
        <f ca="1">(Dashboard!$C$7*'Equity and Bond Returns'!BU22)+(Dashboard!$C$8*'Equity and Bond Returns'!FS22)</f>
        <v>0.27398866902374086</v>
      </c>
      <c r="BJ22" s="122">
        <f ca="1">(Dashboard!$C$7*'Equity and Bond Returns'!BV22)+(Dashboard!$C$8*'Equity and Bond Returns'!FT22)</f>
        <v>0.16543418452188735</v>
      </c>
      <c r="BK22" s="122">
        <f ca="1">(Dashboard!$C$7*'Equity and Bond Returns'!BW22)+(Dashboard!$C$8*'Equity and Bond Returns'!FU22)</f>
        <v>0.35614771293082126</v>
      </c>
      <c r="BL22" s="122">
        <f ca="1">(Dashboard!$C$7*'Equity and Bond Returns'!BX22)+(Dashboard!$C$8*'Equity and Bond Returns'!FV22)</f>
        <v>0.1046237218352824</v>
      </c>
      <c r="BM22" s="122">
        <f ca="1">(Dashboard!$C$7*'Equity and Bond Returns'!BY22)+(Dashboard!$C$8*'Equity and Bond Returns'!FW22)</f>
        <v>3.8498866988271659E-2</v>
      </c>
      <c r="BN22" s="122">
        <f ca="1">(Dashboard!$C$7*'Equity and Bond Returns'!BZ22)+(Dashboard!$C$8*'Equity and Bond Returns'!FX22)</f>
        <v>5.5423136739607151E-2</v>
      </c>
      <c r="BO22" s="122">
        <f ca="1">(Dashboard!$C$7*'Equity and Bond Returns'!CA22)+(Dashboard!$C$8*'Equity and Bond Returns'!FY22)</f>
        <v>0.19368418266672455</v>
      </c>
      <c r="BP22" s="122">
        <f ca="1">(Dashboard!$C$7*'Equity and Bond Returns'!CB22)+(Dashboard!$C$8*'Equity and Bond Returns'!FZ22)</f>
        <v>0.25206091072539338</v>
      </c>
      <c r="BQ22" s="122">
        <f ca="1">(Dashboard!$C$7*'Equity and Bond Returns'!CC22)+(Dashboard!$C$8*'Equity and Bond Returns'!GA22)</f>
        <v>3.2016845156073587E-2</v>
      </c>
      <c r="BR22" s="122">
        <f ca="1">(Dashboard!$C$7*'Equity and Bond Returns'!CD22)+(Dashboard!$C$8*'Equity and Bond Returns'!GB22)</f>
        <v>0.22623202735173492</v>
      </c>
      <c r="BS22" s="122">
        <f ca="1">(Dashboard!$C$7*'Equity and Bond Returns'!CE22)+(Dashboard!$C$8*'Equity and Bond Returns'!GC22)</f>
        <v>0.259899119719462</v>
      </c>
      <c r="BT22" s="122">
        <f ca="1">(Dashboard!$C$7*'Equity and Bond Returns'!CF22)+(Dashboard!$C$8*'Equity and Bond Returns'!GD22)</f>
        <v>-0.14521871910860695</v>
      </c>
      <c r="BU22" s="122">
        <f ca="1">(Dashboard!$C$7*'Equity and Bond Returns'!CG22)+(Dashboard!$C$8*'Equity and Bond Returns'!GE22)</f>
        <v>-0.16441797908706982</v>
      </c>
      <c r="BV22" s="122">
        <f ca="1">(Dashboard!$C$7*'Equity and Bond Returns'!CH22)+(Dashboard!$C$8*'Equity and Bond Returns'!GF22)</f>
        <v>-4.8295033085838948E-2</v>
      </c>
      <c r="BW22" s="122">
        <f ca="1">(Dashboard!$C$7*'Equity and Bond Returns'!CI22)+(Dashboard!$C$8*'Equity and Bond Returns'!GG22)</f>
        <v>-5.6120668623095109E-2</v>
      </c>
      <c r="BX22" s="122">
        <f ca="1">(Dashboard!$C$7*'Equity and Bond Returns'!CJ22)+(Dashboard!$C$8*'Equity and Bond Returns'!GH22)</f>
        <v>-2.92613341728351E-2</v>
      </c>
      <c r="BY22" s="122">
        <f ca="1">(Dashboard!$C$7*'Equity and Bond Returns'!CK22)+(Dashboard!$C$8*'Equity and Bond Returns'!GI22)</f>
        <v>0.10270555516591592</v>
      </c>
      <c r="BZ22" s="122">
        <f ca="1">(Dashboard!$C$7*'Equity and Bond Returns'!CL22)+(Dashboard!$C$8*'Equity and Bond Returns'!GJ22)</f>
        <v>7.3487430535176299E-2</v>
      </c>
      <c r="CA22" s="122">
        <f ca="1">(Dashboard!$C$7*'Equity and Bond Returns'!CM22)+(Dashboard!$C$8*'Equity and Bond Returns'!GK22)</f>
        <v>1.5111976354536968E-2</v>
      </c>
      <c r="CB22" s="122">
        <f ca="1">(Dashboard!$C$7*'Equity and Bond Returns'!CN22)+(Dashboard!$C$8*'Equity and Bond Returns'!GL22)</f>
        <v>0.30130439746054871</v>
      </c>
      <c r="CC22" s="122">
        <f ca="1">(Dashboard!$C$7*'Equity and Bond Returns'!CO22)+(Dashboard!$C$8*'Equity and Bond Returns'!GM22)</f>
        <v>4.6286817374096123E-2</v>
      </c>
      <c r="CD22" s="122">
        <f ca="1">(Dashboard!$C$7*'Equity and Bond Returns'!CP22)+(Dashboard!$C$8*'Equity and Bond Returns'!GN22)</f>
        <v>0.18875378424238548</v>
      </c>
      <c r="CE22" s="122">
        <f ca="1">(Dashboard!$C$7*'Equity and Bond Returns'!CQ22)+(Dashboard!$C$8*'Equity and Bond Returns'!GO22)</f>
        <v>0.16248712424938239</v>
      </c>
      <c r="CF22" s="122">
        <f ca="1">(Dashboard!$C$7*'Equity and Bond Returns'!CR22)+(Dashboard!$C$8*'Equity and Bond Returns'!GP22)</f>
        <v>0.22019501673818273</v>
      </c>
      <c r="CG22" s="122">
        <f ca="1">(Dashboard!$C$7*'Equity and Bond Returns'!CS22)+(Dashboard!$C$8*'Equity and Bond Returns'!GQ22)</f>
        <v>-0.17735494867501891</v>
      </c>
      <c r="CH22" s="122">
        <f ca="1">(Dashboard!$C$7*'Equity and Bond Returns'!CT22)+(Dashboard!$C$8*'Equity and Bond Returns'!GR22)</f>
        <v>2.9394356295339118E-3</v>
      </c>
      <c r="CI22" s="122">
        <f ca="1">(Dashboard!$C$7*'Equity and Bond Returns'!CU22)+(Dashboard!$C$8*'Equity and Bond Returns'!GS22)</f>
        <v>-2.2622495473667983E-2</v>
      </c>
      <c r="CJ22" s="122">
        <f ca="1">(Dashboard!$C$7*'Equity and Bond Returns'!CV22)+(Dashboard!$C$8*'Equity and Bond Returns'!GT22)</f>
        <v>6.8602952219943197E-2</v>
      </c>
      <c r="CK22" s="122">
        <f ca="1">(Dashboard!$C$7*'Equity and Bond Returns'!CW22)+(Dashboard!$C$8*'Equity and Bond Returns'!GU22)</f>
        <v>1.1330951948052233E-2</v>
      </c>
      <c r="CL22" s="122">
        <f ca="1">(Dashboard!$C$7*'Equity and Bond Returns'!CX22)+(Dashboard!$C$8*'Equity and Bond Returns'!GV22)</f>
        <v>2.2349503635665999E-3</v>
      </c>
      <c r="CM22" s="122">
        <f ca="1">(Dashboard!$C$7*'Equity and Bond Returns'!CY22)+(Dashboard!$C$8*'Equity and Bond Returns'!GW22)</f>
        <v>0.23770938592935126</v>
      </c>
      <c r="CN22" s="122">
        <f ca="1">(Dashboard!$C$7*'Equity and Bond Returns'!CZ22)+(Dashboard!$C$8*'Equity and Bond Returns'!GX22)</f>
        <v>-0.14189364959141029</v>
      </c>
      <c r="CO22" s="122">
        <f ca="1">(Dashboard!$C$7*'Equity and Bond Returns'!DA22)+(Dashboard!$C$8*'Equity and Bond Returns'!GY22)</f>
        <v>0.12539391331396604</v>
      </c>
      <c r="CP22" s="122">
        <f ca="1">(Dashboard!$C$7*'Equity and Bond Returns'!DB22)+(Dashboard!$C$8*'Equity and Bond Returns'!GZ22)</f>
        <v>-9.7073103402335492E-2</v>
      </c>
      <c r="CQ22" s="122">
        <f ca="1">(Dashboard!$C$7*'Equity and Bond Returns'!DC22)+(Dashboard!$C$8*'Equity and Bond Returns'!HA22)</f>
        <v>5.5026627099681043E-2</v>
      </c>
      <c r="CR22" s="122">
        <f ca="1">(Dashboard!$C$7*'Equity and Bond Returns'!DD22)+(Dashboard!$C$8*'Equity and Bond Returns'!HB22)</f>
        <v>8.2917736683142382E-2</v>
      </c>
      <c r="CS22" s="122">
        <f ca="1">(Dashboard!$C$7*'Equity and Bond Returns'!DE22)+(Dashboard!$C$8*'Equity and Bond Returns'!HC22)</f>
        <v>0.10231401797616088</v>
      </c>
      <c r="CT22" s="122">
        <f ca="1">(Dashboard!$C$7*'Equity and Bond Returns'!DF22)+(Dashboard!$C$8*'Equity and Bond Returns'!HD22)</f>
        <v>1.3600202030777574E-2</v>
      </c>
      <c r="CU22" s="122">
        <f ca="1">(Dashboard!$C$7*'Equity and Bond Returns'!DG22)+(Dashboard!$C$8*'Equity and Bond Returns'!HE22)</f>
        <v>7.9770921158335548E-2</v>
      </c>
      <c r="CV22" s="122">
        <f ca="1">(Dashboard!$C$7*'Equity and Bond Returns'!DH22)+(Dashboard!$C$8*'Equity and Bond Returns'!HF22)</f>
        <v>0.28601091958691593</v>
      </c>
      <c r="CW22" s="122">
        <f ca="1">(Dashboard!$C$7*'Equity and Bond Returns'!DI22)+(Dashboard!$C$8*'Equity and Bond Returns'!HG22)</f>
        <v>-5.1619701326181142E-2</v>
      </c>
      <c r="CY22" s="147">
        <f t="shared" si="5"/>
        <v>71</v>
      </c>
      <c r="CZ22" s="148">
        <v>21</v>
      </c>
      <c r="DA22" s="126">
        <f ca="1">MAX(DA21*(1+B22)-(Dashboard!$C$11)/(1-Dashboard!$C$17)*((1+Dashboard!$C$12)^$CZ22),0)</f>
        <v>7949480.7155800788</v>
      </c>
      <c r="DB22" s="126">
        <f ca="1">MAX(DB21*(1+C22)-(Dashboard!$C$11)/(1-Dashboard!$C$17)*((1+Dashboard!$C$12)^$CZ22),0)</f>
        <v>163944.19659499993</v>
      </c>
      <c r="DC22" s="126">
        <f ca="1">MAX(DC21*(1+D22)-(Dashboard!$C$11)/(1-Dashboard!$C$17)*((1+Dashboard!$C$12)^$CZ22),0)</f>
        <v>3890975.798944707</v>
      </c>
      <c r="DD22" s="126">
        <f ca="1">MAX(DD21*(1+E22)-(Dashboard!$C$11)/(1-Dashboard!$C$17)*((1+Dashboard!$C$12)^$CZ22),0)</f>
        <v>912241.48747241159</v>
      </c>
      <c r="DE22" s="126">
        <f ca="1">MAX(DE21*(1+F22)-(Dashboard!$C$11)/(1-Dashboard!$C$17)*((1+Dashboard!$C$12)^$CZ22),0)</f>
        <v>3236629.9907630449</v>
      </c>
      <c r="DF22" s="126">
        <f ca="1">MAX(DF21*(1+G22)-(Dashboard!$C$11)/(1-Dashboard!$C$17)*((1+Dashboard!$C$12)^$CZ22),0)</f>
        <v>5090824.7797649279</v>
      </c>
      <c r="DG22" s="126">
        <f ca="1">MAX(DG21*(1+H22)-(Dashboard!$C$11)/(1-Dashboard!$C$17)*((1+Dashboard!$C$12)^$CZ22),0)</f>
        <v>676486.33259597677</v>
      </c>
      <c r="DH22" s="126">
        <f ca="1">MAX(DH21*(1+I22)-(Dashboard!$C$11)/(1-Dashboard!$C$17)*((1+Dashboard!$C$12)^$CZ22),0)</f>
        <v>4251140.9967040177</v>
      </c>
      <c r="DI22" s="126">
        <f ca="1">MAX(DI21*(1+J22)-(Dashboard!$C$11)/(1-Dashboard!$C$17)*((1+Dashboard!$C$12)^$CZ22),0)</f>
        <v>2160833.754213152</v>
      </c>
      <c r="DJ22" s="126">
        <f ca="1">MAX(DJ21*(1+K22)-(Dashboard!$C$11)/(1-Dashboard!$C$17)*((1+Dashboard!$C$12)^$CZ22),0)</f>
        <v>2668040.2717920677</v>
      </c>
      <c r="DK22" s="126">
        <f ca="1">MAX(DK21*(1+L22)-(Dashboard!$C$11)/(1-Dashboard!$C$17)*((1+Dashboard!$C$12)^$CZ22),0)</f>
        <v>8710544.0961485449</v>
      </c>
      <c r="DL22" s="126">
        <f ca="1">MAX(DL21*(1+M22)-(Dashboard!$C$11)/(1-Dashboard!$C$17)*((1+Dashboard!$C$12)^$CZ22),0)</f>
        <v>760300.69826200628</v>
      </c>
      <c r="DM22" s="126">
        <f ca="1">MAX(DM21*(1+N22)-(Dashboard!$C$11)/(1-Dashboard!$C$17)*((1+Dashboard!$C$12)^$CZ22),0)</f>
        <v>2563282.0962705533</v>
      </c>
      <c r="DN22" s="126">
        <f ca="1">MAX(DN21*(1+O22)-(Dashboard!$C$11)/(1-Dashboard!$C$17)*((1+Dashboard!$C$12)^$CZ22),0)</f>
        <v>13867687.103350727</v>
      </c>
      <c r="DO22" s="126">
        <f ca="1">MAX(DO21*(1+P22)-(Dashboard!$C$11)/(1-Dashboard!$C$17)*((1+Dashboard!$C$12)^$CZ22),0)</f>
        <v>2374836.0544207375</v>
      </c>
      <c r="DP22" s="126">
        <f ca="1">MAX(DP21*(1+Q22)-(Dashboard!$C$11)/(1-Dashboard!$C$17)*((1+Dashboard!$C$12)^$CZ22),0)</f>
        <v>2663697.8044207254</v>
      </c>
      <c r="DQ22" s="126">
        <f ca="1">MAX(DQ21*(1+R22)-(Dashboard!$C$11)/(1-Dashboard!$C$17)*((1+Dashboard!$C$12)^$CZ22),0)</f>
        <v>5309746.0852882629</v>
      </c>
      <c r="DR22" s="126">
        <f ca="1">MAX(DR21*(1+S22)-(Dashboard!$C$11)/(1-Dashboard!$C$17)*((1+Dashboard!$C$12)^$CZ22),0)</f>
        <v>9297374.7847794984</v>
      </c>
      <c r="DS22" s="126">
        <f ca="1">MAX(DS21*(1+T22)-(Dashboard!$C$11)/(1-Dashboard!$C$17)*((1+Dashboard!$C$12)^$CZ22),0)</f>
        <v>1460583.8457766678</v>
      </c>
      <c r="DT22" s="126">
        <f ca="1">MAX(DT21*(1+U22)-(Dashboard!$C$11)/(1-Dashboard!$C$17)*((1+Dashboard!$C$12)^$CZ22),0)</f>
        <v>1950117.0537004145</v>
      </c>
      <c r="DU22" s="126">
        <f ca="1">MAX(DU21*(1+V22)-(Dashboard!$C$11)/(1-Dashboard!$C$17)*((1+Dashboard!$C$12)^$CZ22),0)</f>
        <v>3448866.8120996188</v>
      </c>
      <c r="DV22" s="126">
        <f ca="1">MAX(DV21*(1+W22)-(Dashboard!$C$11)/(1-Dashboard!$C$17)*((1+Dashboard!$C$12)^$CZ22),0)</f>
        <v>7265705.1623697737</v>
      </c>
      <c r="DW22" s="126">
        <f ca="1">MAX(DW21*(1+X22)-(Dashboard!$C$11)/(1-Dashboard!$C$17)*((1+Dashboard!$C$12)^$CZ22),0)</f>
        <v>2468655.0046731578</v>
      </c>
      <c r="DX22" s="126">
        <f ca="1">MAX(DX21*(1+Y22)-(Dashboard!$C$11)/(1-Dashboard!$C$17)*((1+Dashboard!$C$12)^$CZ22),0)</f>
        <v>1824183.3520122536</v>
      </c>
      <c r="DY22" s="126">
        <f ca="1">MAX(DY21*(1+Z22)-(Dashboard!$C$11)/(1-Dashboard!$C$17)*((1+Dashboard!$C$12)^$CZ22),0)</f>
        <v>5027595.3437895579</v>
      </c>
      <c r="DZ22" s="126">
        <f ca="1">MAX(DZ21*(1+AA22)-(Dashboard!$C$11)/(1-Dashboard!$C$17)*((1+Dashboard!$C$12)^$CZ22),0)</f>
        <v>671445.60555613751</v>
      </c>
      <c r="EA22" s="126">
        <f ca="1">MAX(EA21*(1+AB22)-(Dashboard!$C$11)/(1-Dashboard!$C$17)*((1+Dashboard!$C$12)^$CZ22),0)</f>
        <v>2310852.6656212839</v>
      </c>
      <c r="EB22" s="126">
        <f ca="1">MAX(EB21*(1+AC22)-(Dashboard!$C$11)/(1-Dashboard!$C$17)*((1+Dashboard!$C$12)^$CZ22),0)</f>
        <v>6567748.7385640191</v>
      </c>
      <c r="EC22" s="126">
        <f ca="1">MAX(EC21*(1+AD22)-(Dashboard!$C$11)/(1-Dashboard!$C$17)*((1+Dashboard!$C$12)^$CZ22),0)</f>
        <v>5633561.0692527229</v>
      </c>
      <c r="ED22" s="126">
        <f ca="1">MAX(ED21*(1+AE22)-(Dashboard!$C$11)/(1-Dashboard!$C$17)*((1+Dashboard!$C$12)^$CZ22),0)</f>
        <v>3459498.2385365749</v>
      </c>
      <c r="EE22" s="126">
        <f ca="1">MAX(EE21*(1+AF22)-(Dashboard!$C$11)/(1-Dashboard!$C$17)*((1+Dashboard!$C$12)^$CZ22),0)</f>
        <v>4356836.0732303932</v>
      </c>
      <c r="EF22" s="126">
        <f ca="1">MAX(EF21*(1+AG22)-(Dashboard!$C$11)/(1-Dashboard!$C$17)*((1+Dashboard!$C$12)^$CZ22),0)</f>
        <v>1437564.7470864211</v>
      </c>
      <c r="EG22" s="126">
        <f ca="1">MAX(EG21*(1+AH22)-(Dashboard!$C$11)/(1-Dashboard!$C$17)*((1+Dashboard!$C$12)^$CZ22),0)</f>
        <v>4606601.3805275513</v>
      </c>
      <c r="EH22" s="126">
        <f ca="1">MAX(EH21*(1+AI22)-(Dashboard!$C$11)/(1-Dashboard!$C$17)*((1+Dashboard!$C$12)^$CZ22),0)</f>
        <v>4558824.9649161845</v>
      </c>
      <c r="EI22" s="126">
        <f ca="1">MAX(EI21*(1+AJ22)-(Dashboard!$C$11)/(1-Dashboard!$C$17)*((1+Dashboard!$C$12)^$CZ22),0)</f>
        <v>565318.7677986027</v>
      </c>
      <c r="EJ22" s="126">
        <f ca="1">MAX(EJ21*(1+AK22)-(Dashboard!$C$11)/(1-Dashboard!$C$17)*((1+Dashboard!$C$12)^$CZ22),0)</f>
        <v>2958404.5125718322</v>
      </c>
      <c r="EK22" s="126">
        <f ca="1">MAX(EK21*(1+AL22)-(Dashboard!$C$11)/(1-Dashboard!$C$17)*((1+Dashboard!$C$12)^$CZ22),0)</f>
        <v>4706743.1423981804</v>
      </c>
      <c r="EL22" s="126">
        <f ca="1">MAX(EL21*(1+AM22)-(Dashboard!$C$11)/(1-Dashboard!$C$17)*((1+Dashboard!$C$12)^$CZ22),0)</f>
        <v>918933.89611229615</v>
      </c>
      <c r="EM22" s="126">
        <f ca="1">MAX(EM21*(1+AN22)-(Dashboard!$C$11)/(1-Dashboard!$C$17)*((1+Dashboard!$C$12)^$CZ22),0)</f>
        <v>3556785.2688169861</v>
      </c>
      <c r="EN22" s="126">
        <f ca="1">MAX(EN21*(1+AO22)-(Dashboard!$C$11)/(1-Dashboard!$C$17)*((1+Dashboard!$C$12)^$CZ22),0)</f>
        <v>2427367.6180493059</v>
      </c>
      <c r="EO22" s="126">
        <f ca="1">MAX(EO21*(1+AP22)-(Dashboard!$C$11)/(1-Dashboard!$C$17)*((1+Dashboard!$C$12)^$CZ22),0)</f>
        <v>793292.17661694775</v>
      </c>
      <c r="EP22" s="126">
        <f ca="1">MAX(EP21*(1+AQ22)-(Dashboard!$C$11)/(1-Dashboard!$C$17)*((1+Dashboard!$C$12)^$CZ22),0)</f>
        <v>1687445.5658171268</v>
      </c>
      <c r="EQ22" s="126">
        <f ca="1">MAX(EQ21*(1+AR22)-(Dashboard!$C$11)/(1-Dashboard!$C$17)*((1+Dashboard!$C$12)^$CZ22),0)</f>
        <v>1393372.0154236048</v>
      </c>
      <c r="ER22" s="126">
        <f ca="1">MAX(ER21*(1+AS22)-(Dashboard!$C$11)/(1-Dashboard!$C$17)*((1+Dashboard!$C$12)^$CZ22),0)</f>
        <v>835889.75259739952</v>
      </c>
      <c r="ES22" s="126">
        <f ca="1">MAX(ES21*(1+AT22)-(Dashboard!$C$11)/(1-Dashboard!$C$17)*((1+Dashboard!$C$12)^$CZ22),0)</f>
        <v>4345048.355368563</v>
      </c>
      <c r="ET22" s="126">
        <f ca="1">MAX(ET21*(1+AU22)-(Dashboard!$C$11)/(1-Dashboard!$C$17)*((1+Dashboard!$C$12)^$CZ22),0)</f>
        <v>1432150.9040737213</v>
      </c>
      <c r="EU22" s="126">
        <f ca="1">MAX(EU21*(1+AV22)-(Dashboard!$C$11)/(1-Dashboard!$C$17)*((1+Dashboard!$C$12)^$CZ22),0)</f>
        <v>2671163.2539424989</v>
      </c>
      <c r="EV22" s="126">
        <f ca="1">MAX(EV21*(1+AW22)-(Dashboard!$C$11)/(1-Dashboard!$C$17)*((1+Dashboard!$C$12)^$CZ22),0)</f>
        <v>5604898.8469670005</v>
      </c>
      <c r="EW22" s="126">
        <f ca="1">MAX(EW21*(1+AX22)-(Dashboard!$C$11)/(1-Dashboard!$C$17)*((1+Dashboard!$C$12)^$CZ22),0)</f>
        <v>2417341.4098480227</v>
      </c>
      <c r="EX22" s="126">
        <f ca="1">MAX(EX21*(1+AY22)-(Dashboard!$C$11)/(1-Dashboard!$C$17)*((1+Dashboard!$C$12)^$CZ22),0)</f>
        <v>3174958.2612123033</v>
      </c>
      <c r="EY22" s="126">
        <f ca="1">MAX(EY21*(1+AZ22)-(Dashboard!$C$11)/(1-Dashboard!$C$17)*((1+Dashboard!$C$12)^$CZ22),0)</f>
        <v>5742066.7609410631</v>
      </c>
      <c r="EZ22" s="126">
        <f ca="1">MAX(EZ21*(1+BA22)-(Dashboard!$C$11)/(1-Dashboard!$C$17)*((1+Dashboard!$C$12)^$CZ22),0)</f>
        <v>3339132.8765376122</v>
      </c>
      <c r="FA22" s="126">
        <f ca="1">MAX(FA21*(1+BB22)-(Dashboard!$C$11)/(1-Dashboard!$C$17)*((1+Dashboard!$C$12)^$CZ22),0)</f>
        <v>6987700.6346688261</v>
      </c>
      <c r="FB22" s="126">
        <f ca="1">MAX(FB21*(1+BC22)-(Dashboard!$C$11)/(1-Dashboard!$C$17)*((1+Dashboard!$C$12)^$CZ22),0)</f>
        <v>846089.86585861049</v>
      </c>
      <c r="FC22" s="126">
        <f ca="1">MAX(FC21*(1+BD22)-(Dashboard!$C$11)/(1-Dashboard!$C$17)*((1+Dashboard!$C$12)^$CZ22),0)</f>
        <v>5483886.8446181398</v>
      </c>
      <c r="FD22" s="126">
        <f ca="1">MAX(FD21*(1+BE22)-(Dashboard!$C$11)/(1-Dashboard!$C$17)*((1+Dashboard!$C$12)^$CZ22),0)</f>
        <v>5630858.6318563484</v>
      </c>
      <c r="FE22" s="126">
        <f ca="1">MAX(FE21*(1+BF22)-(Dashboard!$C$11)/(1-Dashboard!$C$17)*((1+Dashboard!$C$12)^$CZ22),0)</f>
        <v>5864507.4270162275</v>
      </c>
      <c r="FF22" s="126">
        <f ca="1">MAX(FF21*(1+BG22)-(Dashboard!$C$11)/(1-Dashboard!$C$17)*((1+Dashboard!$C$12)^$CZ22),0)</f>
        <v>3156202.0429444117</v>
      </c>
      <c r="FG22" s="126">
        <f ca="1">MAX(FG21*(1+BH22)-(Dashboard!$C$11)/(1-Dashboard!$C$17)*((1+Dashboard!$C$12)^$CZ22),0)</f>
        <v>3784851.7012472125</v>
      </c>
      <c r="FH22" s="126">
        <f ca="1">MAX(FH21*(1+BI22)-(Dashboard!$C$11)/(1-Dashboard!$C$17)*((1+Dashboard!$C$12)^$CZ22),0)</f>
        <v>4154719.2192688757</v>
      </c>
      <c r="FI22" s="126">
        <f ca="1">MAX(FI21*(1+BJ22)-(Dashboard!$C$11)/(1-Dashboard!$C$17)*((1+Dashboard!$C$12)^$CZ22),0)</f>
        <v>5371277.7910345979</v>
      </c>
      <c r="FJ22" s="126">
        <f ca="1">MAX(FJ21*(1+BK22)-(Dashboard!$C$11)/(1-Dashboard!$C$17)*((1+Dashboard!$C$12)^$CZ22),0)</f>
        <v>2405379.946972813</v>
      </c>
      <c r="FK22" s="126">
        <f ca="1">MAX(FK21*(1+BL22)-(Dashboard!$C$11)/(1-Dashboard!$C$17)*((1+Dashboard!$C$12)^$CZ22),0)</f>
        <v>3139099.440756083</v>
      </c>
      <c r="FL22" s="126">
        <f ca="1">MAX(FL21*(1+BM22)-(Dashboard!$C$11)/(1-Dashboard!$C$17)*((1+Dashboard!$C$12)^$CZ22),0)</f>
        <v>2858884.06990912</v>
      </c>
      <c r="FM22" s="126">
        <f ca="1">MAX(FM21*(1+BN22)-(Dashboard!$C$11)/(1-Dashboard!$C$17)*((1+Dashboard!$C$12)^$CZ22),0)</f>
        <v>4806240.3020331757</v>
      </c>
      <c r="FN22" s="126">
        <f ca="1">MAX(FN21*(1+BO22)-(Dashboard!$C$11)/(1-Dashboard!$C$17)*((1+Dashboard!$C$12)^$CZ22),0)</f>
        <v>420568.95657640643</v>
      </c>
      <c r="FO22" s="126">
        <f ca="1">MAX(FO21*(1+BP22)-(Dashboard!$C$11)/(1-Dashboard!$C$17)*((1+Dashboard!$C$12)^$CZ22),0)</f>
        <v>3186819.1368217203</v>
      </c>
      <c r="FP22" s="126">
        <f ca="1">MAX(FP21*(1+BQ22)-(Dashboard!$C$11)/(1-Dashboard!$C$17)*((1+Dashboard!$C$12)^$CZ22),0)</f>
        <v>3243228.1551451716</v>
      </c>
      <c r="FQ22" s="126">
        <f ca="1">MAX(FQ21*(1+BR22)-(Dashboard!$C$11)/(1-Dashboard!$C$17)*((1+Dashboard!$C$12)^$CZ22),0)</f>
        <v>3552659.5815712255</v>
      </c>
      <c r="FR22" s="126">
        <f ca="1">MAX(FR21*(1+BS22)-(Dashboard!$C$11)/(1-Dashboard!$C$17)*((1+Dashboard!$C$12)^$CZ22),0)</f>
        <v>6020665.6090312218</v>
      </c>
      <c r="FS22" s="126">
        <f ca="1">MAX(FS21*(1+BT22)-(Dashboard!$C$11)/(1-Dashboard!$C$17)*((1+Dashboard!$C$12)^$CZ22),0)</f>
        <v>6990176.7705756444</v>
      </c>
      <c r="FT22" s="126">
        <f ca="1">MAX(FT21*(1+BU22)-(Dashboard!$C$11)/(1-Dashboard!$C$17)*((1+Dashboard!$C$12)^$CZ22),0)</f>
        <v>1254807.9451078943</v>
      </c>
      <c r="FU22" s="126">
        <f ca="1">MAX(FU21*(1+BV22)-(Dashboard!$C$11)/(1-Dashboard!$C$17)*((1+Dashboard!$C$12)^$CZ22),0)</f>
        <v>1985222.2938525889</v>
      </c>
      <c r="FV22" s="126">
        <f ca="1">MAX(FV21*(1+BW22)-(Dashboard!$C$11)/(1-Dashboard!$C$17)*((1+Dashboard!$C$12)^$CZ22),0)</f>
        <v>1456460.687276897</v>
      </c>
      <c r="FW22" s="126">
        <f ca="1">MAX(FW21*(1+BX22)-(Dashboard!$C$11)/(1-Dashboard!$C$17)*((1+Dashboard!$C$12)^$CZ22),0)</f>
        <v>2495968.856812444</v>
      </c>
      <c r="FX22" s="126">
        <f ca="1">MAX(FX21*(1+BY22)-(Dashboard!$C$11)/(1-Dashboard!$C$17)*((1+Dashboard!$C$12)^$CZ22),0)</f>
        <v>1449288.6977987932</v>
      </c>
      <c r="FY22" s="126">
        <f ca="1">MAX(FY21*(1+BZ22)-(Dashboard!$C$11)/(1-Dashboard!$C$17)*((1+Dashboard!$C$12)^$CZ22),0)</f>
        <v>1705936.2174145342</v>
      </c>
      <c r="FZ22" s="126">
        <f ca="1">MAX(FZ21*(1+CA22)-(Dashboard!$C$11)/(1-Dashboard!$C$17)*((1+Dashboard!$C$12)^$CZ22),0)</f>
        <v>5332946.8139376715</v>
      </c>
      <c r="GA22" s="126">
        <f ca="1">MAX(GA21*(1+CB22)-(Dashboard!$C$11)/(1-Dashboard!$C$17)*((1+Dashboard!$C$12)^$CZ22),0)</f>
        <v>5227934.2732331157</v>
      </c>
      <c r="GB22" s="126">
        <f ca="1">MAX(GB21*(1+CC22)-(Dashboard!$C$11)/(1-Dashboard!$C$17)*((1+Dashboard!$C$12)^$CZ22),0)</f>
        <v>1487645.9403584178</v>
      </c>
      <c r="GC22" s="126">
        <f ca="1">MAX(GC21*(1+CD22)-(Dashboard!$C$11)/(1-Dashboard!$C$17)*((1+Dashboard!$C$12)^$CZ22),0)</f>
        <v>5288928.582762612</v>
      </c>
      <c r="GD22" s="126">
        <f ca="1">MAX(GD21*(1+CE22)-(Dashboard!$C$11)/(1-Dashboard!$C$17)*((1+Dashboard!$C$12)^$CZ22),0)</f>
        <v>9626211.2490408011</v>
      </c>
      <c r="GE22" s="126">
        <f ca="1">MAX(GE21*(1+CF22)-(Dashboard!$C$11)/(1-Dashboard!$C$17)*((1+Dashboard!$C$12)^$CZ22),0)</f>
        <v>1914605.032856148</v>
      </c>
      <c r="GF22" s="126">
        <f ca="1">MAX(GF21*(1+CG22)-(Dashboard!$C$11)/(1-Dashboard!$C$17)*((1+Dashboard!$C$12)^$CZ22),0)</f>
        <v>5416948.0778972777</v>
      </c>
      <c r="GG22" s="126">
        <f ca="1">MAX(GG21*(1+CH22)-(Dashboard!$C$11)/(1-Dashboard!$C$17)*((1+Dashboard!$C$12)^$CZ22),0)</f>
        <v>1010053.7941286773</v>
      </c>
      <c r="GH22" s="126">
        <f ca="1">MAX(GH21*(1+CI22)-(Dashboard!$C$11)/(1-Dashboard!$C$17)*((1+Dashboard!$C$12)^$CZ22),0)</f>
        <v>2023538.3471079534</v>
      </c>
      <c r="GI22" s="126">
        <f ca="1">MAX(GI21*(1+CJ22)-(Dashboard!$C$11)/(1-Dashboard!$C$17)*((1+Dashboard!$C$12)^$CZ22),0)</f>
        <v>1571905.3368566569</v>
      </c>
      <c r="GJ22" s="126">
        <f ca="1">MAX(GJ21*(1+CK22)-(Dashboard!$C$11)/(1-Dashboard!$C$17)*((1+Dashboard!$C$12)^$CZ22),0)</f>
        <v>4299000.7767476747</v>
      </c>
      <c r="GK22" s="126">
        <f ca="1">MAX(GK21*(1+CL22)-(Dashboard!$C$11)/(1-Dashboard!$C$17)*((1+Dashboard!$C$12)^$CZ22),0)</f>
        <v>5910366.4891141187</v>
      </c>
      <c r="GL22" s="126">
        <f ca="1">MAX(GL21*(1+CM22)-(Dashboard!$C$11)/(1-Dashboard!$C$17)*((1+Dashboard!$C$12)^$CZ22),0)</f>
        <v>3484432.611352942</v>
      </c>
      <c r="GM22" s="126">
        <f ca="1">MAX(GM21*(1+CN22)-(Dashboard!$C$11)/(1-Dashboard!$C$17)*((1+Dashboard!$C$12)^$CZ22),0)</f>
        <v>1175744.1539910182</v>
      </c>
      <c r="GN22" s="126">
        <f ca="1">MAX(GN21*(1+CO22)-(Dashboard!$C$11)/(1-Dashboard!$C$17)*((1+Dashboard!$C$12)^$CZ22),0)</f>
        <v>284893.89162785839</v>
      </c>
      <c r="GO22" s="126">
        <f ca="1">MAX(GO21*(1+CP22)-(Dashboard!$C$11)/(1-Dashboard!$C$17)*((1+Dashboard!$C$12)^$CZ22),0)</f>
        <v>2128189.4894855865</v>
      </c>
      <c r="GP22" s="126">
        <f ca="1">MAX(GP21*(1+CQ22)-(Dashboard!$C$11)/(1-Dashboard!$C$17)*((1+Dashboard!$C$12)^$CZ22),0)</f>
        <v>1723563.5118920689</v>
      </c>
      <c r="GQ22" s="126">
        <f ca="1">MAX(GQ21*(1+CR22)-(Dashboard!$C$11)/(1-Dashboard!$C$17)*((1+Dashboard!$C$12)^$CZ22),0)</f>
        <v>1019849.630430036</v>
      </c>
      <c r="GR22" s="126">
        <f ca="1">MAX(GR21*(1+CS22)-(Dashboard!$C$11)/(1-Dashboard!$C$17)*((1+Dashboard!$C$12)^$CZ22),0)</f>
        <v>1451915.9942658315</v>
      </c>
      <c r="GS22" s="126">
        <f ca="1">MAX(GS21*(1+CT22)-(Dashboard!$C$11)/(1-Dashboard!$C$17)*((1+Dashboard!$C$12)^$CZ22),0)</f>
        <v>2644371.2822132944</v>
      </c>
      <c r="GT22" s="126">
        <f ca="1">MAX(GT21*(1+CU22)-(Dashboard!$C$11)/(1-Dashboard!$C$17)*((1+Dashboard!$C$12)^$CZ22),0)</f>
        <v>10003958.34626928</v>
      </c>
      <c r="GU22" s="126">
        <f ca="1">MAX(GU21*(1+CV22)-(Dashboard!$C$11)/(1-Dashboard!$C$17)*((1+Dashboard!$C$12)^$CZ22),0)</f>
        <v>1600669.0909769738</v>
      </c>
      <c r="GV22" s="126">
        <f ca="1">MAX(GV21*(1+CW22)-(Dashboard!$C$11)/(1-Dashboard!$C$17)*((1+Dashboard!$C$12)^$CZ22),0)</f>
        <v>1131450.876202608</v>
      </c>
      <c r="GW22" s="115">
        <f t="shared" si="4"/>
        <v>71</v>
      </c>
      <c r="GX22" s="130">
        <f t="shared" ca="1" si="2"/>
        <v>100</v>
      </c>
      <c r="HC22" s="130">
        <f t="shared" si="0"/>
        <v>71</v>
      </c>
      <c r="HD22" s="137">
        <f t="shared" ref="HD22:HF41" ca="1" si="6">PERCENTILE($CY22:$GV22,HD$1)</f>
        <v>1467349.3694221054</v>
      </c>
      <c r="HE22" s="137">
        <f t="shared" ca="1" si="6"/>
        <v>2765023.6619258095</v>
      </c>
      <c r="HF22" s="137">
        <f t="shared" ca="1" si="6"/>
        <v>4972256.5833504628</v>
      </c>
    </row>
    <row r="23" spans="1:214" ht="16">
      <c r="A23" s="145">
        <f t="shared" si="3"/>
        <v>72</v>
      </c>
      <c r="B23" s="122">
        <f ca="1">(Dashboard!$C$7*'Equity and Bond Returns'!N23)+(Dashboard!$C$8*'Equity and Bond Returns'!DL23)</f>
        <v>0.2156585122442343</v>
      </c>
      <c r="C23" s="122">
        <f ca="1">(Dashboard!$C$7*'Equity and Bond Returns'!O23)+(Dashboard!$C$8*'Equity and Bond Returns'!DM23)</f>
        <v>-4.4464222985580275E-2</v>
      </c>
      <c r="D23" s="122">
        <f ca="1">(Dashboard!$C$7*'Equity and Bond Returns'!P23)+(Dashboard!$C$8*'Equity and Bond Returns'!DN23)</f>
        <v>-0.19676435448117074</v>
      </c>
      <c r="E23" s="122">
        <f ca="1">(Dashboard!$C$7*'Equity and Bond Returns'!Q23)+(Dashboard!$C$8*'Equity and Bond Returns'!DO23)</f>
        <v>-2.3970313436926662E-2</v>
      </c>
      <c r="F23" s="122">
        <f ca="1">(Dashboard!$C$7*'Equity and Bond Returns'!R23)+(Dashboard!$C$8*'Equity and Bond Returns'!DP23)</f>
        <v>0.11784634394439159</v>
      </c>
      <c r="G23" s="122">
        <f ca="1">(Dashboard!$C$7*'Equity and Bond Returns'!S23)+(Dashboard!$C$8*'Equity and Bond Returns'!DQ23)</f>
        <v>0.45389052530116969</v>
      </c>
      <c r="H23" s="122">
        <f ca="1">(Dashboard!$C$7*'Equity and Bond Returns'!T23)+(Dashboard!$C$8*'Equity and Bond Returns'!DR23)</f>
        <v>0.18999803415968322</v>
      </c>
      <c r="I23" s="122">
        <f ca="1">(Dashboard!$C$7*'Equity and Bond Returns'!U23)+(Dashboard!$C$8*'Equity and Bond Returns'!DS23)</f>
        <v>0.23753336029454847</v>
      </c>
      <c r="J23" s="122">
        <f ca="1">(Dashboard!$C$7*'Equity and Bond Returns'!V23)+(Dashboard!$C$8*'Equity and Bond Returns'!DT23)</f>
        <v>0.34687372291944435</v>
      </c>
      <c r="K23" s="122">
        <f ca="1">(Dashboard!$C$7*'Equity and Bond Returns'!W23)+(Dashboard!$C$8*'Equity and Bond Returns'!DU23)</f>
        <v>-5.5796546524455849E-2</v>
      </c>
      <c r="L23" s="122">
        <f ca="1">(Dashboard!$C$7*'Equity and Bond Returns'!X23)+(Dashboard!$C$8*'Equity and Bond Returns'!DV23)</f>
        <v>0.15534917885555666</v>
      </c>
      <c r="M23" s="122">
        <f ca="1">(Dashboard!$C$7*'Equity and Bond Returns'!Y23)+(Dashboard!$C$8*'Equity and Bond Returns'!DW23)</f>
        <v>-7.7828386670463073E-2</v>
      </c>
      <c r="N23" s="122">
        <f ca="1">(Dashboard!$C$7*'Equity and Bond Returns'!Z23)+(Dashboard!$C$8*'Equity and Bond Returns'!DX23)</f>
        <v>0.24556456633875218</v>
      </c>
      <c r="O23" s="122">
        <f ca="1">(Dashboard!$C$7*'Equity and Bond Returns'!AA23)+(Dashboard!$C$8*'Equity and Bond Returns'!DY23)</f>
        <v>0.22979739143260319</v>
      </c>
      <c r="P23" s="122">
        <f ca="1">(Dashboard!$C$7*'Equity and Bond Returns'!AB23)+(Dashboard!$C$8*'Equity and Bond Returns'!DZ23)</f>
        <v>4.6182980701776649E-2</v>
      </c>
      <c r="Q23" s="122">
        <f ca="1">(Dashboard!$C$7*'Equity and Bond Returns'!AC23)+(Dashboard!$C$8*'Equity and Bond Returns'!EA23)</f>
        <v>-9.8223492169890077E-3</v>
      </c>
      <c r="R23" s="122">
        <f ca="1">(Dashboard!$C$7*'Equity and Bond Returns'!AD23)+(Dashboard!$C$8*'Equity and Bond Returns'!EB23)</f>
        <v>0.21682057603458355</v>
      </c>
      <c r="S23" s="122">
        <f ca="1">(Dashboard!$C$7*'Equity and Bond Returns'!AE23)+(Dashboard!$C$8*'Equity and Bond Returns'!EC23)</f>
        <v>1.8147929045270569E-2</v>
      </c>
      <c r="T23" s="122">
        <f ca="1">(Dashboard!$C$7*'Equity and Bond Returns'!AF23)+(Dashboard!$C$8*'Equity and Bond Returns'!ED23)</f>
        <v>-9.3646502864828431E-3</v>
      </c>
      <c r="U23" s="122">
        <f ca="1">(Dashboard!$C$7*'Equity and Bond Returns'!AG23)+(Dashboard!$C$8*'Equity and Bond Returns'!EE23)</f>
        <v>6.371541339210765E-2</v>
      </c>
      <c r="V23" s="122">
        <f ca="1">(Dashboard!$C$7*'Equity and Bond Returns'!AH23)+(Dashboard!$C$8*'Equity and Bond Returns'!EF23)</f>
        <v>0.19834850571809132</v>
      </c>
      <c r="W23" s="122">
        <f ca="1">(Dashboard!$C$7*'Equity and Bond Returns'!AI23)+(Dashboard!$C$8*'Equity and Bond Returns'!EG23)</f>
        <v>0.29689040548585444</v>
      </c>
      <c r="X23" s="122">
        <f ca="1">(Dashboard!$C$7*'Equity and Bond Returns'!AJ23)+(Dashboard!$C$8*'Equity and Bond Returns'!EH23)</f>
        <v>0.12210511278992983</v>
      </c>
      <c r="Y23" s="122">
        <f ca="1">(Dashboard!$C$7*'Equity and Bond Returns'!AK23)+(Dashboard!$C$8*'Equity and Bond Returns'!EI23)</f>
        <v>0.20421568753468033</v>
      </c>
      <c r="Z23" s="122">
        <f ca="1">(Dashboard!$C$7*'Equity and Bond Returns'!AL23)+(Dashboard!$C$8*'Equity and Bond Returns'!EJ23)</f>
        <v>3.1311518552926014E-2</v>
      </c>
      <c r="AA23" s="122">
        <f ca="1">(Dashboard!$C$7*'Equity and Bond Returns'!AM23)+(Dashboard!$C$8*'Equity and Bond Returns'!EK23)</f>
        <v>0.23057146348023835</v>
      </c>
      <c r="AB23" s="122">
        <f ca="1">(Dashboard!$C$7*'Equity and Bond Returns'!AN23)+(Dashboard!$C$8*'Equity and Bond Returns'!EL23)</f>
        <v>0.11829673053946194</v>
      </c>
      <c r="AC23" s="122">
        <f ca="1">(Dashboard!$C$7*'Equity and Bond Returns'!AO23)+(Dashboard!$C$8*'Equity and Bond Returns'!EM23)</f>
        <v>-0.16085631938977762</v>
      </c>
      <c r="AD23" s="122">
        <f ca="1">(Dashboard!$C$7*'Equity and Bond Returns'!AP23)+(Dashboard!$C$8*'Equity and Bond Returns'!EN23)</f>
        <v>-9.5969384707220579E-2</v>
      </c>
      <c r="AE23" s="122">
        <f ca="1">(Dashboard!$C$7*'Equity and Bond Returns'!AQ23)+(Dashboard!$C$8*'Equity and Bond Returns'!EO23)</f>
        <v>3.6437327587619993E-2</v>
      </c>
      <c r="AF23" s="122">
        <f ca="1">(Dashboard!$C$7*'Equity and Bond Returns'!AR23)+(Dashboard!$C$8*'Equity and Bond Returns'!EP23)</f>
        <v>3.2787933107981095E-2</v>
      </c>
      <c r="AG23" s="122">
        <f ca="1">(Dashboard!$C$7*'Equity and Bond Returns'!AS23)+(Dashboard!$C$8*'Equity and Bond Returns'!EQ23)</f>
        <v>3.8308901311010814E-2</v>
      </c>
      <c r="AH23" s="122">
        <f ca="1">(Dashboard!$C$7*'Equity and Bond Returns'!AT23)+(Dashboard!$C$8*'Equity and Bond Returns'!ER23)</f>
        <v>-0.16663363199822268</v>
      </c>
      <c r="AI23" s="122">
        <f ca="1">(Dashboard!$C$7*'Equity and Bond Returns'!AU23)+(Dashboard!$C$8*'Equity and Bond Returns'!ES23)</f>
        <v>-4.5081838964659865E-2</v>
      </c>
      <c r="AJ23" s="122">
        <f ca="1">(Dashboard!$C$7*'Equity and Bond Returns'!AV23)+(Dashboard!$C$8*'Equity and Bond Returns'!ET23)</f>
        <v>-9.1856205791243845E-2</v>
      </c>
      <c r="AK23" s="122">
        <f ca="1">(Dashboard!$C$7*'Equity and Bond Returns'!AW23)+(Dashboard!$C$8*'Equity and Bond Returns'!EU23)</f>
        <v>0.29558207226880701</v>
      </c>
      <c r="AL23" s="122">
        <f ca="1">(Dashboard!$C$7*'Equity and Bond Returns'!AX23)+(Dashboard!$C$8*'Equity and Bond Returns'!EV23)</f>
        <v>0.26816490294252521</v>
      </c>
      <c r="AM23" s="122">
        <f ca="1">(Dashboard!$C$7*'Equity and Bond Returns'!AY23)+(Dashboard!$C$8*'Equity and Bond Returns'!EW23)</f>
        <v>0.1564855963925158</v>
      </c>
      <c r="AN23" s="122">
        <f ca="1">(Dashboard!$C$7*'Equity and Bond Returns'!AZ23)+(Dashboard!$C$8*'Equity and Bond Returns'!EX23)</f>
        <v>0.21841286710675983</v>
      </c>
      <c r="AO23" s="122">
        <f ca="1">(Dashboard!$C$7*'Equity and Bond Returns'!BA23)+(Dashboard!$C$8*'Equity and Bond Returns'!EY23)</f>
        <v>-0.12450217266961131</v>
      </c>
      <c r="AP23" s="122">
        <f ca="1">(Dashboard!$C$7*'Equity and Bond Returns'!BB23)+(Dashboard!$C$8*'Equity and Bond Returns'!EZ23)</f>
        <v>-5.9074491873176718E-2</v>
      </c>
      <c r="AQ23" s="122">
        <f ca="1">(Dashboard!$C$7*'Equity and Bond Returns'!BC23)+(Dashboard!$C$8*'Equity and Bond Returns'!FA23)</f>
        <v>6.648270762422781E-2</v>
      </c>
      <c r="AR23" s="122">
        <f ca="1">(Dashboard!$C$7*'Equity and Bond Returns'!BD23)+(Dashboard!$C$8*'Equity and Bond Returns'!FB23)</f>
        <v>0.18213909200988798</v>
      </c>
      <c r="AS23" s="122">
        <f ca="1">(Dashboard!$C$7*'Equity and Bond Returns'!BE23)+(Dashboard!$C$8*'Equity and Bond Returns'!FC23)</f>
        <v>-8.8029342123600696E-2</v>
      </c>
      <c r="AT23" s="122">
        <f ca="1">(Dashboard!$C$7*'Equity and Bond Returns'!BF23)+(Dashboard!$C$8*'Equity and Bond Returns'!FD23)</f>
        <v>8.4128001263177821E-2</v>
      </c>
      <c r="AU23" s="122">
        <f ca="1">(Dashboard!$C$7*'Equity and Bond Returns'!BG23)+(Dashboard!$C$8*'Equity and Bond Returns'!FE23)</f>
        <v>0.2853313015587316</v>
      </c>
      <c r="AV23" s="122">
        <f ca="1">(Dashboard!$C$7*'Equity and Bond Returns'!BH23)+(Dashboard!$C$8*'Equity and Bond Returns'!FF23)</f>
        <v>-0.1358661215454022</v>
      </c>
      <c r="AW23" s="122">
        <f ca="1">(Dashboard!$C$7*'Equity and Bond Returns'!BI23)+(Dashboard!$C$8*'Equity and Bond Returns'!FG23)</f>
        <v>0.14519652572566941</v>
      </c>
      <c r="AX23" s="122">
        <f ca="1">(Dashboard!$C$7*'Equity and Bond Returns'!BJ23)+(Dashboard!$C$8*'Equity and Bond Returns'!FH23)</f>
        <v>5.9278583964572057E-2</v>
      </c>
      <c r="AY23" s="122">
        <f ca="1">(Dashboard!$C$7*'Equity and Bond Returns'!BK23)+(Dashboard!$C$8*'Equity and Bond Returns'!FI23)</f>
        <v>-6.3544070299732455E-3</v>
      </c>
      <c r="AZ23" s="122">
        <f ca="1">(Dashboard!$C$7*'Equity and Bond Returns'!BL23)+(Dashboard!$C$8*'Equity and Bond Returns'!FJ23)</f>
        <v>-0.16227433528779106</v>
      </c>
      <c r="BA23" s="122">
        <f ca="1">(Dashboard!$C$7*'Equity and Bond Returns'!BM23)+(Dashboard!$C$8*'Equity and Bond Returns'!FK23)</f>
        <v>-4.342132094000014E-2</v>
      </c>
      <c r="BB23" s="122">
        <f ca="1">(Dashboard!$C$7*'Equity and Bond Returns'!BN23)+(Dashboard!$C$8*'Equity and Bond Returns'!FL23)</f>
        <v>0.23214351621149582</v>
      </c>
      <c r="BC23" s="122">
        <f ca="1">(Dashboard!$C$7*'Equity and Bond Returns'!BO23)+(Dashboard!$C$8*'Equity and Bond Returns'!FM23)</f>
        <v>0.18621661619882987</v>
      </c>
      <c r="BD23" s="122">
        <f ca="1">(Dashboard!$C$7*'Equity and Bond Returns'!BP23)+(Dashboard!$C$8*'Equity and Bond Returns'!FN23)</f>
        <v>7.5863389519858382E-2</v>
      </c>
      <c r="BE23" s="122">
        <f ca="1">(Dashboard!$C$7*'Equity and Bond Returns'!BQ23)+(Dashboard!$C$8*'Equity and Bond Returns'!FO23)</f>
        <v>0.2081003162525446</v>
      </c>
      <c r="BF23" s="122">
        <f ca="1">(Dashboard!$C$7*'Equity and Bond Returns'!BR23)+(Dashboard!$C$8*'Equity and Bond Returns'!FP23)</f>
        <v>0.35854389604508652</v>
      </c>
      <c r="BG23" s="122">
        <f ca="1">(Dashboard!$C$7*'Equity and Bond Returns'!BS23)+(Dashboard!$C$8*'Equity and Bond Returns'!FQ23)</f>
        <v>-7.2911356115053602E-2</v>
      </c>
      <c r="BH23" s="122">
        <f ca="1">(Dashboard!$C$7*'Equity and Bond Returns'!BT23)+(Dashboard!$C$8*'Equity and Bond Returns'!FR23)</f>
        <v>-6.0195737293360856E-2</v>
      </c>
      <c r="BI23" s="122">
        <f ca="1">(Dashboard!$C$7*'Equity and Bond Returns'!BU23)+(Dashboard!$C$8*'Equity and Bond Returns'!FS23)</f>
        <v>-7.0672849669191878E-2</v>
      </c>
      <c r="BJ23" s="122">
        <f ca="1">(Dashboard!$C$7*'Equity and Bond Returns'!BV23)+(Dashboard!$C$8*'Equity and Bond Returns'!FT23)</f>
        <v>0.23556659956097217</v>
      </c>
      <c r="BK23" s="122">
        <f ca="1">(Dashboard!$C$7*'Equity and Bond Returns'!BW23)+(Dashboard!$C$8*'Equity and Bond Returns'!FU23)</f>
        <v>-7.2343487578714841E-3</v>
      </c>
      <c r="BL23" s="122">
        <f ca="1">(Dashboard!$C$7*'Equity and Bond Returns'!BX23)+(Dashboard!$C$8*'Equity and Bond Returns'!FV23)</f>
        <v>0.20649428170925668</v>
      </c>
      <c r="BM23" s="122">
        <f ca="1">(Dashboard!$C$7*'Equity and Bond Returns'!BY23)+(Dashboard!$C$8*'Equity and Bond Returns'!FW23)</f>
        <v>0.25313028819201011</v>
      </c>
      <c r="BN23" s="122">
        <f ca="1">(Dashboard!$C$7*'Equity and Bond Returns'!BZ23)+(Dashboard!$C$8*'Equity and Bond Returns'!FX23)</f>
        <v>7.9384549493396017E-2</v>
      </c>
      <c r="BO23" s="122">
        <f ca="1">(Dashboard!$C$7*'Equity and Bond Returns'!CA23)+(Dashboard!$C$8*'Equity and Bond Returns'!FY23)</f>
        <v>4.7304275971228084E-2</v>
      </c>
      <c r="BP23" s="122">
        <f ca="1">(Dashboard!$C$7*'Equity and Bond Returns'!CB23)+(Dashboard!$C$8*'Equity and Bond Returns'!FZ23)</f>
        <v>-6.0618433810011786E-2</v>
      </c>
      <c r="BQ23" s="122">
        <f ca="1">(Dashboard!$C$7*'Equity and Bond Returns'!CC23)+(Dashboard!$C$8*'Equity and Bond Returns'!GA23)</f>
        <v>-1.1735921911362447E-2</v>
      </c>
      <c r="BR23" s="122">
        <f ca="1">(Dashboard!$C$7*'Equity and Bond Returns'!CD23)+(Dashboard!$C$8*'Equity and Bond Returns'!GB23)</f>
        <v>-8.5872257421894249E-3</v>
      </c>
      <c r="BS23" s="122">
        <f ca="1">(Dashboard!$C$7*'Equity and Bond Returns'!CE23)+(Dashboard!$C$8*'Equity and Bond Returns'!GC23)</f>
        <v>-0.10839995511807439</v>
      </c>
      <c r="BT23" s="122">
        <f ca="1">(Dashboard!$C$7*'Equity and Bond Returns'!CF23)+(Dashboard!$C$8*'Equity and Bond Returns'!GD23)</f>
        <v>-0.26698470436352556</v>
      </c>
      <c r="BU23" s="122">
        <f ca="1">(Dashboard!$C$7*'Equity and Bond Returns'!CG23)+(Dashboard!$C$8*'Equity and Bond Returns'!GE23)</f>
        <v>9.7912254337722548E-2</v>
      </c>
      <c r="BV23" s="122">
        <f ca="1">(Dashboard!$C$7*'Equity and Bond Returns'!CH23)+(Dashboard!$C$8*'Equity and Bond Returns'!GF23)</f>
        <v>0.10199858925856276</v>
      </c>
      <c r="BW23" s="122">
        <f ca="1">(Dashboard!$C$7*'Equity and Bond Returns'!CI23)+(Dashboard!$C$8*'Equity and Bond Returns'!GG23)</f>
        <v>0.18506460343608638</v>
      </c>
      <c r="BX23" s="122">
        <f ca="1">(Dashboard!$C$7*'Equity and Bond Returns'!CJ23)+(Dashboard!$C$8*'Equity and Bond Returns'!GH23)</f>
        <v>-3.0734363819384984E-2</v>
      </c>
      <c r="BY23" s="122">
        <f ca="1">(Dashboard!$C$7*'Equity and Bond Returns'!CK23)+(Dashboard!$C$8*'Equity and Bond Returns'!GI23)</f>
        <v>1.3873117131113362E-2</v>
      </c>
      <c r="BZ23" s="122">
        <f ca="1">(Dashboard!$C$7*'Equity and Bond Returns'!CL23)+(Dashboard!$C$8*'Equity and Bond Returns'!GJ23)</f>
        <v>6.3329153589960427E-2</v>
      </c>
      <c r="CA23" s="122">
        <f ca="1">(Dashboard!$C$7*'Equity and Bond Returns'!CM23)+(Dashboard!$C$8*'Equity and Bond Returns'!GK23)</f>
        <v>0.15486207067837979</v>
      </c>
      <c r="CB23" s="122">
        <f ca="1">(Dashboard!$C$7*'Equity and Bond Returns'!CN23)+(Dashboard!$C$8*'Equity and Bond Returns'!GL23)</f>
        <v>6.3643863282858218E-2</v>
      </c>
      <c r="CC23" s="122">
        <f ca="1">(Dashboard!$C$7*'Equity and Bond Returns'!CO23)+(Dashboard!$C$8*'Equity and Bond Returns'!GM23)</f>
        <v>-9.2223923861602067E-2</v>
      </c>
      <c r="CD23" s="122">
        <f ca="1">(Dashboard!$C$7*'Equity and Bond Returns'!CP23)+(Dashboard!$C$8*'Equity and Bond Returns'!GN23)</f>
        <v>0.13158146606113832</v>
      </c>
      <c r="CE23" s="122">
        <f ca="1">(Dashboard!$C$7*'Equity and Bond Returns'!CQ23)+(Dashboard!$C$8*'Equity and Bond Returns'!GO23)</f>
        <v>4.9934499553489699E-2</v>
      </c>
      <c r="CF23" s="122">
        <f ca="1">(Dashboard!$C$7*'Equity and Bond Returns'!CR23)+(Dashboard!$C$8*'Equity and Bond Returns'!GP23)</f>
        <v>4.39059440529651E-2</v>
      </c>
      <c r="CG23" s="122">
        <f ca="1">(Dashboard!$C$7*'Equity and Bond Returns'!CS23)+(Dashboard!$C$8*'Equity and Bond Returns'!GQ23)</f>
        <v>7.3134916335586525E-2</v>
      </c>
      <c r="CH23" s="122">
        <f ca="1">(Dashboard!$C$7*'Equity and Bond Returns'!CT23)+(Dashboard!$C$8*'Equity and Bond Returns'!GR23)</f>
        <v>0.24194149526836264</v>
      </c>
      <c r="CI23" s="122">
        <f ca="1">(Dashboard!$C$7*'Equity and Bond Returns'!CU23)+(Dashboard!$C$8*'Equity and Bond Returns'!GS23)</f>
        <v>0.36178632594714888</v>
      </c>
      <c r="CJ23" s="122">
        <f ca="1">(Dashboard!$C$7*'Equity and Bond Returns'!CV23)+(Dashboard!$C$8*'Equity and Bond Returns'!GT23)</f>
        <v>0.33378371644074084</v>
      </c>
      <c r="CK23" s="122">
        <f ca="1">(Dashboard!$C$7*'Equity and Bond Returns'!CW23)+(Dashboard!$C$8*'Equity and Bond Returns'!GU23)</f>
        <v>0.29832425757654946</v>
      </c>
      <c r="CL23" s="122">
        <f ca="1">(Dashboard!$C$7*'Equity and Bond Returns'!CX23)+(Dashboard!$C$8*'Equity and Bond Returns'!GV23)</f>
        <v>-6.6429673387030944E-2</v>
      </c>
      <c r="CM23" s="122">
        <f ca="1">(Dashboard!$C$7*'Equity and Bond Returns'!CY23)+(Dashboard!$C$8*'Equity and Bond Returns'!GW23)</f>
        <v>0.17648681615149434</v>
      </c>
      <c r="CN23" s="122">
        <f ca="1">(Dashboard!$C$7*'Equity and Bond Returns'!CZ23)+(Dashboard!$C$8*'Equity and Bond Returns'!GX23)</f>
        <v>0.35560032248740364</v>
      </c>
      <c r="CO23" s="122">
        <f ca="1">(Dashboard!$C$7*'Equity and Bond Returns'!DA23)+(Dashboard!$C$8*'Equity and Bond Returns'!GY23)</f>
        <v>5.0427636857255667E-2</v>
      </c>
      <c r="CP23" s="122">
        <f ca="1">(Dashboard!$C$7*'Equity and Bond Returns'!DB23)+(Dashboard!$C$8*'Equity and Bond Returns'!GZ23)</f>
        <v>0.10879210114545314</v>
      </c>
      <c r="CQ23" s="122">
        <f ca="1">(Dashboard!$C$7*'Equity and Bond Returns'!DC23)+(Dashboard!$C$8*'Equity and Bond Returns'!HA23)</f>
        <v>9.9028051309227969E-2</v>
      </c>
      <c r="CR23" s="122">
        <f ca="1">(Dashboard!$C$7*'Equity and Bond Returns'!DD23)+(Dashboard!$C$8*'Equity and Bond Returns'!HB23)</f>
        <v>-0.15099219781862472</v>
      </c>
      <c r="CS23" s="122">
        <f ca="1">(Dashboard!$C$7*'Equity and Bond Returns'!DE23)+(Dashboard!$C$8*'Equity and Bond Returns'!HC23)</f>
        <v>0.24273180120490198</v>
      </c>
      <c r="CT23" s="122">
        <f ca="1">(Dashboard!$C$7*'Equity and Bond Returns'!DF23)+(Dashboard!$C$8*'Equity and Bond Returns'!HD23)</f>
        <v>0.20410885844589291</v>
      </c>
      <c r="CU23" s="122">
        <f ca="1">(Dashboard!$C$7*'Equity and Bond Returns'!DG23)+(Dashboard!$C$8*'Equity and Bond Returns'!HE23)</f>
        <v>0.2350281676180897</v>
      </c>
      <c r="CV23" s="122">
        <f ca="1">(Dashboard!$C$7*'Equity and Bond Returns'!DH23)+(Dashboard!$C$8*'Equity and Bond Returns'!HF23)</f>
        <v>0.21733511892614027</v>
      </c>
      <c r="CW23" s="122">
        <f ca="1">(Dashboard!$C$7*'Equity and Bond Returns'!DI23)+(Dashboard!$C$8*'Equity and Bond Returns'!HG23)</f>
        <v>0.25141826187339267</v>
      </c>
      <c r="CY23" s="147">
        <f t="shared" si="5"/>
        <v>72</v>
      </c>
      <c r="CZ23" s="148">
        <v>22</v>
      </c>
      <c r="DA23" s="126">
        <f ca="1">MAX(DA22*(1+B23)-(Dashboard!$C$11)/(1-Dashboard!$C$17)*((1+Dashboard!$C$12)^$CZ23),0)</f>
        <v>9624334.2670085561</v>
      </c>
      <c r="DB23" s="126">
        <f ca="1">MAX(DB22*(1+C23)-(Dashboard!$C$11)/(1-Dashboard!$C$17)*((1+Dashboard!$C$12)^$CZ23),0)</f>
        <v>117134.91247265443</v>
      </c>
      <c r="DC23" s="126">
        <f ca="1">MAX(DC22*(1+D23)-(Dashboard!$C$11)/(1-Dashboard!$C$17)*((1+Dashboard!$C$12)^$CZ23),0)</f>
        <v>3085850.8247557404</v>
      </c>
      <c r="DD23" s="126">
        <f ca="1">MAX(DD22*(1+E23)-(Dashboard!$C$11)/(1-Dashboard!$C$17)*((1+Dashboard!$C$12)^$CZ23),0)</f>
        <v>850855.14027977607</v>
      </c>
      <c r="DE23" s="126">
        <f ca="1">MAX(DE22*(1+F23)-(Dashboard!$C$11)/(1-Dashboard!$C$17)*((1+Dashboard!$C$12)^$CZ23),0)</f>
        <v>3578535.3690674859</v>
      </c>
      <c r="DF23" s="126">
        <f ca="1">MAX(DF22*(1+G23)-(Dashboard!$C$11)/(1-Dashboard!$C$17)*((1+Dashboard!$C$12)^$CZ23),0)</f>
        <v>7361982.2804608876</v>
      </c>
      <c r="DG23" s="126">
        <f ca="1">MAX(DG22*(1+H23)-(Dashboard!$C$11)/(1-Dashboard!$C$17)*((1+Dashboard!$C$12)^$CZ23),0)</f>
        <v>765497.77311735239</v>
      </c>
      <c r="DH23" s="126">
        <f ca="1">MAX(DH22*(1+I23)-(Dashboard!$C$11)/(1-Dashboard!$C$17)*((1+Dashboard!$C$12)^$CZ23),0)</f>
        <v>5221409.1699292846</v>
      </c>
      <c r="DI23" s="126">
        <f ca="1">MAX(DI22*(1+J23)-(Dashboard!$C$11)/(1-Dashboard!$C$17)*((1+Dashboard!$C$12)^$CZ23),0)</f>
        <v>2870850.5703393142</v>
      </c>
      <c r="DJ23" s="126">
        <f ca="1">MAX(DJ22*(1+K23)-(Dashboard!$C$11)/(1-Dashboard!$C$17)*((1+Dashboard!$C$12)^$CZ23),0)</f>
        <v>2479653.2058301461</v>
      </c>
      <c r="DK23" s="126">
        <f ca="1">MAX(DK22*(1+L23)-(Dashboard!$C$11)/(1-Dashboard!$C$17)*((1+Dashboard!$C$12)^$CZ23),0)</f>
        <v>10024200.336062586</v>
      </c>
      <c r="DL23" s="126">
        <f ca="1">MAX(DL22*(1+M23)-(Dashboard!$C$11)/(1-Dashboard!$C$17)*((1+Dashboard!$C$12)^$CZ23),0)</f>
        <v>661608.08872409409</v>
      </c>
      <c r="DM23" s="126">
        <f ca="1">MAX(DM22*(1+N23)-(Dashboard!$C$11)/(1-Dashboard!$C$17)*((1+Dashboard!$C$12)^$CZ23),0)</f>
        <v>3153213.7198373661</v>
      </c>
      <c r="DN23" s="126">
        <f ca="1">MAX(DN22*(1+O23)-(Dashboard!$C$11)/(1-Dashboard!$C$17)*((1+Dashboard!$C$12)^$CZ23),0)</f>
        <v>17014925.792096525</v>
      </c>
      <c r="DO23" s="126">
        <f ca="1">MAX(DO22*(1+P23)-(Dashboard!$C$11)/(1-Dashboard!$C$17)*((1+Dashboard!$C$12)^$CZ23),0)</f>
        <v>2444993.4292841805</v>
      </c>
      <c r="DP23" s="126">
        <f ca="1">MAX(DP22*(1+Q23)-(Dashboard!$C$11)/(1-Dashboard!$C$17)*((1+Dashboard!$C$12)^$CZ23),0)</f>
        <v>2598014.4015694247</v>
      </c>
      <c r="DQ23" s="126">
        <f ca="1">MAX(DQ22*(1+R23)-(Dashboard!$C$11)/(1-Dashboard!$C$17)*((1+Dashboard!$C$12)^$CZ23),0)</f>
        <v>6421488.6572900852</v>
      </c>
      <c r="DR23" s="126">
        <f ca="1">MAX(DR22*(1+S23)-(Dashboard!$C$11)/(1-Dashboard!$C$17)*((1+Dashboard!$C$12)^$CZ23),0)</f>
        <v>9426583.2498732116</v>
      </c>
      <c r="DS23" s="126">
        <f ca="1">MAX(DS22*(1+T23)-(Dashboard!$C$11)/(1-Dashboard!$C$17)*((1+Dashboard!$C$12)^$CZ23),0)</f>
        <v>1407386.3560391297</v>
      </c>
      <c r="DT23" s="126">
        <f ca="1">MAX(DT22*(1+U23)-(Dashboard!$C$11)/(1-Dashboard!$C$17)*((1+Dashboard!$C$12)^$CZ23),0)</f>
        <v>2034849.9351321817</v>
      </c>
      <c r="DU23" s="126">
        <f ca="1">MAX(DU22*(1+V23)-(Dashboard!$C$11)/(1-Dashboard!$C$17)*((1+Dashboard!$C$12)^$CZ23),0)</f>
        <v>4093424.7578925421</v>
      </c>
      <c r="DV23" s="126">
        <f ca="1">MAX(DV22*(1+W23)-(Dashboard!$C$11)/(1-Dashboard!$C$17)*((1+Dashboard!$C$12)^$CZ23),0)</f>
        <v>9383303.6813586485</v>
      </c>
      <c r="DW23" s="126">
        <f ca="1">MAX(DW22*(1+X23)-(Dashboard!$C$11)/(1-Dashboard!$C$17)*((1+Dashboard!$C$12)^$CZ23),0)</f>
        <v>2730570.7696504449</v>
      </c>
      <c r="DX23" s="126">
        <f ca="1">MAX(DX22*(1+Y23)-(Dashboard!$C$11)/(1-Dashboard!$C$17)*((1+Dashboard!$C$12)^$CZ23),0)</f>
        <v>2157190.5766250002</v>
      </c>
      <c r="DY23" s="126">
        <f ca="1">MAX(DY22*(1+Z23)-(Dashboard!$C$11)/(1-Dashboard!$C$17)*((1+Dashboard!$C$12)^$CZ23),0)</f>
        <v>5145497.3558654748</v>
      </c>
      <c r="DZ23" s="126">
        <f ca="1">MAX(DZ22*(1+AA23)-(Dashboard!$C$11)/(1-Dashboard!$C$17)*((1+Dashboard!$C$12)^$CZ23),0)</f>
        <v>786742.16866883729</v>
      </c>
      <c r="EA23" s="126">
        <f ca="1">MAX(EA22*(1+AB23)-(Dashboard!$C$11)/(1-Dashboard!$C$17)*((1+Dashboard!$C$12)^$CZ23),0)</f>
        <v>2544699.347914929</v>
      </c>
      <c r="EB23" s="126">
        <f ca="1">MAX(EB22*(1+AC23)-(Dashboard!$C$11)/(1-Dashboard!$C$17)*((1+Dashboard!$C$12)^$CZ23),0)</f>
        <v>5471765.2169940025</v>
      </c>
      <c r="EC23" s="126">
        <f ca="1">MAX(EC22*(1+AD23)-(Dashboard!$C$11)/(1-Dashboard!$C$17)*((1+Dashboard!$C$12)^$CZ23),0)</f>
        <v>5053392.0469182329</v>
      </c>
      <c r="ED23" s="126">
        <f ca="1">MAX(ED22*(1+AE23)-(Dashboard!$C$11)/(1-Dashboard!$C$17)*((1+Dashboard!$C$12)^$CZ23),0)</f>
        <v>3546033.476335173</v>
      </c>
      <c r="EE23" s="126">
        <f ca="1">MAX(EE22*(1+AF23)-(Dashboard!$C$11)/(1-Dashboard!$C$17)*((1+Dashboard!$C$12)^$CZ23),0)</f>
        <v>4460168.0901541561</v>
      </c>
      <c r="EF23" s="126">
        <f ca="1">MAX(EF22*(1+AG23)-(Dashboard!$C$11)/(1-Dashboard!$C$17)*((1+Dashboard!$C$12)^$CZ23),0)</f>
        <v>1453116.6403029894</v>
      </c>
      <c r="EG23" s="126">
        <f ca="1">MAX(EG22*(1+AH23)-(Dashboard!$C$11)/(1-Dashboard!$C$17)*((1+Dashboard!$C$12)^$CZ23),0)</f>
        <v>3799467.0285144653</v>
      </c>
      <c r="EH23" s="126">
        <f ca="1">MAX(EH22*(1+AI23)-(Dashboard!$C$11)/(1-Dashboard!$C$17)*((1+Dashboard!$C$12)^$CZ23),0)</f>
        <v>4313785.1191720078</v>
      </c>
      <c r="EI23" s="126">
        <f ca="1">MAX(EI22*(1+AJ23)-(Dashboard!$C$11)/(1-Dashboard!$C$17)*((1+Dashboard!$C$12)^$CZ23),0)</f>
        <v>473871.09791828826</v>
      </c>
      <c r="EJ23" s="126">
        <f ca="1">MAX(EJ22*(1+AK23)-(Dashboard!$C$11)/(1-Dashboard!$C$17)*((1+Dashboard!$C$12)^$CZ23),0)</f>
        <v>3793336.2161994507</v>
      </c>
      <c r="EK23" s="126">
        <f ca="1">MAX(EK22*(1+AL23)-(Dashboard!$C$11)/(1-Dashboard!$C$17)*((1+Dashboard!$C$12)^$CZ23),0)</f>
        <v>5929406.8275470305</v>
      </c>
      <c r="EL23" s="126">
        <f ca="1">MAX(EL22*(1+AM23)-(Dashboard!$C$11)/(1-Dashboard!$C$17)*((1+Dashboard!$C$12)^$CZ23),0)</f>
        <v>1023214.1820829733</v>
      </c>
      <c r="EM23" s="126">
        <f ca="1">MAX(EM22*(1+AN23)-(Dashboard!$C$11)/(1-Dashboard!$C$17)*((1+Dashboard!$C$12)^$CZ23),0)</f>
        <v>4294113.3042546371</v>
      </c>
      <c r="EN23" s="126">
        <f ca="1">MAX(EN22*(1+AO23)-(Dashboard!$C$11)/(1-Dashboard!$C$17)*((1+Dashboard!$C$12)^$CZ23),0)</f>
        <v>2085635.4429265545</v>
      </c>
      <c r="EO23" s="126">
        <f ca="1">MAX(EO22*(1+AP23)-(Dashboard!$C$11)/(1-Dashboard!$C$17)*((1+Dashboard!$C$12)^$CZ23),0)</f>
        <v>706909.21156858152</v>
      </c>
      <c r="EP23" s="126">
        <f ca="1">MAX(EP22*(1+AQ23)-(Dashboard!$C$11)/(1-Dashboard!$C$17)*((1+Dashboard!$C$12)^$CZ23),0)</f>
        <v>1760111.883193393</v>
      </c>
      <c r="EQ23" s="126">
        <f ca="1">MAX(EQ22*(1+AR23)-(Dashboard!$C$11)/(1-Dashboard!$C$17)*((1+Dashboard!$C$12)^$CZ23),0)</f>
        <v>1607639.8963370943</v>
      </c>
      <c r="ER23" s="126">
        <f ca="1">MAX(ER22*(1+AS23)-(Dashboard!$C$11)/(1-Dashboard!$C$17)*((1+Dashboard!$C$12)^$CZ23),0)</f>
        <v>722787.29478063749</v>
      </c>
      <c r="ES23" s="126">
        <f ca="1">MAX(ES22*(1+AT23)-(Dashboard!$C$11)/(1-Dashboard!$C$17)*((1+Dashboard!$C$12)^$CZ23),0)</f>
        <v>4671068.9560898235</v>
      </c>
      <c r="ET23" s="126">
        <f ca="1">MAX(ET22*(1+AU23)-(Dashboard!$C$11)/(1-Dashboard!$C$17)*((1+Dashboard!$C$12)^$CZ23),0)</f>
        <v>1801268.7527538368</v>
      </c>
      <c r="EU23" s="126">
        <f ca="1">MAX(EU22*(1+AV23)-(Dashboard!$C$11)/(1-Dashboard!$C$17)*((1+Dashboard!$C$12)^$CZ23),0)</f>
        <v>2268723.0298069818</v>
      </c>
      <c r="EV23" s="126">
        <f ca="1">MAX(EV22*(1+AW23)-(Dashboard!$C$11)/(1-Dashboard!$C$17)*((1+Dashboard!$C$12)^$CZ23),0)</f>
        <v>6379191.0537826652</v>
      </c>
      <c r="EW23" s="126">
        <f ca="1">MAX(EW22*(1+AX23)-(Dashboard!$C$11)/(1-Dashboard!$C$17)*((1+Dashboard!$C$12)^$CZ23),0)</f>
        <v>2521118.3527749819</v>
      </c>
      <c r="EX23" s="126">
        <f ca="1">MAX(EX22*(1+AY23)-(Dashboard!$C$11)/(1-Dashboard!$C$17)*((1+Dashboard!$C$12)^$CZ23),0)</f>
        <v>3115263.6513096308</v>
      </c>
      <c r="EY23" s="126">
        <f ca="1">MAX(EY22*(1+AZ23)-(Dashboard!$C$11)/(1-Dashboard!$C$17)*((1+Dashboard!$C$12)^$CZ23),0)</f>
        <v>4770757.0613234779</v>
      </c>
      <c r="EZ23" s="126">
        <f ca="1">MAX(EZ22*(1+BA23)-(Dashboard!$C$11)/(1-Dashboard!$C$17)*((1+Dashboard!$C$12)^$CZ23),0)</f>
        <v>3154623.6834364128</v>
      </c>
      <c r="FA23" s="126">
        <f ca="1">MAX(FA22*(1+BB23)-(Dashboard!$C$11)/(1-Dashboard!$C$17)*((1+Dashboard!$C$12)^$CZ23),0)</f>
        <v>8570330.3974263947</v>
      </c>
      <c r="FB23" s="126">
        <f ca="1">MAX(FB22*(1+BC23)-(Dashboard!$C$11)/(1-Dashboard!$C$17)*((1+Dashboard!$C$12)^$CZ23),0)</f>
        <v>964126.22487116919</v>
      </c>
      <c r="FC23" s="126">
        <f ca="1">MAX(FC22*(1+BD23)-(Dashboard!$C$11)/(1-Dashboard!$C$17)*((1+Dashboard!$C$12)^$CZ23),0)</f>
        <v>5860393.455586479</v>
      </c>
      <c r="FD23" s="126">
        <f ca="1">MAX(FD22*(1+BE23)-(Dashboard!$C$11)/(1-Dashboard!$C$17)*((1+Dashboard!$C$12)^$CZ23),0)</f>
        <v>6763122.4611112708</v>
      </c>
      <c r="FE23" s="126">
        <f ca="1">MAX(FE22*(1+BF23)-(Dashboard!$C$11)/(1-Dashboard!$C$17)*((1+Dashboard!$C$12)^$CZ23),0)</f>
        <v>7927671.1354762185</v>
      </c>
      <c r="FF23" s="126">
        <f ca="1">MAX(FF22*(1+BG23)-(Dashboard!$C$11)/(1-Dashboard!$C$17)*((1+Dashboard!$C$12)^$CZ23),0)</f>
        <v>2886559.4390124786</v>
      </c>
      <c r="FG23" s="126">
        <f ca="1">MAX(FG22*(1+BH23)-(Dashboard!$C$11)/(1-Dashboard!$C$17)*((1+Dashboard!$C$12)^$CZ23),0)</f>
        <v>3517500.1297368519</v>
      </c>
      <c r="FH23" s="126">
        <f ca="1">MAX(FH22*(1+BI23)-(Dashboard!$C$11)/(1-Dashboard!$C$17)*((1+Dashboard!$C$12)^$CZ23),0)</f>
        <v>3821573.7396600307</v>
      </c>
      <c r="FI23" s="126">
        <f ca="1">MAX(FI22*(1+BJ23)-(Dashboard!$C$11)/(1-Dashboard!$C$17)*((1+Dashboard!$C$12)^$CZ23),0)</f>
        <v>6597051.8027582336</v>
      </c>
      <c r="FJ23" s="126">
        <f ca="1">MAX(FJ22*(1+BK23)-(Dashboard!$C$11)/(1-Dashboard!$C$17)*((1+Dashboard!$C$12)^$CZ23),0)</f>
        <v>2348458.956733468</v>
      </c>
      <c r="FK23" s="126">
        <f ca="1">MAX(FK22*(1+BL23)-(Dashboard!$C$11)/(1-Dashboard!$C$17)*((1+Dashboard!$C$12)^$CZ23),0)</f>
        <v>3747785.8921811865</v>
      </c>
      <c r="FL23" s="126">
        <f ca="1">MAX(FL22*(1+BM23)-(Dashboard!$C$11)/(1-Dashboard!$C$17)*((1+Dashboard!$C$12)^$CZ23),0)</f>
        <v>3543034.5856250087</v>
      </c>
      <c r="FM23" s="126">
        <f ca="1">MAX(FM22*(1+BN23)-(Dashboard!$C$11)/(1-Dashboard!$C$17)*((1+Dashboard!$C$12)^$CZ23),0)</f>
        <v>5148261.8903593291</v>
      </c>
      <c r="FN23" s="126">
        <f ca="1">MAX(FN22*(1+BO23)-(Dashboard!$C$11)/(1-Dashboard!$C$17)*((1+Dashboard!$C$12)^$CZ23),0)</f>
        <v>400944.03375547467</v>
      </c>
      <c r="FO23" s="126">
        <f ca="1">MAX(FO22*(1+BP23)-(Dashboard!$C$11)/(1-Dashboard!$C$17)*((1+Dashboard!$C$12)^$CZ23),0)</f>
        <v>2954119.5191040607</v>
      </c>
      <c r="FP23" s="126">
        <f ca="1">MAX(FP22*(1+BQ23)-(Dashboard!$C$11)/(1-Dashboard!$C$17)*((1+Dashboard!$C$12)^$CZ23),0)</f>
        <v>3165646.2499679024</v>
      </c>
      <c r="FQ23" s="126">
        <f ca="1">MAX(FQ22*(1+BR23)-(Dashboard!$C$11)/(1-Dashboard!$C$17)*((1+Dashboard!$C$12)^$CZ23),0)</f>
        <v>3482632.458951368</v>
      </c>
      <c r="FR23" s="126">
        <f ca="1">MAX(FR22*(1+BS23)-(Dashboard!$C$11)/(1-Dashboard!$C$17)*((1+Dashboard!$C$12)^$CZ23),0)</f>
        <v>5328506.0944235492</v>
      </c>
      <c r="FS23" s="126">
        <f ca="1">MAX(FS22*(1+BT23)-(Dashboard!$C$11)/(1-Dashboard!$C$17)*((1+Dashboard!$C$12)^$CZ23),0)</f>
        <v>5084386.8592269681</v>
      </c>
      <c r="FT23" s="126">
        <f ca="1">MAX(FT22*(1+BU23)-(Dashboard!$C$11)/(1-Dashboard!$C$17)*((1+Dashboard!$C$12)^$CZ23),0)</f>
        <v>1338149.3869665398</v>
      </c>
      <c r="FU23" s="126">
        <f ca="1">MAX(FU22*(1+BV23)-(Dashboard!$C$11)/(1-Dashboard!$C$17)*((1+Dashboard!$C$12)^$CZ23),0)</f>
        <v>2148192.5343824476</v>
      </c>
      <c r="FV23" s="126">
        <f ca="1">MAX(FV22*(1+BW23)-(Dashboard!$C$11)/(1-Dashboard!$C$17)*((1+Dashboard!$C$12)^$CZ23),0)</f>
        <v>1686480.3739802921</v>
      </c>
      <c r="FW23" s="126">
        <f ca="1">MAX(FW22*(1+BX23)-(Dashboard!$C$11)/(1-Dashboard!$C$17)*((1+Dashboard!$C$12)^$CZ23),0)</f>
        <v>2379737.2090775622</v>
      </c>
      <c r="FX23" s="126">
        <f ca="1">MAX(FX22*(1+BY23)-(Dashboard!$C$11)/(1-Dashboard!$C$17)*((1+Dashboard!$C$12)^$CZ23),0)</f>
        <v>1429875.2168524009</v>
      </c>
      <c r="FY23" s="126">
        <f ca="1">MAX(FY22*(1+BZ23)-(Dashboard!$C$11)/(1-Dashboard!$C$17)*((1+Dashboard!$C$12)^$CZ23),0)</f>
        <v>1774452.081334102</v>
      </c>
      <c r="FZ23" s="126">
        <f ca="1">MAX(FZ22*(1+CA23)-(Dashboard!$C$11)/(1-Dashboard!$C$17)*((1+Dashboard!$C$12)^$CZ23),0)</f>
        <v>6119298.3675539736</v>
      </c>
      <c r="GA23" s="126">
        <f ca="1">MAX(GA22*(1+CB23)-(Dashboard!$C$11)/(1-Dashboard!$C$17)*((1+Dashboard!$C$12)^$CZ23),0)</f>
        <v>5521140.5745627787</v>
      </c>
      <c r="GB23" s="126">
        <f ca="1">MAX(GB22*(1+CC23)-(Dashboard!$C$11)/(1-Dashboard!$C$17)*((1+Dashboard!$C$12)^$CZ23),0)</f>
        <v>1310929.7616140281</v>
      </c>
      <c r="GC23" s="126">
        <f ca="1">MAX(GC22*(1+CD23)-(Dashboard!$C$11)/(1-Dashboard!$C$17)*((1+Dashboard!$C$12)^$CZ23),0)</f>
        <v>5945333.926767421</v>
      </c>
      <c r="GD23" s="126">
        <f ca="1">MAX(GD22*(1+CE23)-(Dashboard!$C$11)/(1-Dashboard!$C$17)*((1+Dashboard!$C$12)^$CZ23),0)</f>
        <v>10067371.657550072</v>
      </c>
      <c r="GE23" s="126">
        <f ca="1">MAX(GE22*(1+CF23)-(Dashboard!$C$11)/(1-Dashboard!$C$17)*((1+Dashboard!$C$12)^$CZ23),0)</f>
        <v>1959147.9415045017</v>
      </c>
      <c r="GF23" s="126">
        <f ca="1">MAX(GF22*(1+CG23)-(Dashboard!$C$11)/(1-Dashboard!$C$17)*((1+Dashboard!$C$12)^$CZ23),0)</f>
        <v>5773596.4895607578</v>
      </c>
      <c r="GG23" s="126">
        <f ca="1">MAX(GG22*(1+CH23)-(Dashboard!$C$11)/(1-Dashboard!$C$17)*((1+Dashboard!$C$12)^$CZ23),0)</f>
        <v>1214908.086573899</v>
      </c>
      <c r="GH23" s="126">
        <f ca="1">MAX(GH22*(1+CI23)-(Dashboard!$C$11)/(1-Dashboard!$C$17)*((1+Dashboard!$C$12)^$CZ23),0)</f>
        <v>2716107.2183135524</v>
      </c>
      <c r="GI23" s="126">
        <f ca="1">MAX(GI22*(1+CJ23)-(Dashboard!$C$11)/(1-Dashboard!$C$17)*((1+Dashboard!$C$12)^$CZ23),0)</f>
        <v>2057062.1092779532</v>
      </c>
      <c r="GJ23" s="126">
        <f ca="1">MAX(GJ22*(1+CK23)-(Dashboard!$C$11)/(1-Dashboard!$C$17)*((1+Dashboard!$C$12)^$CZ23),0)</f>
        <v>5541977.3589841798</v>
      </c>
      <c r="GK23" s="126">
        <f ca="1">MAX(GK22*(1+CL23)-(Dashboard!$C$11)/(1-Dashboard!$C$17)*((1+Dashboard!$C$12)^$CZ23),0)</f>
        <v>5478223.140836861</v>
      </c>
      <c r="GL23" s="126">
        <f ca="1">MAX(GL22*(1+CM23)-(Dashboard!$C$11)/(1-Dashboard!$C$17)*((1+Dashboard!$C$12)^$CZ23),0)</f>
        <v>4059869.3962173061</v>
      </c>
      <c r="GM23" s="126">
        <f ca="1">MAX(GM22*(1+CN23)-(Dashboard!$C$11)/(1-Dashboard!$C$17)*((1+Dashboard!$C$12)^$CZ23),0)</f>
        <v>1554319.5215051502</v>
      </c>
      <c r="GN23" s="126">
        <f ca="1">MAX(GN22*(1+CO23)-(Dashboard!$C$11)/(1-Dashboard!$C$17)*((1+Dashboard!$C$12)^$CZ23),0)</f>
        <v>259740.78452996476</v>
      </c>
      <c r="GO23" s="126">
        <f ca="1">MAX(GO22*(1+CP23)-(Dashboard!$C$11)/(1-Dashboard!$C$17)*((1+Dashboard!$C$12)^$CZ23),0)</f>
        <v>2320200.0628746394</v>
      </c>
      <c r="GP23" s="126">
        <f ca="1">MAX(GP22*(1+CQ23)-(Dashboard!$C$11)/(1-Dashboard!$C$17)*((1+Dashboard!$C$12)^$CZ23),0)</f>
        <v>1854725.0149746761</v>
      </c>
      <c r="GQ23" s="126">
        <f ca="1">MAX(GQ22*(1+CR23)-(Dashboard!$C$11)/(1-Dashboard!$C$17)*((1+Dashboard!$C$12)^$CZ23),0)</f>
        <v>826340.66047913907</v>
      </c>
      <c r="GR23" s="126">
        <f ca="1">MAX(GR22*(1+CS23)-(Dashboard!$C$11)/(1-Dashboard!$C$17)*((1+Dashboard!$C$12)^$CZ23),0)</f>
        <v>1764822.5459444295</v>
      </c>
      <c r="GS23" s="126">
        <f ca="1">MAX(GS22*(1+CT23)-(Dashboard!$C$11)/(1-Dashboard!$C$17)*((1+Dashboard!$C$12)^$CZ23),0)</f>
        <v>3144591.2531251987</v>
      </c>
      <c r="GT23" s="126">
        <f ca="1">MAX(GT22*(1+CU23)-(Dashboard!$C$11)/(1-Dashboard!$C$17)*((1+Dashboard!$C$12)^$CZ23),0)</f>
        <v>12315650.712512888</v>
      </c>
      <c r="GU23" s="126">
        <f ca="1">MAX(GU22*(1+CV23)-(Dashboard!$C$11)/(1-Dashboard!$C$17)*((1+Dashboard!$C$12)^$CZ23),0)</f>
        <v>1909031.0654180977</v>
      </c>
      <c r="GV23" s="126">
        <f ca="1">MAX(GV22*(1+CW23)-(Dashboard!$C$11)/(1-Dashboard!$C$17)*((1+Dashboard!$C$12)^$CZ23),0)</f>
        <v>1376398.6560848414</v>
      </c>
      <c r="GW23" s="115">
        <f t="shared" si="4"/>
        <v>72</v>
      </c>
      <c r="GX23" s="130">
        <f t="shared" ca="1" si="2"/>
        <v>100</v>
      </c>
      <c r="HC23" s="130">
        <f t="shared" si="0"/>
        <v>72</v>
      </c>
      <c r="HD23" s="137">
        <f t="shared" ca="1" si="6"/>
        <v>1761289.5488811522</v>
      </c>
      <c r="HE23" s="137">
        <f t="shared" ca="1" si="6"/>
        <v>3019985.1719299005</v>
      </c>
      <c r="HF23" s="137">
        <f t="shared" ca="1" si="6"/>
        <v>5147570.756735865</v>
      </c>
    </row>
    <row r="24" spans="1:214" ht="16">
      <c r="A24" s="145">
        <f t="shared" si="3"/>
        <v>73</v>
      </c>
      <c r="B24" s="122">
        <f ca="1">(Dashboard!$C$7*'Equity and Bond Returns'!N24)+(Dashboard!$C$8*'Equity and Bond Returns'!DL24)</f>
        <v>-2.1911628194783376E-3</v>
      </c>
      <c r="C24" s="122">
        <f ca="1">(Dashboard!$C$7*'Equity and Bond Returns'!O24)+(Dashboard!$C$8*'Equity and Bond Returns'!DM24)</f>
        <v>0.37250531265916292</v>
      </c>
      <c r="D24" s="122">
        <f ca="1">(Dashboard!$C$7*'Equity and Bond Returns'!P24)+(Dashboard!$C$8*'Equity and Bond Returns'!DN24)</f>
        <v>9.2747021890671577E-2</v>
      </c>
      <c r="E24" s="122">
        <f ca="1">(Dashboard!$C$7*'Equity and Bond Returns'!Q24)+(Dashboard!$C$8*'Equity and Bond Returns'!DO24)</f>
        <v>-7.9983037731095954E-2</v>
      </c>
      <c r="F24" s="122">
        <f ca="1">(Dashboard!$C$7*'Equity and Bond Returns'!R24)+(Dashboard!$C$8*'Equity and Bond Returns'!DP24)</f>
        <v>-4.3044464857423234E-2</v>
      </c>
      <c r="G24" s="122">
        <f ca="1">(Dashboard!$C$7*'Equity and Bond Returns'!S24)+(Dashboard!$C$8*'Equity and Bond Returns'!DQ24)</f>
        <v>0.32482047283314042</v>
      </c>
      <c r="H24" s="122">
        <f ca="1">(Dashboard!$C$7*'Equity and Bond Returns'!T24)+(Dashboard!$C$8*'Equity and Bond Returns'!DR24)</f>
        <v>4.5689085115513298E-2</v>
      </c>
      <c r="I24" s="122">
        <f ca="1">(Dashboard!$C$7*'Equity and Bond Returns'!U24)+(Dashboard!$C$8*'Equity and Bond Returns'!DS24)</f>
        <v>0.20706337772087882</v>
      </c>
      <c r="J24" s="122">
        <f ca="1">(Dashboard!$C$7*'Equity and Bond Returns'!V24)+(Dashboard!$C$8*'Equity and Bond Returns'!DT24)</f>
        <v>-9.384805522280984E-2</v>
      </c>
      <c r="K24" s="122">
        <f ca="1">(Dashboard!$C$7*'Equity and Bond Returns'!W24)+(Dashboard!$C$8*'Equity and Bond Returns'!DU24)</f>
        <v>8.8175531100111976E-2</v>
      </c>
      <c r="L24" s="122">
        <f ca="1">(Dashboard!$C$7*'Equity and Bond Returns'!X24)+(Dashboard!$C$8*'Equity and Bond Returns'!DV24)</f>
        <v>0.40658596537274133</v>
      </c>
      <c r="M24" s="122">
        <f ca="1">(Dashboard!$C$7*'Equity and Bond Returns'!Y24)+(Dashboard!$C$8*'Equity and Bond Returns'!DW24)</f>
        <v>-3.7175312659642107E-2</v>
      </c>
      <c r="N24" s="122">
        <f ca="1">(Dashboard!$C$7*'Equity and Bond Returns'!Z24)+(Dashboard!$C$8*'Equity and Bond Returns'!DX24)</f>
        <v>-1.4567744378645246E-2</v>
      </c>
      <c r="O24" s="122">
        <f ca="1">(Dashboard!$C$7*'Equity and Bond Returns'!AA24)+(Dashboard!$C$8*'Equity and Bond Returns'!DY24)</f>
        <v>-7.2637413088828748E-2</v>
      </c>
      <c r="P24" s="122">
        <f ca="1">(Dashboard!$C$7*'Equity and Bond Returns'!AB24)+(Dashboard!$C$8*'Equity and Bond Returns'!DZ24)</f>
        <v>0.12980687170625493</v>
      </c>
      <c r="Q24" s="122">
        <f ca="1">(Dashboard!$C$7*'Equity and Bond Returns'!AC24)+(Dashboard!$C$8*'Equity and Bond Returns'!EA24)</f>
        <v>6.4443587530679053E-2</v>
      </c>
      <c r="R24" s="122">
        <f ca="1">(Dashboard!$C$7*'Equity and Bond Returns'!AD24)+(Dashboard!$C$8*'Equity and Bond Returns'!EB24)</f>
        <v>0.16258151871811247</v>
      </c>
      <c r="S24" s="122">
        <f ca="1">(Dashboard!$C$7*'Equity and Bond Returns'!AE24)+(Dashboard!$C$8*'Equity and Bond Returns'!EC24)</f>
        <v>0.15292683899950196</v>
      </c>
      <c r="T24" s="122">
        <f ca="1">(Dashboard!$C$7*'Equity and Bond Returns'!AF24)+(Dashboard!$C$8*'Equity and Bond Returns'!ED24)</f>
        <v>1.7861690552779651E-3</v>
      </c>
      <c r="U24" s="122">
        <f ca="1">(Dashboard!$C$7*'Equity and Bond Returns'!AG24)+(Dashboard!$C$8*'Equity and Bond Returns'!EE24)</f>
        <v>0.19878024919843812</v>
      </c>
      <c r="V24" s="122">
        <f ca="1">(Dashboard!$C$7*'Equity and Bond Returns'!AH24)+(Dashboard!$C$8*'Equity and Bond Returns'!EF24)</f>
        <v>0.11936177737371362</v>
      </c>
      <c r="W24" s="122">
        <f ca="1">(Dashboard!$C$7*'Equity and Bond Returns'!AI24)+(Dashboard!$C$8*'Equity and Bond Returns'!EG24)</f>
        <v>4.6113364413553876E-2</v>
      </c>
      <c r="X24" s="122">
        <f ca="1">(Dashboard!$C$7*'Equity and Bond Returns'!AJ24)+(Dashboard!$C$8*'Equity and Bond Returns'!EH24)</f>
        <v>8.6725769903156308E-2</v>
      </c>
      <c r="Y24" s="122">
        <f ca="1">(Dashboard!$C$7*'Equity and Bond Returns'!AK24)+(Dashboard!$C$8*'Equity and Bond Returns'!EI24)</f>
        <v>-2.7391346420600815E-2</v>
      </c>
      <c r="Z24" s="122">
        <f ca="1">(Dashboard!$C$7*'Equity and Bond Returns'!AL24)+(Dashboard!$C$8*'Equity and Bond Returns'!EJ24)</f>
        <v>-0.16601440557459723</v>
      </c>
      <c r="AA24" s="122">
        <f ca="1">(Dashboard!$C$7*'Equity and Bond Returns'!AM24)+(Dashboard!$C$8*'Equity and Bond Returns'!EK24)</f>
        <v>0.19509873819066129</v>
      </c>
      <c r="AB24" s="122">
        <f ca="1">(Dashboard!$C$7*'Equity and Bond Returns'!AN24)+(Dashboard!$C$8*'Equity and Bond Returns'!EL24)</f>
        <v>0.33052719344531534</v>
      </c>
      <c r="AC24" s="122">
        <f ca="1">(Dashboard!$C$7*'Equity and Bond Returns'!AO24)+(Dashboard!$C$8*'Equity and Bond Returns'!EM24)</f>
        <v>8.7816220970053246E-2</v>
      </c>
      <c r="AD24" s="122">
        <f ca="1">(Dashboard!$C$7*'Equity and Bond Returns'!AP24)+(Dashboard!$C$8*'Equity and Bond Returns'!EN24)</f>
        <v>0.23596227762688751</v>
      </c>
      <c r="AE24" s="122">
        <f ca="1">(Dashboard!$C$7*'Equity and Bond Returns'!AQ24)+(Dashboard!$C$8*'Equity and Bond Returns'!EO24)</f>
        <v>0.19909719074081519</v>
      </c>
      <c r="AF24" s="122">
        <f ca="1">(Dashboard!$C$7*'Equity and Bond Returns'!AR24)+(Dashboard!$C$8*'Equity and Bond Returns'!EP24)</f>
        <v>0.14182976066060218</v>
      </c>
      <c r="AG24" s="122">
        <f ca="1">(Dashboard!$C$7*'Equity and Bond Returns'!AS24)+(Dashboard!$C$8*'Equity and Bond Returns'!EQ24)</f>
        <v>4.8170626429317992E-2</v>
      </c>
      <c r="AH24" s="122">
        <f ca="1">(Dashboard!$C$7*'Equity and Bond Returns'!AT24)+(Dashboard!$C$8*'Equity and Bond Returns'!ER24)</f>
        <v>0.21614572617604705</v>
      </c>
      <c r="AI24" s="122">
        <f ca="1">(Dashboard!$C$7*'Equity and Bond Returns'!AU24)+(Dashboard!$C$8*'Equity and Bond Returns'!ES24)</f>
        <v>-2.2871940307079845E-2</v>
      </c>
      <c r="AJ24" s="122">
        <f ca="1">(Dashboard!$C$7*'Equity and Bond Returns'!AV24)+(Dashboard!$C$8*'Equity and Bond Returns'!ET24)</f>
        <v>0.17819437695852902</v>
      </c>
      <c r="AK24" s="122">
        <f ca="1">(Dashboard!$C$7*'Equity and Bond Returns'!AW24)+(Dashboard!$C$8*'Equity and Bond Returns'!EU24)</f>
        <v>4.2941418170269259E-2</v>
      </c>
      <c r="AL24" s="122">
        <f ca="1">(Dashboard!$C$7*'Equity and Bond Returns'!AX24)+(Dashboard!$C$8*'Equity and Bond Returns'!EV24)</f>
        <v>-5.8341799905405813E-2</v>
      </c>
      <c r="AM24" s="122">
        <f ca="1">(Dashboard!$C$7*'Equity and Bond Returns'!AY24)+(Dashboard!$C$8*'Equity and Bond Returns'!EW24)</f>
        <v>0.28466731023170017</v>
      </c>
      <c r="AN24" s="122">
        <f ca="1">(Dashboard!$C$7*'Equity and Bond Returns'!AZ24)+(Dashboard!$C$8*'Equity and Bond Returns'!EX24)</f>
        <v>0.32294156114022921</v>
      </c>
      <c r="AO24" s="122">
        <f ca="1">(Dashboard!$C$7*'Equity and Bond Returns'!BA24)+(Dashboard!$C$8*'Equity and Bond Returns'!EY24)</f>
        <v>0.26989311988020587</v>
      </c>
      <c r="AP24" s="122">
        <f ca="1">(Dashboard!$C$7*'Equity and Bond Returns'!BB24)+(Dashboard!$C$8*'Equity and Bond Returns'!EZ24)</f>
        <v>-0.17211342297961785</v>
      </c>
      <c r="AQ24" s="122">
        <f ca="1">(Dashboard!$C$7*'Equity and Bond Returns'!BC24)+(Dashboard!$C$8*'Equity and Bond Returns'!FA24)</f>
        <v>-2.3828975957536767E-2</v>
      </c>
      <c r="AR24" s="122">
        <f ca="1">(Dashboard!$C$7*'Equity and Bond Returns'!BD24)+(Dashboard!$C$8*'Equity and Bond Returns'!FB24)</f>
        <v>3.7550183652308076E-2</v>
      </c>
      <c r="AS24" s="122">
        <f ca="1">(Dashboard!$C$7*'Equity and Bond Returns'!BE24)+(Dashboard!$C$8*'Equity and Bond Returns'!FC24)</f>
        <v>0.20220091303331916</v>
      </c>
      <c r="AT24" s="122">
        <f ca="1">(Dashboard!$C$7*'Equity and Bond Returns'!BF24)+(Dashboard!$C$8*'Equity and Bond Returns'!FD24)</f>
        <v>4.027678413701781E-2</v>
      </c>
      <c r="AU24" s="122">
        <f ca="1">(Dashboard!$C$7*'Equity and Bond Returns'!BG24)+(Dashboard!$C$8*'Equity and Bond Returns'!FE24)</f>
        <v>0.31660389246902354</v>
      </c>
      <c r="AV24" s="122">
        <f ca="1">(Dashboard!$C$7*'Equity and Bond Returns'!BH24)+(Dashboard!$C$8*'Equity and Bond Returns'!FF24)</f>
        <v>-6.4162155724527409E-2</v>
      </c>
      <c r="AW24" s="122">
        <f ca="1">(Dashboard!$C$7*'Equity and Bond Returns'!BI24)+(Dashboard!$C$8*'Equity and Bond Returns'!FG24)</f>
        <v>0.1176457192749597</v>
      </c>
      <c r="AX24" s="122">
        <f ca="1">(Dashboard!$C$7*'Equity and Bond Returns'!BJ24)+(Dashboard!$C$8*'Equity and Bond Returns'!FH24)</f>
        <v>-0.1058337086841909</v>
      </c>
      <c r="AY24" s="122">
        <f ca="1">(Dashboard!$C$7*'Equity and Bond Returns'!BK24)+(Dashboard!$C$8*'Equity and Bond Returns'!FI24)</f>
        <v>1.3351129924272337E-2</v>
      </c>
      <c r="AZ24" s="122">
        <f ca="1">(Dashboard!$C$7*'Equity and Bond Returns'!BL24)+(Dashboard!$C$8*'Equity and Bond Returns'!FJ24)</f>
        <v>0.27266735899504951</v>
      </c>
      <c r="BA24" s="122">
        <f ca="1">(Dashboard!$C$7*'Equity and Bond Returns'!BM24)+(Dashboard!$C$8*'Equity and Bond Returns'!FK24)</f>
        <v>9.1358715437543453E-2</v>
      </c>
      <c r="BB24" s="122">
        <f ca="1">(Dashboard!$C$7*'Equity and Bond Returns'!BN24)+(Dashboard!$C$8*'Equity and Bond Returns'!FL24)</f>
        <v>0.13016692968662005</v>
      </c>
      <c r="BC24" s="122">
        <f ca="1">(Dashboard!$C$7*'Equity and Bond Returns'!BO24)+(Dashboard!$C$8*'Equity and Bond Returns'!FM24)</f>
        <v>-0.18825826936171747</v>
      </c>
      <c r="BD24" s="122">
        <f ca="1">(Dashboard!$C$7*'Equity and Bond Returns'!BP24)+(Dashboard!$C$8*'Equity and Bond Returns'!FN24)</f>
        <v>0.16158307576606867</v>
      </c>
      <c r="BE24" s="122">
        <f ca="1">(Dashboard!$C$7*'Equity and Bond Returns'!BQ24)+(Dashboard!$C$8*'Equity and Bond Returns'!FO24)</f>
        <v>9.9876334993889024E-2</v>
      </c>
      <c r="BF24" s="122">
        <f ca="1">(Dashboard!$C$7*'Equity and Bond Returns'!BR24)+(Dashboard!$C$8*'Equity and Bond Returns'!FP24)</f>
        <v>7.7928584734276579E-2</v>
      </c>
      <c r="BG24" s="122">
        <f ca="1">(Dashboard!$C$7*'Equity and Bond Returns'!BS24)+(Dashboard!$C$8*'Equity and Bond Returns'!FQ24)</f>
        <v>3.1543879231458065E-2</v>
      </c>
      <c r="BH24" s="122">
        <f ca="1">(Dashboard!$C$7*'Equity and Bond Returns'!BT24)+(Dashboard!$C$8*'Equity and Bond Returns'!FR24)</f>
        <v>0.19221138502190482</v>
      </c>
      <c r="BI24" s="122">
        <f ca="1">(Dashboard!$C$7*'Equity and Bond Returns'!BU24)+(Dashboard!$C$8*'Equity and Bond Returns'!FS24)</f>
        <v>-0.193141622989706</v>
      </c>
      <c r="BJ24" s="122">
        <f ca="1">(Dashboard!$C$7*'Equity and Bond Returns'!BV24)+(Dashboard!$C$8*'Equity and Bond Returns'!FT24)</f>
        <v>-0.20369789334591917</v>
      </c>
      <c r="BK24" s="122">
        <f ca="1">(Dashboard!$C$7*'Equity and Bond Returns'!BW24)+(Dashboard!$C$8*'Equity and Bond Returns'!FU24)</f>
        <v>0.11157074238624208</v>
      </c>
      <c r="BL24" s="122">
        <f ca="1">(Dashboard!$C$7*'Equity and Bond Returns'!BX24)+(Dashboard!$C$8*'Equity and Bond Returns'!FV24)</f>
        <v>1.6818627206669438E-2</v>
      </c>
      <c r="BM24" s="122">
        <f ca="1">(Dashboard!$C$7*'Equity and Bond Returns'!BY24)+(Dashboard!$C$8*'Equity and Bond Returns'!FW24)</f>
        <v>9.8162624696242498E-2</v>
      </c>
      <c r="BN24" s="122">
        <f ca="1">(Dashboard!$C$7*'Equity and Bond Returns'!BZ24)+(Dashboard!$C$8*'Equity and Bond Returns'!FX24)</f>
        <v>7.8382695669234642E-2</v>
      </c>
      <c r="BO24" s="122">
        <f ca="1">(Dashboard!$C$7*'Equity and Bond Returns'!CA24)+(Dashboard!$C$8*'Equity and Bond Returns'!FY24)</f>
        <v>0.20124015891887065</v>
      </c>
      <c r="BP24" s="122">
        <f ca="1">(Dashboard!$C$7*'Equity and Bond Returns'!CB24)+(Dashboard!$C$8*'Equity and Bond Returns'!FZ24)</f>
        <v>0.32002910256414802</v>
      </c>
      <c r="BQ24" s="122">
        <f ca="1">(Dashboard!$C$7*'Equity and Bond Returns'!CC24)+(Dashboard!$C$8*'Equity and Bond Returns'!GA24)</f>
        <v>0.40834926943965827</v>
      </c>
      <c r="BR24" s="122">
        <f ca="1">(Dashboard!$C$7*'Equity and Bond Returns'!CD24)+(Dashboard!$C$8*'Equity and Bond Returns'!GB24)</f>
        <v>-0.18231423565522464</v>
      </c>
      <c r="BS24" s="122">
        <f ca="1">(Dashboard!$C$7*'Equity and Bond Returns'!CE24)+(Dashboard!$C$8*'Equity and Bond Returns'!GC24)</f>
        <v>4.6181877716279067E-2</v>
      </c>
      <c r="BT24" s="122">
        <f ca="1">(Dashboard!$C$7*'Equity and Bond Returns'!CF24)+(Dashboard!$C$8*'Equity and Bond Returns'!GD24)</f>
        <v>2.9391204570203028E-2</v>
      </c>
      <c r="BU24" s="122">
        <f ca="1">(Dashboard!$C$7*'Equity and Bond Returns'!CG24)+(Dashboard!$C$8*'Equity and Bond Returns'!GE24)</f>
        <v>0.12541565782554309</v>
      </c>
      <c r="BV24" s="122">
        <f ca="1">(Dashboard!$C$7*'Equity and Bond Returns'!CH24)+(Dashboard!$C$8*'Equity and Bond Returns'!GF24)</f>
        <v>4.6997826150707092E-3</v>
      </c>
      <c r="BW24" s="122">
        <f ca="1">(Dashboard!$C$7*'Equity and Bond Returns'!CI24)+(Dashboard!$C$8*'Equity and Bond Returns'!GG24)</f>
        <v>0.23567108151443603</v>
      </c>
      <c r="BX24" s="122">
        <f ca="1">(Dashboard!$C$7*'Equity and Bond Returns'!CJ24)+(Dashboard!$C$8*'Equity and Bond Returns'!GH24)</f>
        <v>0.10348084128682772</v>
      </c>
      <c r="BY24" s="122">
        <f ca="1">(Dashboard!$C$7*'Equity and Bond Returns'!CK24)+(Dashboard!$C$8*'Equity and Bond Returns'!GI24)</f>
        <v>2.6053914942381066E-2</v>
      </c>
      <c r="BZ24" s="122">
        <f ca="1">(Dashboard!$C$7*'Equity and Bond Returns'!CL24)+(Dashboard!$C$8*'Equity and Bond Returns'!GJ24)</f>
        <v>0.373605849804173</v>
      </c>
      <c r="CA24" s="122">
        <f ca="1">(Dashboard!$C$7*'Equity and Bond Returns'!CM24)+(Dashboard!$C$8*'Equity and Bond Returns'!GK24)</f>
        <v>0.20597359272523416</v>
      </c>
      <c r="CB24" s="122">
        <f ca="1">(Dashboard!$C$7*'Equity and Bond Returns'!CN24)+(Dashboard!$C$8*'Equity and Bond Returns'!GL24)</f>
        <v>0.2100512998409014</v>
      </c>
      <c r="CC24" s="122">
        <f ca="1">(Dashboard!$C$7*'Equity and Bond Returns'!CO24)+(Dashboard!$C$8*'Equity and Bond Returns'!GM24)</f>
        <v>5.9852925320546965E-2</v>
      </c>
      <c r="CD24" s="122">
        <f ca="1">(Dashboard!$C$7*'Equity and Bond Returns'!CP24)+(Dashboard!$C$8*'Equity and Bond Returns'!GN24)</f>
        <v>-6.2129585887633655E-2</v>
      </c>
      <c r="CE24" s="122">
        <f ca="1">(Dashboard!$C$7*'Equity and Bond Returns'!CQ24)+(Dashboard!$C$8*'Equity and Bond Returns'!GO24)</f>
        <v>0.28896401428032675</v>
      </c>
      <c r="CF24" s="122">
        <f ca="1">(Dashboard!$C$7*'Equity and Bond Returns'!CR24)+(Dashboard!$C$8*'Equity and Bond Returns'!GP24)</f>
        <v>8.8931884965128216E-2</v>
      </c>
      <c r="CG24" s="122">
        <f ca="1">(Dashboard!$C$7*'Equity and Bond Returns'!CS24)+(Dashboard!$C$8*'Equity and Bond Returns'!GQ24)</f>
        <v>6.3891391962544244E-2</v>
      </c>
      <c r="CH24" s="122">
        <f ca="1">(Dashboard!$C$7*'Equity and Bond Returns'!CT24)+(Dashboard!$C$8*'Equity and Bond Returns'!GR24)</f>
        <v>-0.19484155165450631</v>
      </c>
      <c r="CI24" s="122">
        <f ca="1">(Dashboard!$C$7*'Equity and Bond Returns'!CU24)+(Dashboard!$C$8*'Equity and Bond Returns'!GS24)</f>
        <v>-0.12885618106057295</v>
      </c>
      <c r="CJ24" s="122">
        <f ca="1">(Dashboard!$C$7*'Equity and Bond Returns'!CV24)+(Dashboard!$C$8*'Equity and Bond Returns'!GT24)</f>
        <v>0.17504326034654785</v>
      </c>
      <c r="CK24" s="122">
        <f ca="1">(Dashboard!$C$7*'Equity and Bond Returns'!CW24)+(Dashboard!$C$8*'Equity and Bond Returns'!GU24)</f>
        <v>0.21336255646770616</v>
      </c>
      <c r="CL24" s="122">
        <f ca="1">(Dashboard!$C$7*'Equity and Bond Returns'!CX24)+(Dashboard!$C$8*'Equity and Bond Returns'!GV24)</f>
        <v>6.8699376306267532E-2</v>
      </c>
      <c r="CM24" s="122">
        <f ca="1">(Dashboard!$C$7*'Equity and Bond Returns'!CY24)+(Dashboard!$C$8*'Equity and Bond Returns'!GW24)</f>
        <v>0.14703614258095693</v>
      </c>
      <c r="CN24" s="122">
        <f ca="1">(Dashboard!$C$7*'Equity and Bond Returns'!CZ24)+(Dashboard!$C$8*'Equity and Bond Returns'!GX24)</f>
        <v>7.601088073471568E-2</v>
      </c>
      <c r="CO24" s="122">
        <f ca="1">(Dashboard!$C$7*'Equity and Bond Returns'!DA24)+(Dashboard!$C$8*'Equity and Bond Returns'!GY24)</f>
        <v>0.10310158977488629</v>
      </c>
      <c r="CP24" s="122">
        <f ca="1">(Dashboard!$C$7*'Equity and Bond Returns'!DB24)+(Dashboard!$C$8*'Equity and Bond Returns'!GZ24)</f>
        <v>-8.8509460419615354E-2</v>
      </c>
      <c r="CQ24" s="122">
        <f ca="1">(Dashboard!$C$7*'Equity and Bond Returns'!DC24)+(Dashboard!$C$8*'Equity and Bond Returns'!HA24)</f>
        <v>0.26580334305331854</v>
      </c>
      <c r="CR24" s="122">
        <f ca="1">(Dashboard!$C$7*'Equity and Bond Returns'!DD24)+(Dashboard!$C$8*'Equity and Bond Returns'!HB24)</f>
        <v>-8.7419227820721271E-2</v>
      </c>
      <c r="CS24" s="122">
        <f ca="1">(Dashboard!$C$7*'Equity and Bond Returns'!DE24)+(Dashboard!$C$8*'Equity and Bond Returns'!HC24)</f>
        <v>-7.6340151625383698E-2</v>
      </c>
      <c r="CT24" s="122">
        <f ca="1">(Dashboard!$C$7*'Equity and Bond Returns'!DF24)+(Dashboard!$C$8*'Equity and Bond Returns'!HD24)</f>
        <v>9.2255077483195169E-2</v>
      </c>
      <c r="CU24" s="122">
        <f ca="1">(Dashboard!$C$7*'Equity and Bond Returns'!DG24)+(Dashboard!$C$8*'Equity and Bond Returns'!HE24)</f>
        <v>0.31232744898012282</v>
      </c>
      <c r="CV24" s="122">
        <f ca="1">(Dashboard!$C$7*'Equity and Bond Returns'!DH24)+(Dashboard!$C$8*'Equity and Bond Returns'!HF24)</f>
        <v>2.4894625760134733E-2</v>
      </c>
      <c r="CW24" s="122">
        <f ca="1">(Dashboard!$C$7*'Equity and Bond Returns'!DI24)+(Dashboard!$C$8*'Equity and Bond Returns'!HG24)</f>
        <v>0.15779764659357479</v>
      </c>
      <c r="CY24" s="147">
        <f t="shared" si="5"/>
        <v>73</v>
      </c>
      <c r="CZ24" s="148">
        <v>23</v>
      </c>
      <c r="DA24" s="126">
        <f ca="1">MAX(DA23*(1+B24)-(Dashboard!$C$11)/(1-Dashboard!$C$17)*((1+Dashboard!$C$12)^$CZ24),0)</f>
        <v>9562540.5618084706</v>
      </c>
      <c r="DB24" s="126">
        <f ca="1">MAX(DB23*(1+C24)-(Dashboard!$C$11)/(1-Dashboard!$C$17)*((1+Dashboard!$C$12)^$CZ24),0)</f>
        <v>120063.06787459803</v>
      </c>
      <c r="DC24" s="126">
        <f ca="1">MAX(DC23*(1+D24)-(Dashboard!$C$11)/(1-Dashboard!$C$17)*((1+Dashboard!$C$12)^$CZ24),0)</f>
        <v>3331349.076958722</v>
      </c>
      <c r="DD24" s="126">
        <f ca="1">MAX(DD23*(1+E24)-(Dashboard!$C$11)/(1-Dashboard!$C$17)*((1+Dashboard!$C$12)^$CZ24),0)</f>
        <v>742095.93969909556</v>
      </c>
      <c r="DE24" s="126">
        <f ca="1">MAX(DE23*(1+F24)-(Dashboard!$C$11)/(1-Dashboard!$C$17)*((1+Dashboard!$C$12)^$CZ24),0)</f>
        <v>3383794.0073406282</v>
      </c>
      <c r="DF24" s="126">
        <f ca="1">MAX(DF23*(1+G24)-(Dashboard!$C$11)/(1-Dashboard!$C$17)*((1+Dashboard!$C$12)^$CZ24),0)</f>
        <v>9712599.6239974089</v>
      </c>
      <c r="DG24" s="126">
        <f ca="1">MAX(DG23*(1+H24)-(Dashboard!$C$11)/(1-Dashboard!$C$17)*((1+Dashboard!$C$12)^$CZ24),0)</f>
        <v>759767.44423706084</v>
      </c>
      <c r="DH24" s="126">
        <f ca="1">MAX(DH23*(1+I24)-(Dashboard!$C$11)/(1-Dashboard!$C$17)*((1+Dashboard!$C$12)^$CZ24),0)</f>
        <v>6261866.5673256256</v>
      </c>
      <c r="DI24" s="126">
        <f ca="1">MAX(DI23*(1+J24)-(Dashboard!$C$11)/(1-Dashboard!$C$17)*((1+Dashboard!$C$12)^$CZ24),0)</f>
        <v>2560721.605685689</v>
      </c>
      <c r="DJ24" s="126">
        <f ca="1">MAX(DJ23*(1+K24)-(Dashboard!$C$11)/(1-Dashboard!$C$17)*((1+Dashboard!$C$12)^$CZ24),0)</f>
        <v>2657592.7224063282</v>
      </c>
      <c r="DK24" s="126">
        <f ca="1">MAX(DK23*(1+L24)-(Dashboard!$C$11)/(1-Dashboard!$C$17)*((1+Dashboard!$C$12)^$CZ24),0)</f>
        <v>14059194.284998363</v>
      </c>
      <c r="DL24" s="126">
        <f ca="1">MAX(DL23*(1+M24)-(Dashboard!$C$11)/(1-Dashboard!$C$17)*((1+Dashboard!$C$12)^$CZ24),0)</f>
        <v>596307.37937564135</v>
      </c>
      <c r="DM24" s="126">
        <f ca="1">MAX(DM23*(1+N24)-(Dashboard!$C$11)/(1-Dashboard!$C$17)*((1+Dashboard!$C$12)^$CZ24),0)</f>
        <v>3066573.2866035518</v>
      </c>
      <c r="DN24" s="126">
        <f ca="1">MAX(DN23*(1+O24)-(Dashboard!$C$11)/(1-Dashboard!$C$17)*((1+Dashboard!$C$12)^$CZ24),0)</f>
        <v>15738300.376868257</v>
      </c>
      <c r="DO24" s="126">
        <f ca="1">MAX(DO23*(1+P24)-(Dashboard!$C$11)/(1-Dashboard!$C$17)*((1+Dashboard!$C$12)^$CZ24),0)</f>
        <v>2721665.1558899223</v>
      </c>
      <c r="DP24" s="126">
        <f ca="1">MAX(DP23*(1+Q24)-(Dashboard!$C$11)/(1-Dashboard!$C$17)*((1+Dashboard!$C$12)^$CZ24),0)</f>
        <v>2724734.5482709422</v>
      </c>
      <c r="DQ24" s="126">
        <f ca="1">MAX(DQ23*(1+R24)-(Dashboard!$C$11)/(1-Dashboard!$C$17)*((1+Dashboard!$C$12)^$CZ24),0)</f>
        <v>7424798.8138314541</v>
      </c>
      <c r="DR24" s="126">
        <f ca="1">MAX(DR23*(1+S24)-(Dashboard!$C$11)/(1-Dashboard!$C$17)*((1+Dashboard!$C$12)^$CZ24),0)</f>
        <v>10827455.607049989</v>
      </c>
      <c r="DS24" s="126">
        <f ca="1">MAX(DS23*(1+T24)-(Dashboard!$C$11)/(1-Dashboard!$C$17)*((1+Dashboard!$C$12)^$CZ24),0)</f>
        <v>1369194.9642051212</v>
      </c>
      <c r="DT24" s="126">
        <f ca="1">MAX(DT23*(1+U24)-(Dashboard!$C$11)/(1-Dashboard!$C$17)*((1+Dashboard!$C$12)^$CZ24),0)</f>
        <v>2398632.690527196</v>
      </c>
      <c r="DU24" s="126">
        <f ca="1">MAX(DU23*(1+V24)-(Dashboard!$C$11)/(1-Dashboard!$C$17)*((1+Dashboard!$C$12)^$CZ24),0)</f>
        <v>4541317.9907481726</v>
      </c>
      <c r="DV24" s="126">
        <f ca="1">MAX(DV23*(1+W24)-(Dashboard!$C$11)/(1-Dashboard!$C$17)*((1+Dashboard!$C$12)^$CZ24),0)</f>
        <v>9775294.1616281942</v>
      </c>
      <c r="DW24" s="126">
        <f ca="1">MAX(DW23*(1+X24)-(Dashboard!$C$11)/(1-Dashboard!$C$17)*((1+Dashboard!$C$12)^$CZ24),0)</f>
        <v>2926676.4001314472</v>
      </c>
      <c r="DX24" s="126">
        <f ca="1">MAX(DX23*(1+Y24)-(Dashboard!$C$11)/(1-Dashboard!$C$17)*((1+Dashboard!$C$12)^$CZ24),0)</f>
        <v>2057397.000453423</v>
      </c>
      <c r="DY24" s="126">
        <f ca="1">MAX(DY23*(1+Z24)-(Dashboard!$C$11)/(1-Dashboard!$C$17)*((1+Dashboard!$C$12)^$CZ24),0)</f>
        <v>4250565.4491538201</v>
      </c>
      <c r="DZ24" s="126">
        <f ca="1">MAX(DZ23*(1+AA24)-(Dashboard!$C$11)/(1-Dashboard!$C$17)*((1+Dashboard!$C$12)^$CZ24),0)</f>
        <v>899529.35126552556</v>
      </c>
      <c r="EA24" s="126">
        <f ca="1">MAX(EA23*(1+AB24)-(Dashboard!$C$11)/(1-Dashboard!$C$17)*((1+Dashboard!$C$12)^$CZ24),0)</f>
        <v>3345086.4597513881</v>
      </c>
      <c r="EB24" s="126">
        <f ca="1">MAX(EB23*(1+AC24)-(Dashboard!$C$11)/(1-Dashboard!$C$17)*((1+Dashboard!$C$12)^$CZ24),0)</f>
        <v>5911569.738593813</v>
      </c>
      <c r="EC24" s="126">
        <f ca="1">MAX(EC23*(1+AD24)-(Dashboard!$C$11)/(1-Dashboard!$C$17)*((1+Dashboard!$C$12)^$CZ24),0)</f>
        <v>6205096.7222586721</v>
      </c>
      <c r="ED24" s="126">
        <f ca="1">MAX(ED23*(1+AE24)-(Dashboard!$C$11)/(1-Dashboard!$C$17)*((1+Dashboard!$C$12)^$CZ24),0)</f>
        <v>4211333.5579544064</v>
      </c>
      <c r="EE24" s="126">
        <f ca="1">MAX(EE23*(1+AF24)-(Dashboard!$C$11)/(1-Dashboard!$C$17)*((1+Dashboard!$C$12)^$CZ24),0)</f>
        <v>5052047.4410947887</v>
      </c>
      <c r="EF24" s="126">
        <f ca="1">MAX(EF23*(1+AG24)-(Dashboard!$C$11)/(1-Dashboard!$C$17)*((1+Dashboard!$C$12)^$CZ24),0)</f>
        <v>1482408.9573492643</v>
      </c>
      <c r="EG24" s="126">
        <f ca="1">MAX(EG23*(1+AH24)-(Dashboard!$C$11)/(1-Dashboard!$C$17)*((1+Dashboard!$C$12)^$CZ24),0)</f>
        <v>4580000.3666826859</v>
      </c>
      <c r="EH24" s="126">
        <f ca="1">MAX(EH23*(1+AI24)-(Dashboard!$C$11)/(1-Dashboard!$C$17)*((1+Dashboard!$C$12)^$CZ24),0)</f>
        <v>4174415.2616367498</v>
      </c>
      <c r="EI24" s="126">
        <f ca="1">MAX(EI23*(1+AJ24)-(Dashboard!$C$11)/(1-Dashboard!$C$17)*((1+Dashboard!$C$12)^$CZ24),0)</f>
        <v>517607.04117850558</v>
      </c>
      <c r="EJ24" s="126">
        <f ca="1">MAX(EJ23*(1+AK24)-(Dashboard!$C$11)/(1-Dashboard!$C$17)*((1+Dashboard!$C$12)^$CZ24),0)</f>
        <v>3915522.2311277115</v>
      </c>
      <c r="EK24" s="126">
        <f ca="1">MAX(EK23*(1+AL24)-(Dashboard!$C$11)/(1-Dashboard!$C$17)*((1+Dashboard!$C$12)^$CZ24),0)</f>
        <v>5542769.3390645487</v>
      </c>
      <c r="EL24" s="126">
        <f ca="1">MAX(EL23*(1+AM24)-(Dashboard!$C$11)/(1-Dashboard!$C$17)*((1+Dashboard!$C$12)^$CZ24),0)</f>
        <v>1273784.5892954762</v>
      </c>
      <c r="EM24" s="126">
        <f ca="1">MAX(EM23*(1+AN24)-(Dashboard!$C$11)/(1-Dashboard!$C$17)*((1+Dashboard!$C$12)^$CZ24),0)</f>
        <v>5640155.7366516711</v>
      </c>
      <c r="EN24" s="126">
        <f ca="1">MAX(EN23*(1+AO24)-(Dashboard!$C$11)/(1-Dashboard!$C$17)*((1+Dashboard!$C$12)^$CZ24),0)</f>
        <v>2607828.8777587512</v>
      </c>
      <c r="EO24" s="126">
        <f ca="1">MAX(EO23*(1+AP24)-(Dashboard!$C$11)/(1-Dashboard!$C$17)*((1+Dashboard!$C$12)^$CZ24),0)</f>
        <v>544535.42563770385</v>
      </c>
      <c r="EP24" s="126">
        <f ca="1">MAX(EP23*(1+AQ24)-(Dashboard!$C$11)/(1-Dashboard!$C$17)*((1+Dashboard!$C$12)^$CZ24),0)</f>
        <v>1677464.9976542168</v>
      </c>
      <c r="EQ24" s="126">
        <f ca="1">MAX(EQ23*(1+AR24)-(Dashboard!$C$11)/(1-Dashboard!$C$17)*((1+Dashboard!$C$12)^$CZ24),0)</f>
        <v>1627301.8478993434</v>
      </c>
      <c r="ER24" s="126">
        <f ca="1">MAX(ER23*(1+AS24)-(Dashboard!$C$11)/(1-Dashboard!$C$17)*((1+Dashboard!$C$12)^$CZ24),0)</f>
        <v>828230.32392217894</v>
      </c>
      <c r="ES24" s="126">
        <f ca="1">MAX(ES23*(1+AT24)-(Dashboard!$C$11)/(1-Dashboard!$C$17)*((1+Dashboard!$C$12)^$CZ24),0)</f>
        <v>4818499.3703313917</v>
      </c>
      <c r="ET24" s="126">
        <f ca="1">MAX(ET23*(1+AU24)-(Dashboard!$C$11)/(1-Dashboard!$C$17)*((1+Dashboard!$C$12)^$CZ24),0)</f>
        <v>2330852.2294665384</v>
      </c>
      <c r="EU24" s="126">
        <f ca="1">MAX(EU23*(1+AV24)-(Dashboard!$C$11)/(1-Dashboard!$C$17)*((1+Dashboard!$C$12)^$CZ24),0)</f>
        <v>2082451.6476806982</v>
      </c>
      <c r="EV24" s="126">
        <f ca="1">MAX(EV23*(1+AW24)-(Dashboard!$C$11)/(1-Dashboard!$C$17)*((1+Dashboard!$C$12)^$CZ24),0)</f>
        <v>7088970.3519053282</v>
      </c>
      <c r="EW24" s="126">
        <f ca="1">MAX(EW23*(1+AX24)-(Dashboard!$C$11)/(1-Dashboard!$C$17)*((1+Dashboard!$C$12)^$CZ24),0)</f>
        <v>2213593.8256770405</v>
      </c>
      <c r="EX24" s="126">
        <f ca="1">MAX(EX23*(1+AY24)-(Dashboard!$C$11)/(1-Dashboard!$C$17)*((1+Dashboard!$C$12)^$CZ24),0)</f>
        <v>3116150.7192746424</v>
      </c>
      <c r="EY24" s="126">
        <f ca="1">MAX(EY23*(1+AZ24)-(Dashboard!$C$11)/(1-Dashboard!$C$17)*((1+Dashboard!$C$12)^$CZ24),0)</f>
        <v>6030881.5678495476</v>
      </c>
      <c r="EZ24" s="126">
        <f ca="1">MAX(EZ23*(1+BA24)-(Dashboard!$C$11)/(1-Dashboard!$C$17)*((1+Dashboard!$C$12)^$CZ24),0)</f>
        <v>3402120.8290520287</v>
      </c>
      <c r="FA24" s="126">
        <f ca="1">MAX(FA23*(1+BB24)-(Dashboard!$C$11)/(1-Dashboard!$C$17)*((1+Dashboard!$C$12)^$CZ24),0)</f>
        <v>9645198.769867314</v>
      </c>
      <c r="FB24" s="126">
        <f ca="1">MAX(FB23*(1+BC24)-(Dashboard!$C$11)/(1-Dashboard!$C$17)*((1+Dashboard!$C$12)^$CZ24),0)</f>
        <v>741916.26853869064</v>
      </c>
      <c r="FC24" s="126">
        <f ca="1">MAX(FC23*(1+BD24)-(Dashboard!$C$11)/(1-Dashboard!$C$17)*((1+Dashboard!$C$12)^$CZ24),0)</f>
        <v>6766628.6335474961</v>
      </c>
      <c r="FD24" s="126">
        <f ca="1">MAX(FD23*(1+BE24)-(Dashboard!$C$11)/(1-Dashboard!$C$17)*((1+Dashboard!$C$12)^$CZ24),0)</f>
        <v>7397893.1238499284</v>
      </c>
      <c r="FE24" s="126">
        <f ca="1">MAX(FE23*(1+BF24)-(Dashboard!$C$11)/(1-Dashboard!$C$17)*((1+Dashboard!$C$12)^$CZ24),0)</f>
        <v>8504758.1055106688</v>
      </c>
      <c r="FF24" s="126">
        <f ca="1">MAX(FF23*(1+BG24)-(Dashboard!$C$11)/(1-Dashboard!$C$17)*((1+Dashboard!$C$12)^$CZ24),0)</f>
        <v>2936907.4995591268</v>
      </c>
      <c r="FG24" s="126">
        <f ca="1">MAX(FG23*(1+BH24)-(Dashboard!$C$11)/(1-Dashboard!$C$17)*((1+Dashboard!$C$12)^$CZ24),0)</f>
        <v>4152898.4796963162</v>
      </c>
      <c r="FH24" s="126">
        <f ca="1">MAX(FH23*(1+BI24)-(Dashboard!$C$11)/(1-Dashboard!$C$17)*((1+Dashboard!$C$12)^$CZ24),0)</f>
        <v>3042763.5634152656</v>
      </c>
      <c r="FI24" s="126">
        <f ca="1">MAX(FI23*(1+BJ24)-(Dashboard!$C$11)/(1-Dashboard!$C$17)*((1+Dashboard!$C$12)^$CZ24),0)</f>
        <v>5212541.0264504971</v>
      </c>
      <c r="FJ24" s="126">
        <f ca="1">MAX(FJ23*(1+BK24)-(Dashboard!$C$11)/(1-Dashboard!$C$17)*((1+Dashboard!$C$12)^$CZ24),0)</f>
        <v>2569773.0442078542</v>
      </c>
      <c r="FK24" s="126">
        <f ca="1">MAX(FK23*(1+BL24)-(Dashboard!$C$11)/(1-Dashboard!$C$17)*((1+Dashboard!$C$12)^$CZ24),0)</f>
        <v>3770113.2841602108</v>
      </c>
      <c r="FL24" s="126">
        <f ca="1">MAX(FL23*(1+BM24)-(Dashboard!$C$11)/(1-Dashboard!$C$17)*((1+Dashboard!$C$12)^$CZ24),0)</f>
        <v>3850122.9381475374</v>
      </c>
      <c r="FM24" s="126">
        <f ca="1">MAX(FM23*(1+BN24)-(Dashboard!$C$11)/(1-Dashboard!$C$17)*((1+Dashboard!$C$12)^$CZ24),0)</f>
        <v>5511091.3135448964</v>
      </c>
      <c r="FN24" s="126">
        <f ca="1">MAX(FN23*(1+BO24)-(Dashboard!$C$11)/(1-Dashboard!$C$17)*((1+Dashboard!$C$12)^$CZ24),0)</f>
        <v>440924.85303401318</v>
      </c>
      <c r="FO24" s="126">
        <f ca="1">MAX(FO23*(1+BP24)-(Dashboard!$C$11)/(1-Dashboard!$C$17)*((1+Dashboard!$C$12)^$CZ24),0)</f>
        <v>3858818.5158781791</v>
      </c>
      <c r="FP24" s="126">
        <f ca="1">MAX(FP23*(1+BQ24)-(Dashboard!$C$11)/(1-Dashboard!$C$17)*((1+Dashboard!$C$12)^$CZ24),0)</f>
        <v>4417630.3616547026</v>
      </c>
      <c r="FQ24" s="126">
        <f ca="1">MAX(FQ23*(1+BR24)-(Dashboard!$C$11)/(1-Dashboard!$C$17)*((1+Dashboard!$C$12)^$CZ24),0)</f>
        <v>2806993.7623375873</v>
      </c>
      <c r="FR24" s="126">
        <f ca="1">MAX(FR23*(1+BS24)-(Dashboard!$C$11)/(1-Dashboard!$C$17)*((1+Dashboard!$C$12)^$CZ24),0)</f>
        <v>5533881.2894946784</v>
      </c>
      <c r="FS24" s="126">
        <f ca="1">MAX(FS23*(1+BT24)-(Dashboard!$C$11)/(1-Dashboard!$C$17)*((1+Dashboard!$C$12)^$CZ24),0)</f>
        <v>5193117.8917285735</v>
      </c>
      <c r="FT24" s="126">
        <f ca="1">MAX(FT23*(1+BU24)-(Dashboard!$C$11)/(1-Dashboard!$C$17)*((1+Dashboard!$C$12)^$CZ24),0)</f>
        <v>1465269.0508098097</v>
      </c>
      <c r="FU24" s="126">
        <f ca="1">MAX(FU23*(1+BV24)-(Dashboard!$C$11)/(1-Dashboard!$C$17)*((1+Dashboard!$C$12)^$CZ24),0)</f>
        <v>2117583.3505173768</v>
      </c>
      <c r="FV24" s="126">
        <f ca="1">MAX(FV23*(1+BW24)-(Dashboard!$C$11)/(1-Dashboard!$C$17)*((1+Dashboard!$C$12)^$CZ24),0)</f>
        <v>2043229.8058771121</v>
      </c>
      <c r="FW24" s="126">
        <f ca="1">MAX(FW23*(1+BX24)-(Dashboard!$C$11)/(1-Dashboard!$C$17)*((1+Dashboard!$C$12)^$CZ24),0)</f>
        <v>2585289.1957224896</v>
      </c>
      <c r="FX24" s="126">
        <f ca="1">MAX(FX23*(1+BY24)-(Dashboard!$C$11)/(1-Dashboard!$C$17)*((1+Dashboard!$C$12)^$CZ24),0)</f>
        <v>1426423.8423385059</v>
      </c>
      <c r="FY24" s="126">
        <f ca="1">MAX(FY23*(1+BZ24)-(Dashboard!$C$11)/(1-Dashboard!$C$17)*((1+Dashboard!$C$12)^$CZ24),0)</f>
        <v>2396692.5373257264</v>
      </c>
      <c r="FZ24" s="126">
        <f ca="1">MAX(FZ23*(1+CA24)-(Dashboard!$C$11)/(1-Dashboard!$C$17)*((1+Dashboard!$C$12)^$CZ24),0)</f>
        <v>7339007.01548474</v>
      </c>
      <c r="GA24" s="126">
        <f ca="1">MAX(GA23*(1+CB24)-(Dashboard!$C$11)/(1-Dashboard!$C$17)*((1+Dashboard!$C$12)^$CZ24),0)</f>
        <v>6640158.1070620455</v>
      </c>
      <c r="GB24" s="126">
        <f ca="1">MAX(GB23*(1+CC24)-(Dashboard!$C$11)/(1-Dashboard!$C$17)*((1+Dashboard!$C$12)^$CZ24),0)</f>
        <v>1348687.5209444086</v>
      </c>
      <c r="GC24" s="126">
        <f ca="1">MAX(GC23*(1+CD24)-(Dashboard!$C$11)/(1-Dashboard!$C$17)*((1+Dashboard!$C$12)^$CZ24),0)</f>
        <v>5535247.5701416759</v>
      </c>
      <c r="GD24" s="126">
        <f ca="1">MAX(GD23*(1+CE24)-(Dashboard!$C$11)/(1-Dashboard!$C$17)*((1+Dashboard!$C$12)^$CZ24),0)</f>
        <v>12935774.563175742</v>
      </c>
      <c r="GE24" s="126">
        <f ca="1">MAX(GE23*(1+CF24)-(Dashboard!$C$11)/(1-Dashboard!$C$17)*((1+Dashboard!$C$12)^$CZ24),0)</f>
        <v>2092673.4390760616</v>
      </c>
      <c r="GF24" s="126">
        <f ca="1">MAX(GF23*(1+CG24)-(Dashboard!$C$11)/(1-Dashboard!$C$17)*((1+Dashboard!$C$12)^$CZ24),0)</f>
        <v>6101774.3841168676</v>
      </c>
      <c r="GG24" s="126">
        <f ca="1">MAX(GG23*(1+CH24)-(Dashboard!$C$11)/(1-Dashboard!$C$17)*((1+Dashboard!$C$12)^$CZ24),0)</f>
        <v>937488.28807624697</v>
      </c>
      <c r="GH24" s="126">
        <f ca="1">MAX(GH23*(1+CI24)-(Dashboard!$C$11)/(1-Dashboard!$C$17)*((1+Dashboard!$C$12)^$CZ24),0)</f>
        <v>2325414.7930186256</v>
      </c>
      <c r="GI24" s="126">
        <f ca="1">MAX(GI23*(1+CJ24)-(Dashboard!$C$11)/(1-Dashboard!$C$17)*((1+Dashboard!$C$12)^$CZ24),0)</f>
        <v>2376431.7458293266</v>
      </c>
      <c r="GJ24" s="126">
        <f ca="1">MAX(GJ23*(1+CK24)-(Dashboard!$C$11)/(1-Dashboard!$C$17)*((1+Dashboard!$C$12)^$CZ24),0)</f>
        <v>6683722.5943912044</v>
      </c>
      <c r="GK24" s="126">
        <f ca="1">MAX(GK23*(1+CL24)-(Dashboard!$C$11)/(1-Dashboard!$C$17)*((1+Dashboard!$C$12)^$CZ24),0)</f>
        <v>5813868.4320869287</v>
      </c>
      <c r="GL24" s="126">
        <f ca="1">MAX(GL23*(1+CM24)-(Dashboard!$C$11)/(1-Dashboard!$C$17)*((1+Dashboard!$C$12)^$CZ24),0)</f>
        <v>4616111.7098275917</v>
      </c>
      <c r="GM24" s="126">
        <f ca="1">MAX(GM23*(1+CN24)-(Dashboard!$C$11)/(1-Dashboard!$C$17)*((1+Dashboard!$C$12)^$CZ24),0)</f>
        <v>1631759.4954859326</v>
      </c>
      <c r="GN24" s="126">
        <f ca="1">MAX(GN23*(1+CO24)-(Dashboard!$C$11)/(1-Dashboard!$C$17)*((1+Dashboard!$C$12)^$CZ24),0)</f>
        <v>245815.25055239414</v>
      </c>
      <c r="GO24" s="126">
        <f ca="1">MAX(GO23*(1+CP24)-(Dashboard!$C$11)/(1-Dashboard!$C$17)*((1+Dashboard!$C$12)^$CZ24),0)</f>
        <v>2074135.1854520615</v>
      </c>
      <c r="GP24" s="126">
        <f ca="1">MAX(GP23*(1+CQ24)-(Dashboard!$C$11)/(1-Dashboard!$C$17)*((1+Dashboard!$C$12)^$CZ24),0)</f>
        <v>2307011.9026075751</v>
      </c>
      <c r="GQ24" s="126">
        <f ca="1">MAX(GQ23*(1+CR24)-(Dashboard!$C$11)/(1-Dashboard!$C$17)*((1+Dashboard!$C$12)^$CZ24),0)</f>
        <v>713397.37623120158</v>
      </c>
      <c r="GR24" s="126">
        <f ca="1">MAX(GR23*(1+CS24)-(Dashboard!$C$11)/(1-Dashboard!$C$17)*((1+Dashboard!$C$12)^$CZ24),0)</f>
        <v>1589390.50340315</v>
      </c>
      <c r="GS24" s="126">
        <f ca="1">MAX(GS23*(1+CT24)-(Dashboard!$C$11)/(1-Dashboard!$C$17)*((1+Dashboard!$C$12)^$CZ24),0)</f>
        <v>3393990.5410432555</v>
      </c>
      <c r="GT24" s="126">
        <f ca="1">MAX(GT23*(1+CU24)-(Dashboard!$C$11)/(1-Dashboard!$C$17)*((1+Dashboard!$C$12)^$CZ24),0)</f>
        <v>16121461.260290286</v>
      </c>
      <c r="GU24" s="126">
        <f ca="1">MAX(GU23*(1+CV24)-(Dashboard!$C$11)/(1-Dashboard!$C$17)*((1+Dashboard!$C$12)^$CZ24),0)</f>
        <v>1915850.4575641665</v>
      </c>
      <c r="GV24" s="126">
        <f ca="1">MAX(GV23*(1+CW24)-(Dashboard!$C$11)/(1-Dashboard!$C$17)*((1+Dashboard!$C$12)^$CZ24),0)</f>
        <v>1552885.9029976025</v>
      </c>
      <c r="GW24" s="115">
        <f t="shared" si="4"/>
        <v>73</v>
      </c>
      <c r="GX24" s="130">
        <f t="shared" ca="1" si="2"/>
        <v>100</v>
      </c>
      <c r="HC24" s="130">
        <f t="shared" si="0"/>
        <v>73</v>
      </c>
      <c r="HD24" s="137">
        <f t="shared" ca="1" si="6"/>
        <v>1737061.3626317042</v>
      </c>
      <c r="HE24" s="137">
        <f t="shared" ca="1" si="6"/>
        <v>3054668.425009409</v>
      </c>
      <c r="HF24" s="137">
        <f t="shared" ca="1" si="6"/>
        <v>5534905.9999799263</v>
      </c>
    </row>
    <row r="25" spans="1:214" ht="16">
      <c r="A25" s="145">
        <f t="shared" si="3"/>
        <v>74</v>
      </c>
      <c r="B25" s="122">
        <f ca="1">(Dashboard!$C$7*'Equity and Bond Returns'!N25)+(Dashboard!$C$8*'Equity and Bond Returns'!DL25)</f>
        <v>5.6228556876051147E-2</v>
      </c>
      <c r="C25" s="122">
        <f ca="1">(Dashboard!$C$7*'Equity and Bond Returns'!O25)+(Dashboard!$C$8*'Equity and Bond Returns'!DM25)</f>
        <v>-3.5219137800585349E-3</v>
      </c>
      <c r="D25" s="122">
        <f ca="1">(Dashboard!$C$7*'Equity and Bond Returns'!P25)+(Dashboard!$C$8*'Equity and Bond Returns'!DN25)</f>
        <v>0.25596501949530315</v>
      </c>
      <c r="E25" s="122">
        <f ca="1">(Dashboard!$C$7*'Equity and Bond Returns'!Q25)+(Dashboard!$C$8*'Equity and Bond Returns'!DO25)</f>
        <v>0.10498611552498784</v>
      </c>
      <c r="F25" s="122">
        <f ca="1">(Dashboard!$C$7*'Equity and Bond Returns'!R25)+(Dashboard!$C$8*'Equity and Bond Returns'!DP25)</f>
        <v>-2.3130044329379637E-3</v>
      </c>
      <c r="G25" s="122">
        <f ca="1">(Dashboard!$C$7*'Equity and Bond Returns'!S25)+(Dashboard!$C$8*'Equity and Bond Returns'!DQ25)</f>
        <v>0.23378471243063659</v>
      </c>
      <c r="H25" s="122">
        <f ca="1">(Dashboard!$C$7*'Equity and Bond Returns'!T25)+(Dashboard!$C$8*'Equity and Bond Returns'!DR25)</f>
        <v>0.18650590286369392</v>
      </c>
      <c r="I25" s="122">
        <f ca="1">(Dashboard!$C$7*'Equity and Bond Returns'!U25)+(Dashboard!$C$8*'Equity and Bond Returns'!DS25)</f>
        <v>3.4232082485500546E-2</v>
      </c>
      <c r="J25" s="122">
        <f ca="1">(Dashboard!$C$7*'Equity and Bond Returns'!V25)+(Dashboard!$C$8*'Equity and Bond Returns'!DT25)</f>
        <v>-1.6136775013216517E-2</v>
      </c>
      <c r="K25" s="122">
        <f ca="1">(Dashboard!$C$7*'Equity and Bond Returns'!W25)+(Dashboard!$C$8*'Equity and Bond Returns'!DU25)</f>
        <v>0.15404685210437735</v>
      </c>
      <c r="L25" s="122">
        <f ca="1">(Dashboard!$C$7*'Equity and Bond Returns'!X25)+(Dashboard!$C$8*'Equity and Bond Returns'!DV25)</f>
        <v>-6.6216712608133749E-2</v>
      </c>
      <c r="M25" s="122">
        <f ca="1">(Dashboard!$C$7*'Equity and Bond Returns'!Y25)+(Dashboard!$C$8*'Equity and Bond Returns'!DW25)</f>
        <v>0.1095730090778286</v>
      </c>
      <c r="N25" s="122">
        <f ca="1">(Dashboard!$C$7*'Equity and Bond Returns'!Z25)+(Dashboard!$C$8*'Equity and Bond Returns'!DX25)</f>
        <v>0.21259164794170382</v>
      </c>
      <c r="O25" s="122">
        <f ca="1">(Dashboard!$C$7*'Equity and Bond Returns'!AA25)+(Dashboard!$C$8*'Equity and Bond Returns'!DY25)</f>
        <v>-0.18373573288069694</v>
      </c>
      <c r="P25" s="122">
        <f ca="1">(Dashboard!$C$7*'Equity and Bond Returns'!AB25)+(Dashboard!$C$8*'Equity and Bond Returns'!DZ25)</f>
        <v>3.2880792282732614E-2</v>
      </c>
      <c r="Q25" s="122">
        <f ca="1">(Dashboard!$C$7*'Equity and Bond Returns'!AC25)+(Dashboard!$C$8*'Equity and Bond Returns'!EA25)</f>
        <v>-4.617342236312183E-2</v>
      </c>
      <c r="R25" s="122">
        <f ca="1">(Dashboard!$C$7*'Equity and Bond Returns'!AD25)+(Dashboard!$C$8*'Equity and Bond Returns'!EB25)</f>
        <v>5.3928652958231835E-2</v>
      </c>
      <c r="S25" s="122">
        <f ca="1">(Dashboard!$C$7*'Equity and Bond Returns'!AE25)+(Dashboard!$C$8*'Equity and Bond Returns'!EC25)</f>
        <v>5.5798685092422404E-2</v>
      </c>
      <c r="T25" s="122">
        <f ca="1">(Dashboard!$C$7*'Equity and Bond Returns'!AF25)+(Dashboard!$C$8*'Equity and Bond Returns'!ED25)</f>
        <v>-0.1264242841713244</v>
      </c>
      <c r="U25" s="122">
        <f ca="1">(Dashboard!$C$7*'Equity and Bond Returns'!AG25)+(Dashboard!$C$8*'Equity and Bond Returns'!EE25)</f>
        <v>0.26749822066351336</v>
      </c>
      <c r="V25" s="122">
        <f ca="1">(Dashboard!$C$7*'Equity and Bond Returns'!AH25)+(Dashboard!$C$8*'Equity and Bond Returns'!EF25)</f>
        <v>0.24435221939296817</v>
      </c>
      <c r="W25" s="122">
        <f ca="1">(Dashboard!$C$7*'Equity and Bond Returns'!AI25)+(Dashboard!$C$8*'Equity and Bond Returns'!EG25)</f>
        <v>8.7468542937953836E-2</v>
      </c>
      <c r="X25" s="122">
        <f ca="1">(Dashboard!$C$7*'Equity and Bond Returns'!AJ25)+(Dashboard!$C$8*'Equity and Bond Returns'!EH25)</f>
        <v>0.21650072911861692</v>
      </c>
      <c r="Y25" s="122">
        <f ca="1">(Dashboard!$C$7*'Equity and Bond Returns'!AK25)+(Dashboard!$C$8*'Equity and Bond Returns'!EI25)</f>
        <v>0.217214723217386</v>
      </c>
      <c r="Z25" s="122">
        <f ca="1">(Dashboard!$C$7*'Equity and Bond Returns'!AL25)+(Dashboard!$C$8*'Equity and Bond Returns'!EJ25)</f>
        <v>-1.8655727154157833E-2</v>
      </c>
      <c r="AA25" s="122">
        <f ca="1">(Dashboard!$C$7*'Equity and Bond Returns'!AM25)+(Dashboard!$C$8*'Equity and Bond Returns'!EK25)</f>
        <v>-0.14527107302593617</v>
      </c>
      <c r="AB25" s="122">
        <f ca="1">(Dashboard!$C$7*'Equity and Bond Returns'!AN25)+(Dashboard!$C$8*'Equity and Bond Returns'!EL25)</f>
        <v>8.7285676751109001E-2</v>
      </c>
      <c r="AC25" s="122">
        <f ca="1">(Dashboard!$C$7*'Equity and Bond Returns'!AO25)+(Dashboard!$C$8*'Equity and Bond Returns'!EM25)</f>
        <v>-4.5392471318416588E-3</v>
      </c>
      <c r="AD25" s="122">
        <f ca="1">(Dashboard!$C$7*'Equity and Bond Returns'!AP25)+(Dashboard!$C$8*'Equity and Bond Returns'!EN25)</f>
        <v>-0.13961202581840265</v>
      </c>
      <c r="AE25" s="122">
        <f ca="1">(Dashboard!$C$7*'Equity and Bond Returns'!AQ25)+(Dashboard!$C$8*'Equity and Bond Returns'!EO25)</f>
        <v>-7.0124234299684174E-2</v>
      </c>
      <c r="AF25" s="122">
        <f ca="1">(Dashboard!$C$7*'Equity and Bond Returns'!AR25)+(Dashboard!$C$8*'Equity and Bond Returns'!EP25)</f>
        <v>0.30126132833969627</v>
      </c>
      <c r="AG25" s="122">
        <f ca="1">(Dashboard!$C$7*'Equity and Bond Returns'!AS25)+(Dashboard!$C$8*'Equity and Bond Returns'!EQ25)</f>
        <v>8.561039314275401E-2</v>
      </c>
      <c r="AH25" s="122">
        <f ca="1">(Dashboard!$C$7*'Equity and Bond Returns'!AT25)+(Dashboard!$C$8*'Equity and Bond Returns'!ER25)</f>
        <v>0.29856128195848786</v>
      </c>
      <c r="AI25" s="122">
        <f ca="1">(Dashboard!$C$7*'Equity and Bond Returns'!AU25)+(Dashboard!$C$8*'Equity and Bond Returns'!ES25)</f>
        <v>8.6578986456020773E-2</v>
      </c>
      <c r="AJ25" s="122">
        <f ca="1">(Dashboard!$C$7*'Equity and Bond Returns'!AV25)+(Dashboard!$C$8*'Equity and Bond Returns'!ET25)</f>
        <v>0.20131149203825674</v>
      </c>
      <c r="AK25" s="122">
        <f ca="1">(Dashboard!$C$7*'Equity and Bond Returns'!AW25)+(Dashboard!$C$8*'Equity and Bond Returns'!EU25)</f>
        <v>4.1605244092133981E-2</v>
      </c>
      <c r="AL25" s="122">
        <f ca="1">(Dashboard!$C$7*'Equity and Bond Returns'!AX25)+(Dashboard!$C$8*'Equity and Bond Returns'!EV25)</f>
        <v>-0.11342628799195043</v>
      </c>
      <c r="AM25" s="122">
        <f ca="1">(Dashboard!$C$7*'Equity and Bond Returns'!AY25)+(Dashboard!$C$8*'Equity and Bond Returns'!EW25)</f>
        <v>3.7597370857173948E-2</v>
      </c>
      <c r="AN25" s="122">
        <f ca="1">(Dashboard!$C$7*'Equity and Bond Returns'!AZ25)+(Dashboard!$C$8*'Equity and Bond Returns'!EX25)</f>
        <v>6.5961813610902309E-2</v>
      </c>
      <c r="AO25" s="122">
        <f ca="1">(Dashboard!$C$7*'Equity and Bond Returns'!BA25)+(Dashboard!$C$8*'Equity and Bond Returns'!EY25)</f>
        <v>-0.12255227084238907</v>
      </c>
      <c r="AP25" s="122">
        <f ca="1">(Dashboard!$C$7*'Equity and Bond Returns'!BB25)+(Dashboard!$C$8*'Equity and Bond Returns'!EZ25)</f>
        <v>-2.7422012481611635E-2</v>
      </c>
      <c r="AQ25" s="122">
        <f ca="1">(Dashboard!$C$7*'Equity and Bond Returns'!BC25)+(Dashboard!$C$8*'Equity and Bond Returns'!FA25)</f>
        <v>1.7392834983523425E-2</v>
      </c>
      <c r="AR25" s="122">
        <f ca="1">(Dashboard!$C$7*'Equity and Bond Returns'!BD25)+(Dashboard!$C$8*'Equity and Bond Returns'!FB25)</f>
        <v>0.22036044483597111</v>
      </c>
      <c r="AS25" s="122">
        <f ca="1">(Dashboard!$C$7*'Equity and Bond Returns'!BE25)+(Dashboard!$C$8*'Equity and Bond Returns'!FC25)</f>
        <v>-7.5970031449242498E-2</v>
      </c>
      <c r="AT25" s="122">
        <f ca="1">(Dashboard!$C$7*'Equity and Bond Returns'!BF25)+(Dashboard!$C$8*'Equity and Bond Returns'!FD25)</f>
        <v>0.14278445071894247</v>
      </c>
      <c r="AU25" s="122">
        <f ca="1">(Dashboard!$C$7*'Equity and Bond Returns'!BG25)+(Dashboard!$C$8*'Equity and Bond Returns'!FE25)</f>
        <v>0.24678727140374654</v>
      </c>
      <c r="AV25" s="122">
        <f ca="1">(Dashboard!$C$7*'Equity and Bond Returns'!BH25)+(Dashboard!$C$8*'Equity and Bond Returns'!FF25)</f>
        <v>8.7233913367847402E-2</v>
      </c>
      <c r="AW25" s="122">
        <f ca="1">(Dashboard!$C$7*'Equity and Bond Returns'!BI25)+(Dashboard!$C$8*'Equity and Bond Returns'!FG25)</f>
        <v>0.18730185133094532</v>
      </c>
      <c r="AX25" s="122">
        <f ca="1">(Dashboard!$C$7*'Equity and Bond Returns'!BJ25)+(Dashboard!$C$8*'Equity and Bond Returns'!FH25)</f>
        <v>-0.11070386736459449</v>
      </c>
      <c r="AY25" s="122">
        <f ca="1">(Dashboard!$C$7*'Equity and Bond Returns'!BK25)+(Dashboard!$C$8*'Equity and Bond Returns'!FI25)</f>
        <v>-2.9998074964328967E-2</v>
      </c>
      <c r="AZ25" s="122">
        <f ca="1">(Dashboard!$C$7*'Equity and Bond Returns'!BL25)+(Dashboard!$C$8*'Equity and Bond Returns'!FJ25)</f>
        <v>-3.0329895065901377E-4</v>
      </c>
      <c r="BA25" s="122">
        <f ca="1">(Dashboard!$C$7*'Equity and Bond Returns'!BM25)+(Dashboard!$C$8*'Equity and Bond Returns'!FK25)</f>
        <v>-0.14119666215417814</v>
      </c>
      <c r="BB25" s="122">
        <f ca="1">(Dashboard!$C$7*'Equity and Bond Returns'!BN25)+(Dashboard!$C$8*'Equity and Bond Returns'!FL25)</f>
        <v>-2.9650232875716696E-2</v>
      </c>
      <c r="BC25" s="122">
        <f ca="1">(Dashboard!$C$7*'Equity and Bond Returns'!BO25)+(Dashboard!$C$8*'Equity and Bond Returns'!FM25)</f>
        <v>0.25764708466912795</v>
      </c>
      <c r="BD25" s="122">
        <f ca="1">(Dashboard!$C$7*'Equity and Bond Returns'!BP25)+(Dashboard!$C$8*'Equity and Bond Returns'!FN25)</f>
        <v>8.6564224033126483E-2</v>
      </c>
      <c r="BE25" s="122">
        <f ca="1">(Dashboard!$C$7*'Equity and Bond Returns'!BQ25)+(Dashboard!$C$8*'Equity and Bond Returns'!FO25)</f>
        <v>0.13084041664734783</v>
      </c>
      <c r="BF25" s="122">
        <f ca="1">(Dashboard!$C$7*'Equity and Bond Returns'!BR25)+(Dashboard!$C$8*'Equity and Bond Returns'!FP25)</f>
        <v>0.22604891858932039</v>
      </c>
      <c r="BG25" s="122">
        <f ca="1">(Dashboard!$C$7*'Equity and Bond Returns'!BS25)+(Dashboard!$C$8*'Equity and Bond Returns'!FQ25)</f>
        <v>-4.5128437015976561E-2</v>
      </c>
      <c r="BH25" s="122">
        <f ca="1">(Dashboard!$C$7*'Equity and Bond Returns'!BT25)+(Dashboard!$C$8*'Equity and Bond Returns'!FR25)</f>
        <v>6.5736756076879815E-2</v>
      </c>
      <c r="BI25" s="122">
        <f ca="1">(Dashboard!$C$7*'Equity and Bond Returns'!BU25)+(Dashboard!$C$8*'Equity and Bond Returns'!FS25)</f>
        <v>-0.1707487772762675</v>
      </c>
      <c r="BJ25" s="122">
        <f ca="1">(Dashboard!$C$7*'Equity and Bond Returns'!BV25)+(Dashboard!$C$8*'Equity and Bond Returns'!FT25)</f>
        <v>0.22844804168953711</v>
      </c>
      <c r="BK25" s="122">
        <f ca="1">(Dashboard!$C$7*'Equity and Bond Returns'!BW25)+(Dashboard!$C$8*'Equity and Bond Returns'!FU25)</f>
        <v>2.2723144875894975E-2</v>
      </c>
      <c r="BL25" s="122">
        <f ca="1">(Dashboard!$C$7*'Equity and Bond Returns'!BX25)+(Dashboard!$C$8*'Equity and Bond Returns'!FV25)</f>
        <v>-4.9247290946139957E-2</v>
      </c>
      <c r="BM25" s="122">
        <f ca="1">(Dashboard!$C$7*'Equity and Bond Returns'!BY25)+(Dashboard!$C$8*'Equity and Bond Returns'!FW25)</f>
        <v>9.9413588937655811E-2</v>
      </c>
      <c r="BN25" s="122">
        <f ca="1">(Dashboard!$C$7*'Equity and Bond Returns'!BZ25)+(Dashboard!$C$8*'Equity and Bond Returns'!FX25)</f>
        <v>0.19185133867585413</v>
      </c>
      <c r="BO25" s="122">
        <f ca="1">(Dashboard!$C$7*'Equity and Bond Returns'!CA25)+(Dashboard!$C$8*'Equity and Bond Returns'!FY25)</f>
        <v>3.6620170996105553E-2</v>
      </c>
      <c r="BP25" s="122">
        <f ca="1">(Dashboard!$C$7*'Equity and Bond Returns'!CB25)+(Dashboard!$C$8*'Equity and Bond Returns'!FZ25)</f>
        <v>8.295376808024825E-2</v>
      </c>
      <c r="BQ25" s="122">
        <f ca="1">(Dashboard!$C$7*'Equity and Bond Returns'!CC25)+(Dashboard!$C$8*'Equity and Bond Returns'!GA25)</f>
        <v>0.12758492715778633</v>
      </c>
      <c r="BR25" s="122">
        <f ca="1">(Dashboard!$C$7*'Equity and Bond Returns'!CD25)+(Dashboard!$C$8*'Equity and Bond Returns'!GB25)</f>
        <v>2.2916791449027914E-2</v>
      </c>
      <c r="BS25" s="122">
        <f ca="1">(Dashboard!$C$7*'Equity and Bond Returns'!CE25)+(Dashboard!$C$8*'Equity and Bond Returns'!GC25)</f>
        <v>-0.11804048277735066</v>
      </c>
      <c r="BT25" s="122">
        <f ca="1">(Dashboard!$C$7*'Equity and Bond Returns'!CF25)+(Dashboard!$C$8*'Equity and Bond Returns'!GD25)</f>
        <v>0.10004190366951102</v>
      </c>
      <c r="BU25" s="122">
        <f ca="1">(Dashboard!$C$7*'Equity and Bond Returns'!CG25)+(Dashboard!$C$8*'Equity and Bond Returns'!GE25)</f>
        <v>1.3998743392962879E-2</v>
      </c>
      <c r="BV25" s="122">
        <f ca="1">(Dashboard!$C$7*'Equity and Bond Returns'!CH25)+(Dashboard!$C$8*'Equity and Bond Returns'!GF25)</f>
        <v>0.15516204387076563</v>
      </c>
      <c r="BW25" s="122">
        <f ca="1">(Dashboard!$C$7*'Equity and Bond Returns'!CI25)+(Dashboard!$C$8*'Equity and Bond Returns'!GG25)</f>
        <v>0.26652658555427533</v>
      </c>
      <c r="BX25" s="122">
        <f ca="1">(Dashboard!$C$7*'Equity and Bond Returns'!CJ25)+(Dashboard!$C$8*'Equity and Bond Returns'!GH25)</f>
        <v>0.26925981126042176</v>
      </c>
      <c r="BY25" s="122">
        <f ca="1">(Dashboard!$C$7*'Equity and Bond Returns'!CK25)+(Dashboard!$C$8*'Equity and Bond Returns'!GI25)</f>
        <v>6.2831801871860771E-2</v>
      </c>
      <c r="BZ25" s="122">
        <f ca="1">(Dashboard!$C$7*'Equity and Bond Returns'!CL25)+(Dashboard!$C$8*'Equity and Bond Returns'!GJ25)</f>
        <v>-9.9518196750683519E-2</v>
      </c>
      <c r="CA25" s="122">
        <f ca="1">(Dashboard!$C$7*'Equity and Bond Returns'!CM25)+(Dashboard!$C$8*'Equity and Bond Returns'!GK25)</f>
        <v>-8.8782463074289455E-2</v>
      </c>
      <c r="CB25" s="122">
        <f ca="1">(Dashboard!$C$7*'Equity and Bond Returns'!CN25)+(Dashboard!$C$8*'Equity and Bond Returns'!GL25)</f>
        <v>0.33699930503115483</v>
      </c>
      <c r="CC25" s="122">
        <f ca="1">(Dashboard!$C$7*'Equity and Bond Returns'!CO25)+(Dashboard!$C$8*'Equity and Bond Returns'!GM25)</f>
        <v>0.25113608695569456</v>
      </c>
      <c r="CD25" s="122">
        <f ca="1">(Dashboard!$C$7*'Equity and Bond Returns'!CP25)+(Dashboard!$C$8*'Equity and Bond Returns'!GN25)</f>
        <v>5.806441426797096E-2</v>
      </c>
      <c r="CE25" s="122">
        <f ca="1">(Dashboard!$C$7*'Equity and Bond Returns'!CQ25)+(Dashboard!$C$8*'Equity and Bond Returns'!GO25)</f>
        <v>0.14528248196539842</v>
      </c>
      <c r="CF25" s="122">
        <f ca="1">(Dashboard!$C$7*'Equity and Bond Returns'!CR25)+(Dashboard!$C$8*'Equity and Bond Returns'!GP25)</f>
        <v>8.0351189676063722E-2</v>
      </c>
      <c r="CG25" s="122">
        <f ca="1">(Dashboard!$C$7*'Equity and Bond Returns'!CS25)+(Dashboard!$C$8*'Equity and Bond Returns'!GQ25)</f>
        <v>0.1789997916973195</v>
      </c>
      <c r="CH25" s="122">
        <f ca="1">(Dashboard!$C$7*'Equity and Bond Returns'!CT25)+(Dashboard!$C$8*'Equity and Bond Returns'!GR25)</f>
        <v>5.5782773120552541E-2</v>
      </c>
      <c r="CI25" s="122">
        <f ca="1">(Dashboard!$C$7*'Equity and Bond Returns'!CU25)+(Dashboard!$C$8*'Equity and Bond Returns'!GS25)</f>
        <v>4.9919021594567133E-2</v>
      </c>
      <c r="CJ25" s="122">
        <f ca="1">(Dashboard!$C$7*'Equity and Bond Returns'!CV25)+(Dashboard!$C$8*'Equity and Bond Returns'!GT25)</f>
        <v>0.16664531787896775</v>
      </c>
      <c r="CK25" s="122">
        <f ca="1">(Dashboard!$C$7*'Equity and Bond Returns'!CW25)+(Dashboard!$C$8*'Equity and Bond Returns'!GU25)</f>
        <v>0.11410184347219307</v>
      </c>
      <c r="CL25" s="122">
        <f ca="1">(Dashboard!$C$7*'Equity and Bond Returns'!CX25)+(Dashboard!$C$8*'Equity and Bond Returns'!GV25)</f>
        <v>-1.9596631283801055E-3</v>
      </c>
      <c r="CM25" s="122">
        <f ca="1">(Dashboard!$C$7*'Equity and Bond Returns'!CY25)+(Dashboard!$C$8*'Equity and Bond Returns'!GW25)</f>
        <v>0.25372382745539362</v>
      </c>
      <c r="CN25" s="122">
        <f ca="1">(Dashboard!$C$7*'Equity and Bond Returns'!CZ25)+(Dashboard!$C$8*'Equity and Bond Returns'!GX25)</f>
        <v>0.34952613683715456</v>
      </c>
      <c r="CO25" s="122">
        <f ca="1">(Dashboard!$C$7*'Equity and Bond Returns'!DA25)+(Dashboard!$C$8*'Equity and Bond Returns'!GY25)</f>
        <v>8.3580020131188593E-2</v>
      </c>
      <c r="CP25" s="122">
        <f ca="1">(Dashboard!$C$7*'Equity and Bond Returns'!DB25)+(Dashboard!$C$8*'Equity and Bond Returns'!GZ25)</f>
        <v>6.20532791088792E-2</v>
      </c>
      <c r="CQ25" s="122">
        <f ca="1">(Dashboard!$C$7*'Equity and Bond Returns'!DC25)+(Dashboard!$C$8*'Equity and Bond Returns'!HA25)</f>
        <v>0.19987034573634288</v>
      </c>
      <c r="CR25" s="122">
        <f ca="1">(Dashboard!$C$7*'Equity and Bond Returns'!DD25)+(Dashboard!$C$8*'Equity and Bond Returns'!HB25)</f>
        <v>5.7285080645004469E-3</v>
      </c>
      <c r="CS25" s="122">
        <f ca="1">(Dashboard!$C$7*'Equity and Bond Returns'!DE25)+(Dashboard!$C$8*'Equity and Bond Returns'!HC25)</f>
        <v>0.20516544943067599</v>
      </c>
      <c r="CT25" s="122">
        <f ca="1">(Dashboard!$C$7*'Equity and Bond Returns'!DF25)+(Dashboard!$C$8*'Equity and Bond Returns'!HD25)</f>
        <v>-2.0936566311032904E-2</v>
      </c>
      <c r="CU25" s="122">
        <f ca="1">(Dashboard!$C$7*'Equity and Bond Returns'!DG25)+(Dashboard!$C$8*'Equity and Bond Returns'!HE25)</f>
        <v>-6.2395427251293219E-2</v>
      </c>
      <c r="CV25" s="122">
        <f ca="1">(Dashboard!$C$7*'Equity and Bond Returns'!DH25)+(Dashboard!$C$8*'Equity and Bond Returns'!HF25)</f>
        <v>-4.5310079434537881E-2</v>
      </c>
      <c r="CW25" s="122">
        <f ca="1">(Dashboard!$C$7*'Equity and Bond Returns'!DI25)+(Dashboard!$C$8*'Equity and Bond Returns'!HG25)</f>
        <v>0.14204632573248807</v>
      </c>
      <c r="CY25" s="147">
        <f t="shared" si="5"/>
        <v>74</v>
      </c>
      <c r="CZ25" s="148">
        <v>24</v>
      </c>
      <c r="DA25" s="126">
        <f ca="1">MAX(DA24*(1+B25)-(Dashboard!$C$11)/(1-Dashboard!$C$17)*((1+Dashboard!$C$12)^$CZ25),0)</f>
        <v>10058302.039221918</v>
      </c>
      <c r="DB25" s="126">
        <f ca="1">MAX(DB24*(1+C25)-(Dashboard!$C$11)/(1-Dashboard!$C$17)*((1+Dashboard!$C$12)^$CZ25),0)</f>
        <v>77713.837655628595</v>
      </c>
      <c r="DC25" s="126">
        <f ca="1">MAX(DC24*(1+D25)-(Dashboard!$C$11)/(1-Dashboard!$C$17)*((1+Dashboard!$C$12)^$CZ25),0)</f>
        <v>4142131.5299423756</v>
      </c>
      <c r="DD25" s="126">
        <f ca="1">MAX(DD24*(1+E25)-(Dashboard!$C$11)/(1-Dashboard!$C$17)*((1+Dashboard!$C$12)^$CZ25),0)</f>
        <v>778079.33130922343</v>
      </c>
      <c r="DE25" s="126">
        <f ca="1">MAX(DE24*(1+F25)-(Dashboard!$C$11)/(1-Dashboard!$C$17)*((1+Dashboard!$C$12)^$CZ25),0)</f>
        <v>3334040.8983557546</v>
      </c>
      <c r="DF25" s="126">
        <f ca="1">MAX(DF24*(1+G25)-(Dashboard!$C$11)/(1-Dashboard!$C$17)*((1+Dashboard!$C$12)^$CZ25),0)</f>
        <v>11941330.555601807</v>
      </c>
      <c r="DG25" s="126">
        <f ca="1">MAX(DG24*(1+H25)-(Dashboard!$C$11)/(1-Dashboard!$C$17)*((1+Dashboard!$C$12)^$CZ25),0)</f>
        <v>859542.17894518934</v>
      </c>
      <c r="DH25" s="126">
        <f ca="1">MAX(DH24*(1+I25)-(Dashboard!$C$11)/(1-Dashboard!$C$17)*((1+Dashboard!$C$12)^$CZ25),0)</f>
        <v>6434296.9217257686</v>
      </c>
      <c r="DI25" s="126">
        <f ca="1">MAX(DI24*(1+J25)-(Dashboard!$C$11)/(1-Dashboard!$C$17)*((1+Dashboard!$C$12)^$CZ25),0)</f>
        <v>2477473.4388175104</v>
      </c>
      <c r="DJ25" s="126">
        <f ca="1">MAX(DJ24*(1+K25)-(Dashboard!$C$11)/(1-Dashboard!$C$17)*((1+Dashboard!$C$12)^$CZ25),0)</f>
        <v>3025060.1370227798</v>
      </c>
      <c r="DK25" s="126">
        <f ca="1">MAX(DK24*(1+L25)-(Dashboard!$C$11)/(1-Dashboard!$C$17)*((1+Dashboard!$C$12)^$CZ25),0)</f>
        <v>13086314.279080963</v>
      </c>
      <c r="DL25" s="126">
        <f ca="1">MAX(DL24*(1+M25)-(Dashboard!$C$11)/(1-Dashboard!$C$17)*((1+Dashboard!$C$12)^$CZ25),0)</f>
        <v>619720.19482339895</v>
      </c>
      <c r="DM25" s="126">
        <f ca="1">MAX(DM24*(1+N25)-(Dashboard!$C$11)/(1-Dashboard!$C$17)*((1+Dashboard!$C$12)^$CZ25),0)</f>
        <v>3676574.7766908617</v>
      </c>
      <c r="DN25" s="126">
        <f ca="1">MAX(DN24*(1+O25)-(Dashboard!$C$11)/(1-Dashboard!$C$17)*((1+Dashboard!$C$12)^$CZ25),0)</f>
        <v>12804685.844382072</v>
      </c>
      <c r="DO25" s="126">
        <f ca="1">MAX(DO24*(1+P25)-(Dashboard!$C$11)/(1-Dashboard!$C$17)*((1+Dashboard!$C$12)^$CZ25),0)</f>
        <v>2769229.2840981437</v>
      </c>
      <c r="DP25" s="126">
        <f ca="1">MAX(DP24*(1+Q25)-(Dashboard!$C$11)/(1-Dashboard!$C$17)*((1+Dashboard!$C$12)^$CZ25),0)</f>
        <v>2556997.850700492</v>
      </c>
      <c r="DQ25" s="126">
        <f ca="1">MAX(DQ24*(1+R25)-(Dashboard!$C$11)/(1-Dashboard!$C$17)*((1+Dashboard!$C$12)^$CZ25),0)</f>
        <v>7783281.8339015171</v>
      </c>
      <c r="DR25" s="126">
        <f ca="1">MAX(DR24*(1+S25)-(Dashboard!$C$11)/(1-Dashboard!$C$17)*((1+Dashboard!$C$12)^$CZ25),0)</f>
        <v>11389687.014374208</v>
      </c>
      <c r="DS25" s="126">
        <f ca="1">MAX(DS24*(1+T25)-(Dashboard!$C$11)/(1-Dashboard!$C$17)*((1+Dashboard!$C$12)^$CZ25),0)</f>
        <v>1154169.0925187611</v>
      </c>
      <c r="DT25" s="126">
        <f ca="1">MAX(DT24*(1+U25)-(Dashboard!$C$11)/(1-Dashboard!$C$17)*((1+Dashboard!$C$12)^$CZ25),0)</f>
        <v>2998336.2888228111</v>
      </c>
      <c r="DU25" s="126">
        <f ca="1">MAX(DU24*(1+V25)-(Dashboard!$C$11)/(1-Dashboard!$C$17)*((1+Dashboard!$C$12)^$CZ25),0)</f>
        <v>5609072.742310958</v>
      </c>
      <c r="DV25" s="126">
        <f ca="1">MAX(DV24*(1+W25)-(Dashboard!$C$11)/(1-Dashboard!$C$17)*((1+Dashboard!$C$12)^$CZ25),0)</f>
        <v>10588398.520289952</v>
      </c>
      <c r="DW25" s="126">
        <f ca="1">MAX(DW24*(1+X25)-(Dashboard!$C$11)/(1-Dashboard!$C$17)*((1+Dashboard!$C$12)^$CZ25),0)</f>
        <v>3518377.5962084089</v>
      </c>
      <c r="DX25" s="126">
        <f ca="1">MAX(DX24*(1+Y25)-(Dashboard!$C$11)/(1-Dashboard!$C$17)*((1+Dashboard!$C$12)^$CZ25),0)</f>
        <v>2462367.5420094477</v>
      </c>
      <c r="DY25" s="126">
        <f ca="1">MAX(DY24*(1+Z25)-(Dashboard!$C$11)/(1-Dashboard!$C$17)*((1+Dashboard!$C$12)^$CZ25),0)</f>
        <v>4129341.6814377699</v>
      </c>
      <c r="DZ25" s="126">
        <f ca="1">MAX(DZ24*(1+AA25)-(Dashboard!$C$11)/(1-Dashboard!$C$17)*((1+Dashboard!$C$12)^$CZ25),0)</f>
        <v>726927.37874311267</v>
      </c>
      <c r="EA25" s="126">
        <f ca="1">MAX(EA24*(1+AB25)-(Dashboard!$C$11)/(1-Dashboard!$C$17)*((1+Dashboard!$C$12)^$CZ25),0)</f>
        <v>3595138.2167360135</v>
      </c>
      <c r="EB25" s="126">
        <f ca="1">MAX(EB24*(1+AC25)-(Dashboard!$C$11)/(1-Dashboard!$C$17)*((1+Dashboard!$C$12)^$CZ25),0)</f>
        <v>5842809.2841674741</v>
      </c>
      <c r="EC25" s="126">
        <f ca="1">MAX(EC24*(1+AD25)-(Dashboard!$C$11)/(1-Dashboard!$C$17)*((1+Dashboard!$C$12)^$CZ25),0)</f>
        <v>5296864.2200192632</v>
      </c>
      <c r="ED25" s="126">
        <f ca="1">MAX(ED24*(1+AE25)-(Dashboard!$C$11)/(1-Dashboard!$C$17)*((1+Dashboard!$C$12)^$CZ25),0)</f>
        <v>3874090.6383765433</v>
      </c>
      <c r="EE25" s="126">
        <f ca="1">MAX(EE24*(1+AF25)-(Dashboard!$C$11)/(1-Dashboard!$C$17)*((1+Dashboard!$C$12)^$CZ25),0)</f>
        <v>6532107.5855884226</v>
      </c>
      <c r="EF25" s="126">
        <f ca="1">MAX(EF24*(1+AG25)-(Dashboard!$C$11)/(1-Dashboard!$C$17)*((1+Dashboard!$C$12)^$CZ25),0)</f>
        <v>1567392.1925405294</v>
      </c>
      <c r="EG25" s="126">
        <f ca="1">MAX(EG24*(1+AH25)-(Dashboard!$C$11)/(1-Dashboard!$C$17)*((1+Dashboard!$C$12)^$CZ25),0)</f>
        <v>5905484.769084068</v>
      </c>
      <c r="EH25" s="126">
        <f ca="1">MAX(EH24*(1+AI25)-(Dashboard!$C$11)/(1-Dashboard!$C$17)*((1+Dashboard!$C$12)^$CZ25),0)</f>
        <v>4493905.5255900584</v>
      </c>
      <c r="EI25" s="126">
        <f ca="1">MAX(EI24*(1+AJ25)-(Dashboard!$C$11)/(1-Dashboard!$C$17)*((1+Dashboard!$C$12)^$CZ25),0)</f>
        <v>579880.90848191222</v>
      </c>
      <c r="EJ25" s="126">
        <f ca="1">MAX(EJ24*(1+AK25)-(Dashboard!$C$11)/(1-Dashboard!$C$17)*((1+Dashboard!$C$12)^$CZ25),0)</f>
        <v>4036502.1108562108</v>
      </c>
      <c r="EK25" s="126">
        <f ca="1">MAX(EK24*(1+AL25)-(Dashboard!$C$11)/(1-Dashboard!$C$17)*((1+Dashboard!$C$12)^$CZ25),0)</f>
        <v>4872147.209293115</v>
      </c>
      <c r="EL25" s="126">
        <f ca="1">MAX(EL24*(1+AM25)-(Dashboard!$C$11)/(1-Dashboard!$C$17)*((1+Dashboard!$C$12)^$CZ25),0)</f>
        <v>1279749.1624456255</v>
      </c>
      <c r="EM25" s="126">
        <f ca="1">MAX(EM24*(1+AN25)-(Dashboard!$C$11)/(1-Dashboard!$C$17)*((1+Dashboard!$C$12)^$CZ25),0)</f>
        <v>5970264.2596434047</v>
      </c>
      <c r="EN25" s="126">
        <f ca="1">MAX(EN24*(1+AO25)-(Dashboard!$C$11)/(1-Dashboard!$C$17)*((1+Dashboard!$C$12)^$CZ25),0)</f>
        <v>2246307.1483753114</v>
      </c>
      <c r="EO25" s="126">
        <f ca="1">MAX(EO24*(1+AP25)-(Dashboard!$C$11)/(1-Dashboard!$C$17)*((1+Dashboard!$C$12)^$CZ25),0)</f>
        <v>487676.78995344124</v>
      </c>
      <c r="EP25" s="126">
        <f ca="1">MAX(EP24*(1+AQ25)-(Dashboard!$C$11)/(1-Dashboard!$C$17)*((1+Dashboard!$C$12)^$CZ25),0)</f>
        <v>1664714.4911033076</v>
      </c>
      <c r="EQ25" s="126">
        <f ca="1">MAX(EQ24*(1+AR25)-(Dashboard!$C$11)/(1-Dashboard!$C$17)*((1+Dashboard!$C$12)^$CZ25),0)</f>
        <v>1943968.4285390947</v>
      </c>
      <c r="ER25" s="126">
        <f ca="1">MAX(ER24*(1+AS25)-(Dashboard!$C$11)/(1-Dashboard!$C$17)*((1+Dashboard!$C$12)^$CZ25),0)</f>
        <v>723383.26172084885</v>
      </c>
      <c r="ES25" s="126">
        <f ca="1">MAX(ES24*(1+AT25)-(Dashboard!$C$11)/(1-Dashboard!$C$17)*((1+Dashboard!$C$12)^$CZ25),0)</f>
        <v>5464579.7777679842</v>
      </c>
      <c r="ET25" s="126">
        <f ca="1">MAX(ET24*(1+AU25)-(Dashboard!$C$11)/(1-Dashboard!$C$17)*((1+Dashboard!$C$12)^$CZ25),0)</f>
        <v>2864150.5127761788</v>
      </c>
      <c r="EU25" s="126">
        <f ca="1">MAX(EU24*(1+AV25)-(Dashboard!$C$11)/(1-Dashboard!$C$17)*((1+Dashboard!$C$12)^$CZ25),0)</f>
        <v>2222185.6758614616</v>
      </c>
      <c r="EV25" s="126">
        <f ca="1">MAX(EV24*(1+AW25)-(Dashboard!$C$11)/(1-Dashboard!$C$17)*((1+Dashboard!$C$12)^$CZ25),0)</f>
        <v>8374821.2444016328</v>
      </c>
      <c r="EW25" s="126">
        <f ca="1">MAX(EW24*(1+AX25)-(Dashboard!$C$11)/(1-Dashboard!$C$17)*((1+Dashboard!$C$12)^$CZ25),0)</f>
        <v>1926614.0499544584</v>
      </c>
      <c r="EX25" s="126">
        <f ca="1">MAX(EX24*(1+AY25)-(Dashboard!$C$11)/(1-Dashboard!$C$17)*((1+Dashboard!$C$12)^$CZ25),0)</f>
        <v>2980745.8179519484</v>
      </c>
      <c r="EY25" s="126">
        <f ca="1">MAX(EY24*(1+AZ25)-(Dashboard!$C$11)/(1-Dashboard!$C$17)*((1+Dashboard!$C$12)^$CZ25),0)</f>
        <v>5987126.0293527246</v>
      </c>
      <c r="EZ25" s="126">
        <f ca="1">MAX(EZ24*(1+BA25)-(Dashboard!$C$11)/(1-Dashboard!$C$17)*((1+Dashboard!$C$12)^$CZ25),0)</f>
        <v>2879826.345298931</v>
      </c>
      <c r="FA25" s="126">
        <f ca="1">MAX(FA24*(1+BB25)-(Dashboard!$C$11)/(1-Dashboard!$C$17)*((1+Dashboard!$C$12)^$CZ25),0)</f>
        <v>9317290.0017624255</v>
      </c>
      <c r="FB25" s="126">
        <f ca="1">MAX(FB24*(1+BC25)-(Dashboard!$C$11)/(1-Dashboard!$C$17)*((1+Dashboard!$C$12)^$CZ25),0)</f>
        <v>891142.45375053631</v>
      </c>
      <c r="FC25" s="126">
        <f ca="1">MAX(FC24*(1+BD25)-(Dashboard!$C$11)/(1-Dashboard!$C$17)*((1+Dashboard!$C$12)^$CZ25),0)</f>
        <v>7310450.212085125</v>
      </c>
      <c r="FD25" s="126">
        <f ca="1">MAX(FD24*(1+BE25)-(Dashboard!$C$11)/(1-Dashboard!$C$17)*((1+Dashboard!$C$12)^$CZ25),0)</f>
        <v>8323910.1640412565</v>
      </c>
      <c r="FE25" s="126">
        <f ca="1">MAX(FE24*(1+BF25)-(Dashboard!$C$11)/(1-Dashboard!$C$17)*((1+Dashboard!$C$12)^$CZ25),0)</f>
        <v>10385323.099679366</v>
      </c>
      <c r="FF25" s="126">
        <f ca="1">MAX(FF24*(1+BG25)-(Dashboard!$C$11)/(1-Dashboard!$C$17)*((1+Dashboard!$C$12)^$CZ25),0)</f>
        <v>2762443.0759977777</v>
      </c>
      <c r="FG25" s="126">
        <f ca="1">MAX(FG24*(1+BH25)-(Dashboard!$C$11)/(1-Dashboard!$C$17)*((1+Dashboard!$C$12)^$CZ25),0)</f>
        <v>4383970.175622412</v>
      </c>
      <c r="FH25" s="126">
        <f ca="1">MAX(FH24*(1+BI25)-(Dashboard!$C$11)/(1-Dashboard!$C$17)*((1+Dashboard!$C$12)^$CZ25),0)</f>
        <v>2481289.0269755847</v>
      </c>
      <c r="FI25" s="126">
        <f ca="1">MAX(FI24*(1+BJ25)-(Dashboard!$C$11)/(1-Dashboard!$C$17)*((1+Dashboard!$C$12)^$CZ25),0)</f>
        <v>6361409.4377237372</v>
      </c>
      <c r="FJ25" s="126">
        <f ca="1">MAX(FJ24*(1+BK25)-(Dashboard!$C$11)/(1-Dashboard!$C$17)*((1+Dashboard!$C$12)^$CZ25),0)</f>
        <v>2586239.9909438128</v>
      </c>
      <c r="FK25" s="126">
        <f ca="1">MAX(FK24*(1+BL25)-(Dashboard!$C$11)/(1-Dashboard!$C$17)*((1+Dashboard!$C$12)^$CZ25),0)</f>
        <v>3542519.0399095197</v>
      </c>
      <c r="FL25" s="126">
        <f ca="1">MAX(FL24*(1+BM25)-(Dashboard!$C$11)/(1-Dashboard!$C$17)*((1+Dashboard!$C$12)^$CZ25),0)</f>
        <v>4190951.0988342301</v>
      </c>
      <c r="FM25" s="126">
        <f ca="1">MAX(FM24*(1+BN25)-(Dashboard!$C$11)/(1-Dashboard!$C$17)*((1+Dashboard!$C$12)^$CZ25),0)</f>
        <v>6526475.1811676109</v>
      </c>
      <c r="FN25" s="126">
        <f ca="1">MAX(FN24*(1+BO25)-(Dashboard!$C$11)/(1-Dashboard!$C$17)*((1+Dashboard!$C$12)^$CZ25),0)</f>
        <v>415145.21810280567</v>
      </c>
      <c r="FO25" s="126">
        <f ca="1">MAX(FO24*(1+BP25)-(Dashboard!$C$11)/(1-Dashboard!$C$17)*((1+Dashboard!$C$12)^$CZ25),0)</f>
        <v>4136995.6736623598</v>
      </c>
      <c r="FP25" s="126">
        <f ca="1">MAX(FP24*(1+BQ25)-(Dashboard!$C$11)/(1-Dashboard!$C$17)*((1+Dashboard!$C$12)^$CZ25),0)</f>
        <v>4939327.0311106974</v>
      </c>
      <c r="FQ25" s="126">
        <f ca="1">MAX(FQ24*(1+BR25)-(Dashboard!$C$11)/(1-Dashboard!$C$17)*((1+Dashboard!$C$12)^$CZ25),0)</f>
        <v>2829394.6745420536</v>
      </c>
      <c r="FR25" s="126">
        <f ca="1">MAX(FR24*(1+BS25)-(Dashboard!$C$11)/(1-Dashboard!$C$17)*((1+Dashboard!$C$12)^$CZ25),0)</f>
        <v>4838732.8920044331</v>
      </c>
      <c r="FS25" s="126">
        <f ca="1">MAX(FS24*(1+BT25)-(Dashboard!$C$11)/(1-Dashboard!$C$17)*((1+Dashboard!$C$12)^$CZ25),0)</f>
        <v>5670720.913151552</v>
      </c>
      <c r="FT25" s="126">
        <f ca="1">MAX(FT24*(1+BU25)-(Dashboard!$C$11)/(1-Dashboard!$C$17)*((1+Dashboard!$C$12)^$CZ25),0)</f>
        <v>1443854.5978080009</v>
      </c>
      <c r="FU25" s="126">
        <f ca="1">MAX(FU24*(1+BV25)-(Dashboard!$C$11)/(1-Dashboard!$C$17)*((1+Dashboard!$C$12)^$CZ25),0)</f>
        <v>2404225.5328046111</v>
      </c>
      <c r="FV25" s="126">
        <f ca="1">MAX(FV24*(1+BW25)-(Dashboard!$C$11)/(1-Dashboard!$C$17)*((1+Dashboard!$C$12)^$CZ25),0)</f>
        <v>2545878.4910945175</v>
      </c>
      <c r="FW25" s="126">
        <f ca="1">MAX(FW24*(1+BX25)-(Dashboard!$C$11)/(1-Dashboard!$C$17)*((1+Dashboard!$C$12)^$CZ25),0)</f>
        <v>3239477.2981705889</v>
      </c>
      <c r="FX25" s="126">
        <f ca="1">MAX(FX24*(1+BY25)-(Dashboard!$C$11)/(1-Dashboard!$C$17)*((1+Dashboard!$C$12)^$CZ25),0)</f>
        <v>1474122.2441398716</v>
      </c>
      <c r="FY25" s="126">
        <f ca="1">MAX(FY24*(1+BZ25)-(Dashboard!$C$11)/(1-Dashboard!$C$17)*((1+Dashboard!$C$12)^$CZ25),0)</f>
        <v>2116251.6393995038</v>
      </c>
      <c r="FZ25" s="126">
        <f ca="1">MAX(FZ24*(1+CA25)-(Dashboard!$C$11)/(1-Dashboard!$C$17)*((1+Dashboard!$C$12)^$CZ25),0)</f>
        <v>6645505.5176847689</v>
      </c>
      <c r="GA25" s="126">
        <f ca="1">MAX(GA24*(1+CB25)-(Dashboard!$C$11)/(1-Dashboard!$C$17)*((1+Dashboard!$C$12)^$CZ25),0)</f>
        <v>8835960.3959931973</v>
      </c>
      <c r="GB25" s="126">
        <f ca="1">MAX(GB24*(1+CC25)-(Dashboard!$C$11)/(1-Dashboard!$C$17)*((1+Dashboard!$C$12)^$CZ25),0)</f>
        <v>1645465.2490346178</v>
      </c>
      <c r="GC25" s="126">
        <f ca="1">MAX(GC24*(1+CD25)-(Dashboard!$C$11)/(1-Dashboard!$C$17)*((1+Dashboard!$C$12)^$CZ25),0)</f>
        <v>5814722.0996844163</v>
      </c>
      <c r="GD25" s="126">
        <f ca="1">MAX(GD24*(1+CE25)-(Dashboard!$C$11)/(1-Dashboard!$C$17)*((1+Dashboard!$C$12)^$CZ25),0)</f>
        <v>14773189.619413035</v>
      </c>
      <c r="GE25" s="126">
        <f ca="1">MAX(GE24*(1+CF25)-(Dashboard!$C$11)/(1-Dashboard!$C$17)*((1+Dashboard!$C$12)^$CZ25),0)</f>
        <v>2218895.8610635772</v>
      </c>
      <c r="GF25" s="126">
        <f ca="1">MAX(GF24*(1+CG25)-(Dashboard!$C$11)/(1-Dashboard!$C$17)*((1+Dashboard!$C$12)^$CZ25),0)</f>
        <v>7152064.3494120808</v>
      </c>
      <c r="GG25" s="126">
        <f ca="1">MAX(GG24*(1+CH25)-(Dashboard!$C$11)/(1-Dashboard!$C$17)*((1+Dashboard!$C$12)^$CZ25),0)</f>
        <v>947857.60610743356</v>
      </c>
      <c r="GH25" s="126">
        <f ca="1">MAX(GH24*(1+CI25)-(Dashboard!$C$11)/(1-Dashboard!$C$17)*((1+Dashboard!$C$12)^$CZ25),0)</f>
        <v>2399570.8458419023</v>
      </c>
      <c r="GI25" s="126">
        <f ca="1">MAX(GI24*(1+CJ25)-(Dashboard!$C$11)/(1-Dashboard!$C$17)*((1+Dashboard!$C$12)^$CZ25),0)</f>
        <v>2730526.591084979</v>
      </c>
      <c r="GJ25" s="126">
        <f ca="1">MAX(GJ24*(1+CK25)-(Dashboard!$C$11)/(1-Dashboard!$C$17)*((1+Dashboard!$C$12)^$CZ25),0)</f>
        <v>7404421.2852222435</v>
      </c>
      <c r="GK25" s="126">
        <f ca="1">MAX(GK24*(1+CL25)-(Dashboard!$C$11)/(1-Dashboard!$C$17)*((1+Dashboard!$C$12)^$CZ25),0)</f>
        <v>5760548.8300415697</v>
      </c>
      <c r="GL25" s="126">
        <f ca="1">MAX(GL24*(1+CM25)-(Dashboard!$C$11)/(1-Dashboard!$C$17)*((1+Dashboard!$C$12)^$CZ25),0)</f>
        <v>5745402.8623609645</v>
      </c>
      <c r="GM25" s="126">
        <f ca="1">MAX(GM24*(1+CN25)-(Dashboard!$C$11)/(1-Dashboard!$C$17)*((1+Dashboard!$C$12)^$CZ25),0)</f>
        <v>2160175.7097447291</v>
      </c>
      <c r="GN25" s="126">
        <f ca="1">MAX(GN24*(1+CO25)-(Dashboard!$C$11)/(1-Dashboard!$C$17)*((1+Dashboard!$C$12)^$CZ25),0)</f>
        <v>224434.11569637066</v>
      </c>
      <c r="GO25" s="126">
        <f ca="1">MAX(GO24*(1+CP25)-(Dashboard!$C$11)/(1-Dashboard!$C$17)*((1+Dashboard!$C$12)^$CZ25),0)</f>
        <v>2160915.6965787192</v>
      </c>
      <c r="GP25" s="126">
        <f ca="1">MAX(GP24*(1+CQ25)-(Dashboard!$C$11)/(1-Dashboard!$C$17)*((1+Dashboard!$C$12)^$CZ25),0)</f>
        <v>2726188.7907538633</v>
      </c>
      <c r="GQ25" s="126">
        <f ca="1">MAX(GQ24*(1+CR25)-(Dashboard!$C$11)/(1-Dashboard!$C$17)*((1+Dashboard!$C$12)^$CZ25),0)</f>
        <v>675557.70040838968</v>
      </c>
      <c r="GR25" s="126">
        <f ca="1">MAX(GR24*(1+CS25)-(Dashboard!$C$11)/(1-Dashboard!$C$17)*((1+Dashboard!$C$12)^$CZ25),0)</f>
        <v>1873552.14190896</v>
      </c>
      <c r="GS25" s="126">
        <f ca="1">MAX(GS24*(1+CT25)-(Dashboard!$C$11)/(1-Dashboard!$C$17)*((1+Dashboard!$C$12)^$CZ25),0)</f>
        <v>3281005.6545759388</v>
      </c>
      <c r="GT25" s="126">
        <f ca="1">MAX(GT24*(1+CU25)-(Dashboard!$C$11)/(1-Dashboard!$C$17)*((1+Dashboard!$C$12)^$CZ25),0)</f>
        <v>15073629.418593556</v>
      </c>
      <c r="GU25" s="126">
        <f ca="1">MAX(GU24*(1+CV25)-(Dashboard!$C$11)/(1-Dashboard!$C$17)*((1+Dashboard!$C$12)^$CZ25),0)</f>
        <v>1787116.7427014927</v>
      </c>
      <c r="GV25" s="126">
        <f ca="1">MAX(GV24*(1+CW25)-(Dashboard!$C$11)/(1-Dashboard!$C$17)*((1+Dashboard!$C$12)^$CZ25),0)</f>
        <v>1731541.2613544429</v>
      </c>
      <c r="GW25" s="115">
        <f t="shared" si="4"/>
        <v>74</v>
      </c>
      <c r="GX25" s="130">
        <f t="shared" ca="1" si="2"/>
        <v>100</v>
      </c>
      <c r="HC25" s="130">
        <f t="shared" si="0"/>
        <v>74</v>
      </c>
      <c r="HD25" s="137">
        <f t="shared" ca="1" si="6"/>
        <v>1930952.6446006175</v>
      </c>
      <c r="HE25" s="137">
        <f t="shared" ca="1" si="6"/>
        <v>3132268.7175966846</v>
      </c>
      <c r="HF25" s="137">
        <f t="shared" ca="1" si="6"/>
        <v>5835787.4880467094</v>
      </c>
    </row>
    <row r="26" spans="1:214" ht="16">
      <c r="A26" s="145">
        <f t="shared" si="3"/>
        <v>75</v>
      </c>
      <c r="B26" s="122">
        <f ca="1">(Dashboard!$C$7*'Equity and Bond Returns'!N26)+(Dashboard!$C$8*'Equity and Bond Returns'!DL26)</f>
        <v>8.5774930791552267E-2</v>
      </c>
      <c r="C26" s="122">
        <f ca="1">(Dashboard!$C$7*'Equity and Bond Returns'!O26)+(Dashboard!$C$8*'Equity and Bond Returns'!DM26)</f>
        <v>-8.1721781217458045E-2</v>
      </c>
      <c r="D26" s="122">
        <f ca="1">(Dashboard!$C$7*'Equity and Bond Returns'!P26)+(Dashboard!$C$8*'Equity and Bond Returns'!DN26)</f>
        <v>0.21296395384515066</v>
      </c>
      <c r="E26" s="122">
        <f ca="1">(Dashboard!$C$7*'Equity and Bond Returns'!Q26)+(Dashboard!$C$8*'Equity and Bond Returns'!DO26)</f>
        <v>0.27487141942733129</v>
      </c>
      <c r="F26" s="122">
        <f ca="1">(Dashboard!$C$7*'Equity and Bond Returns'!R26)+(Dashboard!$C$8*'Equity and Bond Returns'!DP26)</f>
        <v>0.32457963115419536</v>
      </c>
      <c r="G26" s="122">
        <f ca="1">(Dashboard!$C$7*'Equity and Bond Returns'!S26)+(Dashboard!$C$8*'Equity and Bond Returns'!DQ26)</f>
        <v>7.9816642493793777E-2</v>
      </c>
      <c r="H26" s="122">
        <f ca="1">(Dashboard!$C$7*'Equity and Bond Returns'!T26)+(Dashboard!$C$8*'Equity and Bond Returns'!DR26)</f>
        <v>0.16955123628462193</v>
      </c>
      <c r="I26" s="122">
        <f ca="1">(Dashboard!$C$7*'Equity and Bond Returns'!U26)+(Dashboard!$C$8*'Equity and Bond Returns'!DS26)</f>
        <v>0.11192875208854847</v>
      </c>
      <c r="J26" s="122">
        <f ca="1">(Dashboard!$C$7*'Equity and Bond Returns'!V26)+(Dashboard!$C$8*'Equity and Bond Returns'!DT26)</f>
        <v>1.5780806626741611E-2</v>
      </c>
      <c r="K26" s="122">
        <f ca="1">(Dashboard!$C$7*'Equity and Bond Returns'!W26)+(Dashboard!$C$8*'Equity and Bond Returns'!DU26)</f>
        <v>9.3014005957823359E-2</v>
      </c>
      <c r="L26" s="122">
        <f ca="1">(Dashboard!$C$7*'Equity and Bond Returns'!X26)+(Dashboard!$C$8*'Equity and Bond Returns'!DV26)</f>
        <v>0.20722455847959417</v>
      </c>
      <c r="M26" s="122">
        <f ca="1">(Dashboard!$C$7*'Equity and Bond Returns'!Y26)+(Dashboard!$C$8*'Equity and Bond Returns'!DW26)</f>
        <v>0.15967104196305029</v>
      </c>
      <c r="N26" s="122">
        <f ca="1">(Dashboard!$C$7*'Equity and Bond Returns'!Z26)+(Dashboard!$C$8*'Equity and Bond Returns'!DX26)</f>
        <v>9.7194220656168548E-2</v>
      </c>
      <c r="O26" s="122">
        <f ca="1">(Dashboard!$C$7*'Equity and Bond Returns'!AA26)+(Dashboard!$C$8*'Equity and Bond Returns'!DY26)</f>
        <v>0.15754282457739041</v>
      </c>
      <c r="P26" s="122">
        <f ca="1">(Dashboard!$C$7*'Equity and Bond Returns'!AB26)+(Dashboard!$C$8*'Equity and Bond Returns'!DZ26)</f>
        <v>0.19210682862836373</v>
      </c>
      <c r="Q26" s="122">
        <f ca="1">(Dashboard!$C$7*'Equity and Bond Returns'!AC26)+(Dashboard!$C$8*'Equity and Bond Returns'!EA26)</f>
        <v>-0.22451492113436758</v>
      </c>
      <c r="R26" s="122">
        <f ca="1">(Dashboard!$C$7*'Equity and Bond Returns'!AD26)+(Dashboard!$C$8*'Equity and Bond Returns'!EB26)</f>
        <v>0.13365629330278175</v>
      </c>
      <c r="S26" s="122">
        <f ca="1">(Dashboard!$C$7*'Equity and Bond Returns'!AE26)+(Dashboard!$C$8*'Equity and Bond Returns'!EC26)</f>
        <v>5.7570073465809932E-2</v>
      </c>
      <c r="T26" s="122">
        <f ca="1">(Dashboard!$C$7*'Equity and Bond Returns'!AF26)+(Dashboard!$C$8*'Equity and Bond Returns'!ED26)</f>
        <v>-3.6764272141169306E-2</v>
      </c>
      <c r="U26" s="122">
        <f ca="1">(Dashboard!$C$7*'Equity and Bond Returns'!AG26)+(Dashboard!$C$8*'Equity and Bond Returns'!EE26)</f>
        <v>9.1788749280490828E-2</v>
      </c>
      <c r="V26" s="122">
        <f ca="1">(Dashboard!$C$7*'Equity and Bond Returns'!AH26)+(Dashboard!$C$8*'Equity and Bond Returns'!EF26)</f>
        <v>-8.6623339769693039E-2</v>
      </c>
      <c r="W26" s="122">
        <f ca="1">(Dashboard!$C$7*'Equity and Bond Returns'!AI26)+(Dashboard!$C$8*'Equity and Bond Returns'!EG26)</f>
        <v>8.499984767041438E-2</v>
      </c>
      <c r="X26" s="122">
        <f ca="1">(Dashboard!$C$7*'Equity and Bond Returns'!AJ26)+(Dashboard!$C$8*'Equity and Bond Returns'!EH26)</f>
        <v>0.32217902004596588</v>
      </c>
      <c r="Y26" s="122">
        <f ca="1">(Dashboard!$C$7*'Equity and Bond Returns'!AK26)+(Dashboard!$C$8*'Equity and Bond Returns'!EI26)</f>
        <v>0.14126674423925203</v>
      </c>
      <c r="Z26" s="122">
        <f ca="1">(Dashboard!$C$7*'Equity and Bond Returns'!AL26)+(Dashboard!$C$8*'Equity and Bond Returns'!EJ26)</f>
        <v>0.17487012618051265</v>
      </c>
      <c r="AA26" s="122">
        <f ca="1">(Dashboard!$C$7*'Equity and Bond Returns'!AM26)+(Dashboard!$C$8*'Equity and Bond Returns'!EK26)</f>
        <v>-2.5184656293972159E-2</v>
      </c>
      <c r="AB26" s="122">
        <f ca="1">(Dashboard!$C$7*'Equity and Bond Returns'!AN26)+(Dashboard!$C$8*'Equity and Bond Returns'!EL26)</f>
        <v>4.0296077615121689E-2</v>
      </c>
      <c r="AC26" s="122">
        <f ca="1">(Dashboard!$C$7*'Equity and Bond Returns'!AO26)+(Dashboard!$C$8*'Equity and Bond Returns'!EM26)</f>
        <v>0.12111961454817829</v>
      </c>
      <c r="AD26" s="122">
        <f ca="1">(Dashboard!$C$7*'Equity and Bond Returns'!AP26)+(Dashboard!$C$8*'Equity and Bond Returns'!EN26)</f>
        <v>-0.15469942970276068</v>
      </c>
      <c r="AE26" s="122">
        <f ca="1">(Dashboard!$C$7*'Equity and Bond Returns'!AQ26)+(Dashboard!$C$8*'Equity and Bond Returns'!EO26)</f>
        <v>5.5305497643473103E-3</v>
      </c>
      <c r="AF26" s="122">
        <f ca="1">(Dashboard!$C$7*'Equity and Bond Returns'!AR26)+(Dashboard!$C$8*'Equity and Bond Returns'!EP26)</f>
        <v>0.10969800677011179</v>
      </c>
      <c r="AG26" s="122">
        <f ca="1">(Dashboard!$C$7*'Equity and Bond Returns'!AS26)+(Dashboard!$C$8*'Equity and Bond Returns'!EQ26)</f>
        <v>-2.6025668350958923E-2</v>
      </c>
      <c r="AH26" s="122">
        <f ca="1">(Dashboard!$C$7*'Equity and Bond Returns'!AT26)+(Dashboard!$C$8*'Equity and Bond Returns'!ER26)</f>
        <v>0.14711023634221793</v>
      </c>
      <c r="AI26" s="122">
        <f ca="1">(Dashboard!$C$7*'Equity and Bond Returns'!AU26)+(Dashboard!$C$8*'Equity and Bond Returns'!ES26)</f>
        <v>0.21779964698821824</v>
      </c>
      <c r="AJ26" s="122">
        <f ca="1">(Dashboard!$C$7*'Equity and Bond Returns'!AV26)+(Dashboard!$C$8*'Equity and Bond Returns'!ET26)</f>
        <v>0.21786560774124927</v>
      </c>
      <c r="AK26" s="122">
        <f ca="1">(Dashboard!$C$7*'Equity and Bond Returns'!AW26)+(Dashboard!$C$8*'Equity and Bond Returns'!EU26)</f>
        <v>5.4326149329139706E-5</v>
      </c>
      <c r="AL26" s="122">
        <f ca="1">(Dashboard!$C$7*'Equity and Bond Returns'!AX26)+(Dashboard!$C$8*'Equity and Bond Returns'!EV26)</f>
        <v>0.16201845250045285</v>
      </c>
      <c r="AM26" s="122">
        <f ca="1">(Dashboard!$C$7*'Equity and Bond Returns'!AY26)+(Dashboard!$C$8*'Equity and Bond Returns'!EW26)</f>
        <v>0.13171592620551201</v>
      </c>
      <c r="AN26" s="122">
        <f ca="1">(Dashboard!$C$7*'Equity and Bond Returns'!AZ26)+(Dashboard!$C$8*'Equity and Bond Returns'!EX26)</f>
        <v>0.23982585026509928</v>
      </c>
      <c r="AO26" s="122">
        <f ca="1">(Dashboard!$C$7*'Equity and Bond Returns'!BA26)+(Dashboard!$C$8*'Equity and Bond Returns'!EY26)</f>
        <v>0.26009624265439424</v>
      </c>
      <c r="AP26" s="122">
        <f ca="1">(Dashboard!$C$7*'Equity and Bond Returns'!BB26)+(Dashboard!$C$8*'Equity and Bond Returns'!EZ26)</f>
        <v>0.11308769762205539</v>
      </c>
      <c r="AQ26" s="122">
        <f ca="1">(Dashboard!$C$7*'Equity and Bond Returns'!BC26)+(Dashboard!$C$8*'Equity and Bond Returns'!FA26)</f>
        <v>0.19945471678527338</v>
      </c>
      <c r="AR26" s="122">
        <f ca="1">(Dashboard!$C$7*'Equity and Bond Returns'!BD26)+(Dashboard!$C$8*'Equity and Bond Returns'!FB26)</f>
        <v>0.19730187649026215</v>
      </c>
      <c r="AS26" s="122">
        <f ca="1">(Dashboard!$C$7*'Equity and Bond Returns'!BE26)+(Dashboard!$C$8*'Equity and Bond Returns'!FC26)</f>
        <v>0.33101653982418699</v>
      </c>
      <c r="AT26" s="122">
        <f ca="1">(Dashboard!$C$7*'Equity and Bond Returns'!BF26)+(Dashboard!$C$8*'Equity and Bond Returns'!FD26)</f>
        <v>0.11680809857522179</v>
      </c>
      <c r="AU26" s="122">
        <f ca="1">(Dashboard!$C$7*'Equity and Bond Returns'!BG26)+(Dashboard!$C$8*'Equity and Bond Returns'!FE26)</f>
        <v>1.5152310553008388E-2</v>
      </c>
      <c r="AV26" s="122">
        <f ca="1">(Dashboard!$C$7*'Equity and Bond Returns'!BH26)+(Dashboard!$C$8*'Equity and Bond Returns'!FF26)</f>
        <v>0.18367914239568942</v>
      </c>
      <c r="AW26" s="122">
        <f ca="1">(Dashboard!$C$7*'Equity and Bond Returns'!BI26)+(Dashboard!$C$8*'Equity and Bond Returns'!FG26)</f>
        <v>0.34034815726539802</v>
      </c>
      <c r="AX26" s="122">
        <f ca="1">(Dashboard!$C$7*'Equity and Bond Returns'!BJ26)+(Dashboard!$C$8*'Equity and Bond Returns'!FH26)</f>
        <v>2.7140982707097337E-2</v>
      </c>
      <c r="AY26" s="122">
        <f ca="1">(Dashboard!$C$7*'Equity and Bond Returns'!BK26)+(Dashboard!$C$8*'Equity and Bond Returns'!FI26)</f>
        <v>-4.52891557499467E-2</v>
      </c>
      <c r="AZ26" s="122">
        <f ca="1">(Dashboard!$C$7*'Equity and Bond Returns'!BL26)+(Dashboard!$C$8*'Equity and Bond Returns'!FJ26)</f>
        <v>0.26699520912861741</v>
      </c>
      <c r="BA26" s="122">
        <f ca="1">(Dashboard!$C$7*'Equity and Bond Returns'!BM26)+(Dashboard!$C$8*'Equity and Bond Returns'!FK26)</f>
        <v>0.24811804896159442</v>
      </c>
      <c r="BB26" s="122">
        <f ca="1">(Dashboard!$C$7*'Equity and Bond Returns'!BN26)+(Dashboard!$C$8*'Equity and Bond Returns'!FL26)</f>
        <v>2.3165129591500959E-2</v>
      </c>
      <c r="BC26" s="122">
        <f ca="1">(Dashboard!$C$7*'Equity and Bond Returns'!BO26)+(Dashboard!$C$8*'Equity and Bond Returns'!FM26)</f>
        <v>0.12467274807302539</v>
      </c>
      <c r="BD26" s="122">
        <f ca="1">(Dashboard!$C$7*'Equity and Bond Returns'!BP26)+(Dashboard!$C$8*'Equity and Bond Returns'!FN26)</f>
        <v>6.2388045872489778E-2</v>
      </c>
      <c r="BE26" s="122">
        <f ca="1">(Dashboard!$C$7*'Equity and Bond Returns'!BQ26)+(Dashboard!$C$8*'Equity and Bond Returns'!FO26)</f>
        <v>0.1667477084469243</v>
      </c>
      <c r="BF26" s="122">
        <f ca="1">(Dashboard!$C$7*'Equity and Bond Returns'!BR26)+(Dashboard!$C$8*'Equity and Bond Returns'!FP26)</f>
        <v>0.15388623401090909</v>
      </c>
      <c r="BG26" s="122">
        <f ca="1">(Dashboard!$C$7*'Equity and Bond Returns'!BS26)+(Dashboard!$C$8*'Equity and Bond Returns'!FQ26)</f>
        <v>-7.8509109225876034E-2</v>
      </c>
      <c r="BH26" s="122">
        <f ca="1">(Dashboard!$C$7*'Equity and Bond Returns'!BT26)+(Dashboard!$C$8*'Equity and Bond Returns'!FR26)</f>
        <v>0.17505862631633323</v>
      </c>
      <c r="BI26" s="122">
        <f ca="1">(Dashboard!$C$7*'Equity and Bond Returns'!BU26)+(Dashboard!$C$8*'Equity and Bond Returns'!FS26)</f>
        <v>-2.4841990153508823E-3</v>
      </c>
      <c r="BJ26" s="122">
        <f ca="1">(Dashboard!$C$7*'Equity and Bond Returns'!BV26)+(Dashboard!$C$8*'Equity and Bond Returns'!FT26)</f>
        <v>0.16957041385107488</v>
      </c>
      <c r="BK26" s="122">
        <f ca="1">(Dashboard!$C$7*'Equity and Bond Returns'!BW26)+(Dashboard!$C$8*'Equity and Bond Returns'!FU26)</f>
        <v>1.7928160632819962E-2</v>
      </c>
      <c r="BL26" s="122">
        <f ca="1">(Dashboard!$C$7*'Equity and Bond Returns'!BX26)+(Dashboard!$C$8*'Equity and Bond Returns'!FV26)</f>
        <v>0.26297138629492822</v>
      </c>
      <c r="BM26" s="122">
        <f ca="1">(Dashboard!$C$7*'Equity and Bond Returns'!BY26)+(Dashboard!$C$8*'Equity and Bond Returns'!FW26)</f>
        <v>-0.10224032956794557</v>
      </c>
      <c r="BN26" s="122">
        <f ca="1">(Dashboard!$C$7*'Equity and Bond Returns'!BZ26)+(Dashboard!$C$8*'Equity and Bond Returns'!FX26)</f>
        <v>0.1477366110984521</v>
      </c>
      <c r="BO26" s="122">
        <f ca="1">(Dashboard!$C$7*'Equity and Bond Returns'!CA26)+(Dashboard!$C$8*'Equity and Bond Returns'!FY26)</f>
        <v>-2.8565255945216472E-2</v>
      </c>
      <c r="BP26" s="122">
        <f ca="1">(Dashboard!$C$7*'Equity and Bond Returns'!CB26)+(Dashboard!$C$8*'Equity and Bond Returns'!FZ26)</f>
        <v>0.18070742447078836</v>
      </c>
      <c r="BQ26" s="122">
        <f ca="1">(Dashboard!$C$7*'Equity and Bond Returns'!CC26)+(Dashboard!$C$8*'Equity and Bond Returns'!GA26)</f>
        <v>-0.11744934441483969</v>
      </c>
      <c r="BR26" s="122">
        <f ca="1">(Dashboard!$C$7*'Equity and Bond Returns'!CD26)+(Dashboard!$C$8*'Equity and Bond Returns'!GB26)</f>
        <v>0.20851348018377322</v>
      </c>
      <c r="BS26" s="122">
        <f ca="1">(Dashboard!$C$7*'Equity and Bond Returns'!CE26)+(Dashboard!$C$8*'Equity and Bond Returns'!GC26)</f>
        <v>0.28508977681702047</v>
      </c>
      <c r="BT26" s="122">
        <f ca="1">(Dashboard!$C$7*'Equity and Bond Returns'!CF26)+(Dashboard!$C$8*'Equity and Bond Returns'!GD26)</f>
        <v>-7.9140749125539159E-2</v>
      </c>
      <c r="BU26" s="122">
        <f ca="1">(Dashboard!$C$7*'Equity and Bond Returns'!CG26)+(Dashboard!$C$8*'Equity and Bond Returns'!GE26)</f>
        <v>0.16645863911391895</v>
      </c>
      <c r="BV26" s="122">
        <f ca="1">(Dashboard!$C$7*'Equity and Bond Returns'!CH26)+(Dashboard!$C$8*'Equity and Bond Returns'!GF26)</f>
        <v>3.2559116066070717E-2</v>
      </c>
      <c r="BW26" s="122">
        <f ca="1">(Dashboard!$C$7*'Equity and Bond Returns'!CI26)+(Dashboard!$C$8*'Equity and Bond Returns'!GG26)</f>
        <v>0.22862011189350923</v>
      </c>
      <c r="BX26" s="122">
        <f ca="1">(Dashboard!$C$7*'Equity and Bond Returns'!CJ26)+(Dashboard!$C$8*'Equity and Bond Returns'!GH26)</f>
        <v>0.2548286624980669</v>
      </c>
      <c r="BY26" s="122">
        <f ca="1">(Dashboard!$C$7*'Equity and Bond Returns'!CK26)+(Dashboard!$C$8*'Equity and Bond Returns'!GI26)</f>
        <v>-0.16005546317877201</v>
      </c>
      <c r="BZ26" s="122">
        <f ca="1">(Dashboard!$C$7*'Equity and Bond Returns'!CL26)+(Dashboard!$C$8*'Equity and Bond Returns'!GJ26)</f>
        <v>0.21431204908113502</v>
      </c>
      <c r="CA26" s="122">
        <f ca="1">(Dashboard!$C$7*'Equity and Bond Returns'!CM26)+(Dashboard!$C$8*'Equity and Bond Returns'!GK26)</f>
        <v>8.1750707687089197E-2</v>
      </c>
      <c r="CB26" s="122">
        <f ca="1">(Dashboard!$C$7*'Equity and Bond Returns'!CN26)+(Dashboard!$C$8*'Equity and Bond Returns'!GL26)</f>
        <v>-7.3686073141630171E-2</v>
      </c>
      <c r="CC26" s="122">
        <f ca="1">(Dashboard!$C$7*'Equity and Bond Returns'!CO26)+(Dashboard!$C$8*'Equity and Bond Returns'!GM26)</f>
        <v>0.2930779951377861</v>
      </c>
      <c r="CD26" s="122">
        <f ca="1">(Dashboard!$C$7*'Equity and Bond Returns'!CP26)+(Dashboard!$C$8*'Equity and Bond Returns'!GN26)</f>
        <v>-5.9038276309448558E-2</v>
      </c>
      <c r="CE26" s="122">
        <f ca="1">(Dashboard!$C$7*'Equity and Bond Returns'!CQ26)+(Dashboard!$C$8*'Equity and Bond Returns'!GO26)</f>
        <v>0.20172733423197689</v>
      </c>
      <c r="CF26" s="122">
        <f ca="1">(Dashboard!$C$7*'Equity and Bond Returns'!CR26)+(Dashboard!$C$8*'Equity and Bond Returns'!GP26)</f>
        <v>0.21687519846418804</v>
      </c>
      <c r="CG26" s="122">
        <f ca="1">(Dashboard!$C$7*'Equity and Bond Returns'!CS26)+(Dashboard!$C$8*'Equity and Bond Returns'!GQ26)</f>
        <v>0.14457852047812325</v>
      </c>
      <c r="CH26" s="122">
        <f ca="1">(Dashboard!$C$7*'Equity and Bond Returns'!CT26)+(Dashboard!$C$8*'Equity and Bond Returns'!GR26)</f>
        <v>-2.761652072869409E-2</v>
      </c>
      <c r="CI26" s="122">
        <f ca="1">(Dashboard!$C$7*'Equity and Bond Returns'!CU26)+(Dashboard!$C$8*'Equity and Bond Returns'!GS26)</f>
        <v>-7.7703238928502998E-3</v>
      </c>
      <c r="CJ26" s="122">
        <f ca="1">(Dashboard!$C$7*'Equity and Bond Returns'!CV26)+(Dashboard!$C$8*'Equity and Bond Returns'!GT26)</f>
        <v>0.39691507442165819</v>
      </c>
      <c r="CK26" s="122">
        <f ca="1">(Dashboard!$C$7*'Equity and Bond Returns'!CW26)+(Dashboard!$C$8*'Equity and Bond Returns'!GU26)</f>
        <v>0.10580552306891795</v>
      </c>
      <c r="CL26" s="122">
        <f ca="1">(Dashboard!$C$7*'Equity and Bond Returns'!CX26)+(Dashboard!$C$8*'Equity and Bond Returns'!GV26)</f>
        <v>-4.9945602396430526E-2</v>
      </c>
      <c r="CM26" s="122">
        <f ca="1">(Dashboard!$C$7*'Equity and Bond Returns'!CY26)+(Dashboard!$C$8*'Equity and Bond Returns'!GW26)</f>
        <v>3.983895307654875E-2</v>
      </c>
      <c r="CN26" s="122">
        <f ca="1">(Dashboard!$C$7*'Equity and Bond Returns'!CZ26)+(Dashboard!$C$8*'Equity and Bond Returns'!GX26)</f>
        <v>-0.14857868473945288</v>
      </c>
      <c r="CO26" s="122">
        <f ca="1">(Dashboard!$C$7*'Equity and Bond Returns'!DA26)+(Dashboard!$C$8*'Equity and Bond Returns'!GY26)</f>
        <v>-4.4958243773082426E-2</v>
      </c>
      <c r="CP26" s="122">
        <f ca="1">(Dashboard!$C$7*'Equity and Bond Returns'!DB26)+(Dashboard!$C$8*'Equity and Bond Returns'!GZ26)</f>
        <v>0.19756106826026656</v>
      </c>
      <c r="CQ26" s="122">
        <f ca="1">(Dashboard!$C$7*'Equity and Bond Returns'!DC26)+(Dashboard!$C$8*'Equity and Bond Returns'!HA26)</f>
        <v>0.10754842069764939</v>
      </c>
      <c r="CR26" s="122">
        <f ca="1">(Dashboard!$C$7*'Equity and Bond Returns'!DD26)+(Dashboard!$C$8*'Equity and Bond Returns'!HB26)</f>
        <v>0.35348891210985106</v>
      </c>
      <c r="CS26" s="122">
        <f ca="1">(Dashboard!$C$7*'Equity and Bond Returns'!DE26)+(Dashboard!$C$8*'Equity and Bond Returns'!HC26)</f>
        <v>-5.6894942677216259E-3</v>
      </c>
      <c r="CT26" s="122">
        <f ca="1">(Dashboard!$C$7*'Equity and Bond Returns'!DF26)+(Dashboard!$C$8*'Equity and Bond Returns'!HD26)</f>
        <v>0.16195988586740923</v>
      </c>
      <c r="CU26" s="122">
        <f ca="1">(Dashboard!$C$7*'Equity and Bond Returns'!DG26)+(Dashboard!$C$8*'Equity and Bond Returns'!HE26)</f>
        <v>0.35857728348724527</v>
      </c>
      <c r="CV26" s="122">
        <f ca="1">(Dashboard!$C$7*'Equity and Bond Returns'!DH26)+(Dashboard!$C$8*'Equity and Bond Returns'!HF26)</f>
        <v>2.0470038894503995E-2</v>
      </c>
      <c r="CW26" s="122">
        <f ca="1">(Dashboard!$C$7*'Equity and Bond Returns'!DI26)+(Dashboard!$C$8*'Equity and Bond Returns'!HG26)</f>
        <v>0.38400221181333544</v>
      </c>
      <c r="CY26" s="147">
        <f t="shared" si="5"/>
        <v>75</v>
      </c>
      <c r="CZ26" s="148">
        <v>25</v>
      </c>
      <c r="DA26" s="126">
        <f ca="1">MAX(DA25*(1+B26)-(Dashboard!$C$11)/(1-Dashboard!$C$17)*((1+Dashboard!$C$12)^$CZ26),0)</f>
        <v>10877868.030717591</v>
      </c>
      <c r="DB26" s="126">
        <f ca="1">MAX(DB25*(1+C26)-(Dashboard!$C$11)/(1-Dashboard!$C$17)*((1+Dashboard!$C$12)^$CZ26),0)</f>
        <v>28178.754618048115</v>
      </c>
      <c r="DC26" s="126">
        <f ca="1">MAX(DC25*(1+D26)-(Dashboard!$C$11)/(1-Dashboard!$C$17)*((1+Dashboard!$C$12)^$CZ26),0)</f>
        <v>4981072.0681064483</v>
      </c>
      <c r="DD26" s="126">
        <f ca="1">MAX(DD25*(1+E26)-(Dashboard!$C$11)/(1-Dashboard!$C$17)*((1+Dashboard!$C$12)^$CZ26),0)</f>
        <v>948766.93173414015</v>
      </c>
      <c r="DE26" s="126">
        <f ca="1">MAX(DE25*(1+F26)-(Dashboard!$C$11)/(1-Dashboard!$C$17)*((1+Dashboard!$C$12)^$CZ26),0)</f>
        <v>4373018.4935979489</v>
      </c>
      <c r="DF26" s="126">
        <f ca="1">MAX(DF25*(1+G26)-(Dashboard!$C$11)/(1-Dashboard!$C$17)*((1+Dashboard!$C$12)^$CZ26),0)</f>
        <v>12851263.297659377</v>
      </c>
      <c r="DG26" s="126">
        <f ca="1">MAX(DG25*(1+H26)-(Dashboard!$C$11)/(1-Dashboard!$C$17)*((1+Dashboard!$C$12)^$CZ26),0)</f>
        <v>962094.44822500565</v>
      </c>
      <c r="DH26" s="126">
        <f ca="1">MAX(DH25*(1+I26)-(Dashboard!$C$11)/(1-Dashboard!$C$17)*((1+Dashboard!$C$12)^$CZ26),0)</f>
        <v>7111295.576942605</v>
      </c>
      <c r="DI26" s="126">
        <f ca="1">MAX(DI25*(1+J26)-(Dashboard!$C$11)/(1-Dashboard!$C$17)*((1+Dashboard!$C$12)^$CZ26),0)</f>
        <v>2473385.7982792594</v>
      </c>
      <c r="DJ26" s="126">
        <f ca="1">MAX(DJ25*(1+K26)-(Dashboard!$C$11)/(1-Dashboard!$C$17)*((1+Dashboard!$C$12)^$CZ26),0)</f>
        <v>3263248.9288314721</v>
      </c>
      <c r="DK26" s="126">
        <f ca="1">MAX(DK25*(1+L26)-(Dashboard!$C$11)/(1-Dashboard!$C$17)*((1+Dashboard!$C$12)^$CZ26),0)</f>
        <v>15754935.807889607</v>
      </c>
      <c r="DL26" s="126">
        <f ca="1">MAX(DL25*(1+M26)-(Dashboard!$C$11)/(1-Dashboard!$C$17)*((1+Dashboard!$C$12)^$CZ26),0)</f>
        <v>675487.39425727737</v>
      </c>
      <c r="DM26" s="126">
        <f ca="1">MAX(DM25*(1+N26)-(Dashboard!$C$11)/(1-Dashboard!$C$17)*((1+Dashboard!$C$12)^$CZ26),0)</f>
        <v>3990732.4269963382</v>
      </c>
      <c r="DN26" s="126">
        <f ca="1">MAX(DN25*(1+O26)-(Dashboard!$C$11)/(1-Dashboard!$C$17)*((1+Dashboard!$C$12)^$CZ26),0)</f>
        <v>14778788.050333034</v>
      </c>
      <c r="DO26" s="126">
        <f ca="1">MAX(DO25*(1+P26)-(Dashboard!$C$11)/(1-Dashboard!$C$17)*((1+Dashboard!$C$12)^$CZ26),0)</f>
        <v>3258032.969811914</v>
      </c>
      <c r="DP26" s="126">
        <f ca="1">MAX(DP25*(1+Q26)-(Dashboard!$C$11)/(1-Dashboard!$C$17)*((1+Dashboard!$C$12)^$CZ26),0)</f>
        <v>1939729.5101106057</v>
      </c>
      <c r="DQ26" s="126">
        <f ca="1">MAX(DQ25*(1+R26)-(Dashboard!$C$11)/(1-Dashboard!$C$17)*((1+Dashboard!$C$12)^$CZ26),0)</f>
        <v>8780382.2637525555</v>
      </c>
      <c r="DR26" s="126">
        <f ca="1">MAX(DR25*(1+S26)-(Dashboard!$C$11)/(1-Dashboard!$C$17)*((1+Dashboard!$C$12)^$CZ26),0)</f>
        <v>12002207.962745195</v>
      </c>
      <c r="DS26" s="126">
        <f ca="1">MAX(DS25*(1+T26)-(Dashboard!$C$11)/(1-Dashboard!$C$17)*((1+Dashboard!$C$12)^$CZ26),0)</f>
        <v>1068552.7361053568</v>
      </c>
      <c r="DT26" s="126">
        <f ca="1">MAX(DT25*(1+U26)-(Dashboard!$C$11)/(1-Dashboard!$C$17)*((1+Dashboard!$C$12)^$CZ26),0)</f>
        <v>3230365.6568970471</v>
      </c>
      <c r="DU26" s="126">
        <f ca="1">MAX(DU25*(1+V26)-(Dashboard!$C$11)/(1-Dashboard!$C$17)*((1+Dashboard!$C$12)^$CZ26),0)</f>
        <v>5080011.9585617138</v>
      </c>
      <c r="DV26" s="126">
        <f ca="1">MAX(DV25*(1+W26)-(Dashboard!$C$11)/(1-Dashboard!$C$17)*((1+Dashboard!$C$12)^$CZ26),0)</f>
        <v>11445226.61178912</v>
      </c>
      <c r="DW26" s="126">
        <f ca="1">MAX(DW25*(1+X26)-(Dashboard!$C$11)/(1-Dashboard!$C$17)*((1+Dashboard!$C$12)^$CZ26),0)</f>
        <v>4608740.8725073971</v>
      </c>
      <c r="DX26" s="126">
        <f ca="1">MAX(DX25*(1+Y26)-(Dashboard!$C$11)/(1-Dashboard!$C$17)*((1+Dashboard!$C$12)^$CZ26),0)</f>
        <v>2767034.0179904141</v>
      </c>
      <c r="DY26" s="126">
        <f ca="1">MAX(DY25*(1+Z26)-(Dashboard!$C$11)/(1-Dashboard!$C$17)*((1+Dashboard!$C$12)^$CZ26),0)</f>
        <v>4808256.0125141246</v>
      </c>
      <c r="DZ26" s="126">
        <f ca="1">MAX(DZ25*(1+AA26)-(Dashboard!$C$11)/(1-Dashboard!$C$17)*((1+Dashboard!$C$12)^$CZ26),0)</f>
        <v>665435.79275967111</v>
      </c>
      <c r="EA26" s="126">
        <f ca="1">MAX(EA25*(1+AB26)-(Dashboard!$C$11)/(1-Dashboard!$C$17)*((1+Dashboard!$C$12)^$CZ26),0)</f>
        <v>3696824.0155555801</v>
      </c>
      <c r="EB26" s="126">
        <f ca="1">MAX(EB25*(1+AC26)-(Dashboard!$C$11)/(1-Dashboard!$C$17)*((1+Dashboard!$C$12)^$CZ26),0)</f>
        <v>6507303.9227452381</v>
      </c>
      <c r="EC26" s="126">
        <f ca="1">MAX(EC25*(1+AD26)-(Dashboard!$C$11)/(1-Dashboard!$C$17)*((1+Dashboard!$C$12)^$CZ26),0)</f>
        <v>4434258.1761702066</v>
      </c>
      <c r="ED26" s="126">
        <f ca="1">MAX(ED25*(1+AE26)-(Dashboard!$C$11)/(1-Dashboard!$C$17)*((1+Dashboard!$C$12)^$CZ26),0)</f>
        <v>3852332.3196445587</v>
      </c>
      <c r="EE26" s="126">
        <f ca="1">MAX(EE25*(1+AF26)-(Dashboard!$C$11)/(1-Dashboard!$C$17)*((1+Dashboard!$C$12)^$CZ26),0)</f>
        <v>7205482.5979362819</v>
      </c>
      <c r="EF26" s="126">
        <f ca="1">MAX(EF25*(1+AG26)-(Dashboard!$C$11)/(1-Dashboard!$C$17)*((1+Dashboard!$C$12)^$CZ26),0)</f>
        <v>1483415.5933624692</v>
      </c>
      <c r="EG26" s="126">
        <f ca="1">MAX(EG25*(1+AH26)-(Dashboard!$C$11)/(1-Dashboard!$C$17)*((1+Dashboard!$C$12)^$CZ26),0)</f>
        <v>6731057.859380275</v>
      </c>
      <c r="EH26" s="126">
        <f ca="1">MAX(EH25*(1+AI26)-(Dashboard!$C$11)/(1-Dashboard!$C$17)*((1+Dashboard!$C$12)^$CZ26),0)</f>
        <v>5429492.3928628583</v>
      </c>
      <c r="EI26" s="126">
        <f ca="1">MAX(EI25*(1+AJ26)-(Dashboard!$C$11)/(1-Dashboard!$C$17)*((1+Dashboard!$C$12)^$CZ26),0)</f>
        <v>663032.84522675362</v>
      </c>
      <c r="EJ26" s="126">
        <f ca="1">MAX(EJ25*(1+AK26)-(Dashboard!$C$11)/(1-Dashboard!$C$17)*((1+Dashboard!$C$12)^$CZ26),0)</f>
        <v>3993537.228673534</v>
      </c>
      <c r="EK26" s="126">
        <f ca="1">MAX(EK25*(1+AL26)-(Dashboard!$C$11)/(1-Dashboard!$C$17)*((1+Dashboard!$C$12)^$CZ26),0)</f>
        <v>5618340.7906980673</v>
      </c>
      <c r="EL26" s="126">
        <f ca="1">MAX(EL25*(1+AM26)-(Dashboard!$C$11)/(1-Dashboard!$C$17)*((1+Dashboard!$C$12)^$CZ26),0)</f>
        <v>1405128.3388887614</v>
      </c>
      <c r="EM26" s="126">
        <f ca="1">MAX(EM25*(1+AN26)-(Dashboard!$C$11)/(1-Dashboard!$C$17)*((1+Dashboard!$C$12)^$CZ26),0)</f>
        <v>7358903.7922205999</v>
      </c>
      <c r="EN26" s="126">
        <f ca="1">MAX(EN25*(1+AO26)-(Dashboard!$C$11)/(1-Dashboard!$C$17)*((1+Dashboard!$C$12)^$CZ26),0)</f>
        <v>2787379.0277163186</v>
      </c>
      <c r="EO26" s="126">
        <f ca="1">MAX(EO25*(1+AP26)-(Dashboard!$C$11)/(1-Dashboard!$C$17)*((1+Dashboard!$C$12)^$CZ26),0)</f>
        <v>499642.86551387247</v>
      </c>
      <c r="EP26" s="126">
        <f ca="1">MAX(EP25*(1+AQ26)-(Dashboard!$C$11)/(1-Dashboard!$C$17)*((1+Dashboard!$C$12)^$CZ26),0)</f>
        <v>1953565.4786555402</v>
      </c>
      <c r="EQ26" s="126">
        <f ca="1">MAX(EQ25*(1+AR26)-(Dashboard!$C$11)/(1-Dashboard!$C$17)*((1+Dashboard!$C$12)^$CZ26),0)</f>
        <v>2284332.8775285659</v>
      </c>
      <c r="ER26" s="126">
        <f ca="1">MAX(ER25*(1+AS26)-(Dashboard!$C$11)/(1-Dashboard!$C$17)*((1+Dashboard!$C$12)^$CZ26),0)</f>
        <v>919650.91618330043</v>
      </c>
      <c r="ES26" s="126">
        <f ca="1">MAX(ES25*(1+AT26)-(Dashboard!$C$11)/(1-Dashboard!$C$17)*((1+Dashboard!$C$12)^$CZ26),0)</f>
        <v>6059702.7813225519</v>
      </c>
      <c r="ET26" s="126">
        <f ca="1">MAX(ET25*(1+AU26)-(Dashboard!$C$11)/(1-Dashboard!$C$17)*((1+Dashboard!$C$12)^$CZ26),0)</f>
        <v>2864364.8410172034</v>
      </c>
      <c r="EU26" s="126">
        <f ca="1">MAX(EU25*(1+AV26)-(Dashboard!$C$11)/(1-Dashboard!$C$17)*((1+Dashboard!$C$12)^$CZ26),0)</f>
        <v>2587170.6652485621</v>
      </c>
      <c r="EV26" s="126">
        <f ca="1">MAX(EV25*(1+AW26)-(Dashboard!$C$11)/(1-Dashboard!$C$17)*((1+Dashboard!$C$12)^$CZ26),0)</f>
        <v>11181992.052561719</v>
      </c>
      <c r="EW26" s="126">
        <f ca="1">MAX(EW25*(1+AX26)-(Dashboard!$C$11)/(1-Dashboard!$C$17)*((1+Dashboard!$C$12)^$CZ26),0)</f>
        <v>1935720.0787684051</v>
      </c>
      <c r="EX26" s="126">
        <f ca="1">MAX(EX25*(1+AY26)-(Dashboard!$C$11)/(1-Dashboard!$C$17)*((1+Dashboard!$C$12)^$CZ26),0)</f>
        <v>2802566.1865526019</v>
      </c>
      <c r="EY26" s="126">
        <f ca="1">MAX(EY25*(1+AZ26)-(Dashboard!$C$11)/(1-Dashboard!$C$17)*((1+Dashboard!$C$12)^$CZ26),0)</f>
        <v>7542475.8258400261</v>
      </c>
      <c r="EZ26" s="126">
        <f ca="1">MAX(EZ25*(1+BA26)-(Dashboard!$C$11)/(1-Dashboard!$C$17)*((1+Dashboard!$C$12)^$CZ26),0)</f>
        <v>3551179.0696435822</v>
      </c>
      <c r="FA26" s="126">
        <f ca="1">MAX(FA25*(1+BB26)-(Dashboard!$C$11)/(1-Dashboard!$C$17)*((1+Dashboard!$C$12)^$CZ26),0)</f>
        <v>9489942.0622957312</v>
      </c>
      <c r="FB26" s="126">
        <f ca="1">MAX(FB25*(1+BC26)-(Dashboard!$C$11)/(1-Dashboard!$C$17)*((1+Dashboard!$C$12)^$CZ26),0)</f>
        <v>959059.46258503641</v>
      </c>
      <c r="FC26" s="126">
        <f ca="1">MAX(FC25*(1+BD26)-(Dashboard!$C$11)/(1-Dashboard!$C$17)*((1+Dashboard!$C$12)^$CZ26),0)</f>
        <v>7723350.7454661252</v>
      </c>
      <c r="FD26" s="126">
        <f ca="1">MAX(FD25*(1+BE26)-(Dashboard!$C$11)/(1-Dashboard!$C$17)*((1+Dashboard!$C$12)^$CZ26),0)</f>
        <v>9668718.9394140802</v>
      </c>
      <c r="FE26" s="126">
        <f ca="1">MAX(FE25*(1+BF26)-(Dashboard!$C$11)/(1-Dashboard!$C$17)*((1+Dashboard!$C$12)^$CZ26),0)</f>
        <v>11940297.190676406</v>
      </c>
      <c r="FF26" s="126">
        <f ca="1">MAX(FF25*(1+BG26)-(Dashboard!$C$11)/(1-Dashboard!$C$17)*((1+Dashboard!$C$12)^$CZ26),0)</f>
        <v>2502381.961014885</v>
      </c>
      <c r="FG26" s="126">
        <f ca="1">MAX(FG25*(1+BH26)-(Dashboard!$C$11)/(1-Dashboard!$C$17)*((1+Dashboard!$C$12)^$CZ26),0)</f>
        <v>5108237.8025795268</v>
      </c>
      <c r="FH26" s="126">
        <f ca="1">MAX(FH25*(1+BI26)-(Dashboard!$C$11)/(1-Dashboard!$C$17)*((1+Dashboard!$C$12)^$CZ26),0)</f>
        <v>2431940.8414188526</v>
      </c>
      <c r="FI26" s="126">
        <f ca="1">MAX(FI25*(1+BJ26)-(Dashboard!$C$11)/(1-Dashboard!$C$17)*((1+Dashboard!$C$12)^$CZ26),0)</f>
        <v>7396932.098955567</v>
      </c>
      <c r="FJ26" s="126">
        <f ca="1">MAX(FJ25*(1+BK26)-(Dashboard!$C$11)/(1-Dashboard!$C$17)*((1+Dashboard!$C$12)^$CZ26),0)</f>
        <v>2589422.3471373576</v>
      </c>
      <c r="FK26" s="126">
        <f ca="1">MAX(FK25*(1+BL26)-(Dashboard!$C$11)/(1-Dashboard!$C$17)*((1+Dashboard!$C$12)^$CZ26),0)</f>
        <v>4430916.0130115859</v>
      </c>
      <c r="FL26" s="126">
        <f ca="1">MAX(FL25*(1+BM26)-(Dashboard!$C$11)/(1-Dashboard!$C$17)*((1+Dashboard!$C$12)^$CZ26),0)</f>
        <v>3719282.7074871561</v>
      </c>
      <c r="FM26" s="126">
        <f ca="1">MAX(FM25*(1+BN26)-(Dashboard!$C$11)/(1-Dashboard!$C$17)*((1+Dashboard!$C$12)^$CZ26),0)</f>
        <v>7447490.3370523518</v>
      </c>
      <c r="FN26" s="126">
        <f ca="1">MAX(FN25*(1+BO26)-(Dashboard!$C$11)/(1-Dashboard!$C$17)*((1+Dashboard!$C$12)^$CZ26),0)</f>
        <v>360102.31889414811</v>
      </c>
      <c r="FO26" s="126">
        <f ca="1">MAX(FO25*(1+BP26)-(Dashboard!$C$11)/(1-Dashboard!$C$17)*((1+Dashboard!$C$12)^$CZ26),0)</f>
        <v>4841397.3370975601</v>
      </c>
      <c r="FP26" s="126">
        <f ca="1">MAX(FP25*(1+BQ26)-(Dashboard!$C$11)/(1-Dashboard!$C$17)*((1+Dashboard!$C$12)^$CZ26),0)</f>
        <v>4316022.1396571314</v>
      </c>
      <c r="FQ26" s="126">
        <f ca="1">MAX(FQ25*(1+BR26)-(Dashboard!$C$11)/(1-Dashboard!$C$17)*((1+Dashboard!$C$12)^$CZ26),0)</f>
        <v>3376177.4351451332</v>
      </c>
      <c r="FR26" s="126">
        <f ca="1">MAX(FR25*(1+BS26)-(Dashboard!$C$11)/(1-Dashboard!$C$17)*((1+Dashboard!$C$12)^$CZ26),0)</f>
        <v>6175022.0024640346</v>
      </c>
      <c r="FS26" s="126">
        <f ca="1">MAX(FS25*(1+BT26)-(Dashboard!$C$11)/(1-Dashboard!$C$17)*((1+Dashboard!$C$12)^$CZ26),0)</f>
        <v>5178751.6422037585</v>
      </c>
      <c r="FT26" s="126">
        <f ca="1">MAX(FT25*(1+BU26)-(Dashboard!$C$11)/(1-Dashboard!$C$17)*((1+Dashboard!$C$12)^$CZ26),0)</f>
        <v>1641012.4994383773</v>
      </c>
      <c r="FU26" s="126">
        <f ca="1">MAX(FU25*(1+BV26)-(Dashboard!$C$11)/(1-Dashboard!$C$17)*((1+Dashboard!$C$12)^$CZ26),0)</f>
        <v>2439320.8211770891</v>
      </c>
      <c r="FV26" s="126">
        <f ca="1">MAX(FV25*(1+BW26)-(Dashboard!$C$11)/(1-Dashboard!$C$17)*((1+Dashboard!$C$12)^$CZ26),0)</f>
        <v>3084733.3467967063</v>
      </c>
      <c r="FW26" s="126">
        <f ca="1">MAX(FW25*(1+BX26)-(Dashboard!$C$11)/(1-Dashboard!$C$17)*((1+Dashboard!$C$12)^$CZ26),0)</f>
        <v>4021804.7954571331</v>
      </c>
      <c r="FX26" s="126">
        <f ca="1">MAX(FX25*(1+BY26)-(Dashboard!$C$11)/(1-Dashboard!$C$17)*((1+Dashboard!$C$12)^$CZ26),0)</f>
        <v>1194996.7557728156</v>
      </c>
      <c r="FY26" s="126">
        <f ca="1">MAX(FY25*(1+BZ26)-(Dashboard!$C$11)/(1-Dashboard!$C$17)*((1+Dashboard!$C$12)^$CZ26),0)</f>
        <v>2526605.6948114042</v>
      </c>
      <c r="FZ26" s="126">
        <f ca="1">MAX(FZ25*(1+CA26)-(Dashboard!$C$11)/(1-Dashboard!$C$17)*((1+Dashboard!$C$12)^$CZ26),0)</f>
        <v>7145596.1268948363</v>
      </c>
      <c r="GA26" s="126">
        <f ca="1">MAX(GA25*(1+CB26)-(Dashboard!$C$11)/(1-Dashboard!$C$17)*((1+Dashboard!$C$12)^$CZ26),0)</f>
        <v>8141689.0021783765</v>
      </c>
      <c r="GB26" s="126">
        <f ca="1">MAX(GB25*(1+CC26)-(Dashboard!$C$11)/(1-Dashboard!$C$17)*((1+Dashboard!$C$12)^$CZ26),0)</f>
        <v>2084530.7354914637</v>
      </c>
      <c r="GC26" s="126">
        <f ca="1">MAX(GC25*(1+CD26)-(Dashboard!$C$11)/(1-Dashboard!$C$17)*((1+Dashboard!$C$12)^$CZ26),0)</f>
        <v>5428246.7599014724</v>
      </c>
      <c r="GD26" s="126">
        <f ca="1">MAX(GD25*(1+CE26)-(Dashboard!$C$11)/(1-Dashboard!$C$17)*((1+Dashboard!$C$12)^$CZ26),0)</f>
        <v>17710161.609641623</v>
      </c>
      <c r="GE26" s="126">
        <f ca="1">MAX(GE25*(1+CF26)-(Dashboard!$C$11)/(1-Dashboard!$C$17)*((1+Dashboard!$C$12)^$CZ26),0)</f>
        <v>2656935.1715039876</v>
      </c>
      <c r="GF26" s="126">
        <f ca="1">MAX(GF25*(1+CG26)-(Dashboard!$C$11)/(1-Dashboard!$C$17)*((1+Dashboard!$C$12)^$CZ26),0)</f>
        <v>8142915.0616152929</v>
      </c>
      <c r="GG26" s="126">
        <f ca="1">MAX(GG25*(1+CH26)-(Dashboard!$C$11)/(1-Dashboard!$C$17)*((1+Dashboard!$C$12)^$CZ26),0)</f>
        <v>878496.907081399</v>
      </c>
      <c r="GH26" s="126">
        <f ca="1">MAX(GH25*(1+CI26)-(Dashboard!$C$11)/(1-Dashboard!$C$17)*((1+Dashboard!$C$12)^$CZ26),0)</f>
        <v>2337741.2333667516</v>
      </c>
      <c r="GI26" s="126">
        <f ca="1">MAX(GI25*(1+CJ26)-(Dashboard!$C$11)/(1-Dashboard!$C$17)*((1+Dashboard!$C$12)^$CZ26),0)</f>
        <v>3771129.5863966714</v>
      </c>
      <c r="GJ26" s="126">
        <f ca="1">MAX(GJ25*(1+CK26)-(Dashboard!$C$11)/(1-Dashboard!$C$17)*((1+Dashboard!$C$12)^$CZ26),0)</f>
        <v>8144665.7825286938</v>
      </c>
      <c r="GK26" s="126">
        <f ca="1">MAX(GK25*(1+CL26)-(Dashboard!$C$11)/(1-Dashboard!$C$17)*((1+Dashboard!$C$12)^$CZ26),0)</f>
        <v>5429650.5787919722</v>
      </c>
      <c r="GL26" s="126">
        <f ca="1">MAX(GL25*(1+CM26)-(Dashboard!$C$11)/(1-Dashboard!$C$17)*((1+Dashboard!$C$12)^$CZ26),0)</f>
        <v>5931109.5276013138</v>
      </c>
      <c r="GM26" s="126">
        <f ca="1">MAX(GM25*(1+CN26)-(Dashboard!$C$11)/(1-Dashboard!$C$17)*((1+Dashboard!$C$12)^$CZ26),0)</f>
        <v>1796035.4741856251</v>
      </c>
      <c r="GN26" s="126">
        <f ca="1">MAX(GN25*(1+CO26)-(Dashboard!$C$11)/(1-Dashboard!$C$17)*((1+Dashboard!$C$12)^$CZ26),0)</f>
        <v>171159.7822127789</v>
      </c>
      <c r="GO26" s="126">
        <f ca="1">MAX(GO25*(1+CP26)-(Dashboard!$C$11)/(1-Dashboard!$C$17)*((1+Dashboard!$C$12)^$CZ26),0)</f>
        <v>2544644.3402160709</v>
      </c>
      <c r="GP26" s="126">
        <f ca="1">MAX(GP25*(1+CQ26)-(Dashboard!$C$11)/(1-Dashboard!$C$17)*((1+Dashboard!$C$12)^$CZ26),0)</f>
        <v>2976201.9199239574</v>
      </c>
      <c r="GQ26" s="126">
        <f ca="1">MAX(GQ25*(1+CR26)-(Dashboard!$C$11)/(1-Dashboard!$C$17)*((1+Dashboard!$C$12)^$CZ26),0)</f>
        <v>871175.68719406577</v>
      </c>
      <c r="GR26" s="126">
        <f ca="1">MAX(GR25*(1+CS26)-(Dashboard!$C$11)/(1-Dashboard!$C$17)*((1+Dashboard!$C$12)^$CZ26),0)</f>
        <v>1819708.4079381733</v>
      </c>
      <c r="GS26" s="126">
        <f ca="1">MAX(GS25*(1+CT26)-(Dashboard!$C$11)/(1-Dashboard!$C$17)*((1+Dashboard!$C$12)^$CZ26),0)</f>
        <v>3769212.7861222639</v>
      </c>
      <c r="GT26" s="126">
        <f ca="1">MAX(GT25*(1+CU26)-(Dashboard!$C$11)/(1-Dashboard!$C$17)*((1+Dashboard!$C$12)^$CZ26),0)</f>
        <v>20435506.338007137</v>
      </c>
      <c r="GU26" s="126">
        <f ca="1">MAX(GU25*(1+CV26)-(Dashboard!$C$11)/(1-Dashboard!$C$17)*((1+Dashboard!$C$12)^$CZ26),0)</f>
        <v>1780514.9221344937</v>
      </c>
      <c r="GV26" s="126">
        <f ca="1">MAX(GV25*(1+CW26)-(Dashboard!$C$11)/(1-Dashboard!$C$17)*((1+Dashboard!$C$12)^$CZ26),0)</f>
        <v>2353272.7657614835</v>
      </c>
      <c r="GW26" s="115">
        <f t="shared" si="4"/>
        <v>75</v>
      </c>
      <c r="GX26" s="130">
        <f t="shared" ca="1" si="2"/>
        <v>100</v>
      </c>
      <c r="HC26" s="130">
        <f t="shared" si="0"/>
        <v>75</v>
      </c>
      <c r="HD26" s="137">
        <f t="shared" ca="1" si="6"/>
        <v>1986306.792864521</v>
      </c>
      <c r="HE26" s="137">
        <f t="shared" ca="1" si="6"/>
        <v>3708053.3615213679</v>
      </c>
      <c r="HF26" s="137">
        <f t="shared" ca="1" si="6"/>
        <v>6424233.4426749367</v>
      </c>
    </row>
    <row r="27" spans="1:214" ht="16">
      <c r="A27" s="145">
        <f t="shared" si="3"/>
        <v>76</v>
      </c>
      <c r="B27" s="122">
        <f ca="1">(Dashboard!$C$7*'Equity and Bond Returns'!N27)+(Dashboard!$C$8*'Equity and Bond Returns'!DL27)</f>
        <v>0.45067538497116844</v>
      </c>
      <c r="C27" s="122">
        <f ca="1">(Dashboard!$C$7*'Equity and Bond Returns'!O27)+(Dashboard!$C$8*'Equity and Bond Returns'!DM27)</f>
        <v>-2.3810594394740328E-2</v>
      </c>
      <c r="D27" s="122">
        <f ca="1">(Dashboard!$C$7*'Equity and Bond Returns'!P27)+(Dashboard!$C$8*'Equity and Bond Returns'!DN27)</f>
        <v>0.16312027454924569</v>
      </c>
      <c r="E27" s="122">
        <f ca="1">(Dashboard!$C$7*'Equity and Bond Returns'!Q27)+(Dashboard!$C$8*'Equity and Bond Returns'!DO27)</f>
        <v>0.13570897736736462</v>
      </c>
      <c r="F27" s="122">
        <f ca="1">(Dashboard!$C$7*'Equity and Bond Returns'!R27)+(Dashboard!$C$8*'Equity and Bond Returns'!DP27)</f>
        <v>0.12810417847392569</v>
      </c>
      <c r="G27" s="122">
        <f ca="1">(Dashboard!$C$7*'Equity and Bond Returns'!S27)+(Dashboard!$C$8*'Equity and Bond Returns'!DQ27)</f>
        <v>0.24630811990869458</v>
      </c>
      <c r="H27" s="122">
        <f ca="1">(Dashboard!$C$7*'Equity and Bond Returns'!T27)+(Dashboard!$C$8*'Equity and Bond Returns'!DR27)</f>
        <v>0.22677227438719916</v>
      </c>
      <c r="I27" s="122">
        <f ca="1">(Dashboard!$C$7*'Equity and Bond Returns'!U27)+(Dashboard!$C$8*'Equity and Bond Returns'!DS27)</f>
        <v>0.23897988777764931</v>
      </c>
      <c r="J27" s="122">
        <f ca="1">(Dashboard!$C$7*'Equity and Bond Returns'!V27)+(Dashboard!$C$8*'Equity and Bond Returns'!DT27)</f>
        <v>3.6589070286097064E-2</v>
      </c>
      <c r="K27" s="122">
        <f ca="1">(Dashboard!$C$7*'Equity and Bond Returns'!W27)+(Dashboard!$C$8*'Equity and Bond Returns'!DU27)</f>
        <v>0.1588262601184767</v>
      </c>
      <c r="L27" s="122">
        <f ca="1">(Dashboard!$C$7*'Equity and Bond Returns'!X27)+(Dashboard!$C$8*'Equity and Bond Returns'!DV27)</f>
        <v>4.7439831089601758E-2</v>
      </c>
      <c r="M27" s="122">
        <f ca="1">(Dashboard!$C$7*'Equity and Bond Returns'!Y27)+(Dashboard!$C$8*'Equity and Bond Returns'!DW27)</f>
        <v>0.22789929309370646</v>
      </c>
      <c r="N27" s="122">
        <f ca="1">(Dashboard!$C$7*'Equity and Bond Returns'!Z27)+(Dashboard!$C$8*'Equity and Bond Returns'!DX27)</f>
        <v>0.18662780140520047</v>
      </c>
      <c r="O27" s="122">
        <f ca="1">(Dashboard!$C$7*'Equity and Bond Returns'!AA27)+(Dashboard!$C$8*'Equity and Bond Returns'!DY27)</f>
        <v>5.0096912078709727E-2</v>
      </c>
      <c r="P27" s="122">
        <f ca="1">(Dashboard!$C$7*'Equity and Bond Returns'!AB27)+(Dashboard!$C$8*'Equity and Bond Returns'!DZ27)</f>
        <v>-0.1998417222090276</v>
      </c>
      <c r="Q27" s="122">
        <f ca="1">(Dashboard!$C$7*'Equity and Bond Returns'!AC27)+(Dashboard!$C$8*'Equity and Bond Returns'!EA27)</f>
        <v>9.4038901463937993E-2</v>
      </c>
      <c r="R27" s="122">
        <f ca="1">(Dashboard!$C$7*'Equity and Bond Returns'!AD27)+(Dashboard!$C$8*'Equity and Bond Returns'!EB27)</f>
        <v>2.7358406624663996E-2</v>
      </c>
      <c r="S27" s="122">
        <f ca="1">(Dashboard!$C$7*'Equity and Bond Returns'!AE27)+(Dashboard!$C$8*'Equity and Bond Returns'!EC27)</f>
        <v>4.1816698214233908E-2</v>
      </c>
      <c r="T27" s="122">
        <f ca="1">(Dashboard!$C$7*'Equity and Bond Returns'!AF27)+(Dashboard!$C$8*'Equity and Bond Returns'!ED27)</f>
        <v>6.5037905226298487E-2</v>
      </c>
      <c r="U27" s="122">
        <f ca="1">(Dashboard!$C$7*'Equity and Bond Returns'!AG27)+(Dashboard!$C$8*'Equity and Bond Returns'!EE27)</f>
        <v>0.10431327878526539</v>
      </c>
      <c r="V27" s="122">
        <f ca="1">(Dashboard!$C$7*'Equity and Bond Returns'!AH27)+(Dashboard!$C$8*'Equity and Bond Returns'!EF27)</f>
        <v>-6.7033691862255149E-3</v>
      </c>
      <c r="W27" s="122">
        <f ca="1">(Dashboard!$C$7*'Equity and Bond Returns'!AI27)+(Dashboard!$C$8*'Equity and Bond Returns'!EG27)</f>
        <v>0.1794717540577343</v>
      </c>
      <c r="X27" s="122">
        <f ca="1">(Dashboard!$C$7*'Equity and Bond Returns'!AJ27)+(Dashboard!$C$8*'Equity and Bond Returns'!EH27)</f>
        <v>-0.11255791551308802</v>
      </c>
      <c r="Y27" s="122">
        <f ca="1">(Dashboard!$C$7*'Equity and Bond Returns'!AK27)+(Dashboard!$C$8*'Equity and Bond Returns'!EI27)</f>
        <v>-7.8494184880443393E-2</v>
      </c>
      <c r="Z27" s="122">
        <f ca="1">(Dashboard!$C$7*'Equity and Bond Returns'!AL27)+(Dashboard!$C$8*'Equity and Bond Returns'!EJ27)</f>
        <v>0.31754798763011122</v>
      </c>
      <c r="AA27" s="122">
        <f ca="1">(Dashboard!$C$7*'Equity and Bond Returns'!AM27)+(Dashboard!$C$8*'Equity and Bond Returns'!EK27)</f>
        <v>3.9053865917634829E-2</v>
      </c>
      <c r="AB27" s="122">
        <f ca="1">(Dashboard!$C$7*'Equity and Bond Returns'!AN27)+(Dashboard!$C$8*'Equity and Bond Returns'!EL27)</f>
        <v>1.4376499157150776E-3</v>
      </c>
      <c r="AC27" s="122">
        <f ca="1">(Dashboard!$C$7*'Equity and Bond Returns'!AO27)+(Dashboard!$C$8*'Equity and Bond Returns'!EM27)</f>
        <v>-0.16622693707937036</v>
      </c>
      <c r="AD27" s="122">
        <f ca="1">(Dashboard!$C$7*'Equity and Bond Returns'!AP27)+(Dashboard!$C$8*'Equity and Bond Returns'!EN27)</f>
        <v>6.0030197483111041E-3</v>
      </c>
      <c r="AE27" s="122">
        <f ca="1">(Dashboard!$C$7*'Equity and Bond Returns'!AQ27)+(Dashboard!$C$8*'Equity and Bond Returns'!EO27)</f>
        <v>-0.11318198506652394</v>
      </c>
      <c r="AF27" s="122">
        <f ca="1">(Dashboard!$C$7*'Equity and Bond Returns'!AR27)+(Dashboard!$C$8*'Equity and Bond Returns'!EP27)</f>
        <v>0.14995923349203924</v>
      </c>
      <c r="AG27" s="122">
        <f ca="1">(Dashboard!$C$7*'Equity and Bond Returns'!AS27)+(Dashboard!$C$8*'Equity and Bond Returns'!EQ27)</f>
        <v>7.6957902879257675E-2</v>
      </c>
      <c r="AH27" s="122">
        <f ca="1">(Dashboard!$C$7*'Equity and Bond Returns'!AT27)+(Dashboard!$C$8*'Equity and Bond Returns'!ER27)</f>
        <v>-0.20517029564553291</v>
      </c>
      <c r="AI27" s="122">
        <f ca="1">(Dashboard!$C$7*'Equity and Bond Returns'!AU27)+(Dashboard!$C$8*'Equity and Bond Returns'!ES27)</f>
        <v>7.4236036951319598E-2</v>
      </c>
      <c r="AJ27" s="122">
        <f ca="1">(Dashboard!$C$7*'Equity and Bond Returns'!AV27)+(Dashboard!$C$8*'Equity and Bond Returns'!ET27)</f>
        <v>-1.4326510384702305E-2</v>
      </c>
      <c r="AK27" s="122">
        <f ca="1">(Dashboard!$C$7*'Equity and Bond Returns'!AW27)+(Dashboard!$C$8*'Equity and Bond Returns'!EU27)</f>
        <v>0.19788316305361628</v>
      </c>
      <c r="AL27" s="122">
        <f ca="1">(Dashboard!$C$7*'Equity and Bond Returns'!AX27)+(Dashboard!$C$8*'Equity and Bond Returns'!EV27)</f>
        <v>0.21905904512493279</v>
      </c>
      <c r="AM27" s="122">
        <f ca="1">(Dashboard!$C$7*'Equity and Bond Returns'!AY27)+(Dashboard!$C$8*'Equity and Bond Returns'!EW27)</f>
        <v>5.3482868222178043E-2</v>
      </c>
      <c r="AN27" s="122">
        <f ca="1">(Dashboard!$C$7*'Equity and Bond Returns'!AZ27)+(Dashboard!$C$8*'Equity and Bond Returns'!EX27)</f>
        <v>-7.2718030056495048E-2</v>
      </c>
      <c r="AO27" s="122">
        <f ca="1">(Dashboard!$C$7*'Equity and Bond Returns'!BA27)+(Dashboard!$C$8*'Equity and Bond Returns'!EY27)</f>
        <v>7.9848286950349984E-2</v>
      </c>
      <c r="AP27" s="122">
        <f ca="1">(Dashboard!$C$7*'Equity and Bond Returns'!BB27)+(Dashboard!$C$8*'Equity and Bond Returns'!EZ27)</f>
        <v>-6.8523815261754301E-2</v>
      </c>
      <c r="AQ27" s="122">
        <f ca="1">(Dashboard!$C$7*'Equity and Bond Returns'!BC27)+(Dashboard!$C$8*'Equity and Bond Returns'!FA27)</f>
        <v>1.9900275351750051E-3</v>
      </c>
      <c r="AR27" s="122">
        <f ca="1">(Dashboard!$C$7*'Equity and Bond Returns'!BD27)+(Dashboard!$C$8*'Equity and Bond Returns'!FB27)</f>
        <v>-2.5547148912547002E-2</v>
      </c>
      <c r="AS27" s="122">
        <f ca="1">(Dashboard!$C$7*'Equity and Bond Returns'!BE27)+(Dashboard!$C$8*'Equity and Bond Returns'!FC27)</f>
        <v>0.27802783376434437</v>
      </c>
      <c r="AT27" s="122">
        <f ca="1">(Dashboard!$C$7*'Equity and Bond Returns'!BF27)+(Dashboard!$C$8*'Equity and Bond Returns'!FD27)</f>
        <v>0.11939357799377487</v>
      </c>
      <c r="AU27" s="122">
        <f ca="1">(Dashboard!$C$7*'Equity and Bond Returns'!BG27)+(Dashboard!$C$8*'Equity and Bond Returns'!FE27)</f>
        <v>0.28777196338980776</v>
      </c>
      <c r="AV27" s="122">
        <f ca="1">(Dashboard!$C$7*'Equity and Bond Returns'!BH27)+(Dashboard!$C$8*'Equity and Bond Returns'!FF27)</f>
        <v>9.8926150317311098E-2</v>
      </c>
      <c r="AW27" s="122">
        <f ca="1">(Dashboard!$C$7*'Equity and Bond Returns'!BI27)+(Dashboard!$C$8*'Equity and Bond Returns'!FG27)</f>
        <v>0.21371805282921813</v>
      </c>
      <c r="AX27" s="122">
        <f ca="1">(Dashboard!$C$7*'Equity and Bond Returns'!BJ27)+(Dashboard!$C$8*'Equity and Bond Returns'!FH27)</f>
        <v>7.8507664776951078E-3</v>
      </c>
      <c r="AY27" s="122">
        <f ca="1">(Dashboard!$C$7*'Equity and Bond Returns'!BK27)+(Dashboard!$C$8*'Equity and Bond Returns'!FI27)</f>
        <v>0.12023459190544429</v>
      </c>
      <c r="AZ27" s="122">
        <f ca="1">(Dashboard!$C$7*'Equity and Bond Returns'!BL27)+(Dashboard!$C$8*'Equity and Bond Returns'!FJ27)</f>
        <v>5.0569571872845408E-2</v>
      </c>
      <c r="BA27" s="122">
        <f ca="1">(Dashboard!$C$7*'Equity and Bond Returns'!BM27)+(Dashboard!$C$8*'Equity and Bond Returns'!FK27)</f>
        <v>0.31398737899872547</v>
      </c>
      <c r="BB27" s="122">
        <f ca="1">(Dashboard!$C$7*'Equity and Bond Returns'!BN27)+(Dashboard!$C$8*'Equity and Bond Returns'!FL27)</f>
        <v>6.3134750233895628E-2</v>
      </c>
      <c r="BC27" s="122">
        <f ca="1">(Dashboard!$C$7*'Equity and Bond Returns'!BO27)+(Dashboard!$C$8*'Equity and Bond Returns'!FM27)</f>
        <v>4.7600291306941572E-2</v>
      </c>
      <c r="BD27" s="122">
        <f ca="1">(Dashboard!$C$7*'Equity and Bond Returns'!BP27)+(Dashboard!$C$8*'Equity and Bond Returns'!FN27)</f>
        <v>-7.90790438220038E-2</v>
      </c>
      <c r="BE27" s="122">
        <f ca="1">(Dashboard!$C$7*'Equity and Bond Returns'!BQ27)+(Dashboard!$C$8*'Equity and Bond Returns'!FO27)</f>
        <v>-0.10313147127211435</v>
      </c>
      <c r="BF27" s="122">
        <f ca="1">(Dashboard!$C$7*'Equity and Bond Returns'!BR27)+(Dashboard!$C$8*'Equity and Bond Returns'!FP27)</f>
        <v>0.21405369914211586</v>
      </c>
      <c r="BG27" s="122">
        <f ca="1">(Dashboard!$C$7*'Equity and Bond Returns'!BS27)+(Dashboard!$C$8*'Equity and Bond Returns'!FQ27)</f>
        <v>0.32715392586693759</v>
      </c>
      <c r="BH27" s="122">
        <f ca="1">(Dashboard!$C$7*'Equity and Bond Returns'!BT27)+(Dashboard!$C$8*'Equity and Bond Returns'!FR27)</f>
        <v>1.9660348206323432E-2</v>
      </c>
      <c r="BI27" s="122">
        <f ca="1">(Dashboard!$C$7*'Equity and Bond Returns'!BU27)+(Dashboard!$C$8*'Equity and Bond Returns'!FS27)</f>
        <v>-1.7606894616402576E-2</v>
      </c>
      <c r="BJ27" s="122">
        <f ca="1">(Dashboard!$C$7*'Equity and Bond Returns'!BV27)+(Dashboard!$C$8*'Equity and Bond Returns'!FT27)</f>
        <v>3.6907145915860917E-2</v>
      </c>
      <c r="BK27" s="122">
        <f ca="1">(Dashboard!$C$7*'Equity and Bond Returns'!BW27)+(Dashboard!$C$8*'Equity and Bond Returns'!FU27)</f>
        <v>0.32262428811407395</v>
      </c>
      <c r="BL27" s="122">
        <f ca="1">(Dashboard!$C$7*'Equity and Bond Returns'!BX27)+(Dashboard!$C$8*'Equity and Bond Returns'!FV27)</f>
        <v>0.12064575342495568</v>
      </c>
      <c r="BM27" s="122">
        <f ca="1">(Dashboard!$C$7*'Equity and Bond Returns'!BY27)+(Dashboard!$C$8*'Equity and Bond Returns'!FW27)</f>
        <v>-3.5781071067052576E-2</v>
      </c>
      <c r="BN27" s="122">
        <f ca="1">(Dashboard!$C$7*'Equity and Bond Returns'!BZ27)+(Dashboard!$C$8*'Equity and Bond Returns'!FX27)</f>
        <v>-6.6781428494215173E-2</v>
      </c>
      <c r="BO27" s="122">
        <f ca="1">(Dashboard!$C$7*'Equity and Bond Returns'!CA27)+(Dashboard!$C$8*'Equity and Bond Returns'!FY27)</f>
        <v>9.0693412426670672E-2</v>
      </c>
      <c r="BP27" s="122">
        <f ca="1">(Dashboard!$C$7*'Equity and Bond Returns'!CB27)+(Dashboard!$C$8*'Equity and Bond Returns'!FZ27)</f>
        <v>2.0775918175418569E-2</v>
      </c>
      <c r="BQ27" s="122">
        <f ca="1">(Dashboard!$C$7*'Equity and Bond Returns'!CC27)+(Dashboard!$C$8*'Equity and Bond Returns'!GA27)</f>
        <v>9.2574398075802991E-2</v>
      </c>
      <c r="BR27" s="122">
        <f ca="1">(Dashboard!$C$7*'Equity and Bond Returns'!CD27)+(Dashboard!$C$8*'Equity and Bond Returns'!GB27)</f>
        <v>9.74563812355555E-2</v>
      </c>
      <c r="BS27" s="122">
        <f ca="1">(Dashboard!$C$7*'Equity and Bond Returns'!CE27)+(Dashboard!$C$8*'Equity and Bond Returns'!GC27)</f>
        <v>0.21407434449136109</v>
      </c>
      <c r="BT27" s="122">
        <f ca="1">(Dashboard!$C$7*'Equity and Bond Returns'!CF27)+(Dashboard!$C$8*'Equity and Bond Returns'!GD27)</f>
        <v>0.11487143230660252</v>
      </c>
      <c r="BU27" s="122">
        <f ca="1">(Dashboard!$C$7*'Equity and Bond Returns'!CG27)+(Dashboard!$C$8*'Equity and Bond Returns'!GE27)</f>
        <v>0.17046270366518657</v>
      </c>
      <c r="BV27" s="122">
        <f ca="1">(Dashboard!$C$7*'Equity and Bond Returns'!CH27)+(Dashboard!$C$8*'Equity and Bond Returns'!GF27)</f>
        <v>0.15234645899681742</v>
      </c>
      <c r="BW27" s="122">
        <f ca="1">(Dashboard!$C$7*'Equity and Bond Returns'!CI27)+(Dashboard!$C$8*'Equity and Bond Returns'!GG27)</f>
        <v>-7.4107705392845932E-2</v>
      </c>
      <c r="BX27" s="122">
        <f ca="1">(Dashboard!$C$7*'Equity and Bond Returns'!CJ27)+(Dashboard!$C$8*'Equity and Bond Returns'!GH27)</f>
        <v>-0.12867328070712175</v>
      </c>
      <c r="BY27" s="122">
        <f ca="1">(Dashboard!$C$7*'Equity and Bond Returns'!CK27)+(Dashboard!$C$8*'Equity and Bond Returns'!GI27)</f>
        <v>-3.1178864230729721E-2</v>
      </c>
      <c r="BZ27" s="122">
        <f ca="1">(Dashboard!$C$7*'Equity and Bond Returns'!CL27)+(Dashboard!$C$8*'Equity and Bond Returns'!GJ27)</f>
        <v>0.10293773483522051</v>
      </c>
      <c r="CA27" s="122">
        <f ca="1">(Dashboard!$C$7*'Equity and Bond Returns'!CM27)+(Dashboard!$C$8*'Equity and Bond Returns'!GK27)</f>
        <v>0.14107787249458986</v>
      </c>
      <c r="CB27" s="122">
        <f ca="1">(Dashboard!$C$7*'Equity and Bond Returns'!CN27)+(Dashboard!$C$8*'Equity and Bond Returns'!GL27)</f>
        <v>-2.4343108232582053E-2</v>
      </c>
      <c r="CC27" s="122">
        <f ca="1">(Dashboard!$C$7*'Equity and Bond Returns'!CO27)+(Dashboard!$C$8*'Equity and Bond Returns'!GM27)</f>
        <v>5.067962754986774E-2</v>
      </c>
      <c r="CD27" s="122">
        <f ca="1">(Dashboard!$C$7*'Equity and Bond Returns'!CP27)+(Dashboard!$C$8*'Equity and Bond Returns'!GN27)</f>
        <v>-2.6568703062968341E-2</v>
      </c>
      <c r="CE27" s="122">
        <f ca="1">(Dashboard!$C$7*'Equity and Bond Returns'!CQ27)+(Dashboard!$C$8*'Equity and Bond Returns'!GO27)</f>
        <v>0.19171437390883636</v>
      </c>
      <c r="CF27" s="122">
        <f ca="1">(Dashboard!$C$7*'Equity and Bond Returns'!CR27)+(Dashboard!$C$8*'Equity and Bond Returns'!GP27)</f>
        <v>5.6103003668465073E-2</v>
      </c>
      <c r="CG27" s="122">
        <f ca="1">(Dashboard!$C$7*'Equity and Bond Returns'!CS27)+(Dashboard!$C$8*'Equity and Bond Returns'!GQ27)</f>
        <v>3.5963419486005399E-2</v>
      </c>
      <c r="CH27" s="122">
        <f ca="1">(Dashboard!$C$7*'Equity and Bond Returns'!CT27)+(Dashboard!$C$8*'Equity and Bond Returns'!GR27)</f>
        <v>2.4325203804618091E-2</v>
      </c>
      <c r="CI27" s="122">
        <f ca="1">(Dashboard!$C$7*'Equity and Bond Returns'!CU27)+(Dashboard!$C$8*'Equity and Bond Returns'!GS27)</f>
        <v>-7.7672230388782341E-4</v>
      </c>
      <c r="CJ27" s="122">
        <f ca="1">(Dashboard!$C$7*'Equity and Bond Returns'!CV27)+(Dashboard!$C$8*'Equity and Bond Returns'!GT27)</f>
        <v>0.16465251232139319</v>
      </c>
      <c r="CK27" s="122">
        <f ca="1">(Dashboard!$C$7*'Equity and Bond Returns'!CW27)+(Dashboard!$C$8*'Equity and Bond Returns'!GU27)</f>
        <v>0.14512807430551358</v>
      </c>
      <c r="CL27" s="122">
        <f ca="1">(Dashboard!$C$7*'Equity and Bond Returns'!CX27)+(Dashboard!$C$8*'Equity and Bond Returns'!GV27)</f>
        <v>-0.10117073933850138</v>
      </c>
      <c r="CM27" s="122">
        <f ca="1">(Dashboard!$C$7*'Equity and Bond Returns'!CY27)+(Dashboard!$C$8*'Equity and Bond Returns'!GW27)</f>
        <v>0.35402303449784595</v>
      </c>
      <c r="CN27" s="122">
        <f ca="1">(Dashboard!$C$7*'Equity and Bond Returns'!CZ27)+(Dashboard!$C$8*'Equity and Bond Returns'!GX27)</f>
        <v>-0.10361611333153295</v>
      </c>
      <c r="CO27" s="122">
        <f ca="1">(Dashboard!$C$7*'Equity and Bond Returns'!DA27)+(Dashboard!$C$8*'Equity and Bond Returns'!GY27)</f>
        <v>0.19148319028378644</v>
      </c>
      <c r="CP27" s="122">
        <f ca="1">(Dashboard!$C$7*'Equity and Bond Returns'!DB27)+(Dashboard!$C$8*'Equity and Bond Returns'!GZ27)</f>
        <v>0.26847316737452231</v>
      </c>
      <c r="CQ27" s="122">
        <f ca="1">(Dashboard!$C$7*'Equity and Bond Returns'!DC27)+(Dashboard!$C$8*'Equity and Bond Returns'!HA27)</f>
        <v>0.20644197909011502</v>
      </c>
      <c r="CR27" s="122">
        <f ca="1">(Dashboard!$C$7*'Equity and Bond Returns'!DD27)+(Dashboard!$C$8*'Equity and Bond Returns'!HB27)</f>
        <v>-8.2008937749523558E-2</v>
      </c>
      <c r="CS27" s="122">
        <f ca="1">(Dashboard!$C$7*'Equity and Bond Returns'!DE27)+(Dashboard!$C$8*'Equity and Bond Returns'!HC27)</f>
        <v>0.13551196477899347</v>
      </c>
      <c r="CT27" s="122">
        <f ca="1">(Dashboard!$C$7*'Equity and Bond Returns'!DF27)+(Dashboard!$C$8*'Equity and Bond Returns'!HD27)</f>
        <v>0.28912708210212373</v>
      </c>
      <c r="CU27" s="122">
        <f ca="1">(Dashboard!$C$7*'Equity and Bond Returns'!DG27)+(Dashboard!$C$8*'Equity and Bond Returns'!HE27)</f>
        <v>-0.33187548013578139</v>
      </c>
      <c r="CV27" s="122">
        <f ca="1">(Dashboard!$C$7*'Equity and Bond Returns'!DH27)+(Dashboard!$C$8*'Equity and Bond Returns'!HF27)</f>
        <v>0.17591312355912037</v>
      </c>
      <c r="CW27" s="122">
        <f ca="1">(Dashboard!$C$7*'Equity and Bond Returns'!DI27)+(Dashboard!$C$8*'Equity and Bond Returns'!HG27)</f>
        <v>-6.8547847773961265E-2</v>
      </c>
      <c r="CY27" s="147">
        <f t="shared" si="5"/>
        <v>76</v>
      </c>
      <c r="CZ27" s="148">
        <v>26</v>
      </c>
      <c r="DA27" s="126">
        <f ca="1">MAX(DA26*(1+B27)-(Dashboard!$C$11)/(1-Dashboard!$C$17)*((1+Dashboard!$C$12)^$CZ27),0)</f>
        <v>15735775.698233714</v>
      </c>
      <c r="DB27" s="126">
        <f ca="1">MAX(DB26*(1+C27)-(Dashboard!$C$11)/(1-Dashboard!$C$17)*((1+Dashboard!$C$12)^$CZ27),0)</f>
        <v>0</v>
      </c>
      <c r="DC27" s="126">
        <f ca="1">MAX(DC26*(1+D27)-(Dashboard!$C$11)/(1-Dashboard!$C$17)*((1+Dashboard!$C$12)^$CZ27),0)</f>
        <v>5749106.2165124593</v>
      </c>
      <c r="DD27" s="126">
        <f ca="1">MAX(DD26*(1+E27)-(Dashboard!$C$11)/(1-Dashboard!$C$17)*((1+Dashboard!$C$12)^$CZ27),0)</f>
        <v>1033043.4269066609</v>
      </c>
      <c r="DE27" s="126">
        <f ca="1">MAX(DE26*(1+F27)-(Dashboard!$C$11)/(1-Dashboard!$C$17)*((1+Dashboard!$C$12)^$CZ27),0)</f>
        <v>4888740.7402785057</v>
      </c>
      <c r="DF27" s="126">
        <f ca="1">MAX(DF26*(1+G27)-(Dashboard!$C$11)/(1-Dashboard!$C$17)*((1+Dashboard!$C$12)^$CZ27),0)</f>
        <v>15972154.104064375</v>
      </c>
      <c r="DG27" s="126">
        <f ca="1">MAX(DG26*(1+H27)-(Dashboard!$C$11)/(1-Dashboard!$C$17)*((1+Dashboard!$C$12)^$CZ27),0)</f>
        <v>1135791.0995311958</v>
      </c>
      <c r="DH27" s="126">
        <f ca="1">MAX(DH26*(1+I27)-(Dashboard!$C$11)/(1-Dashboard!$C$17)*((1+Dashboard!$C$12)^$CZ27),0)</f>
        <v>8766272.5009809509</v>
      </c>
      <c r="DI27" s="126">
        <f ca="1">MAX(DI26*(1+J27)-(Dashboard!$C$11)/(1-Dashboard!$C$17)*((1+Dashboard!$C$12)^$CZ27),0)</f>
        <v>2519404.9902040418</v>
      </c>
      <c r="DJ27" s="126">
        <f ca="1">MAX(DJ26*(1+K27)-(Dashboard!$C$11)/(1-Dashboard!$C$17)*((1+Dashboard!$C$12)^$CZ27),0)</f>
        <v>3737058.8571403078</v>
      </c>
      <c r="DK27" s="126">
        <f ca="1">MAX(DK26*(1+L27)-(Dashboard!$C$11)/(1-Dashboard!$C$17)*((1+Dashboard!$C$12)^$CZ27),0)</f>
        <v>16457867.606550317</v>
      </c>
      <c r="DL27" s="126">
        <f ca="1">MAX(DL26*(1+M27)-(Dashboard!$C$11)/(1-Dashboard!$C$17)*((1+Dashboard!$C$12)^$CZ27),0)</f>
        <v>784950.79900912906</v>
      </c>
      <c r="DM27" s="126">
        <f ca="1">MAX(DM26*(1+N27)-(Dashboard!$C$11)/(1-Dashboard!$C$17)*((1+Dashboard!$C$12)^$CZ27),0)</f>
        <v>4691034.3509500129</v>
      </c>
      <c r="DN27" s="126">
        <f ca="1">MAX(DN26*(1+O27)-(Dashboard!$C$11)/(1-Dashboard!$C$17)*((1+Dashboard!$C$12)^$CZ27),0)</f>
        <v>15474680.001027364</v>
      </c>
      <c r="DO27" s="126">
        <f ca="1">MAX(DO26*(1+P27)-(Dashboard!$C$11)/(1-Dashboard!$C$17)*((1+Dashboard!$C$12)^$CZ27),0)</f>
        <v>2562462.3552178163</v>
      </c>
      <c r="DP27" s="126">
        <f ca="1">MAX(DP26*(1+Q27)-(Dashboard!$C$11)/(1-Dashboard!$C$17)*((1+Dashboard!$C$12)^$CZ27),0)</f>
        <v>2077659.8474854978</v>
      </c>
      <c r="DQ27" s="126">
        <f ca="1">MAX(DQ26*(1+R27)-(Dashboard!$C$11)/(1-Dashboard!$C$17)*((1+Dashboard!$C$12)^$CZ27),0)</f>
        <v>8976119.837151194</v>
      </c>
      <c r="DR27" s="126">
        <f ca="1">MAX(DR26*(1+S27)-(Dashboard!$C$11)/(1-Dashboard!$C$17)*((1+Dashboard!$C$12)^$CZ27),0)</f>
        <v>12459620.976134693</v>
      </c>
      <c r="DS27" s="126">
        <f ca="1">MAX(DS26*(1+T27)-(Dashboard!$C$11)/(1-Dashboard!$C$17)*((1+Dashboard!$C$12)^$CZ27),0)</f>
        <v>1093569.4727923875</v>
      </c>
      <c r="DT27" s="126">
        <f ca="1">MAX(DT26*(1+U27)-(Dashboard!$C$11)/(1-Dashboard!$C$17)*((1+Dashboard!$C$12)^$CZ27),0)</f>
        <v>3522855.9953502039</v>
      </c>
      <c r="DU27" s="126">
        <f ca="1">MAX(DU26*(1+V27)-(Dashboard!$C$11)/(1-Dashboard!$C$17)*((1+Dashboard!$C$12)^$CZ27),0)</f>
        <v>5001479.0680399425</v>
      </c>
      <c r="DV27" s="126">
        <f ca="1">MAX(DV26*(1+W27)-(Dashboard!$C$11)/(1-Dashboard!$C$17)*((1+Dashboard!$C$12)^$CZ27),0)</f>
        <v>13454841.812502082</v>
      </c>
      <c r="DW27" s="126">
        <f ca="1">MAX(DW26*(1+X27)-(Dashboard!$C$11)/(1-Dashboard!$C$17)*((1+Dashboard!$C$12)^$CZ27),0)</f>
        <v>4045510.9118649019</v>
      </c>
      <c r="DX27" s="126">
        <f ca="1">MAX(DX26*(1+Y27)-(Dashboard!$C$11)/(1-Dashboard!$C$17)*((1+Dashboard!$C$12)^$CZ27),0)</f>
        <v>2505358.2433187068</v>
      </c>
      <c r="DY27" s="126">
        <f ca="1">MAX(DY26*(1+Z27)-(Dashboard!$C$11)/(1-Dashboard!$C$17)*((1+Dashboard!$C$12)^$CZ27),0)</f>
        <v>6290628.3384052757</v>
      </c>
      <c r="DZ27" s="126">
        <f ca="1">MAX(DZ26*(1+AA27)-(Dashboard!$C$11)/(1-Dashboard!$C$17)*((1+Dashboard!$C$12)^$CZ27),0)</f>
        <v>646943.93809381069</v>
      </c>
      <c r="EA27" s="126">
        <f ca="1">MAX(EA26*(1+AB27)-(Dashboard!$C$11)/(1-Dashboard!$C$17)*((1+Dashboard!$C$12)^$CZ27),0)</f>
        <v>3657659.0593968653</v>
      </c>
      <c r="EB27" s="126">
        <f ca="1">MAX(EB26*(1+AC27)-(Dashboard!$C$11)/(1-Dashboard!$C$17)*((1+Dashboard!$C$12)^$CZ27),0)</f>
        <v>5381135.0281296335</v>
      </c>
      <c r="EC27" s="126">
        <f ca="1">MAX(EC26*(1+AD27)-(Dashboard!$C$11)/(1-Dashboard!$C$17)*((1+Dashboard!$C$12)^$CZ27),0)</f>
        <v>4416397.4206777746</v>
      </c>
      <c r="ED27" s="126">
        <f ca="1">MAX(ED26*(1+AE27)-(Dashboard!$C$11)/(1-Dashboard!$C$17)*((1+Dashboard!$C$12)^$CZ27),0)</f>
        <v>3371838.005678169</v>
      </c>
      <c r="EE27" s="126">
        <f ca="1">MAX(EE26*(1+AF27)-(Dashboard!$C$11)/(1-Dashboard!$C$17)*((1+Dashboard!$C$12)^$CZ27),0)</f>
        <v>8241531.5503699426</v>
      </c>
      <c r="EF27" s="126">
        <f ca="1">MAX(EF26*(1+AG27)-(Dashboard!$C$11)/(1-Dashboard!$C$17)*((1+Dashboard!$C$12)^$CZ27),0)</f>
        <v>1553096.451632943</v>
      </c>
      <c r="EG27" s="126">
        <f ca="1">MAX(EG26*(1+AH27)-(Dashboard!$C$11)/(1-Dashboard!$C$17)*((1+Dashboard!$C$12)^$CZ27),0)</f>
        <v>5305565.0334709445</v>
      </c>
      <c r="EH27" s="126">
        <f ca="1">MAX(EH26*(1+AI27)-(Dashboard!$C$11)/(1-Dashboard!$C$17)*((1+Dashboard!$C$12)^$CZ27),0)</f>
        <v>5788076.6958732419</v>
      </c>
      <c r="EI27" s="126">
        <f ca="1">MAX(EI26*(1+AJ27)-(Dashboard!$C$11)/(1-Dashboard!$C$17)*((1+Dashboard!$C$12)^$CZ27),0)</f>
        <v>609054.20339112217</v>
      </c>
      <c r="EJ27" s="126">
        <f ca="1">MAX(EJ26*(1+AK27)-(Dashboard!$C$11)/(1-Dashboard!$C$17)*((1+Dashboard!$C$12)^$CZ27),0)</f>
        <v>4739311.3123627333</v>
      </c>
      <c r="EK27" s="126">
        <f ca="1">MAX(EK26*(1+AL27)-(Dashboard!$C$11)/(1-Dashboard!$C$17)*((1+Dashboard!$C$12)^$CZ27),0)</f>
        <v>6804609.4646017542</v>
      </c>
      <c r="EL27" s="126">
        <f ca="1">MAX(EL26*(1+AM27)-(Dashboard!$C$11)/(1-Dashboard!$C$17)*((1+Dashboard!$C$12)^$CZ27),0)</f>
        <v>1435798.937779705</v>
      </c>
      <c r="EM27" s="126">
        <f ca="1">MAX(EM26*(1+AN27)-(Dashboard!$C$11)/(1-Dashboard!$C$17)*((1+Dashboard!$C$12)^$CZ27),0)</f>
        <v>6779299.1101819556</v>
      </c>
      <c r="EN27" s="126">
        <f ca="1">MAX(EN26*(1+AO27)-(Dashboard!$C$11)/(1-Dashboard!$C$17)*((1+Dashboard!$C$12)^$CZ27),0)</f>
        <v>2965466.7732677069</v>
      </c>
      <c r="EO27" s="126">
        <f ca="1">MAX(EO26*(1+AP27)-(Dashboard!$C$11)/(1-Dashboard!$C$17)*((1+Dashboard!$C$12)^$CZ27),0)</f>
        <v>420925.73520745465</v>
      </c>
      <c r="EP27" s="126">
        <f ca="1">MAX(EP26*(1+AQ27)-(Dashboard!$C$11)/(1-Dashboard!$C$17)*((1+Dashboard!$C$12)^$CZ27),0)</f>
        <v>1912973.4328567402</v>
      </c>
      <c r="EQ27" s="126">
        <f ca="1">MAX(EQ26*(1+AR27)-(Dashboard!$C$11)/(1-Dashboard!$C$17)*((1+Dashboard!$C$12)^$CZ27),0)</f>
        <v>2181494.9904474248</v>
      </c>
      <c r="ER27" s="126">
        <f ca="1">MAX(ER26*(1+AS27)-(Dashboard!$C$11)/(1-Dashboard!$C$17)*((1+Dashboard!$C$12)^$CZ27),0)</f>
        <v>1130859.7733360466</v>
      </c>
      <c r="ES27" s="126">
        <f ca="1">MAX(ES26*(1+AT27)-(Dashboard!$C$11)/(1-Dashboard!$C$17)*((1+Dashboard!$C$12)^$CZ27),0)</f>
        <v>6738712.6830703886</v>
      </c>
      <c r="ET27" s="126">
        <f ca="1">MAX(ET26*(1+AU27)-(Dashboard!$C$11)/(1-Dashboard!$C$17)*((1+Dashboard!$C$12)^$CZ27),0)</f>
        <v>3644169.0402883664</v>
      </c>
      <c r="EU27" s="126">
        <f ca="1">MAX(EU26*(1+AV27)-(Dashboard!$C$11)/(1-Dashboard!$C$17)*((1+Dashboard!$C$12)^$CZ27),0)</f>
        <v>2798629.8044823874</v>
      </c>
      <c r="EV27" s="126">
        <f ca="1">MAX(EV26*(1+AW27)-(Dashboard!$C$11)/(1-Dashboard!$C$17)*((1+Dashboard!$C$12)^$CZ27),0)</f>
        <v>13527305.92589391</v>
      </c>
      <c r="EW27" s="126">
        <f ca="1">MAX(EW26*(1+AX27)-(Dashboard!$C$11)/(1-Dashboard!$C$17)*((1+Dashboard!$C$12)^$CZ27),0)</f>
        <v>1906437.2701799097</v>
      </c>
      <c r="EX27" s="126">
        <f ca="1">MAX(EX26*(1+AY27)-(Dashboard!$C$11)/(1-Dashboard!$C$17)*((1+Dashboard!$C$12)^$CZ27),0)</f>
        <v>3095051.8933876595</v>
      </c>
      <c r="EY27" s="126">
        <f ca="1">MAX(EY26*(1+AZ27)-(Dashboard!$C$11)/(1-Dashboard!$C$17)*((1+Dashboard!$C$12)^$CZ27),0)</f>
        <v>7879415.9043209506</v>
      </c>
      <c r="EZ27" s="126">
        <f ca="1">MAX(EZ26*(1+BA27)-(Dashboard!$C$11)/(1-Dashboard!$C$17)*((1+Dashboard!$C$12)^$CZ27),0)</f>
        <v>4621724.7831830112</v>
      </c>
      <c r="FA27" s="126">
        <f ca="1">MAX(FA26*(1+BB27)-(Dashboard!$C$11)/(1-Dashboard!$C$17)*((1+Dashboard!$C$12)^$CZ27),0)</f>
        <v>10044607.489239821</v>
      </c>
      <c r="FB27" s="126">
        <f ca="1">MAX(FB26*(1+BC27)-(Dashboard!$C$11)/(1-Dashboard!$C$17)*((1+Dashboard!$C$12)^$CZ27),0)</f>
        <v>960231.27749167127</v>
      </c>
      <c r="FC27" s="126">
        <f ca="1">MAX(FC26*(1+BD27)-(Dashboard!$C$11)/(1-Dashboard!$C$17)*((1+Dashboard!$C$12)^$CZ27),0)</f>
        <v>7068115.8585196119</v>
      </c>
      <c r="FD27" s="126">
        <f ca="1">MAX(FD26*(1+BE27)-(Dashboard!$C$11)/(1-Dashboard!$C$17)*((1+Dashboard!$C$12)^$CZ27),0)</f>
        <v>8627090.0349826571</v>
      </c>
      <c r="FE27" s="126">
        <f ca="1">MAX(FE26*(1+BF27)-(Dashboard!$C$11)/(1-Dashboard!$C$17)*((1+Dashboard!$C$12)^$CZ27),0)</f>
        <v>14451682.278303811</v>
      </c>
      <c r="FF27" s="126">
        <f ca="1">MAX(FF26*(1+BG27)-(Dashboard!$C$11)/(1-Dashboard!$C$17)*((1+Dashboard!$C$12)^$CZ27),0)</f>
        <v>3276566.3486864185</v>
      </c>
      <c r="FG27" s="126">
        <f ca="1">MAX(FG26*(1+BH27)-(Dashboard!$C$11)/(1-Dashboard!$C$17)*((1+Dashboard!$C$12)^$CZ27),0)</f>
        <v>5164187.8416058524</v>
      </c>
      <c r="FH27" s="126">
        <f ca="1">MAX(FH26*(1+BI27)-(Dashboard!$C$11)/(1-Dashboard!$C$17)*((1+Dashboard!$C$12)^$CZ27),0)</f>
        <v>2344642.2204175736</v>
      </c>
      <c r="FI27" s="126">
        <f ca="1">MAX(FI26*(1+BJ27)-(Dashboard!$C$11)/(1-Dashboard!$C$17)*((1+Dashboard!$C$12)^$CZ27),0)</f>
        <v>7625452.0563683435</v>
      </c>
      <c r="FJ27" s="126">
        <f ca="1">MAX(FJ26*(1+BK27)-(Dashboard!$C$11)/(1-Dashboard!$C$17)*((1+Dashboard!$C$12)^$CZ27),0)</f>
        <v>3380353.1936161299</v>
      </c>
      <c r="FK27" s="126">
        <f ca="1">MAX(FK26*(1+BL27)-(Dashboard!$C$11)/(1-Dashboard!$C$17)*((1+Dashboard!$C$12)^$CZ27),0)</f>
        <v>4921007.5188709777</v>
      </c>
      <c r="FL27" s="126">
        <f ca="1">MAX(FL26*(1+BM27)-(Dashboard!$C$11)/(1-Dashboard!$C$17)*((1+Dashboard!$C$12)^$CZ27),0)</f>
        <v>3541723.093719007</v>
      </c>
      <c r="FM27" s="126">
        <f ca="1">MAX(FM26*(1+BN27)-(Dashboard!$C$11)/(1-Dashboard!$C$17)*((1+Dashboard!$C$12)^$CZ27),0)</f>
        <v>6905656.59875404</v>
      </c>
      <c r="FN27" s="126">
        <f ca="1">MAX(FN26*(1+BO27)-(Dashboard!$C$11)/(1-Dashboard!$C$17)*((1+Dashboard!$C$12)^$CZ27),0)</f>
        <v>348281.53212432389</v>
      </c>
      <c r="FO27" s="126">
        <f ca="1">MAX(FO26*(1+BP27)-(Dashboard!$C$11)/(1-Dashboard!$C$17)*((1+Dashboard!$C$12)^$CZ27),0)</f>
        <v>4897502.1171346968</v>
      </c>
      <c r="FP27" s="126">
        <f ca="1">MAX(FP26*(1+BQ27)-(Dashboard!$C$11)/(1-Dashboard!$C$17)*((1+Dashboard!$C$12)^$CZ27),0)</f>
        <v>4671095.5964246374</v>
      </c>
      <c r="FQ27" s="126">
        <f ca="1">MAX(FQ26*(1+BR27)-(Dashboard!$C$11)/(1-Dashboard!$C$17)*((1+Dashboard!$C$12)^$CZ27),0)</f>
        <v>3660727.7754904255</v>
      </c>
      <c r="FR27" s="126">
        <f ca="1">MAX(FR26*(1+BS27)-(Dashboard!$C$11)/(1-Dashboard!$C$17)*((1+Dashboard!$C$12)^$CZ27),0)</f>
        <v>7452456.0949681625</v>
      </c>
      <c r="FS27" s="126">
        <f ca="1">MAX(FS26*(1+BT27)-(Dashboard!$C$11)/(1-Dashboard!$C$17)*((1+Dashboard!$C$12)^$CZ27),0)</f>
        <v>5729162.5660107816</v>
      </c>
      <c r="FT27" s="126">
        <f ca="1">MAX(FT26*(1+BU27)-(Dashboard!$C$11)/(1-Dashboard!$C$17)*((1+Dashboard!$C$12)^$CZ27),0)</f>
        <v>1876264.231947917</v>
      </c>
      <c r="FU27" s="126">
        <f ca="1">MAX(FU26*(1+BV27)-(Dashboard!$C$11)/(1-Dashboard!$C$17)*((1+Dashboard!$C$12)^$CZ27),0)</f>
        <v>2766463.015747536</v>
      </c>
      <c r="FV27" s="126">
        <f ca="1">MAX(FV26*(1+BW27)-(Dashboard!$C$11)/(1-Dashboard!$C$17)*((1+Dashboard!$C$12)^$CZ27),0)</f>
        <v>2811651.1418237165</v>
      </c>
      <c r="FW27" s="126">
        <f ca="1">MAX(FW26*(1+BX27)-(Dashboard!$C$11)/(1-Dashboard!$C$17)*((1+Dashboard!$C$12)^$CZ27),0)</f>
        <v>3459826.2831689371</v>
      </c>
      <c r="FX27" s="126">
        <f ca="1">MAX(FX26*(1+BY27)-(Dashboard!$C$11)/(1-Dashboard!$C$17)*((1+Dashboard!$C$12)^$CZ27),0)</f>
        <v>1113258.4192753208</v>
      </c>
      <c r="FY27" s="126">
        <f ca="1">MAX(FY26*(1+BZ27)-(Dashboard!$C$11)/(1-Dashboard!$C$17)*((1+Dashboard!$C$12)^$CZ27),0)</f>
        <v>2742209.0669639665</v>
      </c>
      <c r="FZ27" s="126">
        <f ca="1">MAX(FZ26*(1+CA27)-(Dashboard!$C$11)/(1-Dashboard!$C$17)*((1+Dashboard!$C$12)^$CZ27),0)</f>
        <v>8109201.9312896486</v>
      </c>
      <c r="GA27" s="126">
        <f ca="1">MAX(GA26*(1+CB27)-(Dashboard!$C$11)/(1-Dashboard!$C$17)*((1+Dashboard!$C$12)^$CZ27),0)</f>
        <v>7899015.2907092338</v>
      </c>
      <c r="GB27" s="126">
        <f ca="1">MAX(GB26*(1+CC27)-(Dashboard!$C$11)/(1-Dashboard!$C$17)*((1+Dashboard!$C$12)^$CZ27),0)</f>
        <v>2145694.2818893311</v>
      </c>
      <c r="GC27" s="126">
        <f ca="1">MAX(GC26*(1+CD27)-(Dashboard!$C$11)/(1-Dashboard!$C$17)*((1+Dashboard!$C$12)^$CZ27),0)</f>
        <v>5239545.5886920383</v>
      </c>
      <c r="GD27" s="126">
        <f ca="1">MAX(GD26*(1+CE27)-(Dashboard!$C$11)/(1-Dashboard!$C$17)*((1+Dashboard!$C$12)^$CZ27),0)</f>
        <v>21060974.459565282</v>
      </c>
      <c r="GE27" s="126">
        <f ca="1">MAX(GE26*(1+CF27)-(Dashboard!$C$11)/(1-Dashboard!$C$17)*((1+Dashboard!$C$12)^$CZ27),0)</f>
        <v>2761517.5202846578</v>
      </c>
      <c r="GF27" s="126">
        <f ca="1">MAX(GF26*(1+CG27)-(Dashboard!$C$11)/(1-Dashboard!$C$17)*((1+Dashboard!$C$12)^$CZ27),0)</f>
        <v>8391282.436921984</v>
      </c>
      <c r="GG27" s="126">
        <f ca="1">MAX(GG26*(1+CH27)-(Dashboard!$C$11)/(1-Dashboard!$C$17)*((1+Dashboard!$C$12)^$CZ27),0)</f>
        <v>855386.82849478896</v>
      </c>
      <c r="GH27" s="126">
        <f ca="1">MAX(GH26*(1+CI27)-(Dashboard!$C$11)/(1-Dashboard!$C$17)*((1+Dashboard!$C$12)^$CZ27),0)</f>
        <v>2291445.7627169853</v>
      </c>
      <c r="GI27" s="126">
        <f ca="1">MAX(GI26*(1+CJ27)-(Dashboard!$C$11)/(1-Dashboard!$C$17)*((1+Dashboard!$C$12)^$CZ27),0)</f>
        <v>4347575.8521933276</v>
      </c>
      <c r="GJ27" s="126">
        <f ca="1">MAX(GJ26*(1+CK27)-(Dashboard!$C$11)/(1-Dashboard!$C$17)*((1+Dashboard!$C$12)^$CZ27),0)</f>
        <v>9282205.7485160008</v>
      </c>
      <c r="GK27" s="126">
        <f ca="1">MAX(GK26*(1+CL27)-(Dashboard!$C$11)/(1-Dashboard!$C$17)*((1+Dashboard!$C$12)^$CZ27),0)</f>
        <v>4835849.1204927741</v>
      </c>
      <c r="GL27" s="126">
        <f ca="1">MAX(GL26*(1+CM27)-(Dashboard!$C$11)/(1-Dashboard!$C$17)*((1+Dashboard!$C$12)^$CZ27),0)</f>
        <v>7986379.2256087242</v>
      </c>
      <c r="GM27" s="126">
        <f ca="1">MAX(GM26*(1+CN27)-(Dashboard!$C$11)/(1-Dashboard!$C$17)*((1+Dashboard!$C$12)^$CZ27),0)</f>
        <v>1565457.5640518621</v>
      </c>
      <c r="GN27" s="126">
        <f ca="1">MAX(GN26*(1+CO27)-(Dashboard!$C$11)/(1-Dashboard!$C$17)*((1+Dashboard!$C$12)^$CZ27),0)</f>
        <v>159454.30846606815</v>
      </c>
      <c r="GO27" s="126">
        <f ca="1">MAX(GO26*(1+CP27)-(Dashboard!$C$11)/(1-Dashboard!$C$17)*((1+Dashboard!$C$12)^$CZ27),0)</f>
        <v>3183333.3711824394</v>
      </c>
      <c r="GP27" s="126">
        <f ca="1">MAX(GP26*(1+CQ27)-(Dashboard!$C$11)/(1-Dashboard!$C$17)*((1+Dashboard!$C$12)^$CZ27),0)</f>
        <v>3546135.2395517677</v>
      </c>
      <c r="GQ27" s="126">
        <f ca="1">MAX(GQ26*(1+CR27)-(Dashboard!$C$11)/(1-Dashboard!$C$17)*((1+Dashboard!$C$12)^$CZ27),0)</f>
        <v>755251.79960097757</v>
      </c>
      <c r="GR27" s="126">
        <f ca="1">MAX(GR26*(1+CS27)-(Dashboard!$C$11)/(1-Dashboard!$C$17)*((1+Dashboard!$C$12)^$CZ27),0)</f>
        <v>2021820.9747296376</v>
      </c>
      <c r="GS27" s="126">
        <f ca="1">MAX(GS26*(1+CT27)-(Dashboard!$C$11)/(1-Dashboard!$C$17)*((1+Dashboard!$C$12)^$CZ27),0)</f>
        <v>4814514.5859027179</v>
      </c>
      <c r="GT27" s="126">
        <f ca="1">MAX(GT26*(1+CU27)-(Dashboard!$C$11)/(1-Dashboard!$C$17)*((1+Dashboard!$C$12)^$CZ27),0)</f>
        <v>13608983.165370123</v>
      </c>
      <c r="GU27" s="126">
        <f ca="1">MAX(GU26*(1+CV27)-(Dashboard!$C$11)/(1-Dashboard!$C$17)*((1+Dashboard!$C$12)^$CZ27),0)</f>
        <v>2049251.1687377046</v>
      </c>
      <c r="GV27" s="126">
        <f ca="1">MAX(GV26*(1+CW27)-(Dashboard!$C$11)/(1-Dashboard!$C$17)*((1+Dashboard!$C$12)^$CZ27),0)</f>
        <v>2147481.2875503646</v>
      </c>
      <c r="GW27" s="115">
        <f t="shared" si="4"/>
        <v>76</v>
      </c>
      <c r="GX27" s="130">
        <f t="shared" ca="1" si="2"/>
        <v>99</v>
      </c>
      <c r="HC27" s="130">
        <f t="shared" si="0"/>
        <v>76</v>
      </c>
      <c r="HD27" s="137">
        <f t="shared" ca="1" si="6"/>
        <v>2094668.4560864561</v>
      </c>
      <c r="HE27" s="137">
        <f t="shared" ca="1" si="6"/>
        <v>3659193.4174436452</v>
      </c>
      <c r="HF27" s="137">
        <f t="shared" ca="1" si="6"/>
        <v>6798281.8759968048</v>
      </c>
    </row>
    <row r="28" spans="1:214" ht="16">
      <c r="A28" s="145">
        <f t="shared" si="3"/>
        <v>77</v>
      </c>
      <c r="B28" s="122">
        <f ca="1">(Dashboard!$C$7*'Equity and Bond Returns'!N28)+(Dashboard!$C$8*'Equity and Bond Returns'!DL28)</f>
        <v>6.6333228993348897E-2</v>
      </c>
      <c r="C28" s="122">
        <f ca="1">(Dashboard!$C$7*'Equity and Bond Returns'!O28)+(Dashboard!$C$8*'Equity and Bond Returns'!DM28)</f>
        <v>5.3137580300186109E-3</v>
      </c>
      <c r="D28" s="122">
        <f ca="1">(Dashboard!$C$7*'Equity and Bond Returns'!P28)+(Dashboard!$C$8*'Equity and Bond Returns'!DN28)</f>
        <v>-0.13545288860430754</v>
      </c>
      <c r="E28" s="122">
        <f ca="1">(Dashboard!$C$7*'Equity and Bond Returns'!Q28)+(Dashboard!$C$8*'Equity and Bond Returns'!DO28)</f>
        <v>0.26354384128193387</v>
      </c>
      <c r="F28" s="122">
        <f ca="1">(Dashboard!$C$7*'Equity and Bond Returns'!R28)+(Dashboard!$C$8*'Equity and Bond Returns'!DP28)</f>
        <v>4.1861088456728174E-3</v>
      </c>
      <c r="G28" s="122">
        <f ca="1">(Dashboard!$C$7*'Equity and Bond Returns'!S28)+(Dashboard!$C$8*'Equity and Bond Returns'!DQ28)</f>
        <v>-0.14825715990480612</v>
      </c>
      <c r="H28" s="122">
        <f ca="1">(Dashboard!$C$7*'Equity and Bond Returns'!T28)+(Dashboard!$C$8*'Equity and Bond Returns'!DR28)</f>
        <v>0.23309193855413407</v>
      </c>
      <c r="I28" s="122">
        <f ca="1">(Dashboard!$C$7*'Equity and Bond Returns'!U28)+(Dashboard!$C$8*'Equity and Bond Returns'!DS28)</f>
        <v>6.261439386030343E-2</v>
      </c>
      <c r="J28" s="122">
        <f ca="1">(Dashboard!$C$7*'Equity and Bond Returns'!V28)+(Dashboard!$C$8*'Equity and Bond Returns'!DT28)</f>
        <v>0.18073935487323686</v>
      </c>
      <c r="K28" s="122">
        <f ca="1">(Dashboard!$C$7*'Equity and Bond Returns'!W28)+(Dashboard!$C$8*'Equity and Bond Returns'!DU28)</f>
        <v>0.10349541830346692</v>
      </c>
      <c r="L28" s="122">
        <f ca="1">(Dashboard!$C$7*'Equity and Bond Returns'!X28)+(Dashboard!$C$8*'Equity and Bond Returns'!DV28)</f>
        <v>2.564614305572167E-2</v>
      </c>
      <c r="M28" s="122">
        <f ca="1">(Dashboard!$C$7*'Equity and Bond Returns'!Y28)+(Dashboard!$C$8*'Equity and Bond Returns'!DW28)</f>
        <v>0.27715069388018837</v>
      </c>
      <c r="N28" s="122">
        <f ca="1">(Dashboard!$C$7*'Equity and Bond Returns'!Z28)+(Dashboard!$C$8*'Equity and Bond Returns'!DX28)</f>
        <v>0.3068636942893489</v>
      </c>
      <c r="O28" s="122">
        <f ca="1">(Dashboard!$C$7*'Equity and Bond Returns'!AA28)+(Dashboard!$C$8*'Equity and Bond Returns'!DY28)</f>
        <v>4.4098432854837499E-2</v>
      </c>
      <c r="P28" s="122">
        <f ca="1">(Dashboard!$C$7*'Equity and Bond Returns'!AB28)+(Dashboard!$C$8*'Equity and Bond Returns'!DZ28)</f>
        <v>7.0777997499132786E-2</v>
      </c>
      <c r="Q28" s="122">
        <f ca="1">(Dashboard!$C$7*'Equity and Bond Returns'!AC28)+(Dashboard!$C$8*'Equity and Bond Returns'!EA28)</f>
        <v>0.31554722760053427</v>
      </c>
      <c r="R28" s="122">
        <f ca="1">(Dashboard!$C$7*'Equity and Bond Returns'!AD28)+(Dashboard!$C$8*'Equity and Bond Returns'!EB28)</f>
        <v>-8.2145892502202666E-2</v>
      </c>
      <c r="S28" s="122">
        <f ca="1">(Dashboard!$C$7*'Equity and Bond Returns'!AE28)+(Dashboard!$C$8*'Equity and Bond Returns'!EC28)</f>
        <v>8.3342827558041135E-2</v>
      </c>
      <c r="T28" s="122">
        <f ca="1">(Dashboard!$C$7*'Equity and Bond Returns'!AF28)+(Dashboard!$C$8*'Equity and Bond Returns'!ED28)</f>
        <v>-0.19815731333885434</v>
      </c>
      <c r="U28" s="122">
        <f ca="1">(Dashboard!$C$7*'Equity and Bond Returns'!AG28)+(Dashboard!$C$8*'Equity and Bond Returns'!EE28)</f>
        <v>0.23886840699014922</v>
      </c>
      <c r="V28" s="122">
        <f ca="1">(Dashboard!$C$7*'Equity and Bond Returns'!AH28)+(Dashboard!$C$8*'Equity and Bond Returns'!EF28)</f>
        <v>0.15933484857077762</v>
      </c>
      <c r="W28" s="122">
        <f ca="1">(Dashboard!$C$7*'Equity and Bond Returns'!AI28)+(Dashboard!$C$8*'Equity and Bond Returns'!EG28)</f>
        <v>-0.24573039162116572</v>
      </c>
      <c r="X28" s="122">
        <f ca="1">(Dashboard!$C$7*'Equity and Bond Returns'!AJ28)+(Dashboard!$C$8*'Equity and Bond Returns'!EH28)</f>
        <v>7.4152075772065326E-2</v>
      </c>
      <c r="Y28" s="122">
        <f ca="1">(Dashboard!$C$7*'Equity and Bond Returns'!AK28)+(Dashboard!$C$8*'Equity and Bond Returns'!EI28)</f>
        <v>0.10344756647724976</v>
      </c>
      <c r="Z28" s="122">
        <f ca="1">(Dashboard!$C$7*'Equity and Bond Returns'!AL28)+(Dashboard!$C$8*'Equity and Bond Returns'!EJ28)</f>
        <v>9.6570541827952494E-2</v>
      </c>
      <c r="AA28" s="122">
        <f ca="1">(Dashboard!$C$7*'Equity and Bond Returns'!AM28)+(Dashboard!$C$8*'Equity and Bond Returns'!EK28)</f>
        <v>6.2290206409704722E-2</v>
      </c>
      <c r="AB28" s="122">
        <f ca="1">(Dashboard!$C$7*'Equity and Bond Returns'!AN28)+(Dashboard!$C$8*'Equity and Bond Returns'!EL28)</f>
        <v>0.15208001037074834</v>
      </c>
      <c r="AC28" s="122">
        <f ca="1">(Dashboard!$C$7*'Equity and Bond Returns'!AO28)+(Dashboard!$C$8*'Equity and Bond Returns'!EM28)</f>
        <v>0.14081997817664682</v>
      </c>
      <c r="AD28" s="122">
        <f ca="1">(Dashboard!$C$7*'Equity and Bond Returns'!AP28)+(Dashboard!$C$8*'Equity and Bond Returns'!EN28)</f>
        <v>9.0735687348114769E-2</v>
      </c>
      <c r="AE28" s="122">
        <f ca="1">(Dashboard!$C$7*'Equity and Bond Returns'!AQ28)+(Dashboard!$C$8*'Equity and Bond Returns'!EO28)</f>
        <v>0.19976297225295836</v>
      </c>
      <c r="AF28" s="122">
        <f ca="1">(Dashboard!$C$7*'Equity and Bond Returns'!AR28)+(Dashboard!$C$8*'Equity and Bond Returns'!EP28)</f>
        <v>-1.1704427400908036E-3</v>
      </c>
      <c r="AG28" s="122">
        <f ca="1">(Dashboard!$C$7*'Equity and Bond Returns'!AS28)+(Dashboard!$C$8*'Equity and Bond Returns'!EQ28)</f>
        <v>9.049020826735138E-2</v>
      </c>
      <c r="AH28" s="122">
        <f ca="1">(Dashboard!$C$7*'Equity and Bond Returns'!AT28)+(Dashboard!$C$8*'Equity and Bond Returns'!ER28)</f>
        <v>9.8767890600396729E-2</v>
      </c>
      <c r="AI28" s="122">
        <f ca="1">(Dashboard!$C$7*'Equity and Bond Returns'!AU28)+(Dashboard!$C$8*'Equity and Bond Returns'!ES28)</f>
        <v>0.11535577685582213</v>
      </c>
      <c r="AJ28" s="122">
        <f ca="1">(Dashboard!$C$7*'Equity and Bond Returns'!AV28)+(Dashboard!$C$8*'Equity and Bond Returns'!ET28)</f>
        <v>0.25355310206639725</v>
      </c>
      <c r="AK28" s="122">
        <f ca="1">(Dashboard!$C$7*'Equity and Bond Returns'!AW28)+(Dashboard!$C$8*'Equity and Bond Returns'!EU28)</f>
        <v>-7.2612256065144751E-2</v>
      </c>
      <c r="AL28" s="122">
        <f ca="1">(Dashboard!$C$7*'Equity and Bond Returns'!AX28)+(Dashboard!$C$8*'Equity and Bond Returns'!EV28)</f>
        <v>0.30944860935065993</v>
      </c>
      <c r="AM28" s="122">
        <f ca="1">(Dashboard!$C$7*'Equity and Bond Returns'!AY28)+(Dashboard!$C$8*'Equity and Bond Returns'!EW28)</f>
        <v>-0.15146836666793115</v>
      </c>
      <c r="AN28" s="122">
        <f ca="1">(Dashboard!$C$7*'Equity and Bond Returns'!AZ28)+(Dashboard!$C$8*'Equity and Bond Returns'!EX28)</f>
        <v>0.14821057972114568</v>
      </c>
      <c r="AO28" s="122">
        <f ca="1">(Dashboard!$C$7*'Equity and Bond Returns'!BA28)+(Dashboard!$C$8*'Equity and Bond Returns'!EY28)</f>
        <v>8.109767982450769E-2</v>
      </c>
      <c r="AP28" s="122">
        <f ca="1">(Dashboard!$C$7*'Equity and Bond Returns'!BB28)+(Dashboard!$C$8*'Equity and Bond Returns'!EZ28)</f>
        <v>-8.3722300647710246E-2</v>
      </c>
      <c r="AQ28" s="122">
        <f ca="1">(Dashboard!$C$7*'Equity and Bond Returns'!BC28)+(Dashboard!$C$8*'Equity and Bond Returns'!FA28)</f>
        <v>0.10593931943457435</v>
      </c>
      <c r="AR28" s="122">
        <f ca="1">(Dashboard!$C$7*'Equity and Bond Returns'!BD28)+(Dashboard!$C$8*'Equity and Bond Returns'!FB28)</f>
        <v>0.11592069659148319</v>
      </c>
      <c r="AS28" s="122">
        <f ca="1">(Dashboard!$C$7*'Equity and Bond Returns'!BE28)+(Dashboard!$C$8*'Equity and Bond Returns'!FC28)</f>
        <v>0.44033127811021133</v>
      </c>
      <c r="AT28" s="122">
        <f ca="1">(Dashboard!$C$7*'Equity and Bond Returns'!BF28)+(Dashboard!$C$8*'Equity and Bond Returns'!FD28)</f>
        <v>6.7625992975915955E-2</v>
      </c>
      <c r="AU28" s="122">
        <f ca="1">(Dashboard!$C$7*'Equity and Bond Returns'!BG28)+(Dashboard!$C$8*'Equity and Bond Returns'!FE28)</f>
        <v>0.22428245722143197</v>
      </c>
      <c r="AV28" s="122">
        <f ca="1">(Dashboard!$C$7*'Equity and Bond Returns'!BH28)+(Dashboard!$C$8*'Equity and Bond Returns'!FF28)</f>
        <v>-6.8181414116816191E-3</v>
      </c>
      <c r="AW28" s="122">
        <f ca="1">(Dashboard!$C$7*'Equity and Bond Returns'!BI28)+(Dashboard!$C$8*'Equity and Bond Returns'!FG28)</f>
        <v>0.2680011772566272</v>
      </c>
      <c r="AX28" s="122">
        <f ca="1">(Dashboard!$C$7*'Equity and Bond Returns'!BJ28)+(Dashboard!$C$8*'Equity and Bond Returns'!FH28)</f>
        <v>9.3839025794641123E-2</v>
      </c>
      <c r="AY28" s="122">
        <f ca="1">(Dashboard!$C$7*'Equity and Bond Returns'!BK28)+(Dashboard!$C$8*'Equity and Bond Returns'!FI28)</f>
        <v>0.21676861810080095</v>
      </c>
      <c r="AZ28" s="122">
        <f ca="1">(Dashboard!$C$7*'Equity and Bond Returns'!BL28)+(Dashboard!$C$8*'Equity and Bond Returns'!FJ28)</f>
        <v>0.36478725460405098</v>
      </c>
      <c r="BA28" s="122">
        <f ca="1">(Dashboard!$C$7*'Equity and Bond Returns'!BM28)+(Dashboard!$C$8*'Equity and Bond Returns'!FK28)</f>
        <v>-1.2542321465892202E-2</v>
      </c>
      <c r="BB28" s="122">
        <f ca="1">(Dashboard!$C$7*'Equity and Bond Returns'!BN28)+(Dashboard!$C$8*'Equity and Bond Returns'!FL28)</f>
        <v>4.0270566488428708E-2</v>
      </c>
      <c r="BC28" s="122">
        <f ca="1">(Dashboard!$C$7*'Equity and Bond Returns'!BO28)+(Dashboard!$C$8*'Equity and Bond Returns'!FM28)</f>
        <v>0.19235388505597673</v>
      </c>
      <c r="BD28" s="122">
        <f ca="1">(Dashboard!$C$7*'Equity and Bond Returns'!BP28)+(Dashboard!$C$8*'Equity and Bond Returns'!FN28)</f>
        <v>0.1284088266532071</v>
      </c>
      <c r="BE28" s="122">
        <f ca="1">(Dashboard!$C$7*'Equity and Bond Returns'!BQ28)+(Dashboard!$C$8*'Equity and Bond Returns'!FO28)</f>
        <v>-5.0039108838203741E-2</v>
      </c>
      <c r="BF28" s="122">
        <f ca="1">(Dashboard!$C$7*'Equity and Bond Returns'!BR28)+(Dashboard!$C$8*'Equity and Bond Returns'!FP28)</f>
        <v>-0.17214267138891759</v>
      </c>
      <c r="BG28" s="122">
        <f ca="1">(Dashboard!$C$7*'Equity and Bond Returns'!BS28)+(Dashboard!$C$8*'Equity and Bond Returns'!FQ28)</f>
        <v>-0.23413721405360752</v>
      </c>
      <c r="BH28" s="122">
        <f ca="1">(Dashboard!$C$7*'Equity and Bond Returns'!BT28)+(Dashboard!$C$8*'Equity and Bond Returns'!FR28)</f>
        <v>-0.11130476265956481</v>
      </c>
      <c r="BI28" s="122">
        <f ca="1">(Dashboard!$C$7*'Equity and Bond Returns'!BU28)+(Dashboard!$C$8*'Equity and Bond Returns'!FS28)</f>
        <v>0.10100372935000966</v>
      </c>
      <c r="BJ28" s="122">
        <f ca="1">(Dashboard!$C$7*'Equity and Bond Returns'!BV28)+(Dashboard!$C$8*'Equity and Bond Returns'!FT28)</f>
        <v>-4.0028954585379709E-3</v>
      </c>
      <c r="BK28" s="122">
        <f ca="1">(Dashboard!$C$7*'Equity and Bond Returns'!BW28)+(Dashboard!$C$8*'Equity and Bond Returns'!FU28)</f>
        <v>0.21510360702786688</v>
      </c>
      <c r="BL28" s="122">
        <f ca="1">(Dashboard!$C$7*'Equity and Bond Returns'!BX28)+(Dashboard!$C$8*'Equity and Bond Returns'!FV28)</f>
        <v>0.22309373510416239</v>
      </c>
      <c r="BM28" s="122">
        <f ca="1">(Dashboard!$C$7*'Equity and Bond Returns'!BY28)+(Dashboard!$C$8*'Equity and Bond Returns'!FW28)</f>
        <v>-2.098477069511339E-3</v>
      </c>
      <c r="BN28" s="122">
        <f ca="1">(Dashboard!$C$7*'Equity and Bond Returns'!BZ28)+(Dashboard!$C$8*'Equity and Bond Returns'!FX28)</f>
        <v>0.28613206286082593</v>
      </c>
      <c r="BO28" s="122">
        <f ca="1">(Dashboard!$C$7*'Equity and Bond Returns'!CA28)+(Dashboard!$C$8*'Equity and Bond Returns'!FY28)</f>
        <v>7.0868943495942305E-2</v>
      </c>
      <c r="BP28" s="122">
        <f ca="1">(Dashboard!$C$7*'Equity and Bond Returns'!CB28)+(Dashboard!$C$8*'Equity and Bond Returns'!FZ28)</f>
        <v>0.11596809246395785</v>
      </c>
      <c r="BQ28" s="122">
        <f ca="1">(Dashboard!$C$7*'Equity and Bond Returns'!CC28)+(Dashboard!$C$8*'Equity and Bond Returns'!GA28)</f>
        <v>-2.2783647594138826E-2</v>
      </c>
      <c r="BR28" s="122">
        <f ca="1">(Dashboard!$C$7*'Equity and Bond Returns'!CD28)+(Dashboard!$C$8*'Equity and Bond Returns'!GB28)</f>
        <v>3.241137298013963E-2</v>
      </c>
      <c r="BS28" s="122">
        <f ca="1">(Dashboard!$C$7*'Equity and Bond Returns'!CE28)+(Dashboard!$C$8*'Equity and Bond Returns'!GC28)</f>
        <v>-0.10739829693094234</v>
      </c>
      <c r="BT28" s="122">
        <f ca="1">(Dashboard!$C$7*'Equity and Bond Returns'!CF28)+(Dashboard!$C$8*'Equity and Bond Returns'!GD28)</f>
        <v>4.5163288372731619E-2</v>
      </c>
      <c r="BU28" s="122">
        <f ca="1">(Dashboard!$C$7*'Equity and Bond Returns'!CG28)+(Dashboard!$C$8*'Equity and Bond Returns'!GE28)</f>
        <v>-7.2875756111916573E-2</v>
      </c>
      <c r="BV28" s="122">
        <f ca="1">(Dashboard!$C$7*'Equity and Bond Returns'!CH28)+(Dashboard!$C$8*'Equity and Bond Returns'!GF28)</f>
        <v>9.0200742762488843E-3</v>
      </c>
      <c r="BW28" s="122">
        <f ca="1">(Dashboard!$C$7*'Equity and Bond Returns'!CI28)+(Dashboard!$C$8*'Equity and Bond Returns'!GG28)</f>
        <v>0.36453240970122519</v>
      </c>
      <c r="BX28" s="122">
        <f ca="1">(Dashboard!$C$7*'Equity and Bond Returns'!CJ28)+(Dashboard!$C$8*'Equity and Bond Returns'!GH28)</f>
        <v>0.16897291698193506</v>
      </c>
      <c r="BY28" s="122">
        <f ca="1">(Dashboard!$C$7*'Equity and Bond Returns'!CK28)+(Dashboard!$C$8*'Equity and Bond Returns'!GI28)</f>
        <v>-1.5968192366858924E-2</v>
      </c>
      <c r="BZ28" s="122">
        <f ca="1">(Dashboard!$C$7*'Equity and Bond Returns'!CL28)+(Dashboard!$C$8*'Equity and Bond Returns'!GJ28)</f>
        <v>0.29208163267214809</v>
      </c>
      <c r="CA28" s="122">
        <f ca="1">(Dashboard!$C$7*'Equity and Bond Returns'!CM28)+(Dashboard!$C$8*'Equity and Bond Returns'!GK28)</f>
        <v>5.02677862767145E-2</v>
      </c>
      <c r="CB28" s="122">
        <f ca="1">(Dashboard!$C$7*'Equity and Bond Returns'!CN28)+(Dashboard!$C$8*'Equity and Bond Returns'!GL28)</f>
        <v>9.2605467331018751E-2</v>
      </c>
      <c r="CC28" s="122">
        <f ca="1">(Dashboard!$C$7*'Equity and Bond Returns'!CO28)+(Dashboard!$C$8*'Equity and Bond Returns'!GM28)</f>
        <v>0.11630774911411507</v>
      </c>
      <c r="CD28" s="122">
        <f ca="1">(Dashboard!$C$7*'Equity and Bond Returns'!CP28)+(Dashboard!$C$8*'Equity and Bond Returns'!GN28)</f>
        <v>0.27356649515873743</v>
      </c>
      <c r="CE28" s="122">
        <f ca="1">(Dashboard!$C$7*'Equity and Bond Returns'!CQ28)+(Dashboard!$C$8*'Equity and Bond Returns'!GO28)</f>
        <v>-3.7345800103054994E-2</v>
      </c>
      <c r="CF28" s="122">
        <f ca="1">(Dashboard!$C$7*'Equity and Bond Returns'!CR28)+(Dashboard!$C$8*'Equity and Bond Returns'!GP28)</f>
        <v>0.11862772829241548</v>
      </c>
      <c r="CG28" s="122">
        <f ca="1">(Dashboard!$C$7*'Equity and Bond Returns'!CS28)+(Dashboard!$C$8*'Equity and Bond Returns'!GQ28)</f>
        <v>2.0383785108452984E-2</v>
      </c>
      <c r="CH28" s="122">
        <f ca="1">(Dashboard!$C$7*'Equity and Bond Returns'!CT28)+(Dashboard!$C$8*'Equity and Bond Returns'!GR28)</f>
        <v>0.13195599740106034</v>
      </c>
      <c r="CI28" s="122">
        <f ca="1">(Dashboard!$C$7*'Equity and Bond Returns'!CU28)+(Dashboard!$C$8*'Equity and Bond Returns'!GS28)</f>
        <v>0.19016020096644132</v>
      </c>
      <c r="CJ28" s="122">
        <f ca="1">(Dashboard!$C$7*'Equity and Bond Returns'!CV28)+(Dashboard!$C$8*'Equity and Bond Returns'!GT28)</f>
        <v>2.7242513041357698E-2</v>
      </c>
      <c r="CK28" s="122">
        <f ca="1">(Dashboard!$C$7*'Equity and Bond Returns'!CW28)+(Dashboard!$C$8*'Equity and Bond Returns'!GU28)</f>
        <v>0.40860569256271184</v>
      </c>
      <c r="CL28" s="122">
        <f ca="1">(Dashboard!$C$7*'Equity and Bond Returns'!CX28)+(Dashboard!$C$8*'Equity and Bond Returns'!GV28)</f>
        <v>0.26091723540581313</v>
      </c>
      <c r="CM28" s="122">
        <f ca="1">(Dashboard!$C$7*'Equity and Bond Returns'!CY28)+(Dashboard!$C$8*'Equity and Bond Returns'!GW28)</f>
        <v>8.361578011194018E-2</v>
      </c>
      <c r="CN28" s="122">
        <f ca="1">(Dashboard!$C$7*'Equity and Bond Returns'!CZ28)+(Dashboard!$C$8*'Equity and Bond Returns'!GX28)</f>
        <v>0.10924763755650616</v>
      </c>
      <c r="CO28" s="122">
        <f ca="1">(Dashboard!$C$7*'Equity and Bond Returns'!DA28)+(Dashboard!$C$8*'Equity and Bond Returns'!GY28)</f>
        <v>-0.26519218780174647</v>
      </c>
      <c r="CP28" s="122">
        <f ca="1">(Dashboard!$C$7*'Equity and Bond Returns'!DB28)+(Dashboard!$C$8*'Equity and Bond Returns'!GZ28)</f>
        <v>0.248387297429535</v>
      </c>
      <c r="CQ28" s="122">
        <f ca="1">(Dashboard!$C$7*'Equity and Bond Returns'!DC28)+(Dashboard!$C$8*'Equity and Bond Returns'!HA28)</f>
        <v>0.2167722459806517</v>
      </c>
      <c r="CR28" s="122">
        <f ca="1">(Dashboard!$C$7*'Equity and Bond Returns'!DD28)+(Dashboard!$C$8*'Equity and Bond Returns'!HB28)</f>
        <v>7.3832891191968397E-2</v>
      </c>
      <c r="CS28" s="122">
        <f ca="1">(Dashboard!$C$7*'Equity and Bond Returns'!DE28)+(Dashboard!$C$8*'Equity and Bond Returns'!HC28)</f>
        <v>0.37632390928453124</v>
      </c>
      <c r="CT28" s="122">
        <f ca="1">(Dashboard!$C$7*'Equity and Bond Returns'!DF28)+(Dashboard!$C$8*'Equity and Bond Returns'!HD28)</f>
        <v>0.20576148282581241</v>
      </c>
      <c r="CU28" s="122">
        <f ca="1">(Dashboard!$C$7*'Equity and Bond Returns'!DG28)+(Dashboard!$C$8*'Equity and Bond Returns'!HE28)</f>
        <v>-1.2675676957344645E-2</v>
      </c>
      <c r="CV28" s="122">
        <f ca="1">(Dashboard!$C$7*'Equity and Bond Returns'!DH28)+(Dashboard!$C$8*'Equity and Bond Returns'!HF28)</f>
        <v>0.15044681938337176</v>
      </c>
      <c r="CW28" s="122">
        <f ca="1">(Dashboard!$C$7*'Equity and Bond Returns'!DI28)+(Dashboard!$C$8*'Equity and Bond Returns'!HG28)</f>
        <v>-7.7827431599165164E-2</v>
      </c>
      <c r="CY28" s="147">
        <f t="shared" si="5"/>
        <v>77</v>
      </c>
      <c r="CZ28" s="148">
        <v>27</v>
      </c>
      <c r="DA28" s="126">
        <f ca="1">MAX(DA27*(1+B28)-(Dashboard!$C$11)/(1-Dashboard!$C$17)*((1+Dashboard!$C$12)^$CZ28),0)</f>
        <v>16733766.42527274</v>
      </c>
      <c r="DB28" s="126">
        <f ca="1">MAX(DB27*(1+C28)-(Dashboard!$C$11)/(1-Dashboard!$C$17)*((1+Dashboard!$C$12)^$CZ28),0)</f>
        <v>0</v>
      </c>
      <c r="DC28" s="126">
        <f ca="1">MAX(DC27*(1+D28)-(Dashboard!$C$11)/(1-Dashboard!$C$17)*((1+Dashboard!$C$12)^$CZ28),0)</f>
        <v>4924559.0868529808</v>
      </c>
      <c r="DD28" s="126">
        <f ca="1">MAX(DD27*(1+E28)-(Dashboard!$C$11)/(1-Dashboard!$C$17)*((1+Dashboard!$C$12)^$CZ28),0)</f>
        <v>1259481.5741048104</v>
      </c>
      <c r="DE28" s="126">
        <f ca="1">MAX(DE27*(1+F28)-(Dashboard!$C$11)/(1-Dashboard!$C$17)*((1+Dashboard!$C$12)^$CZ28),0)</f>
        <v>4863391.4553957013</v>
      </c>
      <c r="DF28" s="126">
        <f ca="1">MAX(DF27*(1+G28)-(Dashboard!$C$11)/(1-Dashboard!$C$17)*((1+Dashboard!$C$12)^$CZ28),0)</f>
        <v>13558353.813294012</v>
      </c>
      <c r="DG28" s="126">
        <f ca="1">MAX(DG27*(1+H28)-(Dashboard!$C$11)/(1-Dashboard!$C$17)*((1+Dashboard!$C$12)^$CZ28),0)</f>
        <v>1354720.7629735693</v>
      </c>
      <c r="DH28" s="126">
        <f ca="1">MAX(DH27*(1+I28)-(Dashboard!$C$11)/(1-Dashboard!$C$17)*((1+Dashboard!$C$12)^$CZ28),0)</f>
        <v>9269353.2543042339</v>
      </c>
      <c r="DI28" s="126">
        <f ca="1">MAX(DI27*(1+J28)-(Dashboard!$C$11)/(1-Dashboard!$C$17)*((1+Dashboard!$C$12)^$CZ28),0)</f>
        <v>2928946.5370580493</v>
      </c>
      <c r="DJ28" s="126">
        <f ca="1">MAX(DJ27*(1+K28)-(Dashboard!$C$11)/(1-Dashboard!$C$17)*((1+Dashboard!$C$12)^$CZ28),0)</f>
        <v>4078013.2410448352</v>
      </c>
      <c r="DK28" s="126">
        <f ca="1">MAX(DK27*(1+L28)-(Dashboard!$C$11)/(1-Dashboard!$C$17)*((1+Dashboard!$C$12)^$CZ28),0)</f>
        <v>16834134.347840153</v>
      </c>
      <c r="DL28" s="126">
        <f ca="1">MAX(DL27*(1+M28)-(Dashboard!$C$11)/(1-Dashboard!$C$17)*((1+Dashboard!$C$12)^$CZ28),0)</f>
        <v>956686.37187643314</v>
      </c>
      <c r="DM28" s="126">
        <f ca="1">MAX(DM27*(1+N28)-(Dashboard!$C$11)/(1-Dashboard!$C$17)*((1+Dashboard!$C$12)^$CZ28),0)</f>
        <v>6084728.3961808877</v>
      </c>
      <c r="DN28" s="126">
        <f ca="1">MAX(DN27*(1+O28)-(Dashboard!$C$11)/(1-Dashboard!$C$17)*((1+Dashboard!$C$12)^$CZ28),0)</f>
        <v>16111275.052262882</v>
      </c>
      <c r="DO28" s="126">
        <f ca="1">MAX(DO27*(1+P28)-(Dashboard!$C$11)/(1-Dashboard!$C$17)*((1+Dashboard!$C$12)^$CZ28),0)</f>
        <v>2698014.22364716</v>
      </c>
      <c r="DP28" s="126">
        <f ca="1">MAX(DP27*(1+Q28)-(Dashboard!$C$11)/(1-Dashboard!$C$17)*((1+Dashboard!$C$12)^$CZ28),0)</f>
        <v>2687445.5665166108</v>
      </c>
      <c r="DQ28" s="126">
        <f ca="1">MAX(DQ27*(1+R28)-(Dashboard!$C$11)/(1-Dashboard!$C$17)*((1+Dashboard!$C$12)^$CZ28),0)</f>
        <v>8192954.3761817981</v>
      </c>
      <c r="DR28" s="126">
        <f ca="1">MAX(DR27*(1+S28)-(Dashboard!$C$11)/(1-Dashboard!$C$17)*((1+Dashboard!$C$12)^$CZ28),0)</f>
        <v>13452226.932847356</v>
      </c>
      <c r="DS28" s="126">
        <f ca="1">MAX(DS27*(1+T28)-(Dashboard!$C$11)/(1-Dashboard!$C$17)*((1+Dashboard!$C$12)^$CZ28),0)</f>
        <v>831056.59837457619</v>
      </c>
      <c r="DT28" s="126">
        <f ca="1">MAX(DT27*(1+U28)-(Dashboard!$C$11)/(1-Dashboard!$C$17)*((1+Dashboard!$C$12)^$CZ28),0)</f>
        <v>4318540.9092753194</v>
      </c>
      <c r="DU28" s="126">
        <f ca="1">MAX(DU27*(1+V28)-(Dashboard!$C$11)/(1-Dashboard!$C$17)*((1+Dashboard!$C$12)^$CZ28),0)</f>
        <v>5752574.8922361154</v>
      </c>
      <c r="DV28" s="126">
        <f ca="1">MAX(DV27*(1+W28)-(Dashboard!$C$11)/(1-Dashboard!$C$17)*((1+Dashboard!$C$12)^$CZ28),0)</f>
        <v>10102764.178975226</v>
      </c>
      <c r="DW28" s="126">
        <f ca="1">MAX(DW27*(1+X28)-(Dashboard!$C$11)/(1-Dashboard!$C$17)*((1+Dashboard!$C$12)^$CZ28),0)</f>
        <v>4299679.8577983407</v>
      </c>
      <c r="DX28" s="126">
        <f ca="1">MAX(DX27*(1+Y28)-(Dashboard!$C$11)/(1-Dashboard!$C$17)*((1+Dashboard!$C$12)^$CZ28),0)</f>
        <v>2718717.3710038601</v>
      </c>
      <c r="DY28" s="126">
        <f ca="1">MAX(DY27*(1+Z28)-(Dashboard!$C$11)/(1-Dashboard!$C$17)*((1+Dashboard!$C$12)^$CZ28),0)</f>
        <v>6852303.6397434613</v>
      </c>
      <c r="DZ28" s="126">
        <f ca="1">MAX(DZ27*(1+AA28)-(Dashboard!$C$11)/(1-Dashboard!$C$17)*((1+Dashboard!$C$12)^$CZ28),0)</f>
        <v>641428.12379329687</v>
      </c>
      <c r="EA28" s="126">
        <f ca="1">MAX(EA27*(1+AB28)-(Dashboard!$C$11)/(1-Dashboard!$C$17)*((1+Dashboard!$C$12)^$CZ28),0)</f>
        <v>4168101.8013427174</v>
      </c>
      <c r="EB28" s="126">
        <f ca="1">MAX(EB27*(1+AC28)-(Dashboard!$C$11)/(1-Dashboard!$C$17)*((1+Dashboard!$C$12)^$CZ28),0)</f>
        <v>6093092.2596165538</v>
      </c>
      <c r="EC28" s="126">
        <f ca="1">MAX(EC27*(1+AD28)-(Dashboard!$C$11)/(1-Dashboard!$C$17)*((1+Dashboard!$C$12)^$CZ28),0)</f>
        <v>4771308.1905055298</v>
      </c>
      <c r="ED28" s="126">
        <f ca="1">MAX(ED27*(1+AE28)-(Dashboard!$C$11)/(1-Dashboard!$C$17)*((1+Dashboard!$C$12)^$CZ28),0)</f>
        <v>3999592.3019080427</v>
      </c>
      <c r="EE28" s="126">
        <f ca="1">MAX(EE27*(1+AF28)-(Dashboard!$C$11)/(1-Dashboard!$C$17)*((1+Dashboard!$C$12)^$CZ28),0)</f>
        <v>8186071.2238596985</v>
      </c>
      <c r="EF28" s="126">
        <f ca="1">MAX(EF27*(1+AG28)-(Dashboard!$C$11)/(1-Dashboard!$C$17)*((1+Dashboard!$C$12)^$CZ28),0)</f>
        <v>1647822.3872606079</v>
      </c>
      <c r="EG28" s="126">
        <f ca="1">MAX(EG27*(1+AH28)-(Dashboard!$C$11)/(1-Dashboard!$C$17)*((1+Dashboard!$C$12)^$CZ28),0)</f>
        <v>5783770.4145302093</v>
      </c>
      <c r="EH28" s="126">
        <f ca="1">MAX(EH27*(1+AI28)-(Dashboard!$C$11)/(1-Dashboard!$C$17)*((1+Dashboard!$C$12)^$CZ28),0)</f>
        <v>6409950.6938868957</v>
      </c>
      <c r="EI28" s="126">
        <f ca="1">MAX(EI27*(1+AJ28)-(Dashboard!$C$11)/(1-Dashboard!$C$17)*((1+Dashboard!$C$12)^$CZ28),0)</f>
        <v>717667.70024763525</v>
      </c>
      <c r="EJ28" s="126">
        <f ca="1">MAX(EJ27*(1+AK28)-(Dashboard!$C$11)/(1-Dashboard!$C$17)*((1+Dashboard!$C$12)^$CZ28),0)</f>
        <v>4349365.1400371287</v>
      </c>
      <c r="EK28" s="126">
        <f ca="1">MAX(EK27*(1+AL28)-(Dashboard!$C$11)/(1-Dashboard!$C$17)*((1+Dashboard!$C$12)^$CZ28),0)</f>
        <v>8864472.3148572203</v>
      </c>
      <c r="EL28" s="126">
        <f ca="1">MAX(EL27*(1+AM28)-(Dashboard!$C$11)/(1-Dashboard!$C$17)*((1+Dashboard!$C$12)^$CZ28),0)</f>
        <v>1172506.732070778</v>
      </c>
      <c r="EM28" s="126">
        <f ca="1">MAX(EM27*(1+AN28)-(Dashboard!$C$11)/(1-Dashboard!$C$17)*((1+Dashboard!$C$12)^$CZ28),0)</f>
        <v>7738248.875665186</v>
      </c>
      <c r="EN28" s="126">
        <f ca="1">MAX(EN27*(1+AO28)-(Dashboard!$C$11)/(1-Dashboard!$C$17)*((1+Dashboard!$C$12)^$CZ28),0)</f>
        <v>3160145.162436503</v>
      </c>
      <c r="EO28" s="126">
        <f ca="1">MAX(EO27*(1+AP28)-(Dashboard!$C$11)/(1-Dashboard!$C$17)*((1+Dashboard!$C$12)^$CZ28),0)</f>
        <v>339870.77851417317</v>
      </c>
      <c r="EP28" s="126">
        <f ca="1">MAX(EP27*(1+AQ28)-(Dashboard!$C$11)/(1-Dashboard!$C$17)*((1+Dashboard!$C$12)^$CZ28),0)</f>
        <v>2069818.45069012</v>
      </c>
      <c r="EQ28" s="126">
        <f ca="1">MAX(EQ27*(1+AR28)-(Dashboard!$C$11)/(1-Dashboard!$C$17)*((1+Dashboard!$C$12)^$CZ28),0)</f>
        <v>2388561.3236110369</v>
      </c>
      <c r="ER28" s="126">
        <f ca="1">MAX(ER27*(1+AS28)-(Dashboard!$C$11)/(1-Dashboard!$C$17)*((1+Dashboard!$C$12)^$CZ28),0)</f>
        <v>1582998.6169526475</v>
      </c>
      <c r="ES28" s="126">
        <f ca="1">MAX(ES27*(1+AT28)-(Dashboard!$C$11)/(1-Dashboard!$C$17)*((1+Dashboard!$C$12)^$CZ28),0)</f>
        <v>7148610.7339025382</v>
      </c>
      <c r="ET28" s="126">
        <f ca="1">MAX(ET27*(1+AU28)-(Dashboard!$C$11)/(1-Dashboard!$C$17)*((1+Dashboard!$C$12)^$CZ28),0)</f>
        <v>4415678.1414346239</v>
      </c>
      <c r="EU28" s="126">
        <f ca="1">MAX(EU27*(1+AV28)-(Dashboard!$C$11)/(1-Dashboard!$C$17)*((1+Dashboard!$C$12)^$CZ28),0)</f>
        <v>2733734.2649765951</v>
      </c>
      <c r="EV28" s="126">
        <f ca="1">MAX(EV27*(1+AW28)-(Dashboard!$C$11)/(1-Dashboard!$C$17)*((1+Dashboard!$C$12)^$CZ28),0)</f>
        <v>17106825.75340414</v>
      </c>
      <c r="EW28" s="126">
        <f ca="1">MAX(EW27*(1+AX28)-(Dashboard!$C$11)/(1-Dashboard!$C$17)*((1+Dashboard!$C$12)^$CZ28),0)</f>
        <v>2039521.4006123028</v>
      </c>
      <c r="EX28" s="126">
        <f ca="1">MAX(EX27*(1+AY28)-(Dashboard!$C$11)/(1-Dashboard!$C$17)*((1+Dashboard!$C$12)^$CZ28),0)</f>
        <v>3720147.929527685</v>
      </c>
      <c r="EY28" s="126">
        <f ca="1">MAX(EY27*(1+AZ28)-(Dashboard!$C$11)/(1-Dashboard!$C$17)*((1+Dashboard!$C$12)^$CZ28),0)</f>
        <v>10707912.3142018</v>
      </c>
      <c r="EZ28" s="126">
        <f ca="1">MAX(EZ27*(1+BA28)-(Dashboard!$C$11)/(1-Dashboard!$C$17)*((1+Dashboard!$C$12)^$CZ28),0)</f>
        <v>4517943.5394855645</v>
      </c>
      <c r="FA28" s="126">
        <f ca="1">MAX(FA27*(1+BB28)-(Dashboard!$C$11)/(1-Dashboard!$C$17)*((1+Dashboard!$C$12)^$CZ28),0)</f>
        <v>10403295.437245537</v>
      </c>
      <c r="FB28" s="126">
        <f ca="1">MAX(FB27*(1+BC28)-(Dashboard!$C$11)/(1-Dashboard!$C$17)*((1+Dashboard!$C$12)^$CZ28),0)</f>
        <v>1099121.4085295734</v>
      </c>
      <c r="FC28" s="126">
        <f ca="1">MAX(FC27*(1+BD28)-(Dashboard!$C$11)/(1-Dashboard!$C$17)*((1+Dashboard!$C$12)^$CZ28),0)</f>
        <v>7929910.236821156</v>
      </c>
      <c r="FD28" s="126">
        <f ca="1">MAX(FD27*(1+BE28)-(Dashboard!$C$11)/(1-Dashboard!$C$17)*((1+Dashboard!$C$12)^$CZ28),0)</f>
        <v>8149584.052025293</v>
      </c>
      <c r="FE28" s="126">
        <f ca="1">MAX(FE27*(1+BF28)-(Dashboard!$C$11)/(1-Dashboard!$C$17)*((1+Dashboard!$C$12)^$CZ28),0)</f>
        <v>11918116.99911283</v>
      </c>
      <c r="FF28" s="126">
        <f ca="1">MAX(FF27*(1+BG28)-(Dashboard!$C$11)/(1-Dashboard!$C$17)*((1+Dashboard!$C$12)^$CZ28),0)</f>
        <v>2463586.1464032945</v>
      </c>
      <c r="FG28" s="126">
        <f ca="1">MAX(FG27*(1+BH28)-(Dashboard!$C$11)/(1-Dashboard!$C$17)*((1+Dashboard!$C$12)^$CZ28),0)</f>
        <v>4543575.053826618</v>
      </c>
      <c r="FH28" s="126">
        <f ca="1">MAX(FH27*(1+BI28)-(Dashboard!$C$11)/(1-Dashboard!$C$17)*((1+Dashboard!$C$12)^$CZ28),0)</f>
        <v>2535645.7429313515</v>
      </c>
      <c r="FI28" s="126">
        <f ca="1">MAX(FI27*(1+BJ28)-(Dashboard!$C$11)/(1-Dashboard!$C$17)*((1+Dashboard!$C$12)^$CZ28),0)</f>
        <v>7549114.0832227236</v>
      </c>
      <c r="FJ28" s="126">
        <f ca="1">MAX(FJ27*(1+BK28)-(Dashboard!$C$11)/(1-Dashboard!$C$17)*((1+Dashboard!$C$12)^$CZ28),0)</f>
        <v>4061665.2728512441</v>
      </c>
      <c r="FK28" s="126">
        <f ca="1">MAX(FK27*(1+BL28)-(Dashboard!$C$11)/(1-Dashboard!$C$17)*((1+Dashboard!$C$12)^$CZ28),0)</f>
        <v>5973039.3809916861</v>
      </c>
      <c r="FL28" s="126">
        <f ca="1">MAX(FL27*(1+BM28)-(Dashboard!$C$11)/(1-Dashboard!$C$17)*((1+Dashboard!$C$12)^$CZ28),0)</f>
        <v>3488476.783280394</v>
      </c>
      <c r="FM28" s="126">
        <f ca="1">MAX(FM27*(1+BN28)-(Dashboard!$C$11)/(1-Dashboard!$C$17)*((1+Dashboard!$C$12)^$CZ28),0)</f>
        <v>8835772.2810241245</v>
      </c>
      <c r="FN28" s="126">
        <f ca="1">MAX(FN27*(1+BO28)-(Dashboard!$C$11)/(1-Dashboard!$C$17)*((1+Dashboard!$C$12)^$CZ28),0)</f>
        <v>327149.79060523829</v>
      </c>
      <c r="FO28" s="126">
        <f ca="1">MAX(FO27*(1+BP28)-(Dashboard!$C$11)/(1-Dashboard!$C$17)*((1+Dashboard!$C$12)^$CZ28),0)</f>
        <v>5419642.0097571183</v>
      </c>
      <c r="FP28" s="126">
        <f ca="1">MAX(FP27*(1+BQ28)-(Dashboard!$C$11)/(1-Dashboard!$C$17)*((1+Dashboard!$C$12)^$CZ28),0)</f>
        <v>4518856.9147372795</v>
      </c>
      <c r="FQ28" s="126">
        <f ca="1">MAX(FQ27*(1+BR28)-(Dashboard!$C$11)/(1-Dashboard!$C$17)*((1+Dashboard!$C$12)^$CZ28),0)</f>
        <v>3733562.903060718</v>
      </c>
      <c r="FR28" s="126">
        <f ca="1">MAX(FR27*(1+BS28)-(Dashboard!$C$11)/(1-Dashboard!$C$17)*((1+Dashboard!$C$12)^$CZ28),0)</f>
        <v>6606260.9166760761</v>
      </c>
      <c r="FS28" s="126">
        <f ca="1">MAX(FS27*(1+BT28)-(Dashboard!$C$11)/(1-Dashboard!$C$17)*((1+Dashboard!$C$12)^$CZ28),0)</f>
        <v>5942096.3013739008</v>
      </c>
      <c r="FT28" s="126">
        <f ca="1">MAX(FT27*(1+BU28)-(Dashboard!$C$11)/(1-Dashboard!$C$17)*((1+Dashboard!$C$12)^$CZ28),0)</f>
        <v>1693715.9716390837</v>
      </c>
      <c r="FU28" s="126">
        <f ca="1">MAX(FU27*(1+BV28)-(Dashboard!$C$11)/(1-Dashboard!$C$17)*((1+Dashboard!$C$12)^$CZ28),0)</f>
        <v>2745602.6318921898</v>
      </c>
      <c r="FV28" s="126">
        <f ca="1">MAX(FV27*(1+BW28)-(Dashboard!$C$11)/(1-Dashboard!$C$17)*((1+Dashboard!$C$12)^$CZ28),0)</f>
        <v>3790775.0220520329</v>
      </c>
      <c r="FW28" s="126">
        <f ca="1">MAX(FW27*(1+BX28)-(Dashboard!$C$11)/(1-Dashboard!$C$17)*((1+Dashboard!$C$12)^$CZ28),0)</f>
        <v>3998629.1367468741</v>
      </c>
      <c r="FX28" s="126">
        <f ca="1">MAX(FX27*(1+BY28)-(Dashboard!$C$11)/(1-Dashboard!$C$17)*((1+Dashboard!$C$12)^$CZ28),0)</f>
        <v>1049667.6089424228</v>
      </c>
      <c r="FY28" s="126">
        <f ca="1">MAX(FY27*(1+BZ28)-(Dashboard!$C$11)/(1-Dashboard!$C$17)*((1+Dashboard!$C$12)^$CZ28),0)</f>
        <v>3497343.8826312851</v>
      </c>
      <c r="FZ28" s="126">
        <f ca="1">MAX(FZ27*(1+CA28)-(Dashboard!$C$11)/(1-Dashboard!$C$17)*((1+Dashboard!$C$12)^$CZ28),0)</f>
        <v>8471019.4751065522</v>
      </c>
      <c r="GA28" s="126">
        <f ca="1">MAX(GA27*(1+CB28)-(Dashboard!$C$11)/(1-Dashboard!$C$17)*((1+Dashboard!$C$12)^$CZ28),0)</f>
        <v>8584693.2074203417</v>
      </c>
      <c r="GB28" s="126">
        <f ca="1">MAX(GB27*(1+CC28)-(Dashboard!$C$11)/(1-Dashboard!$C$17)*((1+Dashboard!$C$12)^$CZ28),0)</f>
        <v>2349441.0683630221</v>
      </c>
      <c r="GC28" s="126">
        <f ca="1">MAX(GC27*(1+CD28)-(Dashboard!$C$11)/(1-Dashboard!$C$17)*((1+Dashboard!$C$12)^$CZ28),0)</f>
        <v>6627095.6258750577</v>
      </c>
      <c r="GD28" s="126">
        <f ca="1">MAX(GD27*(1+CE28)-(Dashboard!$C$11)/(1-Dashboard!$C$17)*((1+Dashboard!$C$12)^$CZ28),0)</f>
        <v>20228621.431682926</v>
      </c>
      <c r="GE28" s="126">
        <f ca="1">MAX(GE27*(1+CF28)-(Dashboard!$C$11)/(1-Dashboard!$C$17)*((1+Dashboard!$C$12)^$CZ28),0)</f>
        <v>3043295.984615847</v>
      </c>
      <c r="GF28" s="126">
        <f ca="1">MAX(GF27*(1+CG28)-(Dashboard!$C$11)/(1-Dashboard!$C$17)*((1+Dashboard!$C$12)^$CZ28),0)</f>
        <v>8516514.4491606522</v>
      </c>
      <c r="GG28" s="126">
        <f ca="1">MAX(GG27*(1+CH28)-(Dashboard!$C$11)/(1-Dashboard!$C$17)*((1+Dashboard!$C$12)^$CZ28),0)</f>
        <v>922446.16487266426</v>
      </c>
      <c r="GH28" s="126">
        <f ca="1">MAX(GH27*(1+CI28)-(Dashboard!$C$11)/(1-Dashboard!$C$17)*((1+Dashboard!$C$12)^$CZ28),0)</f>
        <v>2681373.4637190634</v>
      </c>
      <c r="GI28" s="126">
        <f ca="1">MAX(GI27*(1+CJ28)-(Dashboard!$C$11)/(1-Dashboard!$C$17)*((1+Dashboard!$C$12)^$CZ28),0)</f>
        <v>4420200.6583051113</v>
      </c>
      <c r="GJ28" s="126">
        <f ca="1">MAX(GJ27*(1+CK28)-(Dashboard!$C$11)/(1-Dashboard!$C$17)*((1+Dashboard!$C$12)^$CZ28),0)</f>
        <v>13029153.771158081</v>
      </c>
      <c r="GK28" s="126">
        <f ca="1">MAX(GK27*(1+CL28)-(Dashboard!$C$11)/(1-Dashboard!$C$17)*((1+Dashboard!$C$12)^$CZ28),0)</f>
        <v>6051791.4181114966</v>
      </c>
      <c r="GL28" s="126">
        <f ca="1">MAX(GL27*(1+CM28)-(Dashboard!$C$11)/(1-Dashboard!$C$17)*((1+Dashboard!$C$12)^$CZ28),0)</f>
        <v>8608352.4690879062</v>
      </c>
      <c r="GM28" s="126">
        <f ca="1">MAX(GM27*(1+CN28)-(Dashboard!$C$11)/(1-Dashboard!$C$17)*((1+Dashboard!$C$12)^$CZ28),0)</f>
        <v>1690666.0188796064</v>
      </c>
      <c r="GN28" s="126">
        <f ca="1">MAX(GN27*(1+CO28)-(Dashboard!$C$11)/(1-Dashboard!$C$17)*((1+Dashboard!$C$12)^$CZ28),0)</f>
        <v>71354.185809652525</v>
      </c>
      <c r="GO28" s="126">
        <f ca="1">MAX(GO27*(1+CP28)-(Dashboard!$C$11)/(1-Dashboard!$C$17)*((1+Dashboard!$C$12)^$CZ28),0)</f>
        <v>3928218.8583278116</v>
      </c>
      <c r="GP28" s="126">
        <f ca="1">MAX(GP27*(1+CQ28)-(Dashboard!$C$11)/(1-Dashboard!$C$17)*((1+Dashboard!$C$12)^$CZ28),0)</f>
        <v>4269024.8542406559</v>
      </c>
      <c r="GQ28" s="126">
        <f ca="1">MAX(GQ27*(1+CR28)-(Dashboard!$C$11)/(1-Dashboard!$C$17)*((1+Dashboard!$C$12)^$CZ28),0)</f>
        <v>765200.13780357037</v>
      </c>
      <c r="GR28" s="126">
        <f ca="1">MAX(GR27*(1+CS28)-(Dashboard!$C$11)/(1-Dashboard!$C$17)*((1+Dashboard!$C$12)^$CZ28),0)</f>
        <v>2736866.4620734719</v>
      </c>
      <c r="GS28" s="126">
        <f ca="1">MAX(GS27*(1+CT28)-(Dashboard!$C$11)/(1-Dashboard!$C$17)*((1+Dashboard!$C$12)^$CZ28),0)</f>
        <v>5759342.1604446797</v>
      </c>
      <c r="GT28" s="126">
        <f ca="1">MAX(GT27*(1+CU28)-(Dashboard!$C$11)/(1-Dashboard!$C$17)*((1+Dashboard!$C$12)^$CZ28),0)</f>
        <v>13390666.005308066</v>
      </c>
      <c r="GU28" s="126">
        <f ca="1">MAX(GU27*(1+CV28)-(Dashboard!$C$11)/(1-Dashboard!$C$17)*((1+Dashboard!$C$12)^$CZ28),0)</f>
        <v>2311740.4034520648</v>
      </c>
      <c r="GV28" s="126">
        <f ca="1">MAX(GV27*(1+CW28)-(Dashboard!$C$11)/(1-Dashboard!$C$17)*((1+Dashboard!$C$12)^$CZ28),0)</f>
        <v>1934534.2487931671</v>
      </c>
      <c r="GW28" s="115">
        <f t="shared" si="4"/>
        <v>77</v>
      </c>
      <c r="GX28" s="130">
        <f t="shared" ca="1" si="2"/>
        <v>99</v>
      </c>
      <c r="HC28" s="130">
        <f t="shared" si="0"/>
        <v>77</v>
      </c>
      <c r="HD28" s="137">
        <f t="shared" ca="1" si="6"/>
        <v>2359221.1321750255</v>
      </c>
      <c r="HE28" s="137">
        <f t="shared" ca="1" si="6"/>
        <v>4284352.3560194988</v>
      </c>
      <c r="HF28" s="137">
        <f t="shared" ca="1" si="6"/>
        <v>7448988.2458926775</v>
      </c>
    </row>
    <row r="29" spans="1:214" ht="16">
      <c r="A29" s="145">
        <f t="shared" si="3"/>
        <v>78</v>
      </c>
      <c r="B29" s="122">
        <f ca="1">(Dashboard!$C$7*'Equity and Bond Returns'!N29)+(Dashboard!$C$8*'Equity and Bond Returns'!DL29)</f>
        <v>0.33275290543672859</v>
      </c>
      <c r="C29" s="122">
        <f ca="1">(Dashboard!$C$7*'Equity and Bond Returns'!O29)+(Dashboard!$C$8*'Equity and Bond Returns'!DM29)</f>
        <v>-9.4743753731326277E-2</v>
      </c>
      <c r="D29" s="122">
        <f ca="1">(Dashboard!$C$7*'Equity and Bond Returns'!P29)+(Dashboard!$C$8*'Equity and Bond Returns'!DN29)</f>
        <v>-9.0020665647131584E-2</v>
      </c>
      <c r="E29" s="122">
        <f ca="1">(Dashboard!$C$7*'Equity and Bond Returns'!Q29)+(Dashboard!$C$8*'Equity and Bond Returns'!DO29)</f>
        <v>0.16491964206208284</v>
      </c>
      <c r="F29" s="122">
        <f ca="1">(Dashboard!$C$7*'Equity and Bond Returns'!R29)+(Dashboard!$C$8*'Equity and Bond Returns'!DP29)</f>
        <v>0.3081879835786514</v>
      </c>
      <c r="G29" s="122">
        <f ca="1">(Dashboard!$C$7*'Equity and Bond Returns'!S29)+(Dashboard!$C$8*'Equity and Bond Returns'!DQ29)</f>
        <v>4.4886866429805924E-2</v>
      </c>
      <c r="H29" s="122">
        <f ca="1">(Dashboard!$C$7*'Equity and Bond Returns'!T29)+(Dashboard!$C$8*'Equity and Bond Returns'!DR29)</f>
        <v>8.5246754371483574E-2</v>
      </c>
      <c r="I29" s="122">
        <f ca="1">(Dashboard!$C$7*'Equity and Bond Returns'!U29)+(Dashboard!$C$8*'Equity and Bond Returns'!DS29)</f>
        <v>1.4008529839642479E-3</v>
      </c>
      <c r="J29" s="122">
        <f ca="1">(Dashboard!$C$7*'Equity and Bond Returns'!V29)+(Dashboard!$C$8*'Equity and Bond Returns'!DT29)</f>
        <v>0.21618648673187368</v>
      </c>
      <c r="K29" s="122">
        <f ca="1">(Dashboard!$C$7*'Equity and Bond Returns'!W29)+(Dashboard!$C$8*'Equity and Bond Returns'!DU29)</f>
        <v>0.15983501057095842</v>
      </c>
      <c r="L29" s="122">
        <f ca="1">(Dashboard!$C$7*'Equity and Bond Returns'!X29)+(Dashboard!$C$8*'Equity and Bond Returns'!DV29)</f>
        <v>-4.5450698613666435E-2</v>
      </c>
      <c r="M29" s="122">
        <f ca="1">(Dashboard!$C$7*'Equity and Bond Returns'!Y29)+(Dashboard!$C$8*'Equity and Bond Returns'!DW29)</f>
        <v>-3.5576526737484869E-2</v>
      </c>
      <c r="N29" s="122">
        <f ca="1">(Dashboard!$C$7*'Equity and Bond Returns'!Z29)+(Dashboard!$C$8*'Equity and Bond Returns'!DX29)</f>
        <v>-4.4426840414068233E-2</v>
      </c>
      <c r="O29" s="122">
        <f ca="1">(Dashboard!$C$7*'Equity and Bond Returns'!AA29)+(Dashboard!$C$8*'Equity and Bond Returns'!DY29)</f>
        <v>-2.5907026330145952E-2</v>
      </c>
      <c r="P29" s="122">
        <f ca="1">(Dashboard!$C$7*'Equity and Bond Returns'!AB29)+(Dashboard!$C$8*'Equity and Bond Returns'!DZ29)</f>
        <v>3.9874122334133455E-2</v>
      </c>
      <c r="Q29" s="122">
        <f ca="1">(Dashboard!$C$7*'Equity and Bond Returns'!AC29)+(Dashboard!$C$8*'Equity and Bond Returns'!EA29)</f>
        <v>0.30277881459262379</v>
      </c>
      <c r="R29" s="122">
        <f ca="1">(Dashboard!$C$7*'Equity and Bond Returns'!AD29)+(Dashboard!$C$8*'Equity and Bond Returns'!EB29)</f>
        <v>0.20572530874503797</v>
      </c>
      <c r="S29" s="122">
        <f ca="1">(Dashboard!$C$7*'Equity and Bond Returns'!AE29)+(Dashboard!$C$8*'Equity and Bond Returns'!EC29)</f>
        <v>2.4228129672043117E-2</v>
      </c>
      <c r="T29" s="122">
        <f ca="1">(Dashboard!$C$7*'Equity and Bond Returns'!AF29)+(Dashboard!$C$8*'Equity and Bond Returns'!ED29)</f>
        <v>0.24802626747565776</v>
      </c>
      <c r="U29" s="122">
        <f ca="1">(Dashboard!$C$7*'Equity and Bond Returns'!AG29)+(Dashboard!$C$8*'Equity and Bond Returns'!EE29)</f>
        <v>7.6253803288487493E-2</v>
      </c>
      <c r="V29" s="122">
        <f ca="1">(Dashboard!$C$7*'Equity and Bond Returns'!AH29)+(Dashboard!$C$8*'Equity and Bond Returns'!EF29)</f>
        <v>0.21109557056759271</v>
      </c>
      <c r="W29" s="122">
        <f ca="1">(Dashboard!$C$7*'Equity and Bond Returns'!AI29)+(Dashboard!$C$8*'Equity and Bond Returns'!EG29)</f>
        <v>0.41029310319916995</v>
      </c>
      <c r="X29" s="122">
        <f ca="1">(Dashboard!$C$7*'Equity and Bond Returns'!AJ29)+(Dashboard!$C$8*'Equity and Bond Returns'!EH29)</f>
        <v>0.30084821859538929</v>
      </c>
      <c r="Y29" s="122">
        <f ca="1">(Dashboard!$C$7*'Equity and Bond Returns'!AK29)+(Dashboard!$C$8*'Equity and Bond Returns'!EI29)</f>
        <v>2.5187133489670541E-2</v>
      </c>
      <c r="Z29" s="122">
        <f ca="1">(Dashboard!$C$7*'Equity and Bond Returns'!AL29)+(Dashboard!$C$8*'Equity and Bond Returns'!EJ29)</f>
        <v>0.13706185044792338</v>
      </c>
      <c r="AA29" s="122">
        <f ca="1">(Dashboard!$C$7*'Equity and Bond Returns'!AM29)+(Dashboard!$C$8*'Equity and Bond Returns'!EK29)</f>
        <v>-8.5147407474936349E-2</v>
      </c>
      <c r="AB29" s="122">
        <f ca="1">(Dashboard!$C$7*'Equity and Bond Returns'!AN29)+(Dashboard!$C$8*'Equity and Bond Returns'!EL29)</f>
        <v>-5.6486504830563167E-2</v>
      </c>
      <c r="AC29" s="122">
        <f ca="1">(Dashboard!$C$7*'Equity and Bond Returns'!AO29)+(Dashboard!$C$8*'Equity and Bond Returns'!EM29)</f>
        <v>4.416997412888414E-2</v>
      </c>
      <c r="AD29" s="122">
        <f ca="1">(Dashboard!$C$7*'Equity and Bond Returns'!AP29)+(Dashboard!$C$8*'Equity and Bond Returns'!EN29)</f>
        <v>0.14074638954164151</v>
      </c>
      <c r="AE29" s="122">
        <f ca="1">(Dashboard!$C$7*'Equity and Bond Returns'!AQ29)+(Dashboard!$C$8*'Equity and Bond Returns'!EO29)</f>
        <v>0.32791590844798352</v>
      </c>
      <c r="AF29" s="122">
        <f ca="1">(Dashboard!$C$7*'Equity and Bond Returns'!AR29)+(Dashboard!$C$8*'Equity and Bond Returns'!EP29)</f>
        <v>0.19738651808557656</v>
      </c>
      <c r="AG29" s="122">
        <f ca="1">(Dashboard!$C$7*'Equity and Bond Returns'!AS29)+(Dashboard!$C$8*'Equity and Bond Returns'!EQ29)</f>
        <v>5.5378981341034084E-2</v>
      </c>
      <c r="AH29" s="122">
        <f ca="1">(Dashboard!$C$7*'Equity and Bond Returns'!AT29)+(Dashboard!$C$8*'Equity and Bond Returns'!ER29)</f>
        <v>0.12272030973233691</v>
      </c>
      <c r="AI29" s="122">
        <f ca="1">(Dashboard!$C$7*'Equity and Bond Returns'!AU29)+(Dashboard!$C$8*'Equity and Bond Returns'!ES29)</f>
        <v>0.38450888930324345</v>
      </c>
      <c r="AJ29" s="122">
        <f ca="1">(Dashboard!$C$7*'Equity and Bond Returns'!AV29)+(Dashboard!$C$8*'Equity and Bond Returns'!ET29)</f>
        <v>-0.10508579697328346</v>
      </c>
      <c r="AK29" s="122">
        <f ca="1">(Dashboard!$C$7*'Equity and Bond Returns'!AW29)+(Dashboard!$C$8*'Equity and Bond Returns'!EU29)</f>
        <v>0.41518718857874937</v>
      </c>
      <c r="AL29" s="122">
        <f ca="1">(Dashboard!$C$7*'Equity and Bond Returns'!AX29)+(Dashboard!$C$8*'Equity and Bond Returns'!EV29)</f>
        <v>2.2762822949525394E-2</v>
      </c>
      <c r="AM29" s="122">
        <f ca="1">(Dashboard!$C$7*'Equity and Bond Returns'!AY29)+(Dashboard!$C$8*'Equity and Bond Returns'!EW29)</f>
        <v>-3.9250272834443614E-2</v>
      </c>
      <c r="AN29" s="122">
        <f ca="1">(Dashboard!$C$7*'Equity and Bond Returns'!AZ29)+(Dashboard!$C$8*'Equity and Bond Returns'!EX29)</f>
        <v>0.33255112077817611</v>
      </c>
      <c r="AO29" s="122">
        <f ca="1">(Dashboard!$C$7*'Equity and Bond Returns'!BA29)+(Dashboard!$C$8*'Equity and Bond Returns'!EY29)</f>
        <v>2.7311518205276827E-2</v>
      </c>
      <c r="AP29" s="122">
        <f ca="1">(Dashboard!$C$7*'Equity and Bond Returns'!BB29)+(Dashboard!$C$8*'Equity and Bond Returns'!EZ29)</f>
        <v>-0.14386446711176193</v>
      </c>
      <c r="AQ29" s="122">
        <f ca="1">(Dashboard!$C$7*'Equity and Bond Returns'!BC29)+(Dashboard!$C$8*'Equity and Bond Returns'!FA29)</f>
        <v>0.27393626064383775</v>
      </c>
      <c r="AR29" s="122">
        <f ca="1">(Dashboard!$C$7*'Equity and Bond Returns'!BD29)+(Dashboard!$C$8*'Equity and Bond Returns'!FB29)</f>
        <v>0.10081885864267723</v>
      </c>
      <c r="AS29" s="122">
        <f ca="1">(Dashboard!$C$7*'Equity and Bond Returns'!BE29)+(Dashboard!$C$8*'Equity and Bond Returns'!FC29)</f>
        <v>-3.0748551610231406E-2</v>
      </c>
      <c r="AT29" s="122">
        <f ca="1">(Dashboard!$C$7*'Equity and Bond Returns'!BF29)+(Dashboard!$C$8*'Equity and Bond Returns'!FD29)</f>
        <v>0.19900243763604522</v>
      </c>
      <c r="AU29" s="122">
        <f ca="1">(Dashboard!$C$7*'Equity and Bond Returns'!BG29)+(Dashboard!$C$8*'Equity and Bond Returns'!FE29)</f>
        <v>5.9136837694361982E-2</v>
      </c>
      <c r="AV29" s="122">
        <f ca="1">(Dashboard!$C$7*'Equity and Bond Returns'!BH29)+(Dashboard!$C$8*'Equity and Bond Returns'!FF29)</f>
        <v>-6.0372606362780981E-2</v>
      </c>
      <c r="AW29" s="122">
        <f ca="1">(Dashboard!$C$7*'Equity and Bond Returns'!BI29)+(Dashboard!$C$8*'Equity and Bond Returns'!FG29)</f>
        <v>0.21627434511525326</v>
      </c>
      <c r="AX29" s="122">
        <f ca="1">(Dashboard!$C$7*'Equity and Bond Returns'!BJ29)+(Dashboard!$C$8*'Equity and Bond Returns'!FH29)</f>
        <v>-0.12531446311950287</v>
      </c>
      <c r="AY29" s="122">
        <f ca="1">(Dashboard!$C$7*'Equity and Bond Returns'!BK29)+(Dashboard!$C$8*'Equity and Bond Returns'!FI29)</f>
        <v>0.14885680921151437</v>
      </c>
      <c r="AZ29" s="122">
        <f ca="1">(Dashboard!$C$7*'Equity and Bond Returns'!BL29)+(Dashboard!$C$8*'Equity and Bond Returns'!FJ29)</f>
        <v>0.25171182674093839</v>
      </c>
      <c r="BA29" s="122">
        <f ca="1">(Dashboard!$C$7*'Equity and Bond Returns'!BM29)+(Dashboard!$C$8*'Equity and Bond Returns'!FK29)</f>
        <v>7.0479020972196466E-2</v>
      </c>
      <c r="BB29" s="122">
        <f ca="1">(Dashboard!$C$7*'Equity and Bond Returns'!BN29)+(Dashboard!$C$8*'Equity and Bond Returns'!FL29)</f>
        <v>-3.8360375146144252E-2</v>
      </c>
      <c r="BC29" s="122">
        <f ca="1">(Dashboard!$C$7*'Equity and Bond Returns'!BO29)+(Dashboard!$C$8*'Equity and Bond Returns'!FM29)</f>
        <v>7.9084160933649311E-2</v>
      </c>
      <c r="BD29" s="122">
        <f ca="1">(Dashboard!$C$7*'Equity and Bond Returns'!BP29)+(Dashboard!$C$8*'Equity and Bond Returns'!FN29)</f>
        <v>0.51225013261779906</v>
      </c>
      <c r="BE29" s="122">
        <f ca="1">(Dashboard!$C$7*'Equity and Bond Returns'!BQ29)+(Dashboard!$C$8*'Equity and Bond Returns'!FO29)</f>
        <v>0.29981728456200302</v>
      </c>
      <c r="BF29" s="122">
        <f ca="1">(Dashboard!$C$7*'Equity and Bond Returns'!BR29)+(Dashboard!$C$8*'Equity and Bond Returns'!FP29)</f>
        <v>0.19492897709822546</v>
      </c>
      <c r="BG29" s="122">
        <f ca="1">(Dashboard!$C$7*'Equity and Bond Returns'!BS29)+(Dashboard!$C$8*'Equity and Bond Returns'!FQ29)</f>
        <v>0.29732991382659257</v>
      </c>
      <c r="BH29" s="122">
        <f ca="1">(Dashboard!$C$7*'Equity and Bond Returns'!BT29)+(Dashboard!$C$8*'Equity and Bond Returns'!FR29)</f>
        <v>2.5603830311590338E-2</v>
      </c>
      <c r="BI29" s="122">
        <f ca="1">(Dashboard!$C$7*'Equity and Bond Returns'!BU29)+(Dashboard!$C$8*'Equity and Bond Returns'!FS29)</f>
        <v>5.1343719535017526E-2</v>
      </c>
      <c r="BJ29" s="122">
        <f ca="1">(Dashboard!$C$7*'Equity and Bond Returns'!BV29)+(Dashboard!$C$8*'Equity and Bond Returns'!FT29)</f>
        <v>6.3781935939114062E-2</v>
      </c>
      <c r="BK29" s="122">
        <f ca="1">(Dashboard!$C$7*'Equity and Bond Returns'!BW29)+(Dashboard!$C$8*'Equity and Bond Returns'!FU29)</f>
        <v>0.22127415413181967</v>
      </c>
      <c r="BL29" s="122">
        <f ca="1">(Dashboard!$C$7*'Equity and Bond Returns'!BX29)+(Dashboard!$C$8*'Equity and Bond Returns'!FV29)</f>
        <v>1.7034451350359373E-2</v>
      </c>
      <c r="BM29" s="122">
        <f ca="1">(Dashboard!$C$7*'Equity and Bond Returns'!BY29)+(Dashboard!$C$8*'Equity and Bond Returns'!FW29)</f>
        <v>9.988595200382494E-2</v>
      </c>
      <c r="BN29" s="122">
        <f ca="1">(Dashboard!$C$7*'Equity and Bond Returns'!BZ29)+(Dashboard!$C$8*'Equity and Bond Returns'!FX29)</f>
        <v>0.187984208923793</v>
      </c>
      <c r="BO29" s="122">
        <f ca="1">(Dashboard!$C$7*'Equity and Bond Returns'!CA29)+(Dashboard!$C$8*'Equity and Bond Returns'!FY29)</f>
        <v>-8.4032273105381187E-3</v>
      </c>
      <c r="BP29" s="122">
        <f ca="1">(Dashboard!$C$7*'Equity and Bond Returns'!CB29)+(Dashboard!$C$8*'Equity and Bond Returns'!FZ29)</f>
        <v>7.6622644806167345E-2</v>
      </c>
      <c r="BQ29" s="122">
        <f ca="1">(Dashboard!$C$7*'Equity and Bond Returns'!CC29)+(Dashboard!$C$8*'Equity and Bond Returns'!GA29)</f>
        <v>7.6865417134318992E-2</v>
      </c>
      <c r="BR29" s="122">
        <f ca="1">(Dashboard!$C$7*'Equity and Bond Returns'!CD29)+(Dashboard!$C$8*'Equity and Bond Returns'!GB29)</f>
        <v>-9.0834955093957656E-2</v>
      </c>
      <c r="BS29" s="122">
        <f ca="1">(Dashboard!$C$7*'Equity and Bond Returns'!CE29)+(Dashboard!$C$8*'Equity and Bond Returns'!GC29)</f>
        <v>2.6916288610338089E-2</v>
      </c>
      <c r="BT29" s="122">
        <f ca="1">(Dashboard!$C$7*'Equity and Bond Returns'!CF29)+(Dashboard!$C$8*'Equity and Bond Returns'!GD29)</f>
        <v>7.1525412783991146E-2</v>
      </c>
      <c r="BU29" s="122">
        <f ca="1">(Dashboard!$C$7*'Equity and Bond Returns'!CG29)+(Dashboard!$C$8*'Equity and Bond Returns'!GE29)</f>
        <v>-8.149190329692943E-2</v>
      </c>
      <c r="BV29" s="122">
        <f ca="1">(Dashboard!$C$7*'Equity and Bond Returns'!CH29)+(Dashboard!$C$8*'Equity and Bond Returns'!GF29)</f>
        <v>-9.7119955567204486E-2</v>
      </c>
      <c r="BW29" s="122">
        <f ca="1">(Dashboard!$C$7*'Equity and Bond Returns'!CI29)+(Dashboard!$C$8*'Equity and Bond Returns'!GG29)</f>
        <v>0.23069884280524347</v>
      </c>
      <c r="BX29" s="122">
        <f ca="1">(Dashboard!$C$7*'Equity and Bond Returns'!CJ29)+(Dashboard!$C$8*'Equity and Bond Returns'!GH29)</f>
        <v>9.7419765329072802E-2</v>
      </c>
      <c r="BY29" s="122">
        <f ca="1">(Dashboard!$C$7*'Equity and Bond Returns'!CK29)+(Dashboard!$C$8*'Equity and Bond Returns'!GI29)</f>
        <v>-3.7578846737480971E-2</v>
      </c>
      <c r="BZ29" s="122">
        <f ca="1">(Dashboard!$C$7*'Equity and Bond Returns'!CL29)+(Dashboard!$C$8*'Equity and Bond Returns'!GJ29)</f>
        <v>-0.15859567141734257</v>
      </c>
      <c r="CA29" s="122">
        <f ca="1">(Dashboard!$C$7*'Equity and Bond Returns'!CM29)+(Dashboard!$C$8*'Equity and Bond Returns'!GK29)</f>
        <v>0.28641560060916016</v>
      </c>
      <c r="CB29" s="122">
        <f ca="1">(Dashboard!$C$7*'Equity and Bond Returns'!CN29)+(Dashboard!$C$8*'Equity and Bond Returns'!GL29)</f>
        <v>9.670328988255511E-2</v>
      </c>
      <c r="CC29" s="122">
        <f ca="1">(Dashboard!$C$7*'Equity and Bond Returns'!CO29)+(Dashboard!$C$8*'Equity and Bond Returns'!GM29)</f>
        <v>7.929652596321916E-3</v>
      </c>
      <c r="CD29" s="122">
        <f ca="1">(Dashboard!$C$7*'Equity and Bond Returns'!CP29)+(Dashboard!$C$8*'Equity and Bond Returns'!GN29)</f>
        <v>0.18044206676271113</v>
      </c>
      <c r="CE29" s="122">
        <f ca="1">(Dashboard!$C$7*'Equity and Bond Returns'!CQ29)+(Dashboard!$C$8*'Equity and Bond Returns'!GO29)</f>
        <v>0.21422906510309636</v>
      </c>
      <c r="CF29" s="122">
        <f ca="1">(Dashboard!$C$7*'Equity and Bond Returns'!CR29)+(Dashboard!$C$8*'Equity and Bond Returns'!GP29)</f>
        <v>9.6197201089405257E-2</v>
      </c>
      <c r="CG29" s="122">
        <f ca="1">(Dashboard!$C$7*'Equity and Bond Returns'!CS29)+(Dashboard!$C$8*'Equity and Bond Returns'!GQ29)</f>
        <v>-0.18497983258580877</v>
      </c>
      <c r="CH29" s="122">
        <f ca="1">(Dashboard!$C$7*'Equity and Bond Returns'!CT29)+(Dashboard!$C$8*'Equity and Bond Returns'!GR29)</f>
        <v>0.28917141112876904</v>
      </c>
      <c r="CI29" s="122">
        <f ca="1">(Dashboard!$C$7*'Equity and Bond Returns'!CU29)+(Dashboard!$C$8*'Equity and Bond Returns'!GS29)</f>
        <v>0.17451299413906243</v>
      </c>
      <c r="CJ29" s="122">
        <f ca="1">(Dashboard!$C$7*'Equity and Bond Returns'!CV29)+(Dashboard!$C$8*'Equity and Bond Returns'!GT29)</f>
        <v>7.8954196816829081E-2</v>
      </c>
      <c r="CK29" s="122">
        <f ca="1">(Dashboard!$C$7*'Equity and Bond Returns'!CW29)+(Dashboard!$C$8*'Equity and Bond Returns'!GU29)</f>
        <v>0.34666494114738888</v>
      </c>
      <c r="CL29" s="122">
        <f ca="1">(Dashboard!$C$7*'Equity and Bond Returns'!CX29)+(Dashboard!$C$8*'Equity and Bond Returns'!GV29)</f>
        <v>-4.5065671046713086E-2</v>
      </c>
      <c r="CM29" s="122">
        <f ca="1">(Dashboard!$C$7*'Equity and Bond Returns'!CY29)+(Dashboard!$C$8*'Equity and Bond Returns'!GW29)</f>
        <v>-3.9608985656547212E-2</v>
      </c>
      <c r="CN29" s="122">
        <f ca="1">(Dashboard!$C$7*'Equity and Bond Returns'!CZ29)+(Dashboard!$C$8*'Equity and Bond Returns'!GX29)</f>
        <v>-4.1642321193915144E-2</v>
      </c>
      <c r="CO29" s="122">
        <f ca="1">(Dashboard!$C$7*'Equity and Bond Returns'!DA29)+(Dashboard!$C$8*'Equity and Bond Returns'!GY29)</f>
        <v>0.10496914533966317</v>
      </c>
      <c r="CP29" s="122">
        <f ca="1">(Dashboard!$C$7*'Equity and Bond Returns'!DB29)+(Dashboard!$C$8*'Equity and Bond Returns'!GZ29)</f>
        <v>0.22212282833150407</v>
      </c>
      <c r="CQ29" s="122">
        <f ca="1">(Dashboard!$C$7*'Equity and Bond Returns'!DC29)+(Dashboard!$C$8*'Equity and Bond Returns'!HA29)</f>
        <v>0.1526114559589303</v>
      </c>
      <c r="CR29" s="122">
        <f ca="1">(Dashboard!$C$7*'Equity and Bond Returns'!DD29)+(Dashboard!$C$8*'Equity and Bond Returns'!HB29)</f>
        <v>4.1443988882930917E-2</v>
      </c>
      <c r="CS29" s="122">
        <f ca="1">(Dashboard!$C$7*'Equity and Bond Returns'!DE29)+(Dashboard!$C$8*'Equity and Bond Returns'!HC29)</f>
        <v>0.43685301433641782</v>
      </c>
      <c r="CT29" s="122">
        <f ca="1">(Dashboard!$C$7*'Equity and Bond Returns'!DF29)+(Dashboard!$C$8*'Equity and Bond Returns'!HD29)</f>
        <v>0.12446068281129846</v>
      </c>
      <c r="CU29" s="122">
        <f ca="1">(Dashboard!$C$7*'Equity and Bond Returns'!DG29)+(Dashboard!$C$8*'Equity and Bond Returns'!HE29)</f>
        <v>0.16463552561961445</v>
      </c>
      <c r="CV29" s="122">
        <f ca="1">(Dashboard!$C$7*'Equity and Bond Returns'!DH29)+(Dashboard!$C$8*'Equity and Bond Returns'!HF29)</f>
        <v>0.24415531735939644</v>
      </c>
      <c r="CW29" s="122">
        <f ca="1">(Dashboard!$C$7*'Equity and Bond Returns'!DI29)+(Dashboard!$C$8*'Equity and Bond Returns'!HG29)</f>
        <v>-0.14952463640199293</v>
      </c>
      <c r="CY29" s="147">
        <f t="shared" si="5"/>
        <v>78</v>
      </c>
      <c r="CZ29" s="148">
        <v>28</v>
      </c>
      <c r="DA29" s="126">
        <f ca="1">MAX(DA28*(1+B29)-(Dashboard!$C$11)/(1-Dashboard!$C$17)*((1+Dashboard!$C$12)^$CZ29),0)</f>
        <v>22254787.313869745</v>
      </c>
      <c r="DB29" s="126">
        <f ca="1">MAX(DB28*(1+C29)-(Dashboard!$C$11)/(1-Dashboard!$C$17)*((1+Dashboard!$C$12)^$CZ29),0)</f>
        <v>0</v>
      </c>
      <c r="DC29" s="126">
        <f ca="1">MAX(DC28*(1+D29)-(Dashboard!$C$11)/(1-Dashboard!$C$17)*((1+Dashboard!$C$12)^$CZ29),0)</f>
        <v>4434058.4915237641</v>
      </c>
      <c r="DD29" s="126">
        <f ca="1">MAX(DD28*(1+E29)-(Dashboard!$C$11)/(1-Dashboard!$C$17)*((1+Dashboard!$C$12)^$CZ29),0)</f>
        <v>1420006.3161778834</v>
      </c>
      <c r="DE29" s="126">
        <f ca="1">MAX(DE28*(1+F29)-(Dashboard!$C$11)/(1-Dashboard!$C$17)*((1+Dashboard!$C$12)^$CZ29),0)</f>
        <v>6315041.7530756639</v>
      </c>
      <c r="DF29" s="126">
        <f ca="1">MAX(DF28*(1+G29)-(Dashboard!$C$11)/(1-Dashboard!$C$17)*((1+Dashboard!$C$12)^$CZ29),0)</f>
        <v>14119757.321607308</v>
      </c>
      <c r="DG29" s="126">
        <f ca="1">MAX(DG28*(1+H29)-(Dashboard!$C$11)/(1-Dashboard!$C$17)*((1+Dashboard!$C$12)^$CZ29),0)</f>
        <v>1423017.8027846452</v>
      </c>
      <c r="DH29" s="126">
        <f ca="1">MAX(DH28*(1+I29)-(Dashboard!$C$11)/(1-Dashboard!$C$17)*((1+Dashboard!$C$12)^$CZ29),0)</f>
        <v>9235149.7471578624</v>
      </c>
      <c r="DI29" s="126">
        <f ca="1">MAX(DI28*(1+J29)-(Dashboard!$C$11)/(1-Dashboard!$C$17)*((1+Dashboard!$C$12)^$CZ29),0)</f>
        <v>3514956.6904180357</v>
      </c>
      <c r="DJ29" s="126">
        <f ca="1">MAX(DJ28*(1+K29)-(Dashboard!$C$11)/(1-Dashboard!$C$17)*((1+Dashboard!$C$12)^$CZ29),0)</f>
        <v>4682634.0222236644</v>
      </c>
      <c r="DK29" s="126">
        <f ca="1">MAX(DK28*(1+L29)-(Dashboard!$C$11)/(1-Dashboard!$C$17)*((1+Dashboard!$C$12)^$CZ29),0)</f>
        <v>16021822.672862418</v>
      </c>
      <c r="DL29" s="126">
        <f ca="1">MAX(DL28*(1+M29)-(Dashboard!$C$11)/(1-Dashboard!$C$17)*((1+Dashboard!$C$12)^$CZ29),0)</f>
        <v>875462.28527590283</v>
      </c>
      <c r="DM29" s="126">
        <f ca="1">MAX(DM28*(1+N29)-(Dashboard!$C$11)/(1-Dashboard!$C$17)*((1+Dashboard!$C$12)^$CZ29),0)</f>
        <v>5767214.6304487297</v>
      </c>
      <c r="DN29" s="126">
        <f ca="1">MAX(DN28*(1+O29)-(Dashboard!$C$11)/(1-Dashboard!$C$17)*((1+Dashboard!$C$12)^$CZ29),0)</f>
        <v>15646691.316959601</v>
      </c>
      <c r="DO29" s="126">
        <f ca="1">MAX(DO28*(1+P29)-(Dashboard!$C$11)/(1-Dashboard!$C$17)*((1+Dashboard!$C$12)^$CZ29),0)</f>
        <v>2758406.664548018</v>
      </c>
      <c r="DP29" s="126">
        <f ca="1">MAX(DP28*(1+Q29)-(Dashboard!$C$11)/(1-Dashboard!$C$17)*((1+Dashboard!$C$12)^$CZ29),0)</f>
        <v>3453958.6411166317</v>
      </c>
      <c r="DQ29" s="126">
        <f ca="1">MAX(DQ28*(1+R29)-(Dashboard!$C$11)/(1-Dashboard!$C$17)*((1+Dashboard!$C$12)^$CZ29),0)</f>
        <v>9831263.9364437256</v>
      </c>
      <c r="DR29" s="126">
        <f ca="1">MAX(DR28*(1+S29)-(Dashboard!$C$11)/(1-Dashboard!$C$17)*((1+Dashboard!$C$12)^$CZ29),0)</f>
        <v>13730960.72304205</v>
      </c>
      <c r="DS29" s="126">
        <f ca="1">MAX(DS28*(1+T29)-(Dashboard!$C$11)/(1-Dashboard!$C$17)*((1+Dashboard!$C$12)^$CZ29),0)</f>
        <v>989991.95621835813</v>
      </c>
      <c r="DT29" s="126">
        <f ca="1">MAX(DT28*(1+U29)-(Dashboard!$C$11)/(1-Dashboard!$C$17)*((1+Dashboard!$C$12)^$CZ29),0)</f>
        <v>4600657.5699524041</v>
      </c>
      <c r="DU29" s="126">
        <f ca="1">MAX(DU28*(1+V29)-(Dashboard!$C$11)/(1-Dashboard!$C$17)*((1+Dashboard!$C$12)^$CZ29),0)</f>
        <v>6919729.4630334256</v>
      </c>
      <c r="DV29" s="126">
        <f ca="1">MAX(DV28*(1+W29)-(Dashboard!$C$11)/(1-Dashboard!$C$17)*((1+Dashboard!$C$12)^$CZ29),0)</f>
        <v>14200670.136544304</v>
      </c>
      <c r="DW29" s="126">
        <f ca="1">MAX(DW28*(1+X29)-(Dashboard!$C$11)/(1-Dashboard!$C$17)*((1+Dashboard!$C$12)^$CZ29),0)</f>
        <v>5546042.3752353676</v>
      </c>
      <c r="DX29" s="126">
        <f ca="1">MAX(DX28*(1+Y29)-(Dashboard!$C$11)/(1-Dashboard!$C$17)*((1+Dashboard!$C$12)^$CZ29),0)</f>
        <v>2740005.5600359393</v>
      </c>
      <c r="DY29" s="126">
        <f ca="1">MAX(DY28*(1+Z29)-(Dashboard!$C$11)/(1-Dashboard!$C$17)*((1+Dashboard!$C$12)^$CZ29),0)</f>
        <v>7744304.5481256591</v>
      </c>
      <c r="DZ29" s="126">
        <f ca="1">MAX(DZ28*(1+AA29)-(Dashboard!$C$11)/(1-Dashboard!$C$17)*((1+Dashboard!$C$12)^$CZ29),0)</f>
        <v>539623.67365870415</v>
      </c>
      <c r="EA29" s="126">
        <f ca="1">MAX(EA28*(1+AB29)-(Dashboard!$C$11)/(1-Dashboard!$C$17)*((1+Dashboard!$C$12)^$CZ29),0)</f>
        <v>3885471.7904948117</v>
      </c>
      <c r="EB29" s="126">
        <f ca="1">MAX(EB28*(1+AC29)-(Dashboard!$C$11)/(1-Dashboard!$C$17)*((1+Dashboard!$C$12)^$CZ29),0)</f>
        <v>6315035.4787766403</v>
      </c>
      <c r="EC29" s="126">
        <f ca="1">MAX(EC28*(1+AD29)-(Dashboard!$C$11)/(1-Dashboard!$C$17)*((1+Dashboard!$C$12)^$CZ29),0)</f>
        <v>5395664.0833975645</v>
      </c>
      <c r="ED29" s="126">
        <f ca="1">MAX(ED28*(1+AE29)-(Dashboard!$C$11)/(1-Dashboard!$C$17)*((1+Dashboard!$C$12)^$CZ29),0)</f>
        <v>5263933.7366976989</v>
      </c>
      <c r="EE29" s="126">
        <f ca="1">MAX(EE28*(1+AF29)-(Dashboard!$C$11)/(1-Dashboard!$C$17)*((1+Dashboard!$C$12)^$CZ29),0)</f>
        <v>9754702.8112258166</v>
      </c>
      <c r="EF29" s="126">
        <f ca="1">MAX(EF28*(1+AG29)-(Dashboard!$C$11)/(1-Dashboard!$C$17)*((1+Dashboard!$C$12)^$CZ29),0)</f>
        <v>1691888.6041859705</v>
      </c>
      <c r="EG29" s="126">
        <f ca="1">MAX(EG28*(1+AH29)-(Dashboard!$C$11)/(1-Dashboard!$C$17)*((1+Dashboard!$C$12)^$CZ29),0)</f>
        <v>6446368.0029100021</v>
      </c>
      <c r="EH29" s="126">
        <f ca="1">MAX(EH28*(1+AI29)-(Dashboard!$C$11)/(1-Dashboard!$C$17)*((1+Dashboard!$C$12)^$CZ29),0)</f>
        <v>8827445.2073698174</v>
      </c>
      <c r="EI29" s="126">
        <f ca="1">MAX(EI28*(1+AJ29)-(Dashboard!$C$11)/(1-Dashboard!$C$17)*((1+Dashboard!$C$12)^$CZ29),0)</f>
        <v>595062.50969304796</v>
      </c>
      <c r="EJ29" s="126">
        <f ca="1">MAX(EJ28*(1+AK29)-(Dashboard!$C$11)/(1-Dashboard!$C$17)*((1+Dashboard!$C$12)^$CZ29),0)</f>
        <v>6107977.3163194824</v>
      </c>
      <c r="EK29" s="126">
        <f ca="1">MAX(EK28*(1+AL29)-(Dashboard!$C$11)/(1-Dashboard!$C$17)*((1+Dashboard!$C$12)^$CZ29),0)</f>
        <v>9019064.2203892022</v>
      </c>
      <c r="EL29" s="126">
        <f ca="1">MAX(EL28*(1+AM29)-(Dashboard!$C$11)/(1-Dashboard!$C$17)*((1+Dashboard!$C$12)^$CZ29),0)</f>
        <v>1079297.0146246972</v>
      </c>
      <c r="EM29" s="126">
        <f ca="1">MAX(EM28*(1+AN29)-(Dashboard!$C$11)/(1-Dashboard!$C$17)*((1+Dashboard!$C$12)^$CZ29),0)</f>
        <v>10264423.703816023</v>
      </c>
      <c r="EN29" s="126">
        <f ca="1">MAX(EN28*(1+AO29)-(Dashboard!$C$11)/(1-Dashboard!$C$17)*((1+Dashboard!$C$12)^$CZ29),0)</f>
        <v>3199265.0162596237</v>
      </c>
      <c r="EO29" s="126">
        <f ca="1">MAX(EO28*(1+AP29)-(Dashboard!$C$11)/(1-Dashboard!$C$17)*((1+Dashboard!$C$12)^$CZ29),0)</f>
        <v>243786.94176429097</v>
      </c>
      <c r="EP29" s="126">
        <f ca="1">MAX(EP28*(1+AQ29)-(Dashboard!$C$11)/(1-Dashboard!$C$17)*((1+Dashboard!$C$12)^$CZ29),0)</f>
        <v>2589628.2689717123</v>
      </c>
      <c r="EQ29" s="126">
        <f ca="1">MAX(EQ28*(1+AR29)-(Dashboard!$C$11)/(1-Dashboard!$C$17)*((1+Dashboard!$C$12)^$CZ29),0)</f>
        <v>2582184.8417434632</v>
      </c>
      <c r="ER29" s="126">
        <f ca="1">MAX(ER28*(1+AS29)-(Dashboard!$C$11)/(1-Dashboard!$C$17)*((1+Dashboard!$C$12)^$CZ29),0)</f>
        <v>1487135.193968273</v>
      </c>
      <c r="ES29" s="126">
        <f ca="1">MAX(ES28*(1+AT29)-(Dashboard!$C$11)/(1-Dashboard!$C$17)*((1+Dashboard!$C$12)^$CZ29),0)</f>
        <v>8524013.1873482596</v>
      </c>
      <c r="ET29" s="126">
        <f ca="1">MAX(ET28*(1+AU29)-(Dashboard!$C$11)/(1-Dashboard!$C$17)*((1+Dashboard!$C$12)^$CZ29),0)</f>
        <v>4629618.8746831045</v>
      </c>
      <c r="EU29" s="126">
        <f ca="1">MAX(EU28*(1+AV29)-(Dashboard!$C$11)/(1-Dashboard!$C$17)*((1+Dashboard!$C$12)^$CZ29),0)</f>
        <v>2521503.0939846355</v>
      </c>
      <c r="EV29" s="126">
        <f ca="1">MAX(EV28*(1+AW29)-(Dashboard!$C$11)/(1-Dashboard!$C$17)*((1+Dashboard!$C$12)^$CZ29),0)</f>
        <v>20759404.781910293</v>
      </c>
      <c r="EW29" s="126">
        <f ca="1">MAX(EW28*(1+AX29)-(Dashboard!$C$11)/(1-Dashboard!$C$17)*((1+Dashboard!$C$12)^$CZ29),0)</f>
        <v>1736751.3629617544</v>
      </c>
      <c r="EX29" s="126">
        <f ca="1">MAX(EX28*(1+AY29)-(Dashboard!$C$11)/(1-Dashboard!$C$17)*((1+Dashboard!$C$12)^$CZ29),0)</f>
        <v>4226728.7717999164</v>
      </c>
      <c r="EY29" s="126">
        <f ca="1">MAX(EY28*(1+AZ29)-(Dashboard!$C$11)/(1-Dashboard!$C$17)*((1+Dashboard!$C$12)^$CZ29),0)</f>
        <v>13356031.975079242</v>
      </c>
      <c r="EZ29" s="126">
        <f ca="1">MAX(EZ28*(1+BA29)-(Dashboard!$C$11)/(1-Dashboard!$C$17)*((1+Dashboard!$C$12)^$CZ29),0)</f>
        <v>4789175.2686440861</v>
      </c>
      <c r="FA29" s="126">
        <f ca="1">MAX(FA28*(1+BB29)-(Dashboard!$C$11)/(1-Dashboard!$C$17)*((1+Dashboard!$C$12)^$CZ29),0)</f>
        <v>9957032.6132045463</v>
      </c>
      <c r="FB29" s="126">
        <f ca="1">MAX(FB28*(1+BC29)-(Dashboard!$C$11)/(1-Dashboard!$C$17)*((1+Dashboard!$C$12)^$CZ29),0)</f>
        <v>1138855.9945752644</v>
      </c>
      <c r="FC29" s="126">
        <f ca="1">MAX(FC28*(1+BD29)-(Dashboard!$C$11)/(1-Dashboard!$C$17)*((1+Dashboard!$C$12)^$CZ29),0)</f>
        <v>11944819.298967954</v>
      </c>
      <c r="FD29" s="126">
        <f ca="1">MAX(FD28*(1+BE29)-(Dashboard!$C$11)/(1-Dashboard!$C$17)*((1+Dashboard!$C$12)^$CZ29),0)</f>
        <v>10545781.70450124</v>
      </c>
      <c r="FE29" s="126">
        <f ca="1">MAX(FE28*(1+BF29)-(Dashboard!$C$11)/(1-Dashboard!$C$17)*((1+Dashboard!$C$12)^$CZ29),0)</f>
        <v>14194114.846374784</v>
      </c>
      <c r="FF29" s="126">
        <f ca="1">MAX(FF28*(1+BG29)-(Dashboard!$C$11)/(1-Dashboard!$C$17)*((1+Dashboard!$C$12)^$CZ29),0)</f>
        <v>3148895.4947056924</v>
      </c>
      <c r="FG29" s="126">
        <f ca="1">MAX(FG28*(1+BH29)-(Dashboard!$C$11)/(1-Dashboard!$C$17)*((1+Dashboard!$C$12)^$CZ29),0)</f>
        <v>4612719.4702006886</v>
      </c>
      <c r="FH29" s="126">
        <f ca="1">MAX(FH28*(1+BI29)-(Dashboard!$C$11)/(1-Dashboard!$C$17)*((1+Dashboard!$C$12)^$CZ29),0)</f>
        <v>2618646.718484499</v>
      </c>
      <c r="FI29" s="126">
        <f ca="1">MAX(FI28*(1+BJ29)-(Dashboard!$C$11)/(1-Dashboard!$C$17)*((1+Dashboard!$C$12)^$CZ29),0)</f>
        <v>7983422.6857638182</v>
      </c>
      <c r="FJ29" s="126">
        <f ca="1">MAX(FJ28*(1+BK29)-(Dashboard!$C$11)/(1-Dashboard!$C$17)*((1+Dashboard!$C$12)^$CZ29),0)</f>
        <v>4913218.3121559089</v>
      </c>
      <c r="FK29" s="126">
        <f ca="1">MAX(FK28*(1+BL29)-(Dashboard!$C$11)/(1-Dashboard!$C$17)*((1+Dashboard!$C$12)^$CZ29),0)</f>
        <v>6027598.3214288885</v>
      </c>
      <c r="FL29" s="126">
        <f ca="1">MAX(FL28*(1+BM29)-(Dashboard!$C$11)/(1-Dashboard!$C$17)*((1+Dashboard!$C$12)^$CZ29),0)</f>
        <v>3789738.0995095158</v>
      </c>
      <c r="FM29" s="126">
        <f ca="1">MAX(FM28*(1+BN29)-(Dashboard!$C$11)/(1-Dashboard!$C$17)*((1+Dashboard!$C$12)^$CZ29),0)</f>
        <v>10449569.435191141</v>
      </c>
      <c r="FN29" s="126">
        <f ca="1">MAX(FN28*(1+BO29)-(Dashboard!$C$11)/(1-Dashboard!$C$17)*((1+Dashboard!$C$12)^$CZ29),0)</f>
        <v>277212.16823810653</v>
      </c>
      <c r="FO29" s="126">
        <f ca="1">MAX(FO28*(1+BP29)-(Dashboard!$C$11)/(1-Dashboard!$C$17)*((1+Dashboard!$C$12)^$CZ29),0)</f>
        <v>5787720.80613524</v>
      </c>
      <c r="FP29" s="126">
        <f ca="1">MAX(FP28*(1+BQ29)-(Dashboard!$C$11)/(1-Dashboard!$C$17)*((1+Dashboard!$C$12)^$CZ29),0)</f>
        <v>4819012.2281467812</v>
      </c>
      <c r="FQ29" s="126">
        <f ca="1">MAX(FQ28*(1+BR29)-(Dashboard!$C$11)/(1-Dashboard!$C$17)*((1+Dashboard!$C$12)^$CZ29),0)</f>
        <v>3347236.3761086506</v>
      </c>
      <c r="FR29" s="126">
        <f ca="1">MAX(FR28*(1+BS29)-(Dashboard!$C$11)/(1-Dashboard!$C$17)*((1+Dashboard!$C$12)^$CZ29),0)</f>
        <v>6736888.4338324443</v>
      </c>
      <c r="FS29" s="126">
        <f ca="1">MAX(FS28*(1+BT29)-(Dashboard!$C$11)/(1-Dashboard!$C$17)*((1+Dashboard!$C$12)^$CZ29),0)</f>
        <v>6319918.6838198146</v>
      </c>
      <c r="FT29" s="126">
        <f ca="1">MAX(FT28*(1+BU29)-(Dashboard!$C$11)/(1-Dashboard!$C$17)*((1+Dashboard!$C$12)^$CZ29),0)</f>
        <v>1508503.3251537257</v>
      </c>
      <c r="FU29" s="126">
        <f ca="1">MAX(FU28*(1+BV29)-(Dashboard!$C$11)/(1-Dashboard!$C$17)*((1+Dashboard!$C$12)^$CZ29),0)</f>
        <v>2431761.3179655396</v>
      </c>
      <c r="FV29" s="126">
        <f ca="1">MAX(FV28*(1+BW29)-(Dashboard!$C$11)/(1-Dashboard!$C$17)*((1+Dashboard!$C$12)^$CZ29),0)</f>
        <v>4618113.9246623768</v>
      </c>
      <c r="FW29" s="126">
        <f ca="1">MAX(FW28*(1+BX29)-(Dashboard!$C$11)/(1-Dashboard!$C$17)*((1+Dashboard!$C$12)^$CZ29),0)</f>
        <v>4340986.1405746657</v>
      </c>
      <c r="FX29" s="126">
        <f ca="1">MAX(FX28*(1+BY29)-(Dashboard!$C$11)/(1-Dashboard!$C$17)*((1+Dashboard!$C$12)^$CZ29),0)</f>
        <v>963033.8024285963</v>
      </c>
      <c r="FY29" s="126">
        <f ca="1">MAX(FY28*(1+BZ29)-(Dashboard!$C$11)/(1-Dashboard!$C$17)*((1+Dashboard!$C$12)^$CZ29),0)</f>
        <v>2895491.7730759596</v>
      </c>
      <c r="FZ29" s="126">
        <f ca="1">MAX(FZ28*(1+CA29)-(Dashboard!$C$11)/(1-Dashboard!$C$17)*((1+Dashboard!$C$12)^$CZ29),0)</f>
        <v>10850063.097529005</v>
      </c>
      <c r="GA29" s="126">
        <f ca="1">MAX(GA28*(1+CB29)-(Dashboard!$C$11)/(1-Dashboard!$C$17)*((1+Dashboard!$C$12)^$CZ29),0)</f>
        <v>9367672.774898231</v>
      </c>
      <c r="GB29" s="126">
        <f ca="1">MAX(GB28*(1+CC29)-(Dashboard!$C$11)/(1-Dashboard!$C$17)*((1+Dashboard!$C$12)^$CZ29),0)</f>
        <v>2320882.8115185914</v>
      </c>
      <c r="GC29" s="126">
        <f ca="1">MAX(GC28*(1+CD29)-(Dashboard!$C$11)/(1-Dashboard!$C$17)*((1+Dashboard!$C$12)^$CZ29),0)</f>
        <v>7775713.9489299944</v>
      </c>
      <c r="GD29" s="126">
        <f ca="1">MAX(GD28*(1+CE29)-(Dashboard!$C$11)/(1-Dashboard!$C$17)*((1+Dashboard!$C$12)^$CZ29),0)</f>
        <v>24514991.581004735</v>
      </c>
      <c r="GE29" s="126">
        <f ca="1">MAX(GE28*(1+CF29)-(Dashboard!$C$11)/(1-Dashboard!$C$17)*((1+Dashboard!$C$12)^$CZ29),0)</f>
        <v>3288864.0321104359</v>
      </c>
      <c r="GF29" s="126">
        <f ca="1">MAX(GF28*(1+CG29)-(Dashboard!$C$11)/(1-Dashboard!$C$17)*((1+Dashboard!$C$12)^$CZ29),0)</f>
        <v>6893942.5238282122</v>
      </c>
      <c r="GG29" s="126">
        <f ca="1">MAX(GG28*(1+CH29)-(Dashboard!$C$11)/(1-Dashboard!$C$17)*((1+Dashboard!$C$12)^$CZ29),0)</f>
        <v>1142002.7157471329</v>
      </c>
      <c r="GH29" s="126">
        <f ca="1">MAX(GH28*(1+CI29)-(Dashboard!$C$11)/(1-Dashboard!$C$17)*((1+Dashboard!$C$12)^$CZ29),0)</f>
        <v>3102119.4669656251</v>
      </c>
      <c r="GI29" s="126">
        <f ca="1">MAX(GI28*(1+CJ29)-(Dashboard!$C$11)/(1-Dashboard!$C$17)*((1+Dashboard!$C$12)^$CZ29),0)</f>
        <v>4722005.5427387292</v>
      </c>
      <c r="GJ29" s="126">
        <f ca="1">MAX(GJ28*(1+CK29)-(Dashboard!$C$11)/(1-Dashboard!$C$17)*((1+Dashboard!$C$12)^$CZ29),0)</f>
        <v>17498716.088124797</v>
      </c>
      <c r="GK29" s="126">
        <f ca="1">MAX(GK28*(1+CL29)-(Dashboard!$C$11)/(1-Dashboard!$C$17)*((1+Dashboard!$C$12)^$CZ29),0)</f>
        <v>5731874.8685074812</v>
      </c>
      <c r="GL29" s="126">
        <f ca="1">MAX(GL28*(1+CM29)-(Dashboard!$C$11)/(1-Dashboard!$C$17)*((1+Dashboard!$C$12)^$CZ29),0)</f>
        <v>8220195.8513012193</v>
      </c>
      <c r="GM29" s="126">
        <f ca="1">MAX(GM28*(1+CN29)-(Dashboard!$C$11)/(1-Dashboard!$C$17)*((1+Dashboard!$C$12)^$CZ29),0)</f>
        <v>1573074.2531777029</v>
      </c>
      <c r="GN29" s="126">
        <f ca="1">MAX(GN28*(1+CO29)-(Dashboard!$C$11)/(1-Dashboard!$C$17)*((1+Dashboard!$C$12)^$CZ29),0)</f>
        <v>31655.66539841827</v>
      </c>
      <c r="GO29" s="126">
        <f ca="1">MAX(GO28*(1+CP29)-(Dashboard!$C$11)/(1-Dashboard!$C$17)*((1+Dashboard!$C$12)^$CZ29),0)</f>
        <v>4753577.4331326559</v>
      </c>
      <c r="GP29" s="126">
        <f ca="1">MAX(GP28*(1+CQ29)-(Dashboard!$C$11)/(1-Dashboard!$C$17)*((1+Dashboard!$C$12)^$CZ29),0)</f>
        <v>4873338.4444591012</v>
      </c>
      <c r="GQ29" s="126">
        <f ca="1">MAX(GQ28*(1+CR29)-(Dashboard!$C$11)/(1-Dashboard!$C$17)*((1+Dashboard!$C$12)^$CZ29),0)</f>
        <v>749724.57549583784</v>
      </c>
      <c r="GR29" s="126">
        <f ca="1">MAX(GR28*(1+CS29)-(Dashboard!$C$11)/(1-Dashboard!$C$17)*((1+Dashboard!$C$12)^$CZ29),0)</f>
        <v>3885286.3175544343</v>
      </c>
      <c r="GS29" s="126">
        <f ca="1">MAX(GS28*(1+CT29)-(Dashboard!$C$11)/(1-Dashboard!$C$17)*((1+Dashboard!$C$12)^$CZ29),0)</f>
        <v>6428965.3099654419</v>
      </c>
      <c r="GT29" s="126">
        <f ca="1">MAX(GT28*(1+CU29)-(Dashboard!$C$11)/(1-Dashboard!$C$17)*((1+Dashboard!$C$12)^$CZ29),0)</f>
        <v>15548056.833176579</v>
      </c>
      <c r="GU29" s="126">
        <f ca="1">MAX(GU28*(1+CV29)-(Dashboard!$C$11)/(1-Dashboard!$C$17)*((1+Dashboard!$C$12)^$CZ29),0)</f>
        <v>2828975.6069973619</v>
      </c>
      <c r="GV29" s="126">
        <f ca="1">MAX(GV28*(1+CW29)-(Dashboard!$C$11)/(1-Dashboard!$C$17)*((1+Dashboard!$C$12)^$CZ29),0)</f>
        <v>1598085.2103230853</v>
      </c>
      <c r="GW29" s="115">
        <f t="shared" si="4"/>
        <v>78</v>
      </c>
      <c r="GX29" s="130">
        <f t="shared" ca="1" si="2"/>
        <v>99</v>
      </c>
      <c r="HC29" s="130">
        <f t="shared" si="0"/>
        <v>78</v>
      </c>
      <c r="HD29" s="137">
        <f t="shared" ca="1" si="6"/>
        <v>2536673.5309243426</v>
      </c>
      <c r="HE29" s="137">
        <f t="shared" ca="1" si="6"/>
        <v>4702319.7824811973</v>
      </c>
      <c r="HF29" s="137">
        <f t="shared" ca="1" si="6"/>
        <v>8161002.5599168688</v>
      </c>
    </row>
    <row r="30" spans="1:214" ht="16">
      <c r="A30" s="145">
        <f t="shared" si="3"/>
        <v>79</v>
      </c>
      <c r="B30" s="122">
        <f ca="1">(Dashboard!$C$7*'Equity and Bond Returns'!N30)+(Dashboard!$C$8*'Equity and Bond Returns'!DL30)</f>
        <v>-0.1286704889193466</v>
      </c>
      <c r="C30" s="122">
        <f ca="1">(Dashboard!$C$7*'Equity and Bond Returns'!O30)+(Dashboard!$C$8*'Equity and Bond Returns'!DM30)</f>
        <v>0.22757087464724443</v>
      </c>
      <c r="D30" s="122">
        <f ca="1">(Dashboard!$C$7*'Equity and Bond Returns'!P30)+(Dashboard!$C$8*'Equity and Bond Returns'!DN30)</f>
        <v>9.557490766201103E-2</v>
      </c>
      <c r="E30" s="122">
        <f ca="1">(Dashboard!$C$7*'Equity and Bond Returns'!Q30)+(Dashboard!$C$8*'Equity and Bond Returns'!DO30)</f>
        <v>9.9319368840842776E-2</v>
      </c>
      <c r="F30" s="122">
        <f ca="1">(Dashboard!$C$7*'Equity and Bond Returns'!R30)+(Dashboard!$C$8*'Equity and Bond Returns'!DP30)</f>
        <v>0.10091949113343444</v>
      </c>
      <c r="G30" s="122">
        <f ca="1">(Dashboard!$C$7*'Equity and Bond Returns'!S30)+(Dashboard!$C$8*'Equity and Bond Returns'!DQ30)</f>
        <v>-0.10224413415350754</v>
      </c>
      <c r="H30" s="122">
        <f ca="1">(Dashboard!$C$7*'Equity and Bond Returns'!T30)+(Dashboard!$C$8*'Equity and Bond Returns'!DR30)</f>
        <v>-8.0008047041485592E-2</v>
      </c>
      <c r="I30" s="122">
        <f ca="1">(Dashboard!$C$7*'Equity and Bond Returns'!U30)+(Dashboard!$C$8*'Equity and Bond Returns'!DS30)</f>
        <v>8.001577378805684E-4</v>
      </c>
      <c r="J30" s="122">
        <f ca="1">(Dashboard!$C$7*'Equity and Bond Returns'!V30)+(Dashboard!$C$8*'Equity and Bond Returns'!DT30)</f>
        <v>0.19346510266070926</v>
      </c>
      <c r="K30" s="122">
        <f ca="1">(Dashboard!$C$7*'Equity and Bond Returns'!W30)+(Dashboard!$C$8*'Equity and Bond Returns'!DU30)</f>
        <v>0.1382246753750063</v>
      </c>
      <c r="L30" s="122">
        <f ca="1">(Dashboard!$C$7*'Equity and Bond Returns'!X30)+(Dashboard!$C$8*'Equity and Bond Returns'!DV30)</f>
        <v>9.1635350681636224E-2</v>
      </c>
      <c r="M30" s="122">
        <f ca="1">(Dashboard!$C$7*'Equity and Bond Returns'!Y30)+(Dashboard!$C$8*'Equity and Bond Returns'!DW30)</f>
        <v>9.2300266772336673E-3</v>
      </c>
      <c r="N30" s="122">
        <f ca="1">(Dashboard!$C$7*'Equity and Bond Returns'!Z30)+(Dashboard!$C$8*'Equity and Bond Returns'!DX30)</f>
        <v>4.7750421773808754E-2</v>
      </c>
      <c r="O30" s="122">
        <f ca="1">(Dashboard!$C$7*'Equity and Bond Returns'!AA30)+(Dashboard!$C$8*'Equity and Bond Returns'!DY30)</f>
        <v>0.25187771955102467</v>
      </c>
      <c r="P30" s="122">
        <f ca="1">(Dashboard!$C$7*'Equity and Bond Returns'!AB30)+(Dashboard!$C$8*'Equity and Bond Returns'!DZ30)</f>
        <v>7.9172691548149238E-2</v>
      </c>
      <c r="Q30" s="122">
        <f ca="1">(Dashboard!$C$7*'Equity and Bond Returns'!AC30)+(Dashboard!$C$8*'Equity and Bond Returns'!EA30)</f>
        <v>-8.532642823621181E-2</v>
      </c>
      <c r="R30" s="122">
        <f ca="1">(Dashboard!$C$7*'Equity and Bond Returns'!AD30)+(Dashboard!$C$8*'Equity and Bond Returns'!EB30)</f>
        <v>5.781169241772148E-2</v>
      </c>
      <c r="S30" s="122">
        <f ca="1">(Dashboard!$C$7*'Equity and Bond Returns'!AE30)+(Dashboard!$C$8*'Equity and Bond Returns'!EC30)</f>
        <v>0.14215609953037645</v>
      </c>
      <c r="T30" s="122">
        <f ca="1">(Dashboard!$C$7*'Equity and Bond Returns'!AF30)+(Dashboard!$C$8*'Equity and Bond Returns'!ED30)</f>
        <v>0.19156745736978814</v>
      </c>
      <c r="U30" s="122">
        <f ca="1">(Dashboard!$C$7*'Equity and Bond Returns'!AG30)+(Dashboard!$C$8*'Equity and Bond Returns'!EE30)</f>
        <v>2.5597445340547371E-2</v>
      </c>
      <c r="V30" s="122">
        <f ca="1">(Dashboard!$C$7*'Equity and Bond Returns'!AH30)+(Dashboard!$C$8*'Equity and Bond Returns'!EF30)</f>
        <v>-0.22569844327129818</v>
      </c>
      <c r="W30" s="122">
        <f ca="1">(Dashboard!$C$7*'Equity and Bond Returns'!AI30)+(Dashboard!$C$8*'Equity and Bond Returns'!EG30)</f>
        <v>9.8531343151317619E-2</v>
      </c>
      <c r="X30" s="122">
        <f ca="1">(Dashboard!$C$7*'Equity and Bond Returns'!AJ30)+(Dashboard!$C$8*'Equity and Bond Returns'!EH30)</f>
        <v>0.13855907604767143</v>
      </c>
      <c r="Y30" s="122">
        <f ca="1">(Dashboard!$C$7*'Equity and Bond Returns'!AK30)+(Dashboard!$C$8*'Equity and Bond Returns'!EI30)</f>
        <v>7.0658758921575748E-2</v>
      </c>
      <c r="Z30" s="122">
        <f ca="1">(Dashboard!$C$7*'Equity and Bond Returns'!AL30)+(Dashboard!$C$8*'Equity and Bond Returns'!EJ30)</f>
        <v>0.16575759747989025</v>
      </c>
      <c r="AA30" s="122">
        <f ca="1">(Dashboard!$C$7*'Equity and Bond Returns'!AM30)+(Dashboard!$C$8*'Equity and Bond Returns'!EK30)</f>
        <v>0.50237008238719139</v>
      </c>
      <c r="AB30" s="122">
        <f ca="1">(Dashboard!$C$7*'Equity and Bond Returns'!AN30)+(Dashboard!$C$8*'Equity and Bond Returns'!EL30)</f>
        <v>0.23982097048187928</v>
      </c>
      <c r="AC30" s="122">
        <f ca="1">(Dashboard!$C$7*'Equity and Bond Returns'!AO30)+(Dashboard!$C$8*'Equity and Bond Returns'!EM30)</f>
        <v>8.5598003435490261E-2</v>
      </c>
      <c r="AD30" s="122">
        <f ca="1">(Dashboard!$C$7*'Equity and Bond Returns'!AP30)+(Dashboard!$C$8*'Equity and Bond Returns'!EN30)</f>
        <v>-7.8923652400242517E-2</v>
      </c>
      <c r="AE30" s="122">
        <f ca="1">(Dashboard!$C$7*'Equity and Bond Returns'!AQ30)+(Dashboard!$C$8*'Equity and Bond Returns'!EO30)</f>
        <v>7.1506316751818552E-2</v>
      </c>
      <c r="AF30" s="122">
        <f ca="1">(Dashboard!$C$7*'Equity and Bond Returns'!AR30)+(Dashboard!$C$8*'Equity and Bond Returns'!EP30)</f>
        <v>9.8200919948975451E-2</v>
      </c>
      <c r="AG30" s="122">
        <f ca="1">(Dashboard!$C$7*'Equity and Bond Returns'!AS30)+(Dashboard!$C$8*'Equity and Bond Returns'!EQ30)</f>
        <v>1.6603345855476272E-2</v>
      </c>
      <c r="AH30" s="122">
        <f ca="1">(Dashboard!$C$7*'Equity and Bond Returns'!AT30)+(Dashboard!$C$8*'Equity and Bond Returns'!ER30)</f>
        <v>0.12224662405206019</v>
      </c>
      <c r="AI30" s="122">
        <f ca="1">(Dashboard!$C$7*'Equity and Bond Returns'!AU30)+(Dashboard!$C$8*'Equity and Bond Returns'!ES30)</f>
        <v>0.33474875821355254</v>
      </c>
      <c r="AJ30" s="122">
        <f ca="1">(Dashboard!$C$7*'Equity and Bond Returns'!AV30)+(Dashboard!$C$8*'Equity and Bond Returns'!ET30)</f>
        <v>-0.12086811892158249</v>
      </c>
      <c r="AK30" s="122">
        <f ca="1">(Dashboard!$C$7*'Equity and Bond Returns'!AW30)+(Dashboard!$C$8*'Equity and Bond Returns'!EU30)</f>
        <v>0.40355503637264367</v>
      </c>
      <c r="AL30" s="122">
        <f ca="1">(Dashboard!$C$7*'Equity and Bond Returns'!AX30)+(Dashboard!$C$8*'Equity and Bond Returns'!EV30)</f>
        <v>-7.3403728330534546E-2</v>
      </c>
      <c r="AM30" s="122">
        <f ca="1">(Dashboard!$C$7*'Equity and Bond Returns'!AY30)+(Dashboard!$C$8*'Equity and Bond Returns'!EW30)</f>
        <v>0.21742201281558543</v>
      </c>
      <c r="AN30" s="122">
        <f ca="1">(Dashboard!$C$7*'Equity and Bond Returns'!AZ30)+(Dashboard!$C$8*'Equity and Bond Returns'!EX30)</f>
        <v>0.10269909510257813</v>
      </c>
      <c r="AO30" s="122">
        <f ca="1">(Dashboard!$C$7*'Equity and Bond Returns'!BA30)+(Dashboard!$C$8*'Equity and Bond Returns'!EY30)</f>
        <v>-0.26604918549514017</v>
      </c>
      <c r="AP30" s="122">
        <f ca="1">(Dashboard!$C$7*'Equity and Bond Returns'!BB30)+(Dashboard!$C$8*'Equity and Bond Returns'!EZ30)</f>
        <v>0.17883789167606115</v>
      </c>
      <c r="AQ30" s="122">
        <f ca="1">(Dashboard!$C$7*'Equity and Bond Returns'!BC30)+(Dashboard!$C$8*'Equity and Bond Returns'!FA30)</f>
        <v>0.18958067112066951</v>
      </c>
      <c r="AR30" s="122">
        <f ca="1">(Dashboard!$C$7*'Equity and Bond Returns'!BD30)+(Dashboard!$C$8*'Equity and Bond Returns'!FB30)</f>
        <v>3.9333419906315246E-2</v>
      </c>
      <c r="AS30" s="122">
        <f ca="1">(Dashboard!$C$7*'Equity and Bond Returns'!BE30)+(Dashboard!$C$8*'Equity and Bond Returns'!FC30)</f>
        <v>-0.10493602658618319</v>
      </c>
      <c r="AT30" s="122">
        <f ca="1">(Dashboard!$C$7*'Equity and Bond Returns'!BF30)+(Dashboard!$C$8*'Equity and Bond Returns'!FD30)</f>
        <v>-2.2778290052170601E-2</v>
      </c>
      <c r="AU30" s="122">
        <f ca="1">(Dashboard!$C$7*'Equity and Bond Returns'!BG30)+(Dashboard!$C$8*'Equity and Bond Returns'!FE30)</f>
        <v>0.21847841479357871</v>
      </c>
      <c r="AV30" s="122">
        <f ca="1">(Dashboard!$C$7*'Equity and Bond Returns'!BH30)+(Dashboard!$C$8*'Equity and Bond Returns'!FF30)</f>
        <v>0.20467099303861022</v>
      </c>
      <c r="AW30" s="122">
        <f ca="1">(Dashboard!$C$7*'Equity and Bond Returns'!BI30)+(Dashboard!$C$8*'Equity and Bond Returns'!FG30)</f>
        <v>0.11907680459461399</v>
      </c>
      <c r="AX30" s="122">
        <f ca="1">(Dashboard!$C$7*'Equity and Bond Returns'!BJ30)+(Dashboard!$C$8*'Equity and Bond Returns'!FH30)</f>
        <v>-9.6755802850302206E-2</v>
      </c>
      <c r="AY30" s="122">
        <f ca="1">(Dashboard!$C$7*'Equity and Bond Returns'!BK30)+(Dashboard!$C$8*'Equity and Bond Returns'!FI30)</f>
        <v>0.26011051872964042</v>
      </c>
      <c r="AZ30" s="122">
        <f ca="1">(Dashboard!$C$7*'Equity and Bond Returns'!BL30)+(Dashboard!$C$8*'Equity and Bond Returns'!FJ30)</f>
        <v>0.1119797518001137</v>
      </c>
      <c r="BA30" s="122">
        <f ca="1">(Dashboard!$C$7*'Equity and Bond Returns'!BM30)+(Dashboard!$C$8*'Equity and Bond Returns'!FK30)</f>
        <v>0.2257222857554059</v>
      </c>
      <c r="BB30" s="122">
        <f ca="1">(Dashboard!$C$7*'Equity and Bond Returns'!BN30)+(Dashboard!$C$8*'Equity and Bond Returns'!FL30)</f>
        <v>4.0629348756172468E-2</v>
      </c>
      <c r="BC30" s="122">
        <f ca="1">(Dashboard!$C$7*'Equity and Bond Returns'!BO30)+(Dashboard!$C$8*'Equity and Bond Returns'!FM30)</f>
        <v>-0.2426011017119333</v>
      </c>
      <c r="BD30" s="122">
        <f ca="1">(Dashboard!$C$7*'Equity and Bond Returns'!BP30)+(Dashboard!$C$8*'Equity and Bond Returns'!FN30)</f>
        <v>-3.9820522706356856E-3</v>
      </c>
      <c r="BE30" s="122">
        <f ca="1">(Dashboard!$C$7*'Equity and Bond Returns'!BQ30)+(Dashboard!$C$8*'Equity and Bond Returns'!FO30)</f>
        <v>0.1210490261522707</v>
      </c>
      <c r="BF30" s="122">
        <f ca="1">(Dashboard!$C$7*'Equity and Bond Returns'!BR30)+(Dashboard!$C$8*'Equity and Bond Returns'!FP30)</f>
        <v>0.1974005308464962</v>
      </c>
      <c r="BG30" s="122">
        <f ca="1">(Dashboard!$C$7*'Equity and Bond Returns'!BS30)+(Dashboard!$C$8*'Equity and Bond Returns'!FQ30)</f>
        <v>0.22553299290312151</v>
      </c>
      <c r="BH30" s="122">
        <f ca="1">(Dashboard!$C$7*'Equity and Bond Returns'!BT30)+(Dashboard!$C$8*'Equity and Bond Returns'!FR30)</f>
        <v>0.35275788173818212</v>
      </c>
      <c r="BI30" s="122">
        <f ca="1">(Dashboard!$C$7*'Equity and Bond Returns'!BU30)+(Dashboard!$C$8*'Equity and Bond Returns'!FS30)</f>
        <v>0.26075318275886455</v>
      </c>
      <c r="BJ30" s="122">
        <f ca="1">(Dashboard!$C$7*'Equity and Bond Returns'!BV30)+(Dashboard!$C$8*'Equity and Bond Returns'!FT30)</f>
        <v>0.21460627492056311</v>
      </c>
      <c r="BK30" s="122">
        <f ca="1">(Dashboard!$C$7*'Equity and Bond Returns'!BW30)+(Dashboard!$C$8*'Equity and Bond Returns'!FU30)</f>
        <v>-0.19948477959859923</v>
      </c>
      <c r="BL30" s="122">
        <f ca="1">(Dashboard!$C$7*'Equity and Bond Returns'!BX30)+(Dashboard!$C$8*'Equity and Bond Returns'!FV30)</f>
        <v>-0.14221317960074201</v>
      </c>
      <c r="BM30" s="122">
        <f ca="1">(Dashboard!$C$7*'Equity and Bond Returns'!BY30)+(Dashboard!$C$8*'Equity and Bond Returns'!FW30)</f>
        <v>8.9958510454792931E-2</v>
      </c>
      <c r="BN30" s="122">
        <f ca="1">(Dashboard!$C$7*'Equity and Bond Returns'!BZ30)+(Dashboard!$C$8*'Equity and Bond Returns'!FX30)</f>
        <v>2.1043410246375956E-2</v>
      </c>
      <c r="BO30" s="122">
        <f ca="1">(Dashboard!$C$7*'Equity and Bond Returns'!CA30)+(Dashboard!$C$8*'Equity and Bond Returns'!FY30)</f>
        <v>-0.18329586715996585</v>
      </c>
      <c r="BP30" s="122">
        <f ca="1">(Dashboard!$C$7*'Equity and Bond Returns'!CB30)+(Dashboard!$C$8*'Equity and Bond Returns'!FZ30)</f>
        <v>0.14659801985511045</v>
      </c>
      <c r="BQ30" s="122">
        <f ca="1">(Dashboard!$C$7*'Equity and Bond Returns'!CC30)+(Dashboard!$C$8*'Equity and Bond Returns'!GA30)</f>
        <v>9.9060619181250295E-2</v>
      </c>
      <c r="BR30" s="122">
        <f ca="1">(Dashboard!$C$7*'Equity and Bond Returns'!CD30)+(Dashboard!$C$8*'Equity and Bond Returns'!GB30)</f>
        <v>0.18764161801965304</v>
      </c>
      <c r="BS30" s="122">
        <f ca="1">(Dashboard!$C$7*'Equity and Bond Returns'!CE30)+(Dashboard!$C$8*'Equity and Bond Returns'!GC30)</f>
        <v>0.12362782066196684</v>
      </c>
      <c r="BT30" s="122">
        <f ca="1">(Dashboard!$C$7*'Equity and Bond Returns'!CF30)+(Dashboard!$C$8*'Equity and Bond Returns'!GD30)</f>
        <v>0.23881758356055738</v>
      </c>
      <c r="BU30" s="122">
        <f ca="1">(Dashboard!$C$7*'Equity and Bond Returns'!CG30)+(Dashboard!$C$8*'Equity and Bond Returns'!GE30)</f>
        <v>-0.22944008236725713</v>
      </c>
      <c r="BV30" s="122">
        <f ca="1">(Dashboard!$C$7*'Equity and Bond Returns'!CH30)+(Dashboard!$C$8*'Equity and Bond Returns'!GF30)</f>
        <v>0.12826237183076772</v>
      </c>
      <c r="BW30" s="122">
        <f ca="1">(Dashboard!$C$7*'Equity and Bond Returns'!CI30)+(Dashboard!$C$8*'Equity and Bond Returns'!GG30)</f>
        <v>0.10914119558018091</v>
      </c>
      <c r="BX30" s="122">
        <f ca="1">(Dashboard!$C$7*'Equity and Bond Returns'!CJ30)+(Dashboard!$C$8*'Equity and Bond Returns'!GH30)</f>
        <v>-2.7353757185547327E-2</v>
      </c>
      <c r="BY30" s="122">
        <f ca="1">(Dashboard!$C$7*'Equity and Bond Returns'!CK30)+(Dashboard!$C$8*'Equity and Bond Returns'!GI30)</f>
        <v>0.14551754200788983</v>
      </c>
      <c r="BZ30" s="122">
        <f ca="1">(Dashboard!$C$7*'Equity and Bond Returns'!CL30)+(Dashboard!$C$8*'Equity and Bond Returns'!GJ30)</f>
        <v>0.14238841159053994</v>
      </c>
      <c r="CA30" s="122">
        <f ca="1">(Dashboard!$C$7*'Equity and Bond Returns'!CM30)+(Dashboard!$C$8*'Equity and Bond Returns'!GK30)</f>
        <v>-3.1267670171664173E-2</v>
      </c>
      <c r="CB30" s="122">
        <f ca="1">(Dashboard!$C$7*'Equity and Bond Returns'!CN30)+(Dashboard!$C$8*'Equity and Bond Returns'!GL30)</f>
        <v>0.11089944797341515</v>
      </c>
      <c r="CC30" s="122">
        <f ca="1">(Dashboard!$C$7*'Equity and Bond Returns'!CO30)+(Dashboard!$C$8*'Equity and Bond Returns'!GM30)</f>
        <v>0.33527483597695174</v>
      </c>
      <c r="CD30" s="122">
        <f ca="1">(Dashboard!$C$7*'Equity and Bond Returns'!CP30)+(Dashboard!$C$8*'Equity and Bond Returns'!GN30)</f>
        <v>0.16703476893361496</v>
      </c>
      <c r="CE30" s="122">
        <f ca="1">(Dashboard!$C$7*'Equity and Bond Returns'!CQ30)+(Dashboard!$C$8*'Equity and Bond Returns'!GO30)</f>
        <v>0.14383220319015041</v>
      </c>
      <c r="CF30" s="122">
        <f ca="1">(Dashboard!$C$7*'Equity and Bond Returns'!CR30)+(Dashboard!$C$8*'Equity and Bond Returns'!GP30)</f>
        <v>0.10532542472603365</v>
      </c>
      <c r="CG30" s="122">
        <f ca="1">(Dashboard!$C$7*'Equity and Bond Returns'!CS30)+(Dashboard!$C$8*'Equity and Bond Returns'!GQ30)</f>
        <v>0.14802717914748037</v>
      </c>
      <c r="CH30" s="122">
        <f ca="1">(Dashboard!$C$7*'Equity and Bond Returns'!CT30)+(Dashboard!$C$8*'Equity and Bond Returns'!GR30)</f>
        <v>0.36210326798006537</v>
      </c>
      <c r="CI30" s="122">
        <f ca="1">(Dashboard!$C$7*'Equity and Bond Returns'!CU30)+(Dashboard!$C$8*'Equity and Bond Returns'!GS30)</f>
        <v>8.4725839478477311E-2</v>
      </c>
      <c r="CJ30" s="122">
        <f ca="1">(Dashboard!$C$7*'Equity and Bond Returns'!CV30)+(Dashboard!$C$8*'Equity and Bond Returns'!GT30)</f>
        <v>-3.8528795559703524E-2</v>
      </c>
      <c r="CK30" s="122">
        <f ca="1">(Dashboard!$C$7*'Equity and Bond Returns'!CW30)+(Dashboard!$C$8*'Equity and Bond Returns'!GU30)</f>
        <v>8.9914612285461853E-2</v>
      </c>
      <c r="CL30" s="122">
        <f ca="1">(Dashboard!$C$7*'Equity and Bond Returns'!CX30)+(Dashboard!$C$8*'Equity and Bond Returns'!GV30)</f>
        <v>6.1329916535917545E-2</v>
      </c>
      <c r="CM30" s="122">
        <f ca="1">(Dashboard!$C$7*'Equity and Bond Returns'!CY30)+(Dashboard!$C$8*'Equity and Bond Returns'!GW30)</f>
        <v>5.6018317228642471E-2</v>
      </c>
      <c r="CN30" s="122">
        <f ca="1">(Dashboard!$C$7*'Equity and Bond Returns'!CZ30)+(Dashboard!$C$8*'Equity and Bond Returns'!GX30)</f>
        <v>0.29298846473134632</v>
      </c>
      <c r="CO30" s="122">
        <f ca="1">(Dashboard!$C$7*'Equity and Bond Returns'!DA30)+(Dashboard!$C$8*'Equity and Bond Returns'!GY30)</f>
        <v>0.10767149201333251</v>
      </c>
      <c r="CP30" s="122">
        <f ca="1">(Dashboard!$C$7*'Equity and Bond Returns'!DB30)+(Dashboard!$C$8*'Equity and Bond Returns'!GZ30)</f>
        <v>0.13060200813556594</v>
      </c>
      <c r="CQ30" s="122">
        <f ca="1">(Dashboard!$C$7*'Equity and Bond Returns'!DC30)+(Dashboard!$C$8*'Equity and Bond Returns'!HA30)</f>
        <v>0.33511034920136951</v>
      </c>
      <c r="CR30" s="122">
        <f ca="1">(Dashboard!$C$7*'Equity and Bond Returns'!DD30)+(Dashboard!$C$8*'Equity and Bond Returns'!HB30)</f>
        <v>6.6999686017306742E-2</v>
      </c>
      <c r="CS30" s="122">
        <f ca="1">(Dashboard!$C$7*'Equity and Bond Returns'!DE30)+(Dashboard!$C$8*'Equity and Bond Returns'!HC30)</f>
        <v>0.18149207483294941</v>
      </c>
      <c r="CT30" s="122">
        <f ca="1">(Dashboard!$C$7*'Equity and Bond Returns'!DF30)+(Dashboard!$C$8*'Equity and Bond Returns'!HD30)</f>
        <v>0.11314460211676508</v>
      </c>
      <c r="CU30" s="122">
        <f ca="1">(Dashboard!$C$7*'Equity and Bond Returns'!DG30)+(Dashboard!$C$8*'Equity and Bond Returns'!HE30)</f>
        <v>0.26098154855404249</v>
      </c>
      <c r="CV30" s="122">
        <f ca="1">(Dashboard!$C$7*'Equity and Bond Returns'!DH30)+(Dashboard!$C$8*'Equity and Bond Returns'!HF30)</f>
        <v>0.17964658441741052</v>
      </c>
      <c r="CW30" s="122">
        <f ca="1">(Dashboard!$C$7*'Equity and Bond Returns'!DI30)+(Dashboard!$C$8*'Equity and Bond Returns'!HG30)</f>
        <v>0.22610168091027971</v>
      </c>
      <c r="CY30" s="147">
        <f t="shared" si="5"/>
        <v>79</v>
      </c>
      <c r="CZ30" s="148">
        <v>29</v>
      </c>
      <c r="DA30" s="126">
        <f ca="1">MAX(DA29*(1+B30)-(Dashboard!$C$11)/(1-Dashboard!$C$17)*((1+Dashboard!$C$12)^$CZ30),0)</f>
        <v>19342648.785836607</v>
      </c>
      <c r="DB30" s="126">
        <f ca="1">MAX(DB29*(1+C30)-(Dashboard!$C$11)/(1-Dashboard!$C$17)*((1+Dashboard!$C$12)^$CZ30),0)</f>
        <v>0</v>
      </c>
      <c r="DC30" s="126">
        <f ca="1">MAX(DC29*(1+D30)-(Dashboard!$C$11)/(1-Dashboard!$C$17)*((1+Dashboard!$C$12)^$CZ30),0)</f>
        <v>4809239.0588576598</v>
      </c>
      <c r="DD30" s="126">
        <f ca="1">MAX(DD29*(1+E30)-(Dashboard!$C$11)/(1-Dashboard!$C$17)*((1+Dashboard!$C$12)^$CZ30),0)</f>
        <v>1512436.2836892377</v>
      </c>
      <c r="DE30" s="126">
        <f ca="1">MAX(DE29*(1+F30)-(Dashboard!$C$11)/(1-Dashboard!$C$17)*((1+Dashboard!$C$12)^$CZ30),0)</f>
        <v>6903748.3897210071</v>
      </c>
      <c r="DF30" s="126">
        <f ca="1">MAX(DF29*(1+G30)-(Dashboard!$C$11)/(1-Dashboard!$C$17)*((1+Dashboard!$C$12)^$CZ30),0)</f>
        <v>12627490.796240479</v>
      </c>
      <c r="DG30" s="126">
        <f ca="1">MAX(DG29*(1+H30)-(Dashboard!$C$11)/(1-Dashboard!$C$17)*((1+Dashboard!$C$12)^$CZ30),0)</f>
        <v>1260560.7639171365</v>
      </c>
      <c r="DH30" s="126">
        <f ca="1">MAX(DH29*(1+I30)-(Dashboard!$C$11)/(1-Dashboard!$C$17)*((1+Dashboard!$C$12)^$CZ30),0)</f>
        <v>9193935.160127094</v>
      </c>
      <c r="DI30" s="126">
        <f ca="1">MAX(DI29*(1+J30)-(Dashboard!$C$11)/(1-Dashboard!$C$17)*((1+Dashboard!$C$12)^$CZ30),0)</f>
        <v>4146373.9838162647</v>
      </c>
      <c r="DJ30" s="126">
        <f ca="1">MAX(DJ29*(1+K30)-(Dashboard!$C$11)/(1-Dashboard!$C$17)*((1+Dashboard!$C$12)^$CZ30),0)</f>
        <v>5281285.4262840468</v>
      </c>
      <c r="DK30" s="126">
        <f ca="1">MAX(DK29*(1+L30)-(Dashboard!$C$11)/(1-Dashboard!$C$17)*((1+Dashboard!$C$12)^$CZ30),0)</f>
        <v>17441383.848487712</v>
      </c>
      <c r="DL30" s="126">
        <f ca="1">MAX(DL29*(1+M30)-(Dashboard!$C$11)/(1-Dashboard!$C$17)*((1+Dashboard!$C$12)^$CZ30),0)</f>
        <v>834938.66196246783</v>
      </c>
      <c r="DM30" s="126">
        <f ca="1">MAX(DM29*(1+N30)-(Dashboard!$C$11)/(1-Dashboard!$C$17)*((1+Dashboard!$C$12)^$CZ30),0)</f>
        <v>5993997.3979512928</v>
      </c>
      <c r="DN30" s="126">
        <f ca="1">MAX(DN29*(1+O30)-(Dashboard!$C$11)/(1-Dashboard!$C$17)*((1+Dashboard!$C$12)^$CZ30),0)</f>
        <v>19539140.080832761</v>
      </c>
      <c r="DO30" s="126">
        <f ca="1">MAX(DO29*(1+P30)-(Dashboard!$C$11)/(1-Dashboard!$C$17)*((1+Dashboard!$C$12)^$CZ30),0)</f>
        <v>2928192.9810031941</v>
      </c>
      <c r="DP30" s="126">
        <f ca="1">MAX(DP29*(1+Q30)-(Dashboard!$C$11)/(1-Dashboard!$C$17)*((1+Dashboard!$C$12)^$CZ30),0)</f>
        <v>3110640.5234331065</v>
      </c>
      <c r="DQ30" s="126">
        <f ca="1">MAX(DQ29*(1+R30)-(Dashboard!$C$11)/(1-Dashboard!$C$17)*((1+Dashboard!$C$12)^$CZ30),0)</f>
        <v>10351021.779653404</v>
      </c>
      <c r="DR30" s="126">
        <f ca="1">MAX(DR29*(1+S30)-(Dashboard!$C$11)/(1-Dashboard!$C$17)*((1+Dashboard!$C$12)^$CZ30),0)</f>
        <v>15634296.378673062</v>
      </c>
      <c r="DS30" s="126">
        <f ca="1">MAX(DS29*(1+T30)-(Dashboard!$C$11)/(1-Dashboard!$C$17)*((1+Dashboard!$C$12)^$CZ30),0)</f>
        <v>1131038.0345262082</v>
      </c>
      <c r="DT30" s="126">
        <f ca="1">MAX(DT29*(1+U30)-(Dashboard!$C$11)/(1-Dashboard!$C$17)*((1+Dashboard!$C$12)^$CZ30),0)</f>
        <v>4669818.4870683923</v>
      </c>
      <c r="DU30" s="126">
        <f ca="1">MAX(DU29*(1+V30)-(Dashboard!$C$11)/(1-Dashboard!$C$17)*((1+Dashboard!$C$12)^$CZ30),0)</f>
        <v>5309353.131806802</v>
      </c>
      <c r="DV30" s="126">
        <f ca="1">MAX(DV29*(1+W30)-(Dashboard!$C$11)/(1-Dashboard!$C$17)*((1+Dashboard!$C$12)^$CZ30),0)</f>
        <v>15551277.075185375</v>
      </c>
      <c r="DW30" s="126">
        <f ca="1">MAX(DW29*(1+X30)-(Dashboard!$C$11)/(1-Dashboard!$C$17)*((1+Dashboard!$C$12)^$CZ30),0)</f>
        <v>6265892.7189077688</v>
      </c>
      <c r="DX30" s="126">
        <f ca="1">MAX(DX29*(1+Y30)-(Dashboard!$C$11)/(1-Dashboard!$C$17)*((1+Dashboard!$C$12)^$CZ30),0)</f>
        <v>2885006.7887848523</v>
      </c>
      <c r="DY30" s="126">
        <f ca="1">MAX(DY29*(1+Z30)-(Dashboard!$C$11)/(1-Dashboard!$C$17)*((1+Dashboard!$C$12)^$CZ30),0)</f>
        <v>8979377.7006141115</v>
      </c>
      <c r="DZ30" s="126">
        <f ca="1">MAX(DZ29*(1+AA30)-(Dashboard!$C$11)/(1-Dashboard!$C$17)*((1+Dashboard!$C$12)^$CZ30),0)</f>
        <v>762110.29949126276</v>
      </c>
      <c r="EA30" s="126">
        <f ca="1">MAX(EA29*(1+AB30)-(Dashboard!$C$11)/(1-Dashboard!$C$17)*((1+Dashboard!$C$12)^$CZ30),0)</f>
        <v>4768685.2425097981</v>
      </c>
      <c r="EB30" s="126">
        <f ca="1">MAX(EB29*(1+AC30)-(Dashboard!$C$11)/(1-Dashboard!$C$17)*((1+Dashboard!$C$12)^$CZ30),0)</f>
        <v>6806985.7438227618</v>
      </c>
      <c r="EC30" s="126">
        <f ca="1">MAX(EC29*(1+AD30)-(Dashboard!$C$11)/(1-Dashboard!$C$17)*((1+Dashboard!$C$12)^$CZ30),0)</f>
        <v>4921214.4032495776</v>
      </c>
      <c r="ED30" s="126">
        <f ca="1">MAX(ED29*(1+AE30)-(Dashboard!$C$11)/(1-Dashboard!$C$17)*((1+Dashboard!$C$12)^$CZ30),0)</f>
        <v>5591734.0862731449</v>
      </c>
      <c r="EE30" s="126">
        <f ca="1">MAX(EE29*(1+AF30)-(Dashboard!$C$11)/(1-Dashboard!$C$17)*((1+Dashboard!$C$12)^$CZ30),0)</f>
        <v>10664019.437555607</v>
      </c>
      <c r="EF30" s="126">
        <f ca="1">MAX(EF29*(1+AG30)-(Dashboard!$C$11)/(1-Dashboard!$C$17)*((1+Dashboard!$C$12)^$CZ30),0)</f>
        <v>1671375.4522687658</v>
      </c>
      <c r="EG30" s="126">
        <f ca="1">MAX(EG29*(1+AH30)-(Dashboard!$C$11)/(1-Dashboard!$C$17)*((1+Dashboard!$C$12)^$CZ30),0)</f>
        <v>7185810.5651015267</v>
      </c>
      <c r="EH30" s="126">
        <f ca="1">MAX(EH29*(1+AI30)-(Dashboard!$C$11)/(1-Dashboard!$C$17)*((1+Dashboard!$C$12)^$CZ30),0)</f>
        <v>11733817.365173597</v>
      </c>
      <c r="EI30" s="126">
        <f ca="1">MAX(EI29*(1+AJ30)-(Dashboard!$C$11)/(1-Dashboard!$C$17)*((1+Dashboard!$C$12)^$CZ30),0)</f>
        <v>474534.25994424993</v>
      </c>
      <c r="EJ30" s="126">
        <f ca="1">MAX(EJ29*(1+AK30)-(Dashboard!$C$11)/(1-Dashboard!$C$17)*((1+Dashboard!$C$12)^$CZ30),0)</f>
        <v>8524278.1608086303</v>
      </c>
      <c r="EK30" s="126">
        <f ca="1">MAX(EK29*(1+AL30)-(Dashboard!$C$11)/(1-Dashboard!$C$17)*((1+Dashboard!$C$12)^$CZ30),0)</f>
        <v>8308427.116998665</v>
      </c>
      <c r="EL30" s="126">
        <f ca="1">MAX(EL29*(1+AM30)-(Dashboard!$C$11)/(1-Dashboard!$C$17)*((1+Dashboard!$C$12)^$CZ30),0)</f>
        <v>1265355.7804088078</v>
      </c>
      <c r="EM30" s="126">
        <f ca="1">MAX(EM29*(1+AN30)-(Dashboard!$C$11)/(1-Dashboard!$C$17)*((1+Dashboard!$C$12)^$CZ30),0)</f>
        <v>11269966.56638594</v>
      </c>
      <c r="EN30" s="126">
        <f ca="1">MAX(EN29*(1+AO30)-(Dashboard!$C$11)/(1-Dashboard!$C$17)*((1+Dashboard!$C$12)^$CZ30),0)</f>
        <v>2299499.0009392113</v>
      </c>
      <c r="EO30" s="126">
        <f ca="1">MAX(EO29*(1+AP30)-(Dashboard!$C$11)/(1-Dashboard!$C$17)*((1+Dashboard!$C$12)^$CZ30),0)</f>
        <v>238781.12088612802</v>
      </c>
      <c r="EP30" s="126">
        <f ca="1">MAX(EP29*(1+AQ30)-(Dashboard!$C$11)/(1-Dashboard!$C$17)*((1+Dashboard!$C$12)^$CZ30),0)</f>
        <v>3031967.5705949841</v>
      </c>
      <c r="EQ30" s="126">
        <f ca="1">MAX(EQ29*(1+AR30)-(Dashboard!$C$11)/(1-Dashboard!$C$17)*((1+Dashboard!$C$12)^$CZ30),0)</f>
        <v>2635146.838838038</v>
      </c>
      <c r="ER30" s="126">
        <f ca="1">MAX(ER29*(1+AS30)-(Dashboard!$C$11)/(1-Dashboard!$C$17)*((1+Dashboard!$C$12)^$CZ30),0)</f>
        <v>1282476.9721553263</v>
      </c>
      <c r="ES30" s="126">
        <f ca="1">MAX(ES29*(1+AT30)-(Dashboard!$C$11)/(1-Dashboard!$C$17)*((1+Dashboard!$C$12)^$CZ30),0)</f>
        <v>8281246.5789968697</v>
      </c>
      <c r="ET30" s="126">
        <f ca="1">MAX(ET29*(1+AU30)-(Dashboard!$C$11)/(1-Dashboard!$C$17)*((1+Dashboard!$C$12)^$CZ30),0)</f>
        <v>5592486.5039608572</v>
      </c>
      <c r="EU30" s="126">
        <f ca="1">MAX(EU29*(1+AV30)-(Dashboard!$C$11)/(1-Dashboard!$C$17)*((1+Dashboard!$C$12)^$CZ30),0)</f>
        <v>2988977.4726189557</v>
      </c>
      <c r="EV30" s="126">
        <f ca="1">MAX(EV29*(1+AW30)-(Dashboard!$C$11)/(1-Dashboard!$C$17)*((1+Dashboard!$C$12)^$CZ30),0)</f>
        <v>23182764.205064874</v>
      </c>
      <c r="EW30" s="126">
        <f ca="1">MAX(EW29*(1+AX30)-(Dashboard!$C$11)/(1-Dashboard!$C$17)*((1+Dashboard!$C$12)^$CZ30),0)</f>
        <v>1520106.42692559</v>
      </c>
      <c r="EX30" s="126">
        <f ca="1">MAX(EX29*(1+AY30)-(Dashboard!$C$11)/(1-Dashboard!$C$17)*((1+Dashboard!$C$12)^$CZ30),0)</f>
        <v>5277541.2216008445</v>
      </c>
      <c r="EY30" s="126">
        <f ca="1">MAX(EY29*(1+AZ30)-(Dashboard!$C$11)/(1-Dashboard!$C$17)*((1+Dashboard!$C$12)^$CZ30),0)</f>
        <v>14803032.957121557</v>
      </c>
      <c r="EZ30" s="126">
        <f ca="1">MAX(EZ29*(1+BA30)-(Dashboard!$C$11)/(1-Dashboard!$C$17)*((1+Dashboard!$C$12)^$CZ30),0)</f>
        <v>5821594.6936042458</v>
      </c>
      <c r="FA30" s="126">
        <f ca="1">MAX(FA29*(1+BB30)-(Dashboard!$C$11)/(1-Dashboard!$C$17)*((1+Dashboard!$C$12)^$CZ30),0)</f>
        <v>10312976.200261574</v>
      </c>
      <c r="FB30" s="126">
        <f ca="1">MAX(FB29*(1+BC30)-(Dashboard!$C$11)/(1-Dashboard!$C$17)*((1+Dashboard!$C$12)^$CZ30),0)</f>
        <v>813964.11203862226</v>
      </c>
      <c r="FC30" s="126">
        <f ca="1">MAX(FC29*(1+BD30)-(Dashboard!$C$11)/(1-Dashboard!$C$17)*((1+Dashboard!$C$12)^$CZ30),0)</f>
        <v>11848650.240594722</v>
      </c>
      <c r="FD30" s="126">
        <f ca="1">MAX(FD29*(1+BE30)-(Dashboard!$C$11)/(1-Dashboard!$C$17)*((1+Dashboard!$C$12)^$CZ30),0)</f>
        <v>11773734.146284105</v>
      </c>
      <c r="FE30" s="126">
        <f ca="1">MAX(FE29*(1+BF30)-(Dashboard!$C$11)/(1-Dashboard!$C$17)*((1+Dashboard!$C$12)^$CZ30),0)</f>
        <v>16947436.488383852</v>
      </c>
      <c r="FF30" s="126">
        <f ca="1">MAX(FF29*(1+BG30)-(Dashboard!$C$11)/(1-Dashboard!$C$17)*((1+Dashboard!$C$12)^$CZ30),0)</f>
        <v>3810471.1564043793</v>
      </c>
      <c r="FG30" s="126">
        <f ca="1">MAX(FG29*(1+BH30)-(Dashboard!$C$11)/(1-Dashboard!$C$17)*((1+Dashboard!$C$12)^$CZ30),0)</f>
        <v>6191288.4559997087</v>
      </c>
      <c r="FH30" s="126">
        <f ca="1">MAX(FH29*(1+BI30)-(Dashboard!$C$11)/(1-Dashboard!$C$17)*((1+Dashboard!$C$12)^$CZ30),0)</f>
        <v>3252863.0212889449</v>
      </c>
      <c r="FI30" s="126">
        <f ca="1">MAX(FI29*(1+BJ30)-(Dashboard!$C$11)/(1-Dashboard!$C$17)*((1+Dashboard!$C$12)^$CZ30),0)</f>
        <v>9648111.1259104647</v>
      </c>
      <c r="FJ30" s="126">
        <f ca="1">MAX(FJ29*(1+BK30)-(Dashboard!$C$11)/(1-Dashboard!$C$17)*((1+Dashboard!$C$12)^$CZ30),0)</f>
        <v>3884501.8764742422</v>
      </c>
      <c r="FK30" s="126">
        <f ca="1">MAX(FK29*(1+BL30)-(Dashboard!$C$11)/(1-Dashboard!$C$17)*((1+Dashboard!$C$12)^$CZ30),0)</f>
        <v>5121790.2352209473</v>
      </c>
      <c r="FL30" s="126">
        <f ca="1">MAX(FL29*(1+BM30)-(Dashboard!$C$11)/(1-Dashboard!$C$17)*((1+Dashboard!$C$12)^$CZ30),0)</f>
        <v>4082053.1303937263</v>
      </c>
      <c r="FM30" s="126">
        <f ca="1">MAX(FM29*(1+BN30)-(Dashboard!$C$11)/(1-Dashboard!$C$17)*((1+Dashboard!$C$12)^$CZ30),0)</f>
        <v>10620859.848152416</v>
      </c>
      <c r="FN30" s="126">
        <f ca="1">MAX(FN29*(1+BO30)-(Dashboard!$C$11)/(1-Dashboard!$C$17)*((1+Dashboard!$C$12)^$CZ30),0)</f>
        <v>177796.15991216505</v>
      </c>
      <c r="FO30" s="126">
        <f ca="1">MAX(FO29*(1+BP30)-(Dashboard!$C$11)/(1-Dashboard!$C$17)*((1+Dashboard!$C$12)^$CZ30),0)</f>
        <v>6587585.0522274459</v>
      </c>
      <c r="FP30" s="126">
        <f ca="1">MAX(FP29*(1+BQ30)-(Dashboard!$C$11)/(1-Dashboard!$C$17)*((1+Dashboard!$C$12)^$CZ30),0)</f>
        <v>5247782.3997475738</v>
      </c>
      <c r="FQ30" s="126">
        <f ca="1">MAX(FQ29*(1+BR30)-(Dashboard!$C$11)/(1-Dashboard!$C$17)*((1+Dashboard!$C$12)^$CZ30),0)</f>
        <v>3926713.0620544739</v>
      </c>
      <c r="FR30" s="126">
        <f ca="1">MAX(FR29*(1+BS30)-(Dashboard!$C$11)/(1-Dashboard!$C$17)*((1+Dashboard!$C$12)^$CZ30),0)</f>
        <v>7521151.1053885156</v>
      </c>
      <c r="FS30" s="126">
        <f ca="1">MAX(FS29*(1+BT30)-(Dashboard!$C$11)/(1-Dashboard!$C$17)*((1+Dashboard!$C$12)^$CZ30),0)</f>
        <v>7780622.2286274368</v>
      </c>
      <c r="FT30" s="126">
        <f ca="1">MAX(FT29*(1+BU30)-(Dashboard!$C$11)/(1-Dashboard!$C$17)*((1+Dashboard!$C$12)^$CZ30),0)</f>
        <v>1113788.0344177303</v>
      </c>
      <c r="FU30" s="126">
        <f ca="1">MAX(FU29*(1+BV30)-(Dashboard!$C$11)/(1-Dashboard!$C$17)*((1+Dashboard!$C$12)^$CZ30),0)</f>
        <v>2695060.6287726704</v>
      </c>
      <c r="FV30" s="126">
        <f ca="1">MAX(FV29*(1+BW30)-(Dashboard!$C$11)/(1-Dashboard!$C$17)*((1+Dashboard!$C$12)^$CZ30),0)</f>
        <v>5073536.236164066</v>
      </c>
      <c r="FW30" s="126">
        <f ca="1">MAX(FW29*(1+BX30)-(Dashboard!$C$11)/(1-Dashboard!$C$17)*((1+Dashboard!$C$12)^$CZ30),0)</f>
        <v>4173639.6961781164</v>
      </c>
      <c r="FX30" s="126">
        <f ca="1">MAX(FX29*(1+BY30)-(Dashboard!$C$11)/(1-Dashboard!$C$17)*((1+Dashboard!$C$12)^$CZ30),0)</f>
        <v>1054567.9506670742</v>
      </c>
      <c r="FY30" s="126">
        <f ca="1">MAX(FY29*(1+BZ30)-(Dashboard!$C$11)/(1-Dashboard!$C$17)*((1+Dashboard!$C$12)^$CZ30),0)</f>
        <v>3259172.0838562781</v>
      </c>
      <c r="FZ30" s="126">
        <f ca="1">MAX(FZ29*(1+CA30)-(Dashboard!$C$11)/(1-Dashboard!$C$17)*((1+Dashboard!$C$12)^$CZ30),0)</f>
        <v>10462202.73969228</v>
      </c>
      <c r="GA30" s="126">
        <f ca="1">MAX(GA29*(1+CB30)-(Dashboard!$C$11)/(1-Dashboard!$C$17)*((1+Dashboard!$C$12)^$CZ30),0)</f>
        <v>10357938.350868592</v>
      </c>
      <c r="GB30" s="126">
        <f ca="1">MAX(GB29*(1+CC30)-(Dashboard!$C$11)/(1-Dashboard!$C$17)*((1+Dashboard!$C$12)^$CZ30),0)</f>
        <v>3050412.2519107703</v>
      </c>
      <c r="GC30" s="126">
        <f ca="1">MAX(GC29*(1+CD30)-(Dashboard!$C$11)/(1-Dashboard!$C$17)*((1+Dashboard!$C$12)^$CZ30),0)</f>
        <v>9025924.3681219593</v>
      </c>
      <c r="GD30" s="126">
        <f ca="1">MAX(GD29*(1+CE30)-(Dashboard!$C$11)/(1-Dashboard!$C$17)*((1+Dashboard!$C$12)^$CZ30),0)</f>
        <v>27992432.667727191</v>
      </c>
      <c r="GE30" s="126">
        <f ca="1">MAX(GE29*(1+CF30)-(Dashboard!$C$11)/(1-Dashboard!$C$17)*((1+Dashboard!$C$12)^$CZ30),0)</f>
        <v>3586660.8695971994</v>
      </c>
      <c r="GF30" s="126">
        <f ca="1">MAX(GF29*(1+CG30)-(Dashboard!$C$11)/(1-Dashboard!$C$17)*((1+Dashboard!$C$12)^$CZ30),0)</f>
        <v>7865829.2252739193</v>
      </c>
      <c r="GG30" s="126">
        <f ca="1">MAX(GG29*(1+CH30)-(Dashboard!$C$11)/(1-Dashboard!$C$17)*((1+Dashboard!$C$12)^$CZ30),0)</f>
        <v>1506921.4675998359</v>
      </c>
      <c r="GH30" s="126">
        <f ca="1">MAX(GH29*(1+CI30)-(Dashboard!$C$11)/(1-Dashboard!$C$17)*((1+Dashboard!$C$12)^$CZ30),0)</f>
        <v>3316344.979405371</v>
      </c>
      <c r="GI30" s="126">
        <f ca="1">MAX(GI29*(1+CJ30)-(Dashboard!$C$11)/(1-Dashboard!$C$17)*((1+Dashboard!$C$12)^$CZ30),0)</f>
        <v>4491468.1929893177</v>
      </c>
      <c r="GJ30" s="126">
        <f ca="1">MAX(GJ29*(1+CK30)-(Dashboard!$C$11)/(1-Dashboard!$C$17)*((1+Dashboard!$C$12)^$CZ30),0)</f>
        <v>19023502.197120469</v>
      </c>
      <c r="GK30" s="126">
        <f ca="1">MAX(GK29*(1+CL30)-(Dashboard!$C$11)/(1-Dashboard!$C$17)*((1+Dashboard!$C$12)^$CZ30),0)</f>
        <v>6034806.1122259246</v>
      </c>
      <c r="GL30" s="126">
        <f ca="1">MAX(GL29*(1+CM30)-(Dashboard!$C$11)/(1-Dashboard!$C$17)*((1+Dashboard!$C$12)^$CZ30),0)</f>
        <v>8632073.2266195379</v>
      </c>
      <c r="GM30" s="126">
        <f ca="1">MAX(GM29*(1+CN30)-(Dashboard!$C$11)/(1-Dashboard!$C$17)*((1+Dashboard!$C$12)^$CZ30),0)</f>
        <v>1985362.6999632039</v>
      </c>
      <c r="GN30" s="126">
        <f ca="1">MAX(GN29*(1+CO30)-(Dashboard!$C$11)/(1-Dashboard!$C$17)*((1+Dashboard!$C$12)^$CZ30),0)</f>
        <v>0</v>
      </c>
      <c r="GO30" s="126">
        <f ca="1">MAX(GO29*(1+CP30)-(Dashboard!$C$11)/(1-Dashboard!$C$17)*((1+Dashboard!$C$12)^$CZ30),0)</f>
        <v>5325800.0281662457</v>
      </c>
      <c r="GP30" s="126">
        <f ca="1">MAX(GP29*(1+CQ30)-(Dashboard!$C$11)/(1-Dashboard!$C$17)*((1+Dashboard!$C$12)^$CZ30),0)</f>
        <v>6457840.4287968054</v>
      </c>
      <c r="GQ30" s="126">
        <f ca="1">MAX(GQ29*(1+CR30)-(Dashboard!$C$11)/(1-Dashboard!$C$17)*((1+Dashboard!$C$12)^$CZ30),0)</f>
        <v>751351.72309207416</v>
      </c>
      <c r="GR30" s="126">
        <f ca="1">MAX(GR29*(1+CS30)-(Dashboard!$C$11)/(1-Dashboard!$C$17)*((1+Dashboard!$C$12)^$CZ30),0)</f>
        <v>4541830.8290860141</v>
      </c>
      <c r="GS30" s="126">
        <f ca="1">MAX(GS29*(1+CT30)-(Dashboard!$C$11)/(1-Dashboard!$C$17)*((1+Dashboard!$C$12)^$CZ30),0)</f>
        <v>7107763.8684225231</v>
      </c>
      <c r="GT30" s="126">
        <f ca="1">MAX(GT29*(1+CU30)-(Dashboard!$C$11)/(1-Dashboard!$C$17)*((1+Dashboard!$C$12)^$CZ30),0)</f>
        <v>19557208.618943822</v>
      </c>
      <c r="GU30" s="126">
        <f ca="1">MAX(GU29*(1+CV30)-(Dashboard!$C$11)/(1-Dashboard!$C$17)*((1+Dashboard!$C$12)^$CZ30),0)</f>
        <v>3288587.2486331649</v>
      </c>
      <c r="GV30" s="126">
        <f ca="1">MAX(GV29*(1+CW30)-(Dashboard!$C$11)/(1-Dashboard!$C$17)*((1+Dashboard!$C$12)^$CZ30),0)</f>
        <v>1910810.7990535493</v>
      </c>
      <c r="GW30" s="115">
        <f t="shared" si="4"/>
        <v>79</v>
      </c>
      <c r="GX30" s="130">
        <f t="shared" ca="1" si="2"/>
        <v>98</v>
      </c>
      <c r="HC30" s="130">
        <f t="shared" si="0"/>
        <v>79</v>
      </c>
      <c r="HD30" s="137">
        <f t="shared" ca="1" si="6"/>
        <v>2742547.1687757159</v>
      </c>
      <c r="HE30" s="137">
        <f t="shared" ca="1" si="6"/>
        <v>5184786.3174842605</v>
      </c>
      <c r="HF30" s="137">
        <f t="shared" ca="1" si="6"/>
        <v>8892551.5821154676</v>
      </c>
    </row>
    <row r="31" spans="1:214" ht="16">
      <c r="A31" s="145">
        <f t="shared" si="3"/>
        <v>80</v>
      </c>
      <c r="B31" s="122">
        <f ca="1">(Dashboard!$C$7*'Equity and Bond Returns'!N31)+(Dashboard!$C$8*'Equity and Bond Returns'!DL31)</f>
        <v>2.635756747101722E-2</v>
      </c>
      <c r="C31" s="122">
        <f ca="1">(Dashboard!$C$7*'Equity and Bond Returns'!O31)+(Dashboard!$C$8*'Equity and Bond Returns'!DM31)</f>
        <v>-7.0151814743823315E-2</v>
      </c>
      <c r="D31" s="122">
        <f ca="1">(Dashboard!$C$7*'Equity and Bond Returns'!P31)+(Dashboard!$C$8*'Equity and Bond Returns'!DN31)</f>
        <v>2.9812976364816231E-2</v>
      </c>
      <c r="E31" s="122">
        <f ca="1">(Dashboard!$C$7*'Equity and Bond Returns'!Q31)+(Dashboard!$C$8*'Equity and Bond Returns'!DO31)</f>
        <v>0.13740488205358339</v>
      </c>
      <c r="F31" s="122">
        <f ca="1">(Dashboard!$C$7*'Equity and Bond Returns'!R31)+(Dashboard!$C$8*'Equity and Bond Returns'!DP31)</f>
        <v>2.1040432190928861E-2</v>
      </c>
      <c r="G31" s="122">
        <f ca="1">(Dashboard!$C$7*'Equity and Bond Returns'!S31)+(Dashboard!$C$8*'Equity and Bond Returns'!DQ31)</f>
        <v>0.19982547553616686</v>
      </c>
      <c r="H31" s="122">
        <f ca="1">(Dashboard!$C$7*'Equity and Bond Returns'!T31)+(Dashboard!$C$8*'Equity and Bond Returns'!DR31)</f>
        <v>0.18076022406377587</v>
      </c>
      <c r="I31" s="122">
        <f ca="1">(Dashboard!$C$7*'Equity and Bond Returns'!U31)+(Dashboard!$C$8*'Equity and Bond Returns'!DS31)</f>
        <v>0.18419832183840948</v>
      </c>
      <c r="J31" s="122">
        <f ca="1">(Dashboard!$C$7*'Equity and Bond Returns'!V31)+(Dashboard!$C$8*'Equity and Bond Returns'!DT31)</f>
        <v>3.561931854059968E-2</v>
      </c>
      <c r="K31" s="122">
        <f ca="1">(Dashboard!$C$7*'Equity and Bond Returns'!W31)+(Dashboard!$C$8*'Equity and Bond Returns'!DU31)</f>
        <v>4.4837747258487409E-2</v>
      </c>
      <c r="L31" s="122">
        <f ca="1">(Dashboard!$C$7*'Equity and Bond Returns'!X31)+(Dashboard!$C$8*'Equity and Bond Returns'!DV31)</f>
        <v>0.14196850377684253</v>
      </c>
      <c r="M31" s="122">
        <f ca="1">(Dashboard!$C$7*'Equity and Bond Returns'!Y31)+(Dashboard!$C$8*'Equity and Bond Returns'!DW31)</f>
        <v>1.8416211944689884E-2</v>
      </c>
      <c r="N31" s="122">
        <f ca="1">(Dashboard!$C$7*'Equity and Bond Returns'!Z31)+(Dashboard!$C$8*'Equity and Bond Returns'!DX31)</f>
        <v>0.14568630258489801</v>
      </c>
      <c r="O31" s="122">
        <f ca="1">(Dashboard!$C$7*'Equity and Bond Returns'!AA31)+(Dashboard!$C$8*'Equity and Bond Returns'!DY31)</f>
        <v>-7.1449629078775487E-2</v>
      </c>
      <c r="P31" s="122">
        <f ca="1">(Dashboard!$C$7*'Equity and Bond Returns'!AB31)+(Dashboard!$C$8*'Equity and Bond Returns'!DZ31)</f>
        <v>7.1381858582001009E-2</v>
      </c>
      <c r="Q31" s="122">
        <f ca="1">(Dashboard!$C$7*'Equity and Bond Returns'!AC31)+(Dashboard!$C$8*'Equity and Bond Returns'!EA31)</f>
        <v>0.17919122485628644</v>
      </c>
      <c r="R31" s="122">
        <f ca="1">(Dashboard!$C$7*'Equity and Bond Returns'!AD31)+(Dashboard!$C$8*'Equity and Bond Returns'!EB31)</f>
        <v>2.8306779604725024E-2</v>
      </c>
      <c r="S31" s="122">
        <f ca="1">(Dashboard!$C$7*'Equity and Bond Returns'!AE31)+(Dashboard!$C$8*'Equity and Bond Returns'!EC31)</f>
        <v>-3.0964569932726387E-3</v>
      </c>
      <c r="T31" s="122">
        <f ca="1">(Dashboard!$C$7*'Equity and Bond Returns'!AF31)+(Dashboard!$C$8*'Equity and Bond Returns'!ED31)</f>
        <v>0.17424212087406843</v>
      </c>
      <c r="U31" s="122">
        <f ca="1">(Dashboard!$C$7*'Equity and Bond Returns'!AG31)+(Dashboard!$C$8*'Equity and Bond Returns'!EE31)</f>
        <v>-7.0036403367544756E-2</v>
      </c>
      <c r="V31" s="122">
        <f ca="1">(Dashboard!$C$7*'Equity and Bond Returns'!AH31)+(Dashboard!$C$8*'Equity and Bond Returns'!EF31)</f>
        <v>1.7547455409007803E-2</v>
      </c>
      <c r="W31" s="122">
        <f ca="1">(Dashboard!$C$7*'Equity and Bond Returns'!AI31)+(Dashboard!$C$8*'Equity and Bond Returns'!EG31)</f>
        <v>8.0662914959579765E-2</v>
      </c>
      <c r="X31" s="122">
        <f ca="1">(Dashboard!$C$7*'Equity and Bond Returns'!AJ31)+(Dashboard!$C$8*'Equity and Bond Returns'!EH31)</f>
        <v>1.576293679986291E-2</v>
      </c>
      <c r="Y31" s="122">
        <f ca="1">(Dashboard!$C$7*'Equity and Bond Returns'!AK31)+(Dashboard!$C$8*'Equity and Bond Returns'!EI31)</f>
        <v>0.27181249447035988</v>
      </c>
      <c r="Z31" s="122">
        <f ca="1">(Dashboard!$C$7*'Equity and Bond Returns'!AL31)+(Dashboard!$C$8*'Equity and Bond Returns'!EJ31)</f>
        <v>-8.9599836048446874E-2</v>
      </c>
      <c r="AA31" s="122">
        <f ca="1">(Dashboard!$C$7*'Equity and Bond Returns'!AM31)+(Dashboard!$C$8*'Equity and Bond Returns'!EK31)</f>
        <v>1.9515941722533715E-2</v>
      </c>
      <c r="AB31" s="122">
        <f ca="1">(Dashboard!$C$7*'Equity and Bond Returns'!AN31)+(Dashboard!$C$8*'Equity and Bond Returns'!EL31)</f>
        <v>4.3526192591899188E-2</v>
      </c>
      <c r="AC31" s="122">
        <f ca="1">(Dashboard!$C$7*'Equity and Bond Returns'!AO31)+(Dashboard!$C$8*'Equity and Bond Returns'!EM31)</f>
        <v>5.4512888962951804E-2</v>
      </c>
      <c r="AD31" s="122">
        <f ca="1">(Dashboard!$C$7*'Equity and Bond Returns'!AP31)+(Dashboard!$C$8*'Equity and Bond Returns'!EN31)</f>
        <v>0.26424704414403027</v>
      </c>
      <c r="AE31" s="122">
        <f ca="1">(Dashboard!$C$7*'Equity and Bond Returns'!AQ31)+(Dashboard!$C$8*'Equity and Bond Returns'!EO31)</f>
        <v>-5.0570131707032645E-2</v>
      </c>
      <c r="AF31" s="122">
        <f ca="1">(Dashboard!$C$7*'Equity and Bond Returns'!AR31)+(Dashboard!$C$8*'Equity and Bond Returns'!EP31)</f>
        <v>1.6367991983804953E-2</v>
      </c>
      <c r="AG31" s="122">
        <f ca="1">(Dashboard!$C$7*'Equity and Bond Returns'!AS31)+(Dashboard!$C$8*'Equity and Bond Returns'!EQ31)</f>
        <v>-0.14711437800417759</v>
      </c>
      <c r="AH31" s="122">
        <f ca="1">(Dashboard!$C$7*'Equity and Bond Returns'!AT31)+(Dashboard!$C$8*'Equity and Bond Returns'!ER31)</f>
        <v>0.14649261147462192</v>
      </c>
      <c r="AI31" s="122">
        <f ca="1">(Dashboard!$C$7*'Equity and Bond Returns'!AU31)+(Dashboard!$C$8*'Equity and Bond Returns'!ES31)</f>
        <v>0.26537011966249613</v>
      </c>
      <c r="AJ31" s="122">
        <f ca="1">(Dashboard!$C$7*'Equity and Bond Returns'!AV31)+(Dashboard!$C$8*'Equity and Bond Returns'!ET31)</f>
        <v>0.18545491150278479</v>
      </c>
      <c r="AK31" s="122">
        <f ca="1">(Dashboard!$C$7*'Equity and Bond Returns'!AW31)+(Dashboard!$C$8*'Equity and Bond Returns'!EU31)</f>
        <v>3.095201816108005E-2</v>
      </c>
      <c r="AL31" s="122">
        <f ca="1">(Dashboard!$C$7*'Equity and Bond Returns'!AX31)+(Dashboard!$C$8*'Equity and Bond Returns'!EV31)</f>
        <v>-0.20401161874743046</v>
      </c>
      <c r="AM31" s="122">
        <f ca="1">(Dashboard!$C$7*'Equity and Bond Returns'!AY31)+(Dashboard!$C$8*'Equity and Bond Returns'!EW31)</f>
        <v>0.22221293965050531</v>
      </c>
      <c r="AN31" s="122">
        <f ca="1">(Dashboard!$C$7*'Equity and Bond Returns'!AZ31)+(Dashboard!$C$8*'Equity and Bond Returns'!EX31)</f>
        <v>0.15741196653468573</v>
      </c>
      <c r="AO31" s="122">
        <f ca="1">(Dashboard!$C$7*'Equity and Bond Returns'!BA31)+(Dashboard!$C$8*'Equity and Bond Returns'!EY31)</f>
        <v>0.1712252357224727</v>
      </c>
      <c r="AP31" s="122">
        <f ca="1">(Dashboard!$C$7*'Equity and Bond Returns'!BB31)+(Dashboard!$C$8*'Equity and Bond Returns'!EZ31)</f>
        <v>0.41504026195461768</v>
      </c>
      <c r="AQ31" s="122">
        <f ca="1">(Dashboard!$C$7*'Equity and Bond Returns'!BC31)+(Dashboard!$C$8*'Equity and Bond Returns'!FA31)</f>
        <v>0.22559077122688748</v>
      </c>
      <c r="AR31" s="122">
        <f ca="1">(Dashboard!$C$7*'Equity and Bond Returns'!BD31)+(Dashboard!$C$8*'Equity and Bond Returns'!FB31)</f>
        <v>0.13567945979638202</v>
      </c>
      <c r="AS31" s="122">
        <f ca="1">(Dashboard!$C$7*'Equity and Bond Returns'!BE31)+(Dashboard!$C$8*'Equity and Bond Returns'!FC31)</f>
        <v>9.7287965917493724E-2</v>
      </c>
      <c r="AT31" s="122">
        <f ca="1">(Dashboard!$C$7*'Equity and Bond Returns'!BF31)+(Dashboard!$C$8*'Equity and Bond Returns'!FD31)</f>
        <v>9.3560008960536997E-2</v>
      </c>
      <c r="AU31" s="122">
        <f ca="1">(Dashboard!$C$7*'Equity and Bond Returns'!BG31)+(Dashboard!$C$8*'Equity and Bond Returns'!FE31)</f>
        <v>2.4242049320671918E-2</v>
      </c>
      <c r="AV31" s="122">
        <f ca="1">(Dashboard!$C$7*'Equity and Bond Returns'!BH31)+(Dashboard!$C$8*'Equity and Bond Returns'!FF31)</f>
        <v>0.21188031647519501</v>
      </c>
      <c r="AW31" s="122">
        <f ca="1">(Dashboard!$C$7*'Equity and Bond Returns'!BI31)+(Dashboard!$C$8*'Equity and Bond Returns'!FG31)</f>
        <v>0.26555602524657351</v>
      </c>
      <c r="AX31" s="122">
        <f ca="1">(Dashboard!$C$7*'Equity and Bond Returns'!BJ31)+(Dashboard!$C$8*'Equity and Bond Returns'!FH31)</f>
        <v>3.4016316749946596E-2</v>
      </c>
      <c r="AY31" s="122">
        <f ca="1">(Dashboard!$C$7*'Equity and Bond Returns'!BK31)+(Dashboard!$C$8*'Equity and Bond Returns'!FI31)</f>
        <v>3.2355659022091976E-2</v>
      </c>
      <c r="AZ31" s="122">
        <f ca="1">(Dashboard!$C$7*'Equity and Bond Returns'!BL31)+(Dashboard!$C$8*'Equity and Bond Returns'!FJ31)</f>
        <v>-0.17672413061828171</v>
      </c>
      <c r="BA31" s="122">
        <f ca="1">(Dashboard!$C$7*'Equity and Bond Returns'!BM31)+(Dashboard!$C$8*'Equity and Bond Returns'!FK31)</f>
        <v>0.14656302128332341</v>
      </c>
      <c r="BB31" s="122">
        <f ca="1">(Dashboard!$C$7*'Equity and Bond Returns'!BN31)+(Dashboard!$C$8*'Equity and Bond Returns'!FL31)</f>
        <v>0.21080828825850301</v>
      </c>
      <c r="BC31" s="122">
        <f ca="1">(Dashboard!$C$7*'Equity and Bond Returns'!BO31)+(Dashboard!$C$8*'Equity and Bond Returns'!FM31)</f>
        <v>0.17055976951534019</v>
      </c>
      <c r="BD31" s="122">
        <f ca="1">(Dashboard!$C$7*'Equity and Bond Returns'!BP31)+(Dashboard!$C$8*'Equity and Bond Returns'!FN31)</f>
        <v>-0.19783992637904257</v>
      </c>
      <c r="BE31" s="122">
        <f ca="1">(Dashboard!$C$7*'Equity and Bond Returns'!BQ31)+(Dashboard!$C$8*'Equity and Bond Returns'!FO31)</f>
        <v>5.3654054660916294E-2</v>
      </c>
      <c r="BF31" s="122">
        <f ca="1">(Dashboard!$C$7*'Equity and Bond Returns'!BR31)+(Dashboard!$C$8*'Equity and Bond Returns'!FP31)</f>
        <v>0.15392698330966503</v>
      </c>
      <c r="BG31" s="122">
        <f ca="1">(Dashboard!$C$7*'Equity and Bond Returns'!BS31)+(Dashboard!$C$8*'Equity and Bond Returns'!FQ31)</f>
        <v>5.8135474829062728E-2</v>
      </c>
      <c r="BH31" s="122">
        <f ca="1">(Dashboard!$C$7*'Equity and Bond Returns'!BT31)+(Dashboard!$C$8*'Equity and Bond Returns'!FR31)</f>
        <v>-0.16129223930758049</v>
      </c>
      <c r="BI31" s="122">
        <f ca="1">(Dashboard!$C$7*'Equity and Bond Returns'!BU31)+(Dashboard!$C$8*'Equity and Bond Returns'!FS31)</f>
        <v>4.8630898763457761E-2</v>
      </c>
      <c r="BJ31" s="122">
        <f ca="1">(Dashboard!$C$7*'Equity and Bond Returns'!BV31)+(Dashboard!$C$8*'Equity and Bond Returns'!FT31)</f>
        <v>2.8035097845796296E-2</v>
      </c>
      <c r="BK31" s="122">
        <f ca="1">(Dashboard!$C$7*'Equity and Bond Returns'!BW31)+(Dashboard!$C$8*'Equity and Bond Returns'!FU31)</f>
        <v>0.12375266029263592</v>
      </c>
      <c r="BL31" s="122">
        <f ca="1">(Dashboard!$C$7*'Equity and Bond Returns'!BX31)+(Dashboard!$C$8*'Equity and Bond Returns'!FV31)</f>
        <v>9.9563606272854557E-2</v>
      </c>
      <c r="BM31" s="122">
        <f ca="1">(Dashboard!$C$7*'Equity and Bond Returns'!BY31)+(Dashboard!$C$8*'Equity and Bond Returns'!FW31)</f>
        <v>6.545958439806196E-2</v>
      </c>
      <c r="BN31" s="122">
        <f ca="1">(Dashboard!$C$7*'Equity and Bond Returns'!BZ31)+(Dashboard!$C$8*'Equity and Bond Returns'!FX31)</f>
        <v>-0.1076148373524841</v>
      </c>
      <c r="BO31" s="122">
        <f ca="1">(Dashboard!$C$7*'Equity and Bond Returns'!CA31)+(Dashboard!$C$8*'Equity and Bond Returns'!FY31)</f>
        <v>0.1972265846977434</v>
      </c>
      <c r="BP31" s="122">
        <f ca="1">(Dashboard!$C$7*'Equity and Bond Returns'!CB31)+(Dashboard!$C$8*'Equity and Bond Returns'!FZ31)</f>
        <v>7.6788830232027233E-2</v>
      </c>
      <c r="BQ31" s="122">
        <f ca="1">(Dashboard!$C$7*'Equity and Bond Returns'!CC31)+(Dashboard!$C$8*'Equity and Bond Returns'!GA31)</f>
        <v>-7.9746113799191623E-2</v>
      </c>
      <c r="BR31" s="122">
        <f ca="1">(Dashboard!$C$7*'Equity and Bond Returns'!CD31)+(Dashboard!$C$8*'Equity and Bond Returns'!GB31)</f>
        <v>9.9399622903468807E-2</v>
      </c>
      <c r="BS31" s="122">
        <f ca="1">(Dashboard!$C$7*'Equity and Bond Returns'!CE31)+(Dashboard!$C$8*'Equity and Bond Returns'!GC31)</f>
        <v>-5.9779791659423639E-2</v>
      </c>
      <c r="BT31" s="122">
        <f ca="1">(Dashboard!$C$7*'Equity and Bond Returns'!CF31)+(Dashboard!$C$8*'Equity and Bond Returns'!GD31)</f>
        <v>-1.2069343774331054E-2</v>
      </c>
      <c r="BU31" s="122">
        <f ca="1">(Dashboard!$C$7*'Equity and Bond Returns'!CG31)+(Dashboard!$C$8*'Equity and Bond Returns'!GE31)</f>
        <v>8.1298932179814001E-2</v>
      </c>
      <c r="BV31" s="122">
        <f ca="1">(Dashboard!$C$7*'Equity and Bond Returns'!CH31)+(Dashboard!$C$8*'Equity and Bond Returns'!GF31)</f>
        <v>-0.12677664059772728</v>
      </c>
      <c r="BW31" s="122">
        <f ca="1">(Dashboard!$C$7*'Equity and Bond Returns'!CI31)+(Dashboard!$C$8*'Equity and Bond Returns'!GG31)</f>
        <v>-5.5812054348996797E-2</v>
      </c>
      <c r="BX31" s="122">
        <f ca="1">(Dashboard!$C$7*'Equity and Bond Returns'!CJ31)+(Dashboard!$C$8*'Equity and Bond Returns'!GH31)</f>
        <v>3.6890200607107411E-2</v>
      </c>
      <c r="BY31" s="122">
        <f ca="1">(Dashboard!$C$7*'Equity and Bond Returns'!CK31)+(Dashboard!$C$8*'Equity and Bond Returns'!GI31)</f>
        <v>7.6395804757040997E-2</v>
      </c>
      <c r="BZ31" s="122">
        <f ca="1">(Dashboard!$C$7*'Equity and Bond Returns'!CL31)+(Dashboard!$C$8*'Equity and Bond Returns'!GJ31)</f>
        <v>-0.15676077469512473</v>
      </c>
      <c r="CA31" s="122">
        <f ca="1">(Dashboard!$C$7*'Equity and Bond Returns'!CM31)+(Dashboard!$C$8*'Equity and Bond Returns'!GK31)</f>
        <v>0.20052642944838686</v>
      </c>
      <c r="CB31" s="122">
        <f ca="1">(Dashboard!$C$7*'Equity and Bond Returns'!CN31)+(Dashboard!$C$8*'Equity and Bond Returns'!GL31)</f>
        <v>-2.1502745409460212E-3</v>
      </c>
      <c r="CC31" s="122">
        <f ca="1">(Dashboard!$C$7*'Equity and Bond Returns'!CO31)+(Dashboard!$C$8*'Equity and Bond Returns'!GM31)</f>
        <v>6.320603698364044E-2</v>
      </c>
      <c r="CD31" s="122">
        <f ca="1">(Dashboard!$C$7*'Equity and Bond Returns'!CP31)+(Dashboard!$C$8*'Equity and Bond Returns'!GN31)</f>
        <v>-3.5047556682218248E-2</v>
      </c>
      <c r="CE31" s="122">
        <f ca="1">(Dashboard!$C$7*'Equity and Bond Returns'!CQ31)+(Dashboard!$C$8*'Equity and Bond Returns'!GO31)</f>
        <v>8.5243109854293286E-2</v>
      </c>
      <c r="CF31" s="122">
        <f ca="1">(Dashboard!$C$7*'Equity and Bond Returns'!CR31)+(Dashboard!$C$8*'Equity and Bond Returns'!GP31)</f>
        <v>0.23135879256770953</v>
      </c>
      <c r="CG31" s="122">
        <f ca="1">(Dashboard!$C$7*'Equity and Bond Returns'!CS31)+(Dashboard!$C$8*'Equity and Bond Returns'!GQ31)</f>
        <v>-0.1357062199717699</v>
      </c>
      <c r="CH31" s="122">
        <f ca="1">(Dashboard!$C$7*'Equity and Bond Returns'!CT31)+(Dashboard!$C$8*'Equity and Bond Returns'!GR31)</f>
        <v>-0.11844049012207528</v>
      </c>
      <c r="CI31" s="122">
        <f ca="1">(Dashboard!$C$7*'Equity and Bond Returns'!CU31)+(Dashboard!$C$8*'Equity and Bond Returns'!GS31)</f>
        <v>0.111436820789311</v>
      </c>
      <c r="CJ31" s="122">
        <f ca="1">(Dashboard!$C$7*'Equity and Bond Returns'!CV31)+(Dashboard!$C$8*'Equity and Bond Returns'!GT31)</f>
        <v>-8.9812614258284212E-2</v>
      </c>
      <c r="CK31" s="122">
        <f ca="1">(Dashboard!$C$7*'Equity and Bond Returns'!CW31)+(Dashboard!$C$8*'Equity and Bond Returns'!GU31)</f>
        <v>0.28120256682666711</v>
      </c>
      <c r="CL31" s="122">
        <f ca="1">(Dashboard!$C$7*'Equity and Bond Returns'!CX31)+(Dashboard!$C$8*'Equity and Bond Returns'!GV31)</f>
        <v>-7.439579626753523E-2</v>
      </c>
      <c r="CM31" s="122">
        <f ca="1">(Dashboard!$C$7*'Equity and Bond Returns'!CY31)+(Dashboard!$C$8*'Equity and Bond Returns'!GW31)</f>
        <v>-6.209776413170992E-2</v>
      </c>
      <c r="CN31" s="122">
        <f ca="1">(Dashboard!$C$7*'Equity and Bond Returns'!CZ31)+(Dashboard!$C$8*'Equity and Bond Returns'!GX31)</f>
        <v>1.108543761787345E-2</v>
      </c>
      <c r="CO31" s="122">
        <f ca="1">(Dashboard!$C$7*'Equity and Bond Returns'!DA31)+(Dashboard!$C$8*'Equity and Bond Returns'!GY31)</f>
        <v>-6.4707256232863622E-2</v>
      </c>
      <c r="CP31" s="122">
        <f ca="1">(Dashboard!$C$7*'Equity and Bond Returns'!DB31)+(Dashboard!$C$8*'Equity and Bond Returns'!GZ31)</f>
        <v>0.20910196852174612</v>
      </c>
      <c r="CQ31" s="122">
        <f ca="1">(Dashboard!$C$7*'Equity and Bond Returns'!DC31)+(Dashboard!$C$8*'Equity and Bond Returns'!HA31)</f>
        <v>8.085353292511345E-2</v>
      </c>
      <c r="CR31" s="122">
        <f ca="1">(Dashboard!$C$7*'Equity and Bond Returns'!DD31)+(Dashboard!$C$8*'Equity and Bond Returns'!HB31)</f>
        <v>-7.6006251711395495E-2</v>
      </c>
      <c r="CS31" s="122">
        <f ca="1">(Dashboard!$C$7*'Equity and Bond Returns'!DE31)+(Dashboard!$C$8*'Equity and Bond Returns'!HC31)</f>
        <v>-5.1976524673594295E-2</v>
      </c>
      <c r="CT31" s="122">
        <f ca="1">(Dashboard!$C$7*'Equity and Bond Returns'!DF31)+(Dashboard!$C$8*'Equity and Bond Returns'!HD31)</f>
        <v>-1.574832827979274E-2</v>
      </c>
      <c r="CU31" s="122">
        <f ca="1">(Dashboard!$C$7*'Equity and Bond Returns'!DG31)+(Dashboard!$C$8*'Equity and Bond Returns'!HE31)</f>
        <v>0.14032935571093325</v>
      </c>
      <c r="CV31" s="122">
        <f ca="1">(Dashboard!$C$7*'Equity and Bond Returns'!DH31)+(Dashboard!$C$8*'Equity and Bond Returns'!HF31)</f>
        <v>-2.1956287859536471E-2</v>
      </c>
      <c r="CW31" s="122">
        <f ca="1">(Dashboard!$C$7*'Equity and Bond Returns'!DI31)+(Dashboard!$C$8*'Equity and Bond Returns'!HG31)</f>
        <v>0.14862862517978262</v>
      </c>
      <c r="CY31" s="147">
        <f t="shared" si="5"/>
        <v>80</v>
      </c>
      <c r="CZ31" s="148">
        <v>30</v>
      </c>
      <c r="DA31" s="126">
        <f ca="1">MAX(DA30*(1+B31)-(Dashboard!$C$11)/(1-Dashboard!$C$17)*((1+Dashboard!$C$12)^$CZ31),0)</f>
        <v>19802411.6678092</v>
      </c>
      <c r="DB31" s="126">
        <f ca="1">MAX(DB30*(1+C31)-(Dashboard!$C$11)/(1-Dashboard!$C$17)*((1+Dashboard!$C$12)^$CZ31),0)</f>
        <v>0</v>
      </c>
      <c r="DC31" s="126">
        <f ca="1">MAX(DC30*(1+D31)-(Dashboard!$C$11)/(1-Dashboard!$C$17)*((1+Dashboard!$C$12)^$CZ31),0)</f>
        <v>4902554.5007838486</v>
      </c>
      <c r="DD31" s="126">
        <f ca="1">MAX(DD30*(1+E31)-(Dashboard!$C$11)/(1-Dashboard!$C$17)*((1+Dashboard!$C$12)^$CZ31),0)</f>
        <v>1670190.1243948308</v>
      </c>
      <c r="DE31" s="126">
        <f ca="1">MAX(DE30*(1+F31)-(Dashboard!$C$11)/(1-Dashboard!$C$17)*((1+Dashboard!$C$12)^$CZ31),0)</f>
        <v>6998943.9511098797</v>
      </c>
      <c r="DF31" s="126">
        <f ca="1">MAX(DF30*(1+G31)-(Dashboard!$C$11)/(1-Dashboard!$C$17)*((1+Dashboard!$C$12)^$CZ31),0)</f>
        <v>15100722.860959515</v>
      </c>
      <c r="DG31" s="126">
        <f ca="1">MAX(DG30*(1+H31)-(Dashboard!$C$11)/(1-Dashboard!$C$17)*((1+Dashboard!$C$12)^$CZ31),0)</f>
        <v>1438357.7215805158</v>
      </c>
      <c r="DH31" s="126">
        <f ca="1">MAX(DH30*(1+I31)-(Dashboard!$C$11)/(1-Dashboard!$C$17)*((1+Dashboard!$C$12)^$CZ31),0)</f>
        <v>10837380.299245367</v>
      </c>
      <c r="DI31" s="126">
        <f ca="1">MAX(DI30*(1+J31)-(Dashboard!$C$11)/(1-Dashboard!$C$17)*((1+Dashboard!$C$12)^$CZ31),0)</f>
        <v>4244002.7110659853</v>
      </c>
      <c r="DJ31" s="126">
        <f ca="1">MAX(DJ30*(1+K31)-(Dashboard!$C$11)/(1-Dashboard!$C$17)*((1+Dashboard!$C$12)^$CZ31),0)</f>
        <v>5468024.0789594166</v>
      </c>
      <c r="DK31" s="126">
        <f ca="1">MAX(DK30*(1+L31)-(Dashboard!$C$11)/(1-Dashboard!$C$17)*((1+Dashboard!$C$12)^$CZ31),0)</f>
        <v>19867448.728786815</v>
      </c>
      <c r="DL31" s="126">
        <f ca="1">MAX(DL30*(1+M31)-(Dashboard!$C$11)/(1-Dashboard!$C$17)*((1+Dashboard!$C$12)^$CZ31),0)</f>
        <v>800252.78085369756</v>
      </c>
      <c r="DM31" s="126">
        <f ca="1">MAX(DM30*(1+N31)-(Dashboard!$C$11)/(1-Dashboard!$C$17)*((1+Dashboard!$C$12)^$CZ31),0)</f>
        <v>6817178.4280940294</v>
      </c>
      <c r="DN31" s="126">
        <f ca="1">MAX(DN30*(1+O31)-(Dashboard!$C$11)/(1-Dashboard!$C$17)*((1+Dashboard!$C$12)^$CZ31),0)</f>
        <v>18093013.481070738</v>
      </c>
      <c r="DO31" s="126">
        <f ca="1">MAX(DO30*(1+P31)-(Dashboard!$C$11)/(1-Dashboard!$C$17)*((1+Dashboard!$C$12)^$CZ31),0)</f>
        <v>3087150.5498056849</v>
      </c>
      <c r="DP31" s="126">
        <f ca="1">MAX(DP30*(1+Q31)-(Dashboard!$C$11)/(1-Dashboard!$C$17)*((1+Dashboard!$C$12)^$CZ31),0)</f>
        <v>3617977.7204463976</v>
      </c>
      <c r="DQ31" s="126">
        <f ca="1">MAX(DQ30*(1+R31)-(Dashboard!$C$11)/(1-Dashboard!$C$17)*((1+Dashboard!$C$12)^$CZ31),0)</f>
        <v>10593963.583385475</v>
      </c>
      <c r="DR31" s="126">
        <f ca="1">MAX(DR30*(1+S31)-(Dashboard!$C$11)/(1-Dashboard!$C$17)*((1+Dashboard!$C$12)^$CZ31),0)</f>
        <v>15535823.163848136</v>
      </c>
      <c r="DS31" s="126">
        <f ca="1">MAX(DS30*(1+T31)-(Dashboard!$C$11)/(1-Dashboard!$C$17)*((1+Dashboard!$C$12)^$CZ31),0)</f>
        <v>1278050.211983006</v>
      </c>
      <c r="DT31" s="126">
        <f ca="1">MAX(DT30*(1+U31)-(Dashboard!$C$11)/(1-Dashboard!$C$17)*((1+Dashboard!$C$12)^$CZ31),0)</f>
        <v>4292698.9073865665</v>
      </c>
      <c r="DU31" s="126">
        <f ca="1">MAX(DU30*(1+V31)-(Dashboard!$C$11)/(1-Dashboard!$C$17)*((1+Dashboard!$C$12)^$CZ31),0)</f>
        <v>5352456.4806695711</v>
      </c>
      <c r="DV31" s="126">
        <f ca="1">MAX(DV30*(1+W31)-(Dashboard!$C$11)/(1-Dashboard!$C$17)*((1+Dashboard!$C$12)^$CZ31),0)</f>
        <v>16755626.126945626</v>
      </c>
      <c r="DW31" s="126">
        <f ca="1">MAX(DW30*(1+X31)-(Dashboard!$C$11)/(1-Dashboard!$C$17)*((1+Dashboard!$C$12)^$CZ31),0)</f>
        <v>6314599.3013623459</v>
      </c>
      <c r="DX31" s="126">
        <f ca="1">MAX(DX30*(1+Y31)-(Dashboard!$C$11)/(1-Dashboard!$C$17)*((1+Dashboard!$C$12)^$CZ31),0)</f>
        <v>3619125.3921400988</v>
      </c>
      <c r="DY31" s="126">
        <f ca="1">MAX(DY30*(1+Z31)-(Dashboard!$C$11)/(1-Dashboard!$C$17)*((1+Dashboard!$C$12)^$CZ31),0)</f>
        <v>8124764.642353721</v>
      </c>
      <c r="DZ31" s="126">
        <f ca="1">MAX(DZ30*(1+AA31)-(Dashboard!$C$11)/(1-Dashboard!$C$17)*((1+Dashboard!$C$12)^$CZ31),0)</f>
        <v>726921.31121399021</v>
      </c>
      <c r="EA31" s="126">
        <f ca="1">MAX(EA30*(1+AB31)-(Dashboard!$C$11)/(1-Dashboard!$C$17)*((1+Dashboard!$C$12)^$CZ31),0)</f>
        <v>4926185.6663171407</v>
      </c>
      <c r="EB31" s="126">
        <f ca="1">MAX(EB30*(1+AC31)-(Dashboard!$C$11)/(1-Dashboard!$C$17)*((1+Dashboard!$C$12)^$CZ31),0)</f>
        <v>7127991.9133798815</v>
      </c>
      <c r="EC31" s="126">
        <f ca="1">MAX(EC30*(1+AD31)-(Dashboard!$C$11)/(1-Dashboard!$C$17)*((1+Dashboard!$C$12)^$CZ31),0)</f>
        <v>6171568.4744390203</v>
      </c>
      <c r="ED31" s="126">
        <f ca="1">MAX(ED30*(1+AE31)-(Dashboard!$C$11)/(1-Dashboard!$C$17)*((1+Dashboard!$C$12)^$CZ31),0)</f>
        <v>5258897.0685913218</v>
      </c>
      <c r="EE31" s="126">
        <f ca="1">MAX(EE30*(1+AF31)-(Dashboard!$C$11)/(1-Dashboard!$C$17)*((1+Dashboard!$C$12)^$CZ31),0)</f>
        <v>10788505.733756371</v>
      </c>
      <c r="EF31" s="126">
        <f ca="1">MAX(EF30*(1+AG31)-(Dashboard!$C$11)/(1-Dashboard!$C$17)*((1+Dashboard!$C$12)^$CZ31),0)</f>
        <v>1375429.8037285088</v>
      </c>
      <c r="EG31" s="126">
        <f ca="1">MAX(EG30*(1+AH31)-(Dashboard!$C$11)/(1-Dashboard!$C$17)*((1+Dashboard!$C$12)^$CZ31),0)</f>
        <v>8188416.4318768913</v>
      </c>
      <c r="EH31" s="126">
        <f ca="1">MAX(EH30*(1+AI31)-(Dashboard!$C$11)/(1-Dashboard!$C$17)*((1+Dashboard!$C$12)^$CZ31),0)</f>
        <v>14797559.594999304</v>
      </c>
      <c r="EI31" s="126">
        <f ca="1">MAX(EI30*(1+AJ31)-(Dashboard!$C$11)/(1-Dashboard!$C$17)*((1+Dashboard!$C$12)^$CZ31),0)</f>
        <v>512476.68065896351</v>
      </c>
      <c r="EJ31" s="126">
        <f ca="1">MAX(EJ30*(1+AK31)-(Dashboard!$C$11)/(1-Dashboard!$C$17)*((1+Dashboard!$C$12)^$CZ31),0)</f>
        <v>8738059.484783791</v>
      </c>
      <c r="EK31" s="126">
        <f ca="1">MAX(EK30*(1+AL31)-(Dashboard!$C$11)/(1-Dashboard!$C$17)*((1+Dashboard!$C$12)^$CZ31),0)</f>
        <v>6563349.1631464344</v>
      </c>
      <c r="EL31" s="126">
        <f ca="1">MAX(EL30*(1+AM31)-(Dashboard!$C$11)/(1-Dashboard!$C$17)*((1+Dashboard!$C$12)^$CZ31),0)</f>
        <v>1496471.9196089215</v>
      </c>
      <c r="EM31" s="126">
        <f ca="1">MAX(EM30*(1+AN31)-(Dashboard!$C$11)/(1-Dashboard!$C$17)*((1+Dashboard!$C$12)^$CZ31),0)</f>
        <v>12993931.877912626</v>
      </c>
      <c r="EN31" s="126">
        <f ca="1">MAX(EN30*(1+AO31)-(Dashboard!$C$11)/(1-Dashboard!$C$17)*((1+Dashboard!$C$12)^$CZ31),0)</f>
        <v>2643168.9709503311</v>
      </c>
      <c r="EO31" s="126">
        <f ca="1">MAX(EO30*(1+AP31)-(Dashboard!$C$11)/(1-Dashboard!$C$17)*((1+Dashboard!$C$12)^$CZ31),0)</f>
        <v>287822.61138023704</v>
      </c>
      <c r="EP31" s="126">
        <f ca="1">MAX(EP30*(1+AQ31)-(Dashboard!$C$11)/(1-Dashboard!$C$17)*((1+Dashboard!$C$12)^$CZ31),0)</f>
        <v>3665889.184712132</v>
      </c>
      <c r="EQ31" s="126">
        <f ca="1">MAX(EQ30*(1+AR31)-(Dashboard!$C$11)/(1-Dashboard!$C$17)*((1+Dashboard!$C$12)^$CZ31),0)</f>
        <v>2942619.84994744</v>
      </c>
      <c r="ER31" s="126">
        <f ca="1">MAX(ER30*(1+AS31)-(Dashboard!$C$11)/(1-Dashboard!$C$17)*((1+Dashboard!$C$12)^$CZ31),0)</f>
        <v>1357184.2596440576</v>
      </c>
      <c r="ES31" s="126">
        <f ca="1">MAX(ES30*(1+AT31)-(Dashboard!$C$11)/(1-Dashboard!$C$17)*((1+Dashboard!$C$12)^$CZ31),0)</f>
        <v>9005977.7946639471</v>
      </c>
      <c r="ET31" s="126">
        <f ca="1">MAX(ET30*(1+AU31)-(Dashboard!$C$11)/(1-Dashboard!$C$17)*((1+Dashboard!$C$12)^$CZ31),0)</f>
        <v>5677997.5491467817</v>
      </c>
      <c r="EU31" s="126">
        <f ca="1">MAX(EU30*(1+AV31)-(Dashboard!$C$11)/(1-Dashboard!$C$17)*((1+Dashboard!$C$12)^$CZ31),0)</f>
        <v>3572220.6769864014</v>
      </c>
      <c r="EV31" s="126">
        <f ca="1">MAX(EV30*(1+AW31)-(Dashboard!$C$11)/(1-Dashboard!$C$17)*((1+Dashboard!$C$12)^$CZ31),0)</f>
        <v>29289024.633122154</v>
      </c>
      <c r="EW31" s="126">
        <f ca="1">MAX(EW30*(1+AX31)-(Dashboard!$C$11)/(1-Dashboard!$C$17)*((1+Dashboard!$C$12)^$CZ31),0)</f>
        <v>1521752.5601692337</v>
      </c>
      <c r="EX31" s="126">
        <f ca="1">MAX(EX30*(1+AY31)-(Dashboard!$C$11)/(1-Dashboard!$C$17)*((1+Dashboard!$C$12)^$CZ31),0)</f>
        <v>5398237.2573737092</v>
      </c>
      <c r="EY31" s="126">
        <f ca="1">MAX(EY30*(1+AZ31)-(Dashboard!$C$11)/(1-Dashboard!$C$17)*((1+Dashboard!$C$12)^$CZ31),0)</f>
        <v>12136917.538792191</v>
      </c>
      <c r="EZ31" s="126">
        <f ca="1">MAX(EZ30*(1+BA31)-(Dashboard!$C$11)/(1-Dashboard!$C$17)*((1+Dashboard!$C$12)^$CZ31),0)</f>
        <v>6624762.9121175604</v>
      </c>
      <c r="FA31" s="126">
        <f ca="1">MAX(FA30*(1+BB31)-(Dashboard!$C$11)/(1-Dashboard!$C$17)*((1+Dashboard!$C$12)^$CZ31),0)</f>
        <v>12436974.77142111</v>
      </c>
      <c r="FB31" s="126">
        <f ca="1">MAX(FB30*(1+BC31)-(Dashboard!$C$11)/(1-Dashboard!$C$17)*((1+Dashboard!$C$12)^$CZ31),0)</f>
        <v>902731.35491340153</v>
      </c>
      <c r="FC31" s="126">
        <f ca="1">MAX(FC30*(1+BD31)-(Dashboard!$C$11)/(1-Dashboard!$C$17)*((1+Dashboard!$C$12)^$CZ31),0)</f>
        <v>9454451.8608361501</v>
      </c>
      <c r="FD31" s="126">
        <f ca="1">MAX(FD30*(1+BE31)-(Dashboard!$C$11)/(1-Dashboard!$C$17)*((1+Dashboard!$C$12)^$CZ31),0)</f>
        <v>12355380.433263643</v>
      </c>
      <c r="FE31" s="126">
        <f ca="1">MAX(FE30*(1+BF31)-(Dashboard!$C$11)/(1-Dashboard!$C$17)*((1+Dashboard!$C$12)^$CZ31),0)</f>
        <v>19506041.973404635</v>
      </c>
      <c r="FF31" s="126">
        <f ca="1">MAX(FF30*(1+BG31)-(Dashboard!$C$11)/(1-Dashboard!$C$17)*((1+Dashboard!$C$12)^$CZ31),0)</f>
        <v>3981932.417936109</v>
      </c>
      <c r="FG31" s="126">
        <f ca="1">MAX(FG30*(1+BH31)-(Dashboard!$C$11)/(1-Dashboard!$C$17)*((1+Dashboard!$C$12)^$CZ31),0)</f>
        <v>5142619.3882640563</v>
      </c>
      <c r="FH31" s="126">
        <f ca="1">MAX(FH30*(1+BI31)-(Dashboard!$C$11)/(1-Dashboard!$C$17)*((1+Dashboard!$C$12)^$CZ31),0)</f>
        <v>3360990.3851003563</v>
      </c>
      <c r="FI31" s="126">
        <f ca="1">MAX(FI30*(1+BJ31)-(Dashboard!$C$11)/(1-Dashboard!$C$17)*((1+Dashboard!$C$12)^$CZ31),0)</f>
        <v>9868534.5768841952</v>
      </c>
      <c r="FJ31" s="126">
        <f ca="1">MAX(FJ30*(1+BK31)-(Dashboard!$C$11)/(1-Dashboard!$C$17)*((1+Dashboard!$C$12)^$CZ31),0)</f>
        <v>4315157.0291313799</v>
      </c>
      <c r="FK31" s="126">
        <f ca="1">MAX(FK30*(1+BL31)-(Dashboard!$C$11)/(1-Dashboard!$C$17)*((1+Dashboard!$C$12)^$CZ31),0)</f>
        <v>5581671.8531443514</v>
      </c>
      <c r="FL31" s="126">
        <f ca="1">MAX(FL30*(1+BM31)-(Dashboard!$C$11)/(1-Dashboard!$C$17)*((1+Dashboard!$C$12)^$CZ31),0)</f>
        <v>4299200.3433318203</v>
      </c>
      <c r="FM31" s="126">
        <f ca="1">MAX(FM30*(1+BN31)-(Dashboard!$C$11)/(1-Dashboard!$C$17)*((1+Dashboard!$C$12)^$CZ31),0)</f>
        <v>9427835.4545816779</v>
      </c>
      <c r="FN31" s="126">
        <f ca="1">MAX(FN30*(1+BO31)-(Dashboard!$C$11)/(1-Dashboard!$C$17)*((1+Dashboard!$C$12)^$CZ31),0)</f>
        <v>162800.00083572848</v>
      </c>
      <c r="FO31" s="126">
        <f ca="1">MAX(FO30*(1+BP31)-(Dashboard!$C$11)/(1-Dashboard!$C$17)*((1+Dashboard!$C$12)^$CZ31),0)</f>
        <v>7043375.7139736926</v>
      </c>
      <c r="FP31" s="126">
        <f ca="1">MAX(FP30*(1+BQ31)-(Dashboard!$C$11)/(1-Dashboard!$C$17)*((1+Dashboard!$C$12)^$CZ31),0)</f>
        <v>4779229.8588356227</v>
      </c>
      <c r="FQ31" s="126">
        <f ca="1">MAX(FQ30*(1+BR31)-(Dashboard!$C$11)/(1-Dashboard!$C$17)*((1+Dashboard!$C$12)^$CZ31),0)</f>
        <v>4266964.5712045273</v>
      </c>
      <c r="FR31" s="126">
        <f ca="1">MAX(FR30*(1+BS31)-(Dashboard!$C$11)/(1-Dashboard!$C$17)*((1+Dashboard!$C$12)^$CZ31),0)</f>
        <v>7021475.9708010601</v>
      </c>
      <c r="FS31" s="126">
        <f ca="1">MAX(FS30*(1+BT31)-(Dashboard!$C$11)/(1-Dashboard!$C$17)*((1+Dashboard!$C$12)^$CZ31),0)</f>
        <v>7636652.9357036436</v>
      </c>
      <c r="FT31" s="126">
        <f ca="1">MAX(FT30*(1+BU31)-(Dashboard!$C$11)/(1-Dashboard!$C$17)*((1+Dashboard!$C$12)^$CZ31),0)</f>
        <v>1154275.5238222592</v>
      </c>
      <c r="FU31" s="126">
        <f ca="1">MAX(FU30*(1+BV31)-(Dashboard!$C$11)/(1-Dashboard!$C$17)*((1+Dashboard!$C$12)^$CZ31),0)</f>
        <v>2303327.6075813859</v>
      </c>
      <c r="FV31" s="126">
        <f ca="1">MAX(FV30*(1+BW31)-(Dashboard!$C$11)/(1-Dashboard!$C$17)*((1+Dashboard!$C$12)^$CZ31),0)</f>
        <v>4740309.4675413864</v>
      </c>
      <c r="FW31" s="126">
        <f ca="1">MAX(FW30*(1+BX31)-(Dashboard!$C$11)/(1-Dashboard!$C$17)*((1+Dashboard!$C$12)^$CZ31),0)</f>
        <v>4277543.8133636275</v>
      </c>
      <c r="FX31" s="126">
        <f ca="1">MAX(FX30*(1+BY31)-(Dashboard!$C$11)/(1-Dashboard!$C$17)*((1+Dashboard!$C$12)^$CZ31),0)</f>
        <v>1085070.2294609821</v>
      </c>
      <c r="FY31" s="126">
        <f ca="1">MAX(FY30*(1+BZ31)-(Dashboard!$C$11)/(1-Dashboard!$C$17)*((1+Dashboard!$C$12)^$CZ31),0)</f>
        <v>2698199.454657957</v>
      </c>
      <c r="FZ31" s="126">
        <f ca="1">MAX(FZ30*(1+CA31)-(Dashboard!$C$11)/(1-Dashboard!$C$17)*((1+Dashboard!$C$12)^$CZ31),0)</f>
        <v>12510088.610779617</v>
      </c>
      <c r="GA31" s="126">
        <f ca="1">MAX(GA30*(1+CB31)-(Dashboard!$C$11)/(1-Dashboard!$C$17)*((1+Dashboard!$C$12)^$CZ31),0)</f>
        <v>10285603.651267745</v>
      </c>
      <c r="GB31" s="126">
        <f ca="1">MAX(GB30*(1+CC31)-(Dashboard!$C$11)/(1-Dashboard!$C$17)*((1+Dashboard!$C$12)^$CZ31),0)</f>
        <v>3193154.4330521058</v>
      </c>
      <c r="GC31" s="126">
        <f ca="1">MAX(GC30*(1+CD31)-(Dashboard!$C$11)/(1-Dashboard!$C$17)*((1+Dashboard!$C$12)^$CZ31),0)</f>
        <v>8659525.483752504</v>
      </c>
      <c r="GD31" s="126">
        <f ca="1">MAX(GD30*(1+CE31)-(Dashboard!$C$11)/(1-Dashboard!$C$17)*((1+Dashboard!$C$12)^$CZ31),0)</f>
        <v>30328532.392242886</v>
      </c>
      <c r="GE31" s="126">
        <f ca="1">MAX(GE30*(1+CF31)-(Dashboard!$C$11)/(1-Dashboard!$C$17)*((1+Dashboard!$C$12)^$CZ31),0)</f>
        <v>4366404.1092687715</v>
      </c>
      <c r="GF31" s="126">
        <f ca="1">MAX(GF30*(1+CG31)-(Dashboard!$C$11)/(1-Dashboard!$C$17)*((1+Dashboard!$C$12)^$CZ31),0)</f>
        <v>6748324.9857002338</v>
      </c>
      <c r="GG31" s="126">
        <f ca="1">MAX(GG30*(1+CH31)-(Dashboard!$C$11)/(1-Dashboard!$C$17)*((1+Dashboard!$C$12)^$CZ31),0)</f>
        <v>1278378.6619335478</v>
      </c>
      <c r="GH31" s="126">
        <f ca="1">MAX(GH30*(1+CI31)-(Dashboard!$C$11)/(1-Dashboard!$C$17)*((1+Dashboard!$C$12)^$CZ31),0)</f>
        <v>3635845.6320826118</v>
      </c>
      <c r="GI31" s="126">
        <f ca="1">MAX(GI30*(1+CJ31)-(Dashboard!$C$11)/(1-Dashboard!$C$17)*((1+Dashboard!$C$12)^$CZ31),0)</f>
        <v>4038015.4042507284</v>
      </c>
      <c r="GJ31" s="126">
        <f ca="1">MAX(GJ30*(1+CK31)-(Dashboard!$C$11)/(1-Dashboard!$C$17)*((1+Dashboard!$C$12)^$CZ31),0)</f>
        <v>24322897.556515198</v>
      </c>
      <c r="GK31" s="126">
        <f ca="1">MAX(GK30*(1+CL31)-(Dashboard!$C$11)/(1-Dashboard!$C$17)*((1+Dashboard!$C$12)^$CZ31),0)</f>
        <v>5535779.6177184023</v>
      </c>
      <c r="GL31" s="126">
        <f ca="1">MAX(GL30*(1+CM31)-(Dashboard!$C$11)/(1-Dashboard!$C$17)*((1+Dashboard!$C$12)^$CZ31),0)</f>
        <v>8045978.4909569826</v>
      </c>
      <c r="GM31" s="126">
        <f ca="1">MAX(GM30*(1+CN31)-(Dashboard!$C$11)/(1-Dashboard!$C$17)*((1+Dashboard!$C$12)^$CZ31),0)</f>
        <v>1957309.0258542122</v>
      </c>
      <c r="GN31" s="126">
        <f ca="1">MAX(GN30*(1+CO31)-(Dashboard!$C$11)/(1-Dashboard!$C$17)*((1+Dashboard!$C$12)^$CZ31),0)</f>
        <v>0</v>
      </c>
      <c r="GO31" s="126">
        <f ca="1">MAX(GO30*(1+CP31)-(Dashboard!$C$11)/(1-Dashboard!$C$17)*((1+Dashboard!$C$12)^$CZ31),0)</f>
        <v>6389373.009540692</v>
      </c>
      <c r="GP31" s="126">
        <f ca="1">MAX(GP30*(1+CQ31)-(Dashboard!$C$11)/(1-Dashboard!$C$17)*((1+Dashboard!$C$12)^$CZ31),0)</f>
        <v>6929917.3540633703</v>
      </c>
      <c r="GQ31" s="126">
        <f ca="1">MAX(GQ30*(1+CR31)-(Dashboard!$C$11)/(1-Dashboard!$C$17)*((1+Dashboard!$C$12)^$CZ31),0)</f>
        <v>644182.00643466052</v>
      </c>
      <c r="GR31" s="126">
        <f ca="1">MAX(GR30*(1+CS31)-(Dashboard!$C$11)/(1-Dashboard!$C$17)*((1+Dashboard!$C$12)^$CZ31),0)</f>
        <v>4255699.958466447</v>
      </c>
      <c r="GS31" s="126">
        <f ca="1">MAX(GS30*(1+CT31)-(Dashboard!$C$11)/(1-Dashboard!$C$17)*((1+Dashboard!$C$12)^$CZ31),0)</f>
        <v>6945766.1812190693</v>
      </c>
      <c r="GT31" s="126">
        <f ca="1">MAX(GT30*(1+CU31)-(Dashboard!$C$11)/(1-Dashboard!$C$17)*((1+Dashboard!$C$12)^$CZ31),0)</f>
        <v>22251596.815476235</v>
      </c>
      <c r="GU31" s="126">
        <f ca="1">MAX(GU30*(1+CV31)-(Dashboard!$C$11)/(1-Dashboard!$C$17)*((1+Dashboard!$C$12)^$CZ31),0)</f>
        <v>3166319.7918826872</v>
      </c>
      <c r="GV31" s="126">
        <f ca="1">MAX(GV30*(1+CW31)-(Dashboard!$C$11)/(1-Dashboard!$C$17)*((1+Dashboard!$C$12)^$CZ31),0)</f>
        <v>2144749.6926272735</v>
      </c>
      <c r="GW31" s="115">
        <f t="shared" si="4"/>
        <v>80</v>
      </c>
      <c r="GX31" s="130">
        <f t="shared" ca="1" si="2"/>
        <v>98</v>
      </c>
      <c r="HC31" s="130">
        <f t="shared" si="0"/>
        <v>80</v>
      </c>
      <c r="HD31" s="137">
        <f t="shared" ca="1" si="6"/>
        <v>2759304.5534803276</v>
      </c>
      <c r="HE31" s="137">
        <f t="shared" ca="1" si="6"/>
        <v>5200758.2284276895</v>
      </c>
      <c r="HF31" s="137">
        <f t="shared" ca="1" si="6"/>
        <v>8718425.9845259693</v>
      </c>
    </row>
    <row r="32" spans="1:214" ht="16">
      <c r="A32" s="145">
        <f t="shared" si="3"/>
        <v>81</v>
      </c>
      <c r="B32" s="122">
        <f ca="1">(Dashboard!$C$7*'Equity and Bond Returns'!N32)+(Dashboard!$C$8*'Equity and Bond Returns'!DL32)</f>
        <v>0.10497982003624413</v>
      </c>
      <c r="C32" s="122">
        <f ca="1">(Dashboard!$C$7*'Equity and Bond Returns'!O32)+(Dashboard!$C$8*'Equity and Bond Returns'!DM32)</f>
        <v>0.33585403872229813</v>
      </c>
      <c r="D32" s="122">
        <f ca="1">(Dashboard!$C$7*'Equity and Bond Returns'!P32)+(Dashboard!$C$8*'Equity and Bond Returns'!DN32)</f>
        <v>0.15356538073941961</v>
      </c>
      <c r="E32" s="122">
        <f ca="1">(Dashboard!$C$7*'Equity and Bond Returns'!Q32)+(Dashboard!$C$8*'Equity and Bond Returns'!DO32)</f>
        <v>-3.9357552662305881E-2</v>
      </c>
      <c r="F32" s="122">
        <f ca="1">(Dashboard!$C$7*'Equity and Bond Returns'!R32)+(Dashboard!$C$8*'Equity and Bond Returns'!DP32)</f>
        <v>-0.11465462974682675</v>
      </c>
      <c r="G32" s="122">
        <f ca="1">(Dashboard!$C$7*'Equity and Bond Returns'!S32)+(Dashboard!$C$8*'Equity and Bond Returns'!DQ32)</f>
        <v>5.3801417934186226E-2</v>
      </c>
      <c r="H32" s="122">
        <f ca="1">(Dashboard!$C$7*'Equity and Bond Returns'!T32)+(Dashboard!$C$8*'Equity and Bond Returns'!DR32)</f>
        <v>-8.5023854288515138E-2</v>
      </c>
      <c r="I32" s="122">
        <f ca="1">(Dashboard!$C$7*'Equity and Bond Returns'!U32)+(Dashboard!$C$8*'Equity and Bond Returns'!DS32)</f>
        <v>8.202749719837793E-2</v>
      </c>
      <c r="J32" s="122">
        <f ca="1">(Dashboard!$C$7*'Equity and Bond Returns'!V32)+(Dashboard!$C$8*'Equity and Bond Returns'!DT32)</f>
        <v>-3.0957772199113952E-2</v>
      </c>
      <c r="K32" s="122">
        <f ca="1">(Dashboard!$C$7*'Equity and Bond Returns'!W32)+(Dashboard!$C$8*'Equity and Bond Returns'!DU32)</f>
        <v>4.9029871072673939E-2</v>
      </c>
      <c r="L32" s="122">
        <f ca="1">(Dashboard!$C$7*'Equity and Bond Returns'!X32)+(Dashboard!$C$8*'Equity and Bond Returns'!DV32)</f>
        <v>0.12666076020548436</v>
      </c>
      <c r="M32" s="122">
        <f ca="1">(Dashboard!$C$7*'Equity and Bond Returns'!Y32)+(Dashboard!$C$8*'Equity and Bond Returns'!DW32)</f>
        <v>-9.3860508274626886E-2</v>
      </c>
      <c r="N32" s="122">
        <f ca="1">(Dashboard!$C$7*'Equity and Bond Returns'!Z32)+(Dashboard!$C$8*'Equity and Bond Returns'!DX32)</f>
        <v>0.14559198451685135</v>
      </c>
      <c r="O32" s="122">
        <f ca="1">(Dashboard!$C$7*'Equity and Bond Returns'!AA32)+(Dashboard!$C$8*'Equity and Bond Returns'!DY32)</f>
        <v>0.18292862583591679</v>
      </c>
      <c r="P32" s="122">
        <f ca="1">(Dashboard!$C$7*'Equity and Bond Returns'!AB32)+(Dashboard!$C$8*'Equity and Bond Returns'!DZ32)</f>
        <v>8.0099582230078015E-2</v>
      </c>
      <c r="Q32" s="122">
        <f ca="1">(Dashboard!$C$7*'Equity and Bond Returns'!AC32)+(Dashboard!$C$8*'Equity and Bond Returns'!EA32)</f>
        <v>-5.8844822888105677E-2</v>
      </c>
      <c r="R32" s="122">
        <f ca="1">(Dashboard!$C$7*'Equity and Bond Returns'!AD32)+(Dashboard!$C$8*'Equity and Bond Returns'!EB32)</f>
        <v>-1.6410071846428481E-2</v>
      </c>
      <c r="S32" s="122">
        <f ca="1">(Dashboard!$C$7*'Equity and Bond Returns'!AE32)+(Dashboard!$C$8*'Equity and Bond Returns'!EC32)</f>
        <v>2.6189050299128817E-2</v>
      </c>
      <c r="T32" s="122">
        <f ca="1">(Dashboard!$C$7*'Equity and Bond Returns'!AF32)+(Dashboard!$C$8*'Equity and Bond Returns'!ED32)</f>
        <v>0.13828954125952472</v>
      </c>
      <c r="U32" s="122">
        <f ca="1">(Dashboard!$C$7*'Equity and Bond Returns'!AG32)+(Dashboard!$C$8*'Equity and Bond Returns'!EE32)</f>
        <v>0.11889105742737117</v>
      </c>
      <c r="V32" s="122">
        <f ca="1">(Dashboard!$C$7*'Equity and Bond Returns'!AH32)+(Dashboard!$C$8*'Equity and Bond Returns'!EF32)</f>
        <v>0.17684983068141838</v>
      </c>
      <c r="W32" s="122">
        <f ca="1">(Dashboard!$C$7*'Equity and Bond Returns'!AI32)+(Dashboard!$C$8*'Equity and Bond Returns'!EG32)</f>
        <v>0.33931570746804351</v>
      </c>
      <c r="X32" s="122">
        <f ca="1">(Dashboard!$C$7*'Equity and Bond Returns'!AJ32)+(Dashboard!$C$8*'Equity and Bond Returns'!EH32)</f>
        <v>-5.8650661155818705E-2</v>
      </c>
      <c r="Y32" s="122">
        <f ca="1">(Dashboard!$C$7*'Equity and Bond Returns'!AK32)+(Dashboard!$C$8*'Equity and Bond Returns'!EI32)</f>
        <v>-1.6280835457780529E-2</v>
      </c>
      <c r="Z32" s="122">
        <f ca="1">(Dashboard!$C$7*'Equity and Bond Returns'!AL32)+(Dashboard!$C$8*'Equity and Bond Returns'!EJ32)</f>
        <v>9.5686596872025048E-2</v>
      </c>
      <c r="AA32" s="122">
        <f ca="1">(Dashboard!$C$7*'Equity and Bond Returns'!AM32)+(Dashboard!$C$8*'Equity and Bond Returns'!EK32)</f>
        <v>0.32884861739452587</v>
      </c>
      <c r="AB32" s="122">
        <f ca="1">(Dashboard!$C$7*'Equity and Bond Returns'!AN32)+(Dashboard!$C$8*'Equity and Bond Returns'!EL32)</f>
        <v>0.27607475646230872</v>
      </c>
      <c r="AC32" s="122">
        <f ca="1">(Dashboard!$C$7*'Equity and Bond Returns'!AO32)+(Dashboard!$C$8*'Equity and Bond Returns'!EM32)</f>
        <v>0.10768445640380928</v>
      </c>
      <c r="AD32" s="122">
        <f ca="1">(Dashboard!$C$7*'Equity and Bond Returns'!AP32)+(Dashboard!$C$8*'Equity and Bond Returns'!EN32)</f>
        <v>0.22385410650214832</v>
      </c>
      <c r="AE32" s="122">
        <f ca="1">(Dashboard!$C$7*'Equity and Bond Returns'!AQ32)+(Dashboard!$C$8*'Equity and Bond Returns'!EO32)</f>
        <v>1.9994805986801107E-2</v>
      </c>
      <c r="AF32" s="122">
        <f ca="1">(Dashboard!$C$7*'Equity and Bond Returns'!AR32)+(Dashboard!$C$8*'Equity and Bond Returns'!EP32)</f>
        <v>6.2466512403296641E-2</v>
      </c>
      <c r="AG32" s="122">
        <f ca="1">(Dashboard!$C$7*'Equity and Bond Returns'!AS32)+(Dashboard!$C$8*'Equity and Bond Returns'!EQ32)</f>
        <v>0.26240686722100842</v>
      </c>
      <c r="AH32" s="122">
        <f ca="1">(Dashboard!$C$7*'Equity and Bond Returns'!AT32)+(Dashboard!$C$8*'Equity and Bond Returns'!ER32)</f>
        <v>8.8930097847712927E-2</v>
      </c>
      <c r="AI32" s="122">
        <f ca="1">(Dashboard!$C$7*'Equity and Bond Returns'!AU32)+(Dashboard!$C$8*'Equity and Bond Returns'!ES32)</f>
        <v>1.6258547178996975E-2</v>
      </c>
      <c r="AJ32" s="122">
        <f ca="1">(Dashboard!$C$7*'Equity and Bond Returns'!AV32)+(Dashboard!$C$8*'Equity and Bond Returns'!ET32)</f>
        <v>-9.9095546584164335E-2</v>
      </c>
      <c r="AK32" s="122">
        <f ca="1">(Dashboard!$C$7*'Equity and Bond Returns'!AW32)+(Dashboard!$C$8*'Equity and Bond Returns'!EU32)</f>
        <v>8.5552821288717579E-3</v>
      </c>
      <c r="AL32" s="122">
        <f ca="1">(Dashboard!$C$7*'Equity and Bond Returns'!AX32)+(Dashboard!$C$8*'Equity and Bond Returns'!EV32)</f>
        <v>0.22652421306326301</v>
      </c>
      <c r="AM32" s="122">
        <f ca="1">(Dashboard!$C$7*'Equity and Bond Returns'!AY32)+(Dashboard!$C$8*'Equity and Bond Returns'!EW32)</f>
        <v>0.19882982147937317</v>
      </c>
      <c r="AN32" s="122">
        <f ca="1">(Dashboard!$C$7*'Equity and Bond Returns'!AZ32)+(Dashboard!$C$8*'Equity and Bond Returns'!EX32)</f>
        <v>2.8444233729438891E-2</v>
      </c>
      <c r="AO32" s="122">
        <f ca="1">(Dashboard!$C$7*'Equity and Bond Returns'!BA32)+(Dashboard!$C$8*'Equity and Bond Returns'!EY32)</f>
        <v>8.2404576193076659E-2</v>
      </c>
      <c r="AP32" s="122">
        <f ca="1">(Dashboard!$C$7*'Equity and Bond Returns'!BB32)+(Dashboard!$C$8*'Equity and Bond Returns'!EZ32)</f>
        <v>0.15332923862153133</v>
      </c>
      <c r="AQ32" s="122">
        <f ca="1">(Dashboard!$C$7*'Equity and Bond Returns'!BC32)+(Dashboard!$C$8*'Equity and Bond Returns'!FA32)</f>
        <v>-2.2081205445729415E-2</v>
      </c>
      <c r="AR32" s="122">
        <f ca="1">(Dashboard!$C$7*'Equity and Bond Returns'!BD32)+(Dashboard!$C$8*'Equity and Bond Returns'!FB32)</f>
        <v>0.35932735054664705</v>
      </c>
      <c r="AS32" s="122">
        <f ca="1">(Dashboard!$C$7*'Equity and Bond Returns'!BE32)+(Dashboard!$C$8*'Equity and Bond Returns'!FC32)</f>
        <v>9.8308686943273216E-2</v>
      </c>
      <c r="AT32" s="122">
        <f ca="1">(Dashboard!$C$7*'Equity and Bond Returns'!BF32)+(Dashboard!$C$8*'Equity and Bond Returns'!FD32)</f>
        <v>-0.1348678774730977</v>
      </c>
      <c r="AU32" s="122">
        <f ca="1">(Dashboard!$C$7*'Equity and Bond Returns'!BG32)+(Dashboard!$C$8*'Equity and Bond Returns'!FE32)</f>
        <v>-7.7045063226907295E-2</v>
      </c>
      <c r="AV32" s="122">
        <f ca="1">(Dashboard!$C$7*'Equity and Bond Returns'!BH32)+(Dashboard!$C$8*'Equity and Bond Returns'!FF32)</f>
        <v>-9.0955014908489534E-2</v>
      </c>
      <c r="AW32" s="122">
        <f ca="1">(Dashboard!$C$7*'Equity and Bond Returns'!BI32)+(Dashboard!$C$8*'Equity and Bond Returns'!FG32)</f>
        <v>0.22225164992024979</v>
      </c>
      <c r="AX32" s="122">
        <f ca="1">(Dashboard!$C$7*'Equity and Bond Returns'!BJ32)+(Dashboard!$C$8*'Equity and Bond Returns'!FH32)</f>
        <v>0.30547659575586816</v>
      </c>
      <c r="AY32" s="122">
        <f ca="1">(Dashboard!$C$7*'Equity and Bond Returns'!BK32)+(Dashboard!$C$8*'Equity and Bond Returns'!FI32)</f>
        <v>6.5607574973353178E-2</v>
      </c>
      <c r="AZ32" s="122">
        <f ca="1">(Dashboard!$C$7*'Equity and Bond Returns'!BL32)+(Dashboard!$C$8*'Equity and Bond Returns'!FJ32)</f>
        <v>0.19101748331748547</v>
      </c>
      <c r="BA32" s="122">
        <f ca="1">(Dashboard!$C$7*'Equity and Bond Returns'!BM32)+(Dashboard!$C$8*'Equity and Bond Returns'!FK32)</f>
        <v>-1.7071886660080648E-2</v>
      </c>
      <c r="BB32" s="122">
        <f ca="1">(Dashboard!$C$7*'Equity and Bond Returns'!BN32)+(Dashboard!$C$8*'Equity and Bond Returns'!FL32)</f>
        <v>0.12418611623838159</v>
      </c>
      <c r="BC32" s="122">
        <f ca="1">(Dashboard!$C$7*'Equity and Bond Returns'!BO32)+(Dashboard!$C$8*'Equity and Bond Returns'!FM32)</f>
        <v>-0.18346315072842406</v>
      </c>
      <c r="BD32" s="122">
        <f ca="1">(Dashboard!$C$7*'Equity and Bond Returns'!BP32)+(Dashboard!$C$8*'Equity and Bond Returns'!FN32)</f>
        <v>0.30197980294466353</v>
      </c>
      <c r="BE32" s="122">
        <f ca="1">(Dashboard!$C$7*'Equity and Bond Returns'!BQ32)+(Dashboard!$C$8*'Equity and Bond Returns'!FO32)</f>
        <v>0.32387611765752949</v>
      </c>
      <c r="BF32" s="122">
        <f ca="1">(Dashboard!$C$7*'Equity and Bond Returns'!BR32)+(Dashboard!$C$8*'Equity and Bond Returns'!FP32)</f>
        <v>0.37705986222575605</v>
      </c>
      <c r="BG32" s="122">
        <f ca="1">(Dashboard!$C$7*'Equity and Bond Returns'!BS32)+(Dashboard!$C$8*'Equity and Bond Returns'!FQ32)</f>
        <v>0.31915173798781044</v>
      </c>
      <c r="BH32" s="122">
        <f ca="1">(Dashboard!$C$7*'Equity and Bond Returns'!BT32)+(Dashboard!$C$8*'Equity and Bond Returns'!FR32)</f>
        <v>-2.0130122519406483E-2</v>
      </c>
      <c r="BI32" s="122">
        <f ca="1">(Dashboard!$C$7*'Equity and Bond Returns'!BU32)+(Dashboard!$C$8*'Equity and Bond Returns'!FS32)</f>
        <v>-2.1665944809965476E-2</v>
      </c>
      <c r="BJ32" s="122">
        <f ca="1">(Dashboard!$C$7*'Equity and Bond Returns'!BV32)+(Dashboard!$C$8*'Equity and Bond Returns'!FT32)</f>
        <v>1.0143243870321676E-2</v>
      </c>
      <c r="BK32" s="122">
        <f ca="1">(Dashboard!$C$7*'Equity and Bond Returns'!BW32)+(Dashboard!$C$8*'Equity and Bond Returns'!FU32)</f>
        <v>8.3219881141855093E-2</v>
      </c>
      <c r="BL32" s="122">
        <f ca="1">(Dashboard!$C$7*'Equity and Bond Returns'!BX32)+(Dashboard!$C$8*'Equity and Bond Returns'!FV32)</f>
        <v>2.2843067221616348E-2</v>
      </c>
      <c r="BM32" s="122">
        <f ca="1">(Dashboard!$C$7*'Equity and Bond Returns'!BY32)+(Dashboard!$C$8*'Equity and Bond Returns'!FW32)</f>
        <v>-5.402102751814989E-2</v>
      </c>
      <c r="BN32" s="122">
        <f ca="1">(Dashboard!$C$7*'Equity and Bond Returns'!BZ32)+(Dashboard!$C$8*'Equity and Bond Returns'!FX32)</f>
        <v>-0.10896054631185426</v>
      </c>
      <c r="BO32" s="122">
        <f ca="1">(Dashboard!$C$7*'Equity and Bond Returns'!CA32)+(Dashboard!$C$8*'Equity and Bond Returns'!FY32)</f>
        <v>0.12412183747879088</v>
      </c>
      <c r="BP32" s="122">
        <f ca="1">(Dashboard!$C$7*'Equity and Bond Returns'!CB32)+(Dashboard!$C$8*'Equity and Bond Returns'!FZ32)</f>
        <v>-4.8507029542320911E-3</v>
      </c>
      <c r="BQ32" s="122">
        <f ca="1">(Dashboard!$C$7*'Equity and Bond Returns'!CC32)+(Dashboard!$C$8*'Equity and Bond Returns'!GA32)</f>
        <v>8.072474195337509E-2</v>
      </c>
      <c r="BR32" s="122">
        <f ca="1">(Dashboard!$C$7*'Equity and Bond Returns'!CD32)+(Dashboard!$C$8*'Equity and Bond Returns'!GB32)</f>
        <v>-7.7882601445481703E-2</v>
      </c>
      <c r="BS32" s="122">
        <f ca="1">(Dashboard!$C$7*'Equity and Bond Returns'!CE32)+(Dashboard!$C$8*'Equity and Bond Returns'!GC32)</f>
        <v>2.157556292005041E-2</v>
      </c>
      <c r="BT32" s="122">
        <f ca="1">(Dashboard!$C$7*'Equity and Bond Returns'!CF32)+(Dashboard!$C$8*'Equity and Bond Returns'!GD32)</f>
        <v>0.2908714194914529</v>
      </c>
      <c r="BU32" s="122">
        <f ca="1">(Dashboard!$C$7*'Equity and Bond Returns'!CG32)+(Dashboard!$C$8*'Equity and Bond Returns'!GE32)</f>
        <v>0.14679854819996344</v>
      </c>
      <c r="BV32" s="122">
        <f ca="1">(Dashboard!$C$7*'Equity and Bond Returns'!CH32)+(Dashboard!$C$8*'Equity and Bond Returns'!GF32)</f>
        <v>9.3967941190119281E-2</v>
      </c>
      <c r="BW32" s="122">
        <f ca="1">(Dashboard!$C$7*'Equity and Bond Returns'!CI32)+(Dashboard!$C$8*'Equity and Bond Returns'!GG32)</f>
        <v>-0.1067780218332491</v>
      </c>
      <c r="BX32" s="122">
        <f ca="1">(Dashboard!$C$7*'Equity and Bond Returns'!CJ32)+(Dashboard!$C$8*'Equity and Bond Returns'!GH32)</f>
        <v>-2.335113094074967E-2</v>
      </c>
      <c r="BY32" s="122">
        <f ca="1">(Dashboard!$C$7*'Equity and Bond Returns'!CK32)+(Dashboard!$C$8*'Equity and Bond Returns'!GI32)</f>
        <v>0.10129614266395012</v>
      </c>
      <c r="BZ32" s="122">
        <f ca="1">(Dashboard!$C$7*'Equity and Bond Returns'!CL32)+(Dashboard!$C$8*'Equity and Bond Returns'!GJ32)</f>
        <v>-1.9355920187175871E-2</v>
      </c>
      <c r="CA32" s="122">
        <f ca="1">(Dashboard!$C$7*'Equity and Bond Returns'!CM32)+(Dashboard!$C$8*'Equity and Bond Returns'!GK32)</f>
        <v>3.7237859352186098E-2</v>
      </c>
      <c r="CB32" s="122">
        <f ca="1">(Dashboard!$C$7*'Equity and Bond Returns'!CN32)+(Dashboard!$C$8*'Equity and Bond Returns'!GL32)</f>
        <v>-9.1908122855241491E-3</v>
      </c>
      <c r="CC32" s="122">
        <f ca="1">(Dashboard!$C$7*'Equity and Bond Returns'!CO32)+(Dashboard!$C$8*'Equity and Bond Returns'!GM32)</f>
        <v>0.12085510420719348</v>
      </c>
      <c r="CD32" s="122">
        <f ca="1">(Dashboard!$C$7*'Equity and Bond Returns'!CP32)+(Dashboard!$C$8*'Equity and Bond Returns'!GN32)</f>
        <v>-5.9812342155664326E-2</v>
      </c>
      <c r="CE32" s="122">
        <f ca="1">(Dashboard!$C$7*'Equity and Bond Returns'!CQ32)+(Dashboard!$C$8*'Equity and Bond Returns'!GO32)</f>
        <v>-9.6219060167373176E-3</v>
      </c>
      <c r="CF32" s="122">
        <f ca="1">(Dashboard!$C$7*'Equity and Bond Returns'!CR32)+(Dashboard!$C$8*'Equity and Bond Returns'!GP32)</f>
        <v>0.41647109772152041</v>
      </c>
      <c r="CG32" s="122">
        <f ca="1">(Dashboard!$C$7*'Equity and Bond Returns'!CS32)+(Dashboard!$C$8*'Equity and Bond Returns'!GQ32)</f>
        <v>8.0674686867999626E-2</v>
      </c>
      <c r="CH32" s="122">
        <f ca="1">(Dashboard!$C$7*'Equity and Bond Returns'!CT32)+(Dashboard!$C$8*'Equity and Bond Returns'!GR32)</f>
        <v>0.15219170183677908</v>
      </c>
      <c r="CI32" s="122">
        <f ca="1">(Dashboard!$C$7*'Equity and Bond Returns'!CU32)+(Dashboard!$C$8*'Equity and Bond Returns'!GS32)</f>
        <v>-9.143683140081138E-2</v>
      </c>
      <c r="CJ32" s="122">
        <f ca="1">(Dashboard!$C$7*'Equity and Bond Returns'!CV32)+(Dashboard!$C$8*'Equity and Bond Returns'!GT32)</f>
        <v>0.18696002601829761</v>
      </c>
      <c r="CK32" s="122">
        <f ca="1">(Dashboard!$C$7*'Equity and Bond Returns'!CW32)+(Dashboard!$C$8*'Equity and Bond Returns'!GU32)</f>
        <v>3.3023010047278534E-2</v>
      </c>
      <c r="CL32" s="122">
        <f ca="1">(Dashboard!$C$7*'Equity and Bond Returns'!CX32)+(Dashboard!$C$8*'Equity and Bond Returns'!GV32)</f>
        <v>-1.5854692929788444E-2</v>
      </c>
      <c r="CM32" s="122">
        <f ca="1">(Dashboard!$C$7*'Equity and Bond Returns'!CY32)+(Dashboard!$C$8*'Equity and Bond Returns'!GW32)</f>
        <v>8.8803636258698096E-2</v>
      </c>
      <c r="CN32" s="122">
        <f ca="1">(Dashboard!$C$7*'Equity and Bond Returns'!CZ32)+(Dashboard!$C$8*'Equity and Bond Returns'!GX32)</f>
        <v>-0.10500333273270208</v>
      </c>
      <c r="CO32" s="122">
        <f ca="1">(Dashboard!$C$7*'Equity and Bond Returns'!DA32)+(Dashboard!$C$8*'Equity and Bond Returns'!GY32)</f>
        <v>-9.7120857511819356E-2</v>
      </c>
      <c r="CP32" s="122">
        <f ca="1">(Dashboard!$C$7*'Equity and Bond Returns'!DB32)+(Dashboard!$C$8*'Equity and Bond Returns'!GZ32)</f>
        <v>0.25907601140784448</v>
      </c>
      <c r="CQ32" s="122">
        <f ca="1">(Dashboard!$C$7*'Equity and Bond Returns'!DC32)+(Dashboard!$C$8*'Equity and Bond Returns'!HA32)</f>
        <v>0.57172673043216371</v>
      </c>
      <c r="CR32" s="122">
        <f ca="1">(Dashboard!$C$7*'Equity and Bond Returns'!DD32)+(Dashboard!$C$8*'Equity and Bond Returns'!HB32)</f>
        <v>0.36658537314616302</v>
      </c>
      <c r="CS32" s="122">
        <f ca="1">(Dashboard!$C$7*'Equity and Bond Returns'!DE32)+(Dashboard!$C$8*'Equity and Bond Returns'!HC32)</f>
        <v>5.1517315302306001E-2</v>
      </c>
      <c r="CT32" s="122">
        <f ca="1">(Dashboard!$C$7*'Equity and Bond Returns'!DF32)+(Dashboard!$C$8*'Equity and Bond Returns'!HD32)</f>
        <v>0.10810455203872552</v>
      </c>
      <c r="CU32" s="122">
        <f ca="1">(Dashboard!$C$7*'Equity and Bond Returns'!DG32)+(Dashboard!$C$8*'Equity and Bond Returns'!HE32)</f>
        <v>0.1285915783194507</v>
      </c>
      <c r="CV32" s="122">
        <f ca="1">(Dashboard!$C$7*'Equity and Bond Returns'!DH32)+(Dashboard!$C$8*'Equity and Bond Returns'!HF32)</f>
        <v>0.21902079585193407</v>
      </c>
      <c r="CW32" s="122">
        <f ca="1">(Dashboard!$C$7*'Equity and Bond Returns'!DI32)+(Dashboard!$C$8*'Equity and Bond Returns'!HG32)</f>
        <v>8.5172223738358699E-2</v>
      </c>
      <c r="CY32" s="147">
        <f t="shared" si="5"/>
        <v>81</v>
      </c>
      <c r="CZ32" s="148">
        <v>31</v>
      </c>
      <c r="DA32" s="126">
        <f ca="1">MAX(DA31*(1+B32)-(Dashboard!$C$11)/(1-Dashboard!$C$17)*((1+Dashboard!$C$12)^$CZ32),0)</f>
        <v>21829701.123857096</v>
      </c>
      <c r="DB32" s="126">
        <f ca="1">MAX(DB31*(1+C32)-(Dashboard!$C$11)/(1-Dashboard!$C$17)*((1+Dashboard!$C$12)^$CZ32),0)</f>
        <v>0</v>
      </c>
      <c r="DC32" s="126">
        <f ca="1">MAX(DC31*(1+D32)-(Dashboard!$C$11)/(1-Dashboard!$C$17)*((1+Dashboard!$C$12)^$CZ32),0)</f>
        <v>5603852.9921701392</v>
      </c>
      <c r="DD32" s="126">
        <f ca="1">MAX(DD31*(1+E32)-(Dashboard!$C$11)/(1-Dashboard!$C$17)*((1+Dashboard!$C$12)^$CZ32),0)</f>
        <v>1552891.3714955626</v>
      </c>
      <c r="DE32" s="126">
        <f ca="1">MAX(DE31*(1+F32)-(Dashboard!$C$11)/(1-Dashboard!$C$17)*((1+Dashboard!$C$12)^$CZ32),0)</f>
        <v>6144918.4666542485</v>
      </c>
      <c r="DF32" s="126">
        <f ca="1">MAX(DF31*(1+G32)-(Dashboard!$C$11)/(1-Dashboard!$C$17)*((1+Dashboard!$C$12)^$CZ32),0)</f>
        <v>15861599.005587982</v>
      </c>
      <c r="DG32" s="126">
        <f ca="1">MAX(DG31*(1+H32)-(Dashboard!$C$11)/(1-Dashboard!$C$17)*((1+Dashboard!$C$12)^$CZ32),0)</f>
        <v>1264498.8471237582</v>
      </c>
      <c r="DH32" s="126">
        <f ca="1">MAX(DH31*(1+I32)-(Dashboard!$C$11)/(1-Dashboard!$C$17)*((1+Dashboard!$C$12)^$CZ32),0)</f>
        <v>11674779.324257137</v>
      </c>
      <c r="DI32" s="126">
        <f ca="1">MAX(DI31*(1+J32)-(Dashboard!$C$11)/(1-Dashboard!$C$17)*((1+Dashboard!$C$12)^$CZ32),0)</f>
        <v>4061053.684802047</v>
      </c>
      <c r="DJ32" s="126">
        <f ca="1">MAX(DJ31*(1+K32)-(Dashboard!$C$11)/(1-Dashboard!$C$17)*((1+Dashboard!$C$12)^$CZ32),0)</f>
        <v>5684556.4374507386</v>
      </c>
      <c r="DK32" s="126">
        <f ca="1">MAX(DK31*(1+L32)-(Dashboard!$C$11)/(1-Dashboard!$C$17)*((1+Dashboard!$C$12)^$CZ32),0)</f>
        <v>22332310.730996098</v>
      </c>
      <c r="DL32" s="126">
        <f ca="1">MAX(DL31*(1+M32)-(Dashboard!$C$11)/(1-Dashboard!$C$17)*((1+Dashboard!$C$12)^$CZ32),0)</f>
        <v>673576.49097225058</v>
      </c>
      <c r="DM32" s="126">
        <f ca="1">MAX(DM31*(1+N32)-(Dashboard!$C$11)/(1-Dashboard!$C$17)*((1+Dashboard!$C$12)^$CZ32),0)</f>
        <v>7758140.8071233733</v>
      </c>
      <c r="DN32" s="126">
        <f ca="1">MAX(DN31*(1+O32)-(Dashboard!$C$11)/(1-Dashboard!$C$17)*((1+Dashboard!$C$12)^$CZ32),0)</f>
        <v>21351179.417271391</v>
      </c>
      <c r="DO32" s="126">
        <f ca="1">MAX(DO31*(1+P32)-(Dashboard!$C$11)/(1-Dashboard!$C$17)*((1+Dashboard!$C$12)^$CZ32),0)</f>
        <v>3282865.8620041409</v>
      </c>
      <c r="DP32" s="126">
        <f ca="1">MAX(DP31*(1+Q32)-(Dashboard!$C$11)/(1-Dashboard!$C$17)*((1+Dashboard!$C$12)^$CZ32),0)</f>
        <v>3353514.3051512814</v>
      </c>
      <c r="DQ32" s="126">
        <f ca="1">MAX(DQ31*(1+R32)-(Dashboard!$C$11)/(1-Dashboard!$C$17)*((1+Dashboard!$C$12)^$CZ32),0)</f>
        <v>10368551.722721338</v>
      </c>
      <c r="DR32" s="126">
        <f ca="1">MAX(DR31*(1+S32)-(Dashboard!$C$11)/(1-Dashboard!$C$17)*((1+Dashboard!$C$12)^$CZ32),0)</f>
        <v>15891127.461002192</v>
      </c>
      <c r="DS32" s="126">
        <f ca="1">MAX(DS31*(1+T32)-(Dashboard!$C$11)/(1-Dashboard!$C$17)*((1+Dashboard!$C$12)^$CZ32),0)</f>
        <v>1403227.0323824387</v>
      </c>
      <c r="DT32" s="126">
        <f ca="1">MAX(DT31*(1+U32)-(Dashboard!$C$11)/(1-Dashboard!$C$17)*((1+Dashboard!$C$12)^$CZ32),0)</f>
        <v>4751498.2625807412</v>
      </c>
      <c r="DU32" s="126">
        <f ca="1">MAX(DU31*(1+V32)-(Dashboard!$C$11)/(1-Dashboard!$C$17)*((1+Dashboard!$C$12)^$CZ32),0)</f>
        <v>6247473.3458833098</v>
      </c>
      <c r="DV32" s="126">
        <f ca="1">MAX(DV31*(1+W32)-(Dashboard!$C$11)/(1-Dashboard!$C$17)*((1+Dashboard!$C$12)^$CZ32),0)</f>
        <v>22389509.103157878</v>
      </c>
      <c r="DW32" s="126">
        <f ca="1">MAX(DW31*(1+X32)-(Dashboard!$C$11)/(1-Dashboard!$C$17)*((1+Dashboard!$C$12)^$CZ32),0)</f>
        <v>5892679.7202810375</v>
      </c>
      <c r="DX32" s="126">
        <f ca="1">MAX(DX31*(1+Y32)-(Dashboard!$C$11)/(1-Dashboard!$C$17)*((1+Dashboard!$C$12)^$CZ32),0)</f>
        <v>3508638.8500072551</v>
      </c>
      <c r="DY32" s="126">
        <f ca="1">MAX(DY31*(1+Z32)-(Dashboard!$C$11)/(1-Dashboard!$C$17)*((1+Dashboard!$C$12)^$CZ32),0)</f>
        <v>8850631.5642443709</v>
      </c>
      <c r="DZ32" s="126">
        <f ca="1">MAX(DZ31*(1+AA32)-(Dashboard!$C$11)/(1-Dashboard!$C$17)*((1+Dashboard!$C$12)^$CZ32),0)</f>
        <v>914404.22223899153</v>
      </c>
      <c r="EA32" s="126">
        <f ca="1">MAX(EA31*(1+AB32)-(Dashboard!$C$11)/(1-Dashboard!$C$17)*((1+Dashboard!$C$12)^$CZ32),0)</f>
        <v>6234617.0173114259</v>
      </c>
      <c r="EB32" s="126">
        <f ca="1">MAX(EB31*(1+AC32)-(Dashboard!$C$11)/(1-Dashboard!$C$17)*((1+Dashboard!$C$12)^$CZ32),0)</f>
        <v>7844001.6907006074</v>
      </c>
      <c r="EC32" s="126">
        <f ca="1">MAX(EC31*(1+AD32)-(Dashboard!$C$11)/(1-Dashboard!$C$17)*((1+Dashboard!$C$12)^$CZ32),0)</f>
        <v>7501535.263879058</v>
      </c>
      <c r="ED32" s="126">
        <f ca="1">MAX(ED31*(1+AE32)-(Dashboard!$C$11)/(1-Dashboard!$C$17)*((1+Dashboard!$C$12)^$CZ32),0)</f>
        <v>5312483.5380600272</v>
      </c>
      <c r="EE32" s="126">
        <f ca="1">MAX(EE31*(1+AF32)-(Dashboard!$C$11)/(1-Dashboard!$C$17)*((1+Dashboard!$C$12)^$CZ32),0)</f>
        <v>11410861.903864766</v>
      </c>
      <c r="EF32" s="126">
        <f ca="1">MAX(EF31*(1+AG32)-(Dashboard!$C$11)/(1-Dashboard!$C$17)*((1+Dashboard!$C$12)^$CZ32),0)</f>
        <v>1684787.8724849778</v>
      </c>
      <c r="EG32" s="126">
        <f ca="1">MAX(EG31*(1+AH32)-(Dashboard!$C$11)/(1-Dashboard!$C$17)*((1+Dashboard!$C$12)^$CZ32),0)</f>
        <v>8865048.9492591899</v>
      </c>
      <c r="EH32" s="126">
        <f ca="1">MAX(EH31*(1+AI32)-(Dashboard!$C$11)/(1-Dashboard!$C$17)*((1+Dashboard!$C$12)^$CZ32),0)</f>
        <v>14986582.258686284</v>
      </c>
      <c r="EI32" s="126">
        <f ca="1">MAX(EI31*(1+AJ32)-(Dashboard!$C$11)/(1-Dashboard!$C$17)*((1+Dashboard!$C$12)^$CZ32),0)</f>
        <v>410128.36675508996</v>
      </c>
      <c r="EJ32" s="126">
        <f ca="1">MAX(EJ31*(1+AK32)-(Dashboard!$C$11)/(1-Dashboard!$C$17)*((1+Dashboard!$C$12)^$CZ32),0)</f>
        <v>8761251.8918126449</v>
      </c>
      <c r="EK32" s="126">
        <f ca="1">MAX(EK31*(1+AL32)-(Dashboard!$C$11)/(1-Dashboard!$C$17)*((1+Dashboard!$C$12)^$CZ32),0)</f>
        <v>7998542.5102652702</v>
      </c>
      <c r="EL32" s="126">
        <f ca="1">MAX(EL31*(1+AM32)-(Dashboard!$C$11)/(1-Dashboard!$C$17)*((1+Dashboard!$C$12)^$CZ32),0)</f>
        <v>1742451.0071113228</v>
      </c>
      <c r="EM32" s="126">
        <f ca="1">MAX(EM31*(1+AN32)-(Dashboard!$C$11)/(1-Dashboard!$C$17)*((1+Dashboard!$C$12)^$CZ32),0)</f>
        <v>13311970.156190043</v>
      </c>
      <c r="EN32" s="126">
        <f ca="1">MAX(EN31*(1+AO32)-(Dashboard!$C$11)/(1-Dashboard!$C$17)*((1+Dashboard!$C$12)^$CZ32),0)</f>
        <v>2809414.0326858484</v>
      </c>
      <c r="EO32" s="126">
        <f ca="1">MAX(EO31*(1+AP32)-(Dashboard!$C$11)/(1-Dashboard!$C$17)*((1+Dashboard!$C$12)^$CZ32),0)</f>
        <v>280390.07611889433</v>
      </c>
      <c r="EP32" s="126">
        <f ca="1">MAX(EP31*(1+AQ32)-(Dashboard!$C$11)/(1-Dashboard!$C$17)*((1+Dashboard!$C$12)^$CZ32),0)</f>
        <v>3533377.7753608902</v>
      </c>
      <c r="EQ32" s="126">
        <f ca="1">MAX(EQ31*(1+AR32)-(Dashboard!$C$11)/(1-Dashboard!$C$17)*((1+Dashboard!$C$12)^$CZ32),0)</f>
        <v>3948419.4871726902</v>
      </c>
      <c r="ER32" s="126">
        <f ca="1">MAX(ER31*(1+AS32)-(Dashboard!$C$11)/(1-Dashboard!$C$17)*((1+Dashboard!$C$12)^$CZ32),0)</f>
        <v>1439043.1050274079</v>
      </c>
      <c r="ES32" s="126">
        <f ca="1">MAX(ES31*(1+AT32)-(Dashboard!$C$11)/(1-Dashboard!$C$17)*((1+Dashboard!$C$12)^$CZ32),0)</f>
        <v>7739796.5278054355</v>
      </c>
      <c r="ET32" s="126">
        <f ca="1">MAX(ET31*(1+AU32)-(Dashboard!$C$11)/(1-Dashboard!$C$17)*((1+Dashboard!$C$12)^$CZ32),0)</f>
        <v>5188971.7118482077</v>
      </c>
      <c r="EU32" s="126">
        <f ca="1">MAX(EU31*(1+AV32)-(Dashboard!$C$11)/(1-Dashboard!$C$17)*((1+Dashboard!$C$12)^$CZ32),0)</f>
        <v>3195745.1349323532</v>
      </c>
      <c r="EV32" s="126">
        <f ca="1">MAX(EV31*(1+AW32)-(Dashboard!$C$11)/(1-Dashboard!$C$17)*((1+Dashboard!$C$12)^$CZ32),0)</f>
        <v>35746994.525266059</v>
      </c>
      <c r="EW32" s="126">
        <f ca="1">MAX(EW31*(1+AX32)-(Dashboard!$C$11)/(1-Dashboard!$C$17)*((1+Dashboard!$C$12)^$CZ32),0)</f>
        <v>1935048.1947101729</v>
      </c>
      <c r="EX32" s="126">
        <f ca="1">MAX(EX31*(1+AY32)-(Dashboard!$C$11)/(1-Dashboard!$C$17)*((1+Dashboard!$C$12)^$CZ32),0)</f>
        <v>5700838.3558384674</v>
      </c>
      <c r="EY32" s="126">
        <f ca="1">MAX(EY31*(1+AZ32)-(Dashboard!$C$11)/(1-Dashboard!$C$17)*((1+Dashboard!$C$12)^$CZ32),0)</f>
        <v>14403716.825161792</v>
      </c>
      <c r="EZ32" s="126">
        <f ca="1">MAX(EZ31*(1+BA32)-(Dashboard!$C$11)/(1-Dashboard!$C$17)*((1+Dashboard!$C$12)^$CZ32),0)</f>
        <v>6460101.5534096481</v>
      </c>
      <c r="FA32" s="126">
        <f ca="1">MAX(FA31*(1+BB32)-(Dashboard!$C$11)/(1-Dashboard!$C$17)*((1+Dashboard!$C$12)^$CZ32),0)</f>
        <v>13929910.208916295</v>
      </c>
      <c r="FB32" s="126">
        <f ca="1">MAX(FB31*(1+BC32)-(Dashboard!$C$11)/(1-Dashboard!$C$17)*((1+Dashboard!$C$12)^$CZ32),0)</f>
        <v>685549.25915731431</v>
      </c>
      <c r="FC32" s="126">
        <f ca="1">MAX(FC31*(1+BD32)-(Dashboard!$C$11)/(1-Dashboard!$C$17)*((1+Dashboard!$C$12)^$CZ32),0)</f>
        <v>12257941.213598922</v>
      </c>
      <c r="FD32" s="126">
        <f ca="1">MAX(FD31*(1+BE32)-(Dashboard!$C$11)/(1-Dashboard!$C$17)*((1+Dashboard!$C$12)^$CZ32),0)</f>
        <v>16305428.923048543</v>
      </c>
      <c r="FE32" s="126">
        <f ca="1">MAX(FE31*(1+BF32)-(Dashboard!$C$11)/(1-Dashboard!$C$17)*((1+Dashboard!$C$12)^$CZ32),0)</f>
        <v>26809423.315344065</v>
      </c>
      <c r="FF32" s="126">
        <f ca="1">MAX(FF31*(1+BG32)-(Dashboard!$C$11)/(1-Dashboard!$C$17)*((1+Dashboard!$C$12)^$CZ32),0)</f>
        <v>5201208.9125480866</v>
      </c>
      <c r="FG32" s="126">
        <f ca="1">MAX(FG31*(1+BH32)-(Dashboard!$C$11)/(1-Dashboard!$C$17)*((1+Dashboard!$C$12)^$CZ32),0)</f>
        <v>4987533.6727852905</v>
      </c>
      <c r="FH32" s="126">
        <f ca="1">MAX(FH31*(1+BI32)-(Dashboard!$C$11)/(1-Dashboard!$C$17)*((1+Dashboard!$C$12)^$CZ32),0)</f>
        <v>3236607.1957876123</v>
      </c>
      <c r="FI32" s="126">
        <f ca="1">MAX(FI31*(1+BJ32)-(Dashboard!$C$11)/(1-Dashboard!$C$17)*((1+Dashboard!$C$12)^$CZ32),0)</f>
        <v>9917069.3726178985</v>
      </c>
      <c r="FJ32" s="126">
        <f ca="1">MAX(FJ31*(1+BK32)-(Dashboard!$C$11)/(1-Dashboard!$C$17)*((1+Dashboard!$C$12)^$CZ32),0)</f>
        <v>4622699.7270817989</v>
      </c>
      <c r="FK32" s="126">
        <f ca="1">MAX(FK31*(1+BL32)-(Dashboard!$C$11)/(1-Dashboard!$C$17)*((1+Dashboard!$C$12)^$CZ32),0)</f>
        <v>5657610.2013723971</v>
      </c>
      <c r="FL32" s="126">
        <f ca="1">MAX(FL31*(1+BM32)-(Dashboard!$C$11)/(1-Dashboard!$C$17)*((1+Dashboard!$C$12)^$CZ32),0)</f>
        <v>4015388.9661563174</v>
      </c>
      <c r="FM32" s="126">
        <f ca="1">MAX(FM31*(1+BN32)-(Dashboard!$C$11)/(1-Dashboard!$C$17)*((1+Dashboard!$C$12)^$CZ32),0)</f>
        <v>8349009.195789854</v>
      </c>
      <c r="FN32" s="126">
        <f ca="1">MAX(FN31*(1+BO32)-(Dashboard!$C$11)/(1-Dashboard!$C$17)*((1+Dashboard!$C$12)^$CZ32),0)</f>
        <v>131442.87895867246</v>
      </c>
      <c r="FO32" s="126">
        <f ca="1">MAX(FO31*(1+BP32)-(Dashboard!$C$11)/(1-Dashboard!$C$17)*((1+Dashboard!$C$12)^$CZ32),0)</f>
        <v>6957646.2334678182</v>
      </c>
      <c r="FP32" s="126">
        <f ca="1">MAX(FP31*(1+BQ32)-(Dashboard!$C$11)/(1-Dashboard!$C$17)*((1+Dashboard!$C$12)^$CZ32),0)</f>
        <v>5113467.7988036592</v>
      </c>
      <c r="FQ32" s="126">
        <f ca="1">MAX(FQ31*(1+BR32)-(Dashboard!$C$11)/(1-Dashboard!$C$17)*((1+Dashboard!$C$12)^$CZ32),0)</f>
        <v>3883078.1130010793</v>
      </c>
      <c r="FR32" s="126">
        <f ca="1">MAX(FR31*(1+BS32)-(Dashboard!$C$11)/(1-Dashboard!$C$17)*((1+Dashboard!$C$12)^$CZ32),0)</f>
        <v>7121404.1102783652</v>
      </c>
      <c r="FS32" s="126">
        <f ca="1">MAX(FS31*(1+BT32)-(Dashboard!$C$11)/(1-Dashboard!$C$17)*((1+Dashboard!$C$12)^$CZ32),0)</f>
        <v>9806372.8581529986</v>
      </c>
      <c r="FT32" s="126">
        <f ca="1">MAX(FT31*(1+BU32)-(Dashboard!$C$11)/(1-Dashboard!$C$17)*((1+Dashboard!$C$12)^$CZ32),0)</f>
        <v>1272157.3378197837</v>
      </c>
      <c r="FU32" s="126">
        <f ca="1">MAX(FU31*(1+BV32)-(Dashboard!$C$11)/(1-Dashboard!$C$17)*((1+Dashboard!$C$12)^$CZ32),0)</f>
        <v>2468202.4036298362</v>
      </c>
      <c r="FV32" s="126">
        <f ca="1">MAX(FV31*(1+BW32)-(Dashboard!$C$11)/(1-Dashboard!$C$17)*((1+Dashboard!$C$12)^$CZ32),0)</f>
        <v>4182584.4425975597</v>
      </c>
      <c r="FW32" s="126">
        <f ca="1">MAX(FW31*(1+BX32)-(Dashboard!$C$11)/(1-Dashboard!$C$17)*((1+Dashboard!$C$12)^$CZ32),0)</f>
        <v>4126094.1705506444</v>
      </c>
      <c r="FX32" s="126">
        <f ca="1">MAX(FX31*(1+BY32)-(Dashboard!$C$11)/(1-Dashboard!$C$17)*((1+Dashboard!$C$12)^$CZ32),0)</f>
        <v>1143419.5011025313</v>
      </c>
      <c r="FY32" s="126">
        <f ca="1">MAX(FY31*(1+BZ32)-(Dashboard!$C$11)/(1-Dashboard!$C$17)*((1+Dashboard!$C$12)^$CZ32),0)</f>
        <v>2594409.1642421805</v>
      </c>
      <c r="FZ32" s="126">
        <f ca="1">MAX(FZ31*(1+CA32)-(Dashboard!$C$11)/(1-Dashboard!$C$17)*((1+Dashboard!$C$12)^$CZ32),0)</f>
        <v>12924373.373828879</v>
      </c>
      <c r="GA32" s="126">
        <f ca="1">MAX(GA31*(1+CB32)-(Dashboard!$C$11)/(1-Dashboard!$C$17)*((1+Dashboard!$C$12)^$CZ32),0)</f>
        <v>10139506.441743307</v>
      </c>
      <c r="GB32" s="126">
        <f ca="1">MAX(GB31*(1+CC32)-(Dashboard!$C$11)/(1-Dashboard!$C$17)*((1+Dashboard!$C$12)^$CZ32),0)</f>
        <v>3527499.2876859447</v>
      </c>
      <c r="GC32" s="126">
        <f ca="1">MAX(GC31*(1+CD32)-(Dashboard!$C$11)/(1-Dashboard!$C$17)*((1+Dashboard!$C$12)^$CZ32),0)</f>
        <v>8090014.8254902689</v>
      </c>
      <c r="GD32" s="126">
        <f ca="1">MAX(GD31*(1+CE32)-(Dashboard!$C$11)/(1-Dashboard!$C$17)*((1+Dashboard!$C$12)^$CZ32),0)</f>
        <v>29985149.946816817</v>
      </c>
      <c r="GE32" s="126">
        <f ca="1">MAX(GE31*(1+CF32)-(Dashboard!$C$11)/(1-Dashboard!$C$17)*((1+Dashboard!$C$12)^$CZ32),0)</f>
        <v>6133321.0646293592</v>
      </c>
      <c r="GF32" s="126">
        <f ca="1">MAX(GF31*(1+CG32)-(Dashboard!$C$11)/(1-Dashboard!$C$17)*((1+Dashboard!$C$12)^$CZ32),0)</f>
        <v>7241179.8336827634</v>
      </c>
      <c r="GG32" s="126">
        <f ca="1">MAX(GG31*(1+CH32)-(Dashboard!$C$11)/(1-Dashboard!$C$17)*((1+Dashboard!$C$12)^$CZ32),0)</f>
        <v>1421373.1289627035</v>
      </c>
      <c r="GH32" s="126">
        <f ca="1">MAX(GH31*(1+CI32)-(Dashboard!$C$11)/(1-Dashboard!$C$17)*((1+Dashboard!$C$12)^$CZ32),0)</f>
        <v>3251831.2709001619</v>
      </c>
      <c r="GI32" s="126">
        <f ca="1">MAX(GI31*(1+CJ32)-(Dashboard!$C$11)/(1-Dashboard!$C$17)*((1+Dashboard!$C$12)^$CZ32),0)</f>
        <v>4741398.7121693958</v>
      </c>
      <c r="GJ32" s="126">
        <f ca="1">MAX(GJ31*(1+CK32)-(Dashboard!$C$11)/(1-Dashboard!$C$17)*((1+Dashboard!$C$12)^$CZ32),0)</f>
        <v>25074548.689780593</v>
      </c>
      <c r="GK32" s="126">
        <f ca="1">MAX(GK31*(1+CL32)-(Dashboard!$C$11)/(1-Dashboard!$C$17)*((1+Dashboard!$C$12)^$CZ32),0)</f>
        <v>5396447.3746301597</v>
      </c>
      <c r="GL32" s="126">
        <f ca="1">MAX(GL31*(1+CM32)-(Dashboard!$C$11)/(1-Dashboard!$C$17)*((1+Dashboard!$C$12)^$CZ32),0)</f>
        <v>8708926.4810909014</v>
      </c>
      <c r="GM32" s="126">
        <f ca="1">MAX(GM31*(1+CN32)-(Dashboard!$C$11)/(1-Dashboard!$C$17)*((1+Dashboard!$C$12)^$CZ32),0)</f>
        <v>1700220.8978293859</v>
      </c>
      <c r="GN32" s="126">
        <f ca="1">MAX(GN31*(1+CO32)-(Dashboard!$C$11)/(1-Dashboard!$C$17)*((1+Dashboard!$C$12)^$CZ32),0)</f>
        <v>0</v>
      </c>
      <c r="GO32" s="126">
        <f ca="1">MAX(GO31*(1+CP32)-(Dashboard!$C$11)/(1-Dashboard!$C$17)*((1+Dashboard!$C$12)^$CZ32),0)</f>
        <v>7993142.1271270951</v>
      </c>
      <c r="GP32" s="126">
        <f ca="1">MAX(GP31*(1+CQ32)-(Dashboard!$C$11)/(1-Dashboard!$C$17)*((1+Dashboard!$C$12)^$CZ32),0)</f>
        <v>10840372.187944796</v>
      </c>
      <c r="GQ32" s="126">
        <f ca="1">MAX(GQ31*(1+CR32)-(Dashboard!$C$11)/(1-Dashboard!$C$17)*((1+Dashboard!$C$12)^$CZ32),0)</f>
        <v>828765.55051521922</v>
      </c>
      <c r="GR32" s="126">
        <f ca="1">MAX(GR31*(1+CS32)-(Dashboard!$C$11)/(1-Dashboard!$C$17)*((1+Dashboard!$C$12)^$CZ32),0)</f>
        <v>4423378.0379364388</v>
      </c>
      <c r="GS32" s="126">
        <f ca="1">MAX(GS31*(1+CT32)-(Dashboard!$C$11)/(1-Dashboard!$C$17)*((1+Dashboard!$C$12)^$CZ32),0)</f>
        <v>7645070.965683151</v>
      </c>
      <c r="GT32" s="126">
        <f ca="1">MAX(GT31*(1+CU32)-(Dashboard!$C$11)/(1-Dashboard!$C$17)*((1+Dashboard!$C$12)^$CZ32),0)</f>
        <v>25061400.61298405</v>
      </c>
      <c r="GU32" s="126">
        <f ca="1">MAX(GU31*(1+CV32)-(Dashboard!$C$11)/(1-Dashboard!$C$17)*((1+Dashboard!$C$12)^$CZ32),0)</f>
        <v>3808245.5155002284</v>
      </c>
      <c r="GV32" s="126">
        <f ca="1">MAX(GV31*(1+CW32)-(Dashboard!$C$11)/(1-Dashboard!$C$17)*((1+Dashboard!$C$12)^$CZ32),0)</f>
        <v>2275858.6361881644</v>
      </c>
      <c r="GW32" s="115">
        <f t="shared" si="4"/>
        <v>81</v>
      </c>
      <c r="GX32" s="130">
        <f t="shared" ca="1" si="2"/>
        <v>98</v>
      </c>
      <c r="HC32" s="130">
        <f t="shared" si="0"/>
        <v>81</v>
      </c>
      <c r="HD32" s="137">
        <f t="shared" ca="1" si="6"/>
        <v>2905996.8082474745</v>
      </c>
      <c r="HE32" s="137">
        <f t="shared" ca="1" si="6"/>
        <v>5500150.1834001495</v>
      </c>
      <c r="HF32" s="137">
        <f t="shared" ca="1" si="6"/>
        <v>8861444.6030054856</v>
      </c>
    </row>
    <row r="33" spans="1:214" ht="16">
      <c r="A33" s="145">
        <f t="shared" si="3"/>
        <v>82</v>
      </c>
      <c r="B33" s="122">
        <f ca="1">(Dashboard!$C$7*'Equity and Bond Returns'!N33)+(Dashboard!$C$8*'Equity and Bond Returns'!DL33)</f>
        <v>0.10349365901318346</v>
      </c>
      <c r="C33" s="122">
        <f ca="1">(Dashboard!$C$7*'Equity and Bond Returns'!O33)+(Dashboard!$C$8*'Equity and Bond Returns'!DM33)</f>
        <v>4.8495680581898633E-2</v>
      </c>
      <c r="D33" s="122">
        <f ca="1">(Dashboard!$C$7*'Equity and Bond Returns'!P33)+(Dashboard!$C$8*'Equity and Bond Returns'!DN33)</f>
        <v>0.16407534039149069</v>
      </c>
      <c r="E33" s="122">
        <f ca="1">(Dashboard!$C$7*'Equity and Bond Returns'!Q33)+(Dashboard!$C$8*'Equity and Bond Returns'!DO33)</f>
        <v>-0.13080538752744528</v>
      </c>
      <c r="F33" s="122">
        <f ca="1">(Dashboard!$C$7*'Equity and Bond Returns'!R33)+(Dashboard!$C$8*'Equity and Bond Returns'!DP33)</f>
        <v>-5.6286690453247142E-2</v>
      </c>
      <c r="G33" s="122">
        <f ca="1">(Dashboard!$C$7*'Equity and Bond Returns'!S33)+(Dashboard!$C$8*'Equity and Bond Returns'!DQ33)</f>
        <v>-7.4971484241271619E-2</v>
      </c>
      <c r="H33" s="122">
        <f ca="1">(Dashboard!$C$7*'Equity and Bond Returns'!T33)+(Dashboard!$C$8*'Equity and Bond Returns'!DR33)</f>
        <v>-0.20162188088995364</v>
      </c>
      <c r="I33" s="122">
        <f ca="1">(Dashboard!$C$7*'Equity and Bond Returns'!U33)+(Dashboard!$C$8*'Equity and Bond Returns'!DS33)</f>
        <v>7.6826235184706299E-2</v>
      </c>
      <c r="J33" s="122">
        <f ca="1">(Dashboard!$C$7*'Equity and Bond Returns'!V33)+(Dashboard!$C$8*'Equity and Bond Returns'!DT33)</f>
        <v>0.15687688001844105</v>
      </c>
      <c r="K33" s="122">
        <f ca="1">(Dashboard!$C$7*'Equity and Bond Returns'!W33)+(Dashboard!$C$8*'Equity and Bond Returns'!DU33)</f>
        <v>-2.374839277668387E-2</v>
      </c>
      <c r="L33" s="122">
        <f ca="1">(Dashboard!$C$7*'Equity and Bond Returns'!X33)+(Dashboard!$C$8*'Equity and Bond Returns'!DV33)</f>
        <v>-5.5382098762405192E-2</v>
      </c>
      <c r="M33" s="122">
        <f ca="1">(Dashboard!$C$7*'Equity and Bond Returns'!Y33)+(Dashboard!$C$8*'Equity and Bond Returns'!DW33)</f>
        <v>0.14974142657000494</v>
      </c>
      <c r="N33" s="122">
        <f ca="1">(Dashboard!$C$7*'Equity and Bond Returns'!Z33)+(Dashboard!$C$8*'Equity and Bond Returns'!DX33)</f>
        <v>-5.2726383475442708E-2</v>
      </c>
      <c r="O33" s="122">
        <f ca="1">(Dashboard!$C$7*'Equity and Bond Returns'!AA33)+(Dashboard!$C$8*'Equity and Bond Returns'!DY33)</f>
        <v>0.12991790769001299</v>
      </c>
      <c r="P33" s="122">
        <f ca="1">(Dashboard!$C$7*'Equity and Bond Returns'!AB33)+(Dashboard!$C$8*'Equity and Bond Returns'!DZ33)</f>
        <v>-4.7521804140592719E-2</v>
      </c>
      <c r="Q33" s="122">
        <f ca="1">(Dashboard!$C$7*'Equity and Bond Returns'!AC33)+(Dashboard!$C$8*'Equity and Bond Returns'!EA33)</f>
        <v>7.6334739493318267E-4</v>
      </c>
      <c r="R33" s="122">
        <f ca="1">(Dashboard!$C$7*'Equity and Bond Returns'!AD33)+(Dashboard!$C$8*'Equity and Bond Returns'!EB33)</f>
        <v>-2.8803303060496728E-2</v>
      </c>
      <c r="S33" s="122">
        <f ca="1">(Dashboard!$C$7*'Equity and Bond Returns'!AE33)+(Dashboard!$C$8*'Equity and Bond Returns'!EC33)</f>
        <v>0.10947786929844952</v>
      </c>
      <c r="T33" s="122">
        <f ca="1">(Dashboard!$C$7*'Equity and Bond Returns'!AF33)+(Dashboard!$C$8*'Equity and Bond Returns'!ED33)</f>
        <v>3.5550130019521349E-2</v>
      </c>
      <c r="U33" s="122">
        <f ca="1">(Dashboard!$C$7*'Equity and Bond Returns'!AG33)+(Dashboard!$C$8*'Equity and Bond Returns'!EE33)</f>
        <v>-0.33994691644296426</v>
      </c>
      <c r="V33" s="122">
        <f ca="1">(Dashboard!$C$7*'Equity and Bond Returns'!AH33)+(Dashboard!$C$8*'Equity and Bond Returns'!EF33)</f>
        <v>0.110294024135835</v>
      </c>
      <c r="W33" s="122">
        <f ca="1">(Dashboard!$C$7*'Equity and Bond Returns'!AI33)+(Dashboard!$C$8*'Equity and Bond Returns'!EG33)</f>
        <v>0.26725026929391438</v>
      </c>
      <c r="X33" s="122">
        <f ca="1">(Dashboard!$C$7*'Equity and Bond Returns'!AJ33)+(Dashboard!$C$8*'Equity and Bond Returns'!EH33)</f>
        <v>-8.4444765433091706E-2</v>
      </c>
      <c r="Y33" s="122">
        <f ca="1">(Dashboard!$C$7*'Equity and Bond Returns'!AK33)+(Dashboard!$C$8*'Equity and Bond Returns'!EI33)</f>
        <v>4.9518446800600802E-2</v>
      </c>
      <c r="Z33" s="122">
        <f ca="1">(Dashboard!$C$7*'Equity and Bond Returns'!AL33)+(Dashboard!$C$8*'Equity and Bond Returns'!EJ33)</f>
        <v>0.11719309591409599</v>
      </c>
      <c r="AA33" s="122">
        <f ca="1">(Dashboard!$C$7*'Equity and Bond Returns'!AM33)+(Dashboard!$C$8*'Equity and Bond Returns'!EK33)</f>
        <v>3.1928104939638359E-2</v>
      </c>
      <c r="AB33" s="122">
        <f ca="1">(Dashboard!$C$7*'Equity and Bond Returns'!AN33)+(Dashboard!$C$8*'Equity and Bond Returns'!EL33)</f>
        <v>7.1790596088975103E-2</v>
      </c>
      <c r="AC33" s="122">
        <f ca="1">(Dashboard!$C$7*'Equity and Bond Returns'!AO33)+(Dashboard!$C$8*'Equity and Bond Returns'!EM33)</f>
        <v>0.12097973747642436</v>
      </c>
      <c r="AD33" s="122">
        <f ca="1">(Dashboard!$C$7*'Equity and Bond Returns'!AP33)+(Dashboard!$C$8*'Equity and Bond Returns'!EN33)</f>
        <v>0.15045888715140748</v>
      </c>
      <c r="AE33" s="122">
        <f ca="1">(Dashboard!$C$7*'Equity and Bond Returns'!AQ33)+(Dashboard!$C$8*'Equity and Bond Returns'!EO33)</f>
        <v>-5.5282346279213579E-2</v>
      </c>
      <c r="AF33" s="122">
        <f ca="1">(Dashboard!$C$7*'Equity and Bond Returns'!AR33)+(Dashboard!$C$8*'Equity and Bond Returns'!EP33)</f>
        <v>4.9020628466335425E-2</v>
      </c>
      <c r="AG33" s="122">
        <f ca="1">(Dashboard!$C$7*'Equity and Bond Returns'!AS33)+(Dashboard!$C$8*'Equity and Bond Returns'!EQ33)</f>
        <v>5.7974160366595509E-3</v>
      </c>
      <c r="AH33" s="122">
        <f ca="1">(Dashboard!$C$7*'Equity and Bond Returns'!AT33)+(Dashboard!$C$8*'Equity and Bond Returns'!ER33)</f>
        <v>-7.9881010751741505E-2</v>
      </c>
      <c r="AI33" s="122">
        <f ca="1">(Dashboard!$C$7*'Equity and Bond Returns'!AU33)+(Dashboard!$C$8*'Equity and Bond Returns'!ES33)</f>
        <v>0.15791583833639641</v>
      </c>
      <c r="AJ33" s="122">
        <f ca="1">(Dashboard!$C$7*'Equity and Bond Returns'!AV33)+(Dashboard!$C$8*'Equity and Bond Returns'!ET33)</f>
        <v>5.5216467346535292E-2</v>
      </c>
      <c r="AK33" s="122">
        <f ca="1">(Dashboard!$C$7*'Equity and Bond Returns'!AW33)+(Dashboard!$C$8*'Equity and Bond Returns'!EU33)</f>
        <v>-3.641847585563248E-2</v>
      </c>
      <c r="AL33" s="122">
        <f ca="1">(Dashboard!$C$7*'Equity and Bond Returns'!AX33)+(Dashboard!$C$8*'Equity and Bond Returns'!EV33)</f>
        <v>0.15406728805619999</v>
      </c>
      <c r="AM33" s="122">
        <f ca="1">(Dashboard!$C$7*'Equity and Bond Returns'!AY33)+(Dashboard!$C$8*'Equity and Bond Returns'!EW33)</f>
        <v>0.13735597800772562</v>
      </c>
      <c r="AN33" s="122">
        <f ca="1">(Dashboard!$C$7*'Equity and Bond Returns'!AZ33)+(Dashboard!$C$8*'Equity and Bond Returns'!EX33)</f>
        <v>4.0075252528755288E-2</v>
      </c>
      <c r="AO33" s="122">
        <f ca="1">(Dashboard!$C$7*'Equity and Bond Returns'!BA33)+(Dashboard!$C$8*'Equity and Bond Returns'!EY33)</f>
        <v>-0.24220993425694839</v>
      </c>
      <c r="AP33" s="122">
        <f ca="1">(Dashboard!$C$7*'Equity and Bond Returns'!BB33)+(Dashboard!$C$8*'Equity and Bond Returns'!EZ33)</f>
        <v>0.10377656261783566</v>
      </c>
      <c r="AQ33" s="122">
        <f ca="1">(Dashboard!$C$7*'Equity and Bond Returns'!BC33)+(Dashboard!$C$8*'Equity and Bond Returns'!FA33)</f>
        <v>5.9986395691840895E-2</v>
      </c>
      <c r="AR33" s="122">
        <f ca="1">(Dashboard!$C$7*'Equity and Bond Returns'!BD33)+(Dashboard!$C$8*'Equity and Bond Returns'!FB33)</f>
        <v>4.9662674179258674E-2</v>
      </c>
      <c r="AS33" s="122">
        <f ca="1">(Dashboard!$C$7*'Equity and Bond Returns'!BE33)+(Dashboard!$C$8*'Equity and Bond Returns'!FC33)</f>
        <v>0.20516514685291404</v>
      </c>
      <c r="AT33" s="122">
        <f ca="1">(Dashboard!$C$7*'Equity and Bond Returns'!BF33)+(Dashboard!$C$8*'Equity and Bond Returns'!FD33)</f>
        <v>0.23493638158682839</v>
      </c>
      <c r="AU33" s="122">
        <f ca="1">(Dashboard!$C$7*'Equity and Bond Returns'!BG33)+(Dashboard!$C$8*'Equity and Bond Returns'!FE33)</f>
        <v>0.14691742162583535</v>
      </c>
      <c r="AV33" s="122">
        <f ca="1">(Dashboard!$C$7*'Equity and Bond Returns'!BH33)+(Dashboard!$C$8*'Equity and Bond Returns'!FF33)</f>
        <v>0.18945040417438094</v>
      </c>
      <c r="AW33" s="122">
        <f ca="1">(Dashboard!$C$7*'Equity and Bond Returns'!BI33)+(Dashboard!$C$8*'Equity and Bond Returns'!FG33)</f>
        <v>7.100559357089857E-2</v>
      </c>
      <c r="AX33" s="122">
        <f ca="1">(Dashboard!$C$7*'Equity and Bond Returns'!BJ33)+(Dashboard!$C$8*'Equity and Bond Returns'!FH33)</f>
        <v>3.9386024573303251E-2</v>
      </c>
      <c r="AY33" s="122">
        <f ca="1">(Dashboard!$C$7*'Equity and Bond Returns'!BK33)+(Dashboard!$C$8*'Equity and Bond Returns'!FI33)</f>
        <v>0.13628915596513569</v>
      </c>
      <c r="AZ33" s="122">
        <f ca="1">(Dashboard!$C$7*'Equity and Bond Returns'!BL33)+(Dashboard!$C$8*'Equity and Bond Returns'!FJ33)</f>
        <v>-6.1142986886395537E-2</v>
      </c>
      <c r="BA33" s="122">
        <f ca="1">(Dashboard!$C$7*'Equity and Bond Returns'!BM33)+(Dashboard!$C$8*'Equity and Bond Returns'!FK33)</f>
        <v>0.16693642445620338</v>
      </c>
      <c r="BB33" s="122">
        <f ca="1">(Dashboard!$C$7*'Equity and Bond Returns'!BN33)+(Dashboard!$C$8*'Equity and Bond Returns'!FL33)</f>
        <v>0.13928673885403858</v>
      </c>
      <c r="BC33" s="122">
        <f ca="1">(Dashboard!$C$7*'Equity and Bond Returns'!BO33)+(Dashboard!$C$8*'Equity and Bond Returns'!FM33)</f>
        <v>0.22065742159049004</v>
      </c>
      <c r="BD33" s="122">
        <f ca="1">(Dashboard!$C$7*'Equity and Bond Returns'!BP33)+(Dashboard!$C$8*'Equity and Bond Returns'!FN33)</f>
        <v>-6.2421907936956303E-2</v>
      </c>
      <c r="BE33" s="122">
        <f ca="1">(Dashboard!$C$7*'Equity and Bond Returns'!BQ33)+(Dashboard!$C$8*'Equity and Bond Returns'!FO33)</f>
        <v>-2.9553938609658062E-3</v>
      </c>
      <c r="BF33" s="122">
        <f ca="1">(Dashboard!$C$7*'Equity and Bond Returns'!BR33)+(Dashboard!$C$8*'Equity and Bond Returns'!FP33)</f>
        <v>-5.4591095291029748E-2</v>
      </c>
      <c r="BG33" s="122">
        <f ca="1">(Dashboard!$C$7*'Equity and Bond Returns'!BS33)+(Dashboard!$C$8*'Equity and Bond Returns'!FQ33)</f>
        <v>0.10019729682880062</v>
      </c>
      <c r="BH33" s="122">
        <f ca="1">(Dashboard!$C$7*'Equity and Bond Returns'!BT33)+(Dashboard!$C$8*'Equity and Bond Returns'!FR33)</f>
        <v>0.12019404481884874</v>
      </c>
      <c r="BI33" s="122">
        <f ca="1">(Dashboard!$C$7*'Equity and Bond Returns'!BU33)+(Dashboard!$C$8*'Equity and Bond Returns'!FS33)</f>
        <v>-0.11147673926370462</v>
      </c>
      <c r="BJ33" s="122">
        <f ca="1">(Dashboard!$C$7*'Equity and Bond Returns'!BV33)+(Dashboard!$C$8*'Equity and Bond Returns'!FT33)</f>
        <v>0.39275948419862644</v>
      </c>
      <c r="BK33" s="122">
        <f ca="1">(Dashboard!$C$7*'Equity and Bond Returns'!BW33)+(Dashboard!$C$8*'Equity and Bond Returns'!FU33)</f>
        <v>-0.13176832509301536</v>
      </c>
      <c r="BL33" s="122">
        <f ca="1">(Dashboard!$C$7*'Equity and Bond Returns'!BX33)+(Dashboard!$C$8*'Equity and Bond Returns'!FV33)</f>
        <v>0.24587600037935198</v>
      </c>
      <c r="BM33" s="122">
        <f ca="1">(Dashboard!$C$7*'Equity and Bond Returns'!BY33)+(Dashboard!$C$8*'Equity and Bond Returns'!FW33)</f>
        <v>-1.6641762655115494E-2</v>
      </c>
      <c r="BN33" s="122">
        <f ca="1">(Dashboard!$C$7*'Equity and Bond Returns'!BZ33)+(Dashboard!$C$8*'Equity and Bond Returns'!FX33)</f>
        <v>-0.34582990432680027</v>
      </c>
      <c r="BO33" s="122">
        <f ca="1">(Dashboard!$C$7*'Equity and Bond Returns'!CA33)+(Dashboard!$C$8*'Equity and Bond Returns'!FY33)</f>
        <v>6.2817418428216074E-2</v>
      </c>
      <c r="BP33" s="122">
        <f ca="1">(Dashboard!$C$7*'Equity and Bond Returns'!CB33)+(Dashboard!$C$8*'Equity and Bond Returns'!FZ33)</f>
        <v>-9.1619787103367545E-2</v>
      </c>
      <c r="BQ33" s="122">
        <f ca="1">(Dashboard!$C$7*'Equity and Bond Returns'!CC33)+(Dashboard!$C$8*'Equity and Bond Returns'!GA33)</f>
        <v>-1.5248126384287268E-2</v>
      </c>
      <c r="BR33" s="122">
        <f ca="1">(Dashboard!$C$7*'Equity and Bond Returns'!CD33)+(Dashboard!$C$8*'Equity and Bond Returns'!GB33)</f>
        <v>0.25328682775777495</v>
      </c>
      <c r="BS33" s="122">
        <f ca="1">(Dashboard!$C$7*'Equity and Bond Returns'!CE33)+(Dashboard!$C$8*'Equity and Bond Returns'!GC33)</f>
        <v>0.24067816908044279</v>
      </c>
      <c r="BT33" s="122">
        <f ca="1">(Dashboard!$C$7*'Equity and Bond Returns'!CF33)+(Dashboard!$C$8*'Equity and Bond Returns'!GD33)</f>
        <v>0.21745125637320975</v>
      </c>
      <c r="BU33" s="122">
        <f ca="1">(Dashboard!$C$7*'Equity and Bond Returns'!CG33)+(Dashboard!$C$8*'Equity and Bond Returns'!GE33)</f>
        <v>8.1178641773900218E-2</v>
      </c>
      <c r="BV33" s="122">
        <f ca="1">(Dashboard!$C$7*'Equity and Bond Returns'!CH33)+(Dashboard!$C$8*'Equity and Bond Returns'!GF33)</f>
        <v>0.18456571344274389</v>
      </c>
      <c r="BW33" s="122">
        <f ca="1">(Dashboard!$C$7*'Equity and Bond Returns'!CI33)+(Dashboard!$C$8*'Equity and Bond Returns'!GG33)</f>
        <v>3.3598590238451846E-2</v>
      </c>
      <c r="BX33" s="122">
        <f ca="1">(Dashboard!$C$7*'Equity and Bond Returns'!CJ33)+(Dashboard!$C$8*'Equity and Bond Returns'!GH33)</f>
        <v>5.5399054563617565E-2</v>
      </c>
      <c r="BY33" s="122">
        <f ca="1">(Dashboard!$C$7*'Equity and Bond Returns'!CK33)+(Dashboard!$C$8*'Equity and Bond Returns'!GI33)</f>
        <v>3.1891584263003467E-4</v>
      </c>
      <c r="BZ33" s="122">
        <f ca="1">(Dashboard!$C$7*'Equity and Bond Returns'!CL33)+(Dashboard!$C$8*'Equity and Bond Returns'!GJ33)</f>
        <v>-6.3315249512576027E-2</v>
      </c>
      <c r="CA33" s="122">
        <f ca="1">(Dashboard!$C$7*'Equity and Bond Returns'!CM33)+(Dashboard!$C$8*'Equity and Bond Returns'!GK33)</f>
        <v>0.21610086861390279</v>
      </c>
      <c r="CB33" s="122">
        <f ca="1">(Dashboard!$C$7*'Equity and Bond Returns'!CN33)+(Dashboard!$C$8*'Equity and Bond Returns'!GL33)</f>
        <v>4.7533328578725005E-2</v>
      </c>
      <c r="CC33" s="122">
        <f ca="1">(Dashboard!$C$7*'Equity and Bond Returns'!CO33)+(Dashboard!$C$8*'Equity and Bond Returns'!GM33)</f>
        <v>-7.8075372397147638E-2</v>
      </c>
      <c r="CD33" s="122">
        <f ca="1">(Dashboard!$C$7*'Equity and Bond Returns'!CP33)+(Dashboard!$C$8*'Equity and Bond Returns'!GN33)</f>
        <v>-6.2060120847551754E-2</v>
      </c>
      <c r="CE33" s="122">
        <f ca="1">(Dashboard!$C$7*'Equity and Bond Returns'!CQ33)+(Dashboard!$C$8*'Equity and Bond Returns'!GO33)</f>
        <v>0.11964062182160856</v>
      </c>
      <c r="CF33" s="122">
        <f ca="1">(Dashboard!$C$7*'Equity and Bond Returns'!CR33)+(Dashboard!$C$8*'Equity and Bond Returns'!GP33)</f>
        <v>0.10823054547942701</v>
      </c>
      <c r="CG33" s="122">
        <f ca="1">(Dashboard!$C$7*'Equity and Bond Returns'!CS33)+(Dashboard!$C$8*'Equity and Bond Returns'!GQ33)</f>
        <v>0.22081230085529124</v>
      </c>
      <c r="CH33" s="122">
        <f ca="1">(Dashboard!$C$7*'Equity and Bond Returns'!CT33)+(Dashboard!$C$8*'Equity and Bond Returns'!GR33)</f>
        <v>-9.3508072574756795E-2</v>
      </c>
      <c r="CI33" s="122">
        <f ca="1">(Dashboard!$C$7*'Equity and Bond Returns'!CU33)+(Dashboard!$C$8*'Equity and Bond Returns'!GS33)</f>
        <v>-0.12368324894215711</v>
      </c>
      <c r="CJ33" s="122">
        <f ca="1">(Dashboard!$C$7*'Equity and Bond Returns'!CV33)+(Dashboard!$C$8*'Equity and Bond Returns'!GT33)</f>
        <v>0.29276859750475259</v>
      </c>
      <c r="CK33" s="122">
        <f ca="1">(Dashboard!$C$7*'Equity and Bond Returns'!CW33)+(Dashboard!$C$8*'Equity and Bond Returns'!GU33)</f>
        <v>0.31741974976988652</v>
      </c>
      <c r="CL33" s="122">
        <f ca="1">(Dashboard!$C$7*'Equity and Bond Returns'!CX33)+(Dashboard!$C$8*'Equity and Bond Returns'!GV33)</f>
        <v>5.3753698811735556E-3</v>
      </c>
      <c r="CM33" s="122">
        <f ca="1">(Dashboard!$C$7*'Equity and Bond Returns'!CY33)+(Dashboard!$C$8*'Equity and Bond Returns'!GW33)</f>
        <v>2.3270058033002597E-2</v>
      </c>
      <c r="CN33" s="122">
        <f ca="1">(Dashboard!$C$7*'Equity and Bond Returns'!CZ33)+(Dashboard!$C$8*'Equity and Bond Returns'!GX33)</f>
        <v>7.6205231140602236E-2</v>
      </c>
      <c r="CO33" s="122">
        <f ca="1">(Dashboard!$C$7*'Equity and Bond Returns'!DA33)+(Dashboard!$C$8*'Equity and Bond Returns'!GY33)</f>
        <v>0.22669985691470707</v>
      </c>
      <c r="CP33" s="122">
        <f ca="1">(Dashboard!$C$7*'Equity and Bond Returns'!DB33)+(Dashboard!$C$8*'Equity and Bond Returns'!GZ33)</f>
        <v>0.21055185490887429</v>
      </c>
      <c r="CQ33" s="122">
        <f ca="1">(Dashboard!$C$7*'Equity and Bond Returns'!DC33)+(Dashboard!$C$8*'Equity and Bond Returns'!HA33)</f>
        <v>2.9873244379069144E-2</v>
      </c>
      <c r="CR33" s="122">
        <f ca="1">(Dashboard!$C$7*'Equity and Bond Returns'!DD33)+(Dashboard!$C$8*'Equity and Bond Returns'!HB33)</f>
        <v>0.23708446343851383</v>
      </c>
      <c r="CS33" s="122">
        <f ca="1">(Dashboard!$C$7*'Equity and Bond Returns'!DE33)+(Dashboard!$C$8*'Equity and Bond Returns'!HC33)</f>
        <v>-1.7325088036007533E-2</v>
      </c>
      <c r="CT33" s="122">
        <f ca="1">(Dashboard!$C$7*'Equity and Bond Returns'!DF33)+(Dashboard!$C$8*'Equity and Bond Returns'!HD33)</f>
        <v>0.13287035507015499</v>
      </c>
      <c r="CU33" s="122">
        <f ca="1">(Dashboard!$C$7*'Equity and Bond Returns'!DG33)+(Dashboard!$C$8*'Equity and Bond Returns'!HE33)</f>
        <v>0.27008436579558381</v>
      </c>
      <c r="CV33" s="122">
        <f ca="1">(Dashboard!$C$7*'Equity and Bond Returns'!DH33)+(Dashboard!$C$8*'Equity and Bond Returns'!HF33)</f>
        <v>-8.2821201468389699E-2</v>
      </c>
      <c r="CW33" s="122">
        <f ca="1">(Dashboard!$C$7*'Equity and Bond Returns'!DI33)+(Dashboard!$C$8*'Equity and Bond Returns'!HG33)</f>
        <v>2.4840758421054768E-2</v>
      </c>
      <c r="CY33" s="147">
        <f t="shared" si="5"/>
        <v>82</v>
      </c>
      <c r="CZ33" s="148">
        <v>32</v>
      </c>
      <c r="DA33" s="126">
        <f ca="1">MAX(DA32*(1+B33)-(Dashboard!$C$11)/(1-Dashboard!$C$17)*((1+Dashboard!$C$12)^$CZ33),0)</f>
        <v>24035825.686493266</v>
      </c>
      <c r="DB33" s="126">
        <f ca="1">MAX(DB32*(1+C33)-(Dashboard!$C$11)/(1-Dashboard!$C$17)*((1+Dashboard!$C$12)^$CZ33),0)</f>
        <v>0</v>
      </c>
      <c r="DC33" s="126">
        <f ca="1">MAX(DC32*(1+D33)-(Dashboard!$C$11)/(1-Dashboard!$C$17)*((1+Dashboard!$C$12)^$CZ33),0)</f>
        <v>6470195.997528323</v>
      </c>
      <c r="DD33" s="126">
        <f ca="1">MAX(DD32*(1+E33)-(Dashboard!$C$11)/(1-Dashboard!$C$17)*((1+Dashboard!$C$12)^$CZ33),0)</f>
        <v>1296653.732023054</v>
      </c>
      <c r="DE33" s="126">
        <f ca="1">MAX(DE32*(1+F33)-(Dashboard!$C$11)/(1-Dashboard!$C$17)*((1+Dashboard!$C$12)^$CZ33),0)</f>
        <v>5745930.2612252329</v>
      </c>
      <c r="DF33" s="126">
        <f ca="1">MAX(DF32*(1+G33)-(Dashboard!$C$11)/(1-Dashboard!$C$17)*((1+Dashboard!$C$12)^$CZ33),0)</f>
        <v>14619320.303863168</v>
      </c>
      <c r="DG33" s="126">
        <f ca="1">MAX(DG32*(1+H33)-(Dashboard!$C$11)/(1-Dashboard!$C$17)*((1+Dashboard!$C$12)^$CZ33),0)</f>
        <v>956437.1293474827</v>
      </c>
      <c r="DH33" s="126">
        <f ca="1">MAX(DH32*(1+I33)-(Dashboard!$C$11)/(1-Dashboard!$C$17)*((1+Dashboard!$C$12)^$CZ33),0)</f>
        <v>12518597.584516056</v>
      </c>
      <c r="DI33" s="126">
        <f ca="1">MAX(DI32*(1+J33)-(Dashboard!$C$11)/(1-Dashboard!$C$17)*((1+Dashboard!$C$12)^$CZ33),0)</f>
        <v>4645028.0346251801</v>
      </c>
      <c r="DJ33" s="126">
        <f ca="1">MAX(DJ32*(1+K33)-(Dashboard!$C$11)/(1-Dashboard!$C$17)*((1+Dashboard!$C$12)^$CZ33),0)</f>
        <v>5496446.276576926</v>
      </c>
      <c r="DK33" s="126">
        <f ca="1">MAX(DK32*(1+L33)-(Dashboard!$C$11)/(1-Dashboard!$C$17)*((1+Dashboard!$C$12)^$CZ33),0)</f>
        <v>21042389.410663348</v>
      </c>
      <c r="DL33" s="126">
        <f ca="1">MAX(DL32*(1+M33)-(Dashboard!$C$11)/(1-Dashboard!$C$17)*((1+Dashboard!$C$12)^$CZ33),0)</f>
        <v>721327.71379844821</v>
      </c>
      <c r="DM33" s="126">
        <f ca="1">MAX(DM32*(1+N33)-(Dashboard!$C$11)/(1-Dashboard!$C$17)*((1+Dashboard!$C$12)^$CZ33),0)</f>
        <v>7295971.0180345001</v>
      </c>
      <c r="DN33" s="126">
        <f ca="1">MAX(DN32*(1+O33)-(Dashboard!$C$11)/(1-Dashboard!$C$17)*((1+Dashboard!$C$12)^$CZ33),0)</f>
        <v>24071968.892041355</v>
      </c>
      <c r="DO33" s="126">
        <f ca="1">MAX(DO32*(1+P33)-(Dashboard!$C$11)/(1-Dashboard!$C$17)*((1+Dashboard!$C$12)^$CZ33),0)</f>
        <v>3073747.0716541368</v>
      </c>
      <c r="DP33" s="126">
        <f ca="1">MAX(DP32*(1+Q33)-(Dashboard!$C$11)/(1-Dashboard!$C$17)*((1+Dashboard!$C$12)^$CZ33),0)</f>
        <v>3302963.1197239845</v>
      </c>
      <c r="DQ33" s="126">
        <f ca="1">MAX(DQ32*(1+R33)-(Dashboard!$C$11)/(1-Dashboard!$C$17)*((1+Dashboard!$C$12)^$CZ33),0)</f>
        <v>10016792.103317354</v>
      </c>
      <c r="DR33" s="126">
        <f ca="1">MAX(DR32*(1+S33)-(Dashboard!$C$11)/(1-Dashboard!$C$17)*((1+Dashboard!$C$12)^$CZ33),0)</f>
        <v>17577743.154346786</v>
      </c>
      <c r="DS33" s="126">
        <f ca="1">MAX(DS32*(1+T33)-(Dashboard!$C$11)/(1-Dashboard!$C$17)*((1+Dashboard!$C$12)^$CZ33),0)</f>
        <v>1400000.853994536</v>
      </c>
      <c r="DT33" s="126">
        <f ca="1">MAX(DT32*(1+U33)-(Dashboard!$C$11)/(1-Dashboard!$C$17)*((1+Dashboard!$C$12)^$CZ33),0)</f>
        <v>3083129.9978963109</v>
      </c>
      <c r="DU33" s="126">
        <f ca="1">MAX(DU32*(1+V33)-(Dashboard!$C$11)/(1-Dashboard!$C$17)*((1+Dashboard!$C$12)^$CZ33),0)</f>
        <v>6883421.2400461435</v>
      </c>
      <c r="DV33" s="126">
        <f ca="1">MAX(DV32*(1+W33)-(Dashboard!$C$11)/(1-Dashboard!$C$17)*((1+Dashboard!$C$12)^$CZ33),0)</f>
        <v>28320000.358499367</v>
      </c>
      <c r="DW33" s="126">
        <f ca="1">MAX(DW32*(1+X33)-(Dashboard!$C$11)/(1-Dashboard!$C$17)*((1+Dashboard!$C$12)^$CZ33),0)</f>
        <v>5341962.6816935632</v>
      </c>
      <c r="DX33" s="126">
        <f ca="1">MAX(DX32*(1+Y33)-(Dashboard!$C$11)/(1-Dashboard!$C$17)*((1+Dashboard!$C$12)^$CZ33),0)</f>
        <v>3629270.1144078556</v>
      </c>
      <c r="DY33" s="126">
        <f ca="1">MAX(DY32*(1+Z33)-(Dashboard!$C$11)/(1-Dashboard!$C$17)*((1+Dashboard!$C$12)^$CZ33),0)</f>
        <v>9834753.3962171823</v>
      </c>
      <c r="DZ33" s="126">
        <f ca="1">MAX(DZ32*(1+AA33)-(Dashboard!$C$11)/(1-Dashboard!$C$17)*((1+Dashboard!$C$12)^$CZ33),0)</f>
        <v>890488.33436788106</v>
      </c>
      <c r="EA33" s="126">
        <f ca="1">MAX(EA32*(1+AB33)-(Dashboard!$C$11)/(1-Dashboard!$C$17)*((1+Dashboard!$C$12)^$CZ33),0)</f>
        <v>6629092.8075346751</v>
      </c>
      <c r="EB33" s="126">
        <f ca="1">MAX(EB32*(1+AC33)-(Dashboard!$C$11)/(1-Dashboard!$C$17)*((1+Dashboard!$C$12)^$CZ33),0)</f>
        <v>8739855.8741701897</v>
      </c>
      <c r="EC33" s="126">
        <f ca="1">MAX(EC32*(1+AD33)-(Dashboard!$C$11)/(1-Dashboard!$C$17)*((1+Dashboard!$C$12)^$CZ33),0)</f>
        <v>8577096.8297733348</v>
      </c>
      <c r="ED33" s="126">
        <f ca="1">MAX(ED32*(1+AE33)-(Dashboard!$C$11)/(1-Dashboard!$C$17)*((1+Dashboard!$C$12)^$CZ33),0)</f>
        <v>4965685.9016703656</v>
      </c>
      <c r="EE33" s="126">
        <f ca="1">MAX(EE32*(1+AF33)-(Dashboard!$C$11)/(1-Dashboard!$C$17)*((1+Dashboard!$C$12)^$CZ33),0)</f>
        <v>11917118.443898777</v>
      </c>
      <c r="EF33" s="126">
        <f ca="1">MAX(EF32*(1+AG33)-(Dashboard!$C$11)/(1-Dashboard!$C$17)*((1+Dashboard!$C$12)^$CZ33),0)</f>
        <v>1641444.2068792863</v>
      </c>
      <c r="EG33" s="126">
        <f ca="1">MAX(EG32*(1+AH33)-(Dashboard!$C$11)/(1-Dashboard!$C$17)*((1+Dashboard!$C$12)^$CZ33),0)</f>
        <v>8103788.7969926968</v>
      </c>
      <c r="EH33" s="126">
        <f ca="1">MAX(EH32*(1+AI33)-(Dashboard!$C$11)/(1-Dashboard!$C$17)*((1+Dashboard!$C$12)^$CZ33),0)</f>
        <v>17300089.878028087</v>
      </c>
      <c r="EI33" s="126">
        <f ca="1">MAX(EI32*(1+AJ33)-(Dashboard!$C$11)/(1-Dashboard!$C$17)*((1+Dashboard!$C$12)^$CZ33),0)</f>
        <v>379663.12448990491</v>
      </c>
      <c r="EJ33" s="126">
        <f ca="1">MAX(EJ32*(1+AK33)-(Dashboard!$C$11)/(1-Dashboard!$C$17)*((1+Dashboard!$C$12)^$CZ33),0)</f>
        <v>8389069.369489545</v>
      </c>
      <c r="EK33" s="126">
        <f ca="1">MAX(EK32*(1+AL33)-(Dashboard!$C$11)/(1-Dashboard!$C$17)*((1+Dashboard!$C$12)^$CZ33),0)</f>
        <v>9177745.1813880652</v>
      </c>
      <c r="EL33" s="126">
        <f ca="1">MAX(EL32*(1+AM33)-(Dashboard!$C$11)/(1-Dashboard!$C$17)*((1+Dashboard!$C$12)^$CZ33),0)</f>
        <v>1928675.9874876395</v>
      </c>
      <c r="EM33" s="126">
        <f ca="1">MAX(EM32*(1+AN33)-(Dashboard!$C$11)/(1-Dashboard!$C$17)*((1+Dashboard!$C$12)^$CZ33),0)</f>
        <v>13792339.640018608</v>
      </c>
      <c r="EN33" s="126">
        <f ca="1">MAX(EN32*(1+AO33)-(Dashboard!$C$11)/(1-Dashboard!$C$17)*((1+Dashboard!$C$12)^$CZ33),0)</f>
        <v>2075834.9626924556</v>
      </c>
      <c r="EO33" s="126">
        <f ca="1">MAX(EO32*(1+AP33)-(Dashboard!$C$11)/(1-Dashboard!$C$17)*((1+Dashboard!$C$12)^$CZ33),0)</f>
        <v>256376.91257466114</v>
      </c>
      <c r="EP33" s="126">
        <f ca="1">MAX(EP32*(1+AQ33)-(Dashboard!$C$11)/(1-Dashboard!$C$17)*((1+Dashboard!$C$12)^$CZ33),0)</f>
        <v>3692221.2908864398</v>
      </c>
      <c r="EQ33" s="126">
        <f ca="1">MAX(EQ32*(1+AR33)-(Dashboard!$C$11)/(1-Dashboard!$C$17)*((1+Dashboard!$C$12)^$CZ33),0)</f>
        <v>4091397.4758511782</v>
      </c>
      <c r="ER33" s="126">
        <f ca="1">MAX(ER32*(1+AS33)-(Dashboard!$C$11)/(1-Dashboard!$C$17)*((1+Dashboard!$C$12)^$CZ33),0)</f>
        <v>1681173.5131620241</v>
      </c>
      <c r="ES33" s="126">
        <f ca="1">MAX(ES32*(1+AT33)-(Dashboard!$C$11)/(1-Dashboard!$C$17)*((1+Dashboard!$C$12)^$CZ33),0)</f>
        <v>9505045.2364303377</v>
      </c>
      <c r="ET33" s="126">
        <f ca="1">MAX(ET32*(1+AU33)-(Dashboard!$C$11)/(1-Dashboard!$C$17)*((1+Dashboard!$C$12)^$CZ33),0)</f>
        <v>5898210.9748063376</v>
      </c>
      <c r="EU33" s="126">
        <f ca="1">MAX(EU32*(1+AV33)-(Dashboard!$C$11)/(1-Dashboard!$C$17)*((1+Dashboard!$C$12)^$CZ33),0)</f>
        <v>3748069.2605475937</v>
      </c>
      <c r="EV33" s="126">
        <f ca="1">MAX(EV32*(1+AW33)-(Dashboard!$C$11)/(1-Dashboard!$C$17)*((1+Dashboard!$C$12)^$CZ33),0)</f>
        <v>38232120.008072235</v>
      </c>
      <c r="EW33" s="126">
        <f ca="1">MAX(EW32*(1+AX33)-(Dashboard!$C$11)/(1-Dashboard!$C$17)*((1+Dashboard!$C$12)^$CZ33),0)</f>
        <v>1958150.9686215485</v>
      </c>
      <c r="EX33" s="126">
        <f ca="1">MAX(EX32*(1+AY33)-(Dashboard!$C$11)/(1-Dashboard!$C$17)*((1+Dashboard!$C$12)^$CZ33),0)</f>
        <v>6424689.7218133574</v>
      </c>
      <c r="EY33" s="126">
        <f ca="1">MAX(EY32*(1+AZ33)-(Dashboard!$C$11)/(1-Dashboard!$C$17)*((1+Dashboard!$C$12)^$CZ33),0)</f>
        <v>13469919.474369565</v>
      </c>
      <c r="EZ33" s="126">
        <f ca="1">MAX(EZ32*(1+BA33)-(Dashboard!$C$11)/(1-Dashboard!$C$17)*((1+Dashboard!$C$12)^$CZ33),0)</f>
        <v>7485416.7265238138</v>
      </c>
      <c r="FA33" s="126">
        <f ca="1">MAX(FA32*(1+BB33)-(Dashboard!$C$11)/(1-Dashboard!$C$17)*((1+Dashboard!$C$12)^$CZ33),0)</f>
        <v>15817050.89260982</v>
      </c>
      <c r="FB33" s="126">
        <f ca="1">MAX(FB32*(1+BC33)-(Dashboard!$C$11)/(1-Dashboard!$C$17)*((1+Dashboard!$C$12)^$CZ33),0)</f>
        <v>783709.70922023244</v>
      </c>
      <c r="FC33" s="126">
        <f ca="1">MAX(FC32*(1+BD33)-(Dashboard!$C$11)/(1-Dashboard!$C$17)*((1+Dashboard!$C$12)^$CZ33),0)</f>
        <v>11439666.053831022</v>
      </c>
      <c r="FD33" s="126">
        <f ca="1">MAX(FD32*(1+BE33)-(Dashboard!$C$11)/(1-Dashboard!$C$17)*((1+Dashboard!$C$12)^$CZ33),0)</f>
        <v>16204128.876672946</v>
      </c>
      <c r="FE33" s="126">
        <f ca="1">MAX(FE32*(1+BF33)-(Dashboard!$C$11)/(1-Dashboard!$C$17)*((1+Dashboard!$C$12)^$CZ33),0)</f>
        <v>25292756.450602558</v>
      </c>
      <c r="FF33" s="126">
        <f ca="1">MAX(FF32*(1+BG33)-(Dashboard!$C$11)/(1-Dashboard!$C$17)*((1+Dashboard!$C$12)^$CZ33),0)</f>
        <v>5669244.9039912643</v>
      </c>
      <c r="FG33" s="126">
        <f ca="1">MAX(FG32*(1+BH33)-(Dashboard!$C$11)/(1-Dashboard!$C$17)*((1+Dashboard!$C$12)^$CZ33),0)</f>
        <v>5533894.4367515575</v>
      </c>
      <c r="FH33" s="126">
        <f ca="1">MAX(FH32*(1+BI33)-(Dashboard!$C$11)/(1-Dashboard!$C$17)*((1+Dashboard!$C$12)^$CZ33),0)</f>
        <v>2822689.6974877613</v>
      </c>
      <c r="FI33" s="126">
        <f ca="1">MAX(FI32*(1+BJ33)-(Dashboard!$C$11)/(1-Dashboard!$C$17)*((1+Dashboard!$C$12)^$CZ33),0)</f>
        <v>13758981.342333294</v>
      </c>
      <c r="FJ33" s="126">
        <f ca="1">MAX(FJ32*(1+BK33)-(Dashboard!$C$11)/(1-Dashboard!$C$17)*((1+Dashboard!$C$12)^$CZ33),0)</f>
        <v>3960463.2448002859</v>
      </c>
      <c r="FK33" s="126">
        <f ca="1">MAX(FK32*(1+BL33)-(Dashboard!$C$11)/(1-Dashboard!$C$17)*((1+Dashboard!$C$12)^$CZ33),0)</f>
        <v>6995569.6875552572</v>
      </c>
      <c r="FL33" s="126">
        <f ca="1">MAX(FL32*(1+BM33)-(Dashboard!$C$11)/(1-Dashboard!$C$17)*((1+Dashboard!$C$12)^$CZ33),0)</f>
        <v>3895454.7341775689</v>
      </c>
      <c r="FM33" s="126">
        <f ca="1">MAX(FM32*(1+BN33)-(Dashboard!$C$11)/(1-Dashboard!$C$17)*((1+Dashboard!$C$12)^$CZ33),0)</f>
        <v>5408561.0625502672</v>
      </c>
      <c r="FN33" s="126">
        <f ca="1">MAX(FN32*(1+BO33)-(Dashboard!$C$11)/(1-Dashboard!$C$17)*((1+Dashboard!$C$12)^$CZ33),0)</f>
        <v>86588.699449623353</v>
      </c>
      <c r="FO33" s="126">
        <f ca="1">MAX(FO32*(1+BP33)-(Dashboard!$C$11)/(1-Dashboard!$C$17)*((1+Dashboard!$C$12)^$CZ33),0)</f>
        <v>6267077.0849809442</v>
      </c>
      <c r="FP33" s="126">
        <f ca="1">MAX(FP32*(1+BQ33)-(Dashboard!$C$11)/(1-Dashboard!$C$17)*((1+Dashboard!$C$12)^$CZ33),0)</f>
        <v>4982385.913709512</v>
      </c>
      <c r="FQ33" s="126">
        <f ca="1">MAX(FQ32*(1+BR33)-(Dashboard!$C$11)/(1-Dashboard!$C$17)*((1+Dashboard!$C$12)^$CZ33),0)</f>
        <v>4813499.5683427639</v>
      </c>
      <c r="FR33" s="126">
        <f ca="1">MAX(FR32*(1+BS33)-(Dashboard!$C$11)/(1-Dashboard!$C$17)*((1+Dashboard!$C$12)^$CZ33),0)</f>
        <v>8782259.5309860948</v>
      </c>
      <c r="FS33" s="126">
        <f ca="1">MAX(FS32*(1+BT33)-(Dashboard!$C$11)/(1-Dashboard!$C$17)*((1+Dashboard!$C$12)^$CZ33),0)</f>
        <v>11885669.874786507</v>
      </c>
      <c r="FT33" s="126">
        <f ca="1">MAX(FT32*(1+BU33)-(Dashboard!$C$11)/(1-Dashboard!$C$17)*((1+Dashboard!$C$12)^$CZ33),0)</f>
        <v>1322318.2607906891</v>
      </c>
      <c r="FU33" s="126">
        <f ca="1">MAX(FU32*(1+BV33)-(Dashboard!$C$11)/(1-Dashboard!$C$17)*((1+Dashboard!$C$12)^$CZ33),0)</f>
        <v>2870636.859340867</v>
      </c>
      <c r="FV33" s="126">
        <f ca="1">MAX(FV32*(1+BW33)-(Dashboard!$C$11)/(1-Dashboard!$C$17)*((1+Dashboard!$C$12)^$CZ33),0)</f>
        <v>4270002.3015861129</v>
      </c>
      <c r="FW33" s="126">
        <f ca="1">MAX(FW32*(1+BX33)-(Dashboard!$C$11)/(1-Dashboard!$C$17)*((1+Dashboard!$C$12)^$CZ33),0)</f>
        <v>4301564.8048035987</v>
      </c>
      <c r="FX33" s="126">
        <f ca="1">MAX(FX32*(1+BY33)-(Dashboard!$C$11)/(1-Dashboard!$C$17)*((1+Dashboard!$C$12)^$CZ33),0)</f>
        <v>1090673.0738601997</v>
      </c>
      <c r="FY33" s="126">
        <f ca="1">MAX(FY32*(1+BZ33)-(Dashboard!$C$11)/(1-Dashboard!$C$17)*((1+Dashboard!$C$12)^$CZ33),0)</f>
        <v>2377032.4188344679</v>
      </c>
      <c r="FZ33" s="126">
        <f ca="1">MAX(FZ32*(1+CA33)-(Dashboard!$C$11)/(1-Dashboard!$C$17)*((1+Dashboard!$C$12)^$CZ33),0)</f>
        <v>15664230.60436769</v>
      </c>
      <c r="GA33" s="126">
        <f ca="1">MAX(GA32*(1+CB33)-(Dashboard!$C$11)/(1-Dashboard!$C$17)*((1+Dashboard!$C$12)^$CZ33),0)</f>
        <v>10568359.851228785</v>
      </c>
      <c r="GB33" s="126">
        <f ca="1">MAX(GB32*(1+CC33)-(Dashboard!$C$11)/(1-Dashboard!$C$17)*((1+Dashboard!$C$12)^$CZ33),0)</f>
        <v>3198977.385333186</v>
      </c>
      <c r="GC33" s="126">
        <f ca="1">MAX(GC32*(1+CD33)-(Dashboard!$C$11)/(1-Dashboard!$C$17)*((1+Dashboard!$C$12)^$CZ33),0)</f>
        <v>7534836.4459258523</v>
      </c>
      <c r="GD33" s="126">
        <f ca="1">MAX(GD32*(1+CE33)-(Dashboard!$C$11)/(1-Dashboard!$C$17)*((1+Dashboard!$C$12)^$CZ33),0)</f>
        <v>33519480.850032154</v>
      </c>
      <c r="GE33" s="126">
        <f ca="1">MAX(GE32*(1+CF33)-(Dashboard!$C$11)/(1-Dashboard!$C$17)*((1+Dashboard!$C$12)^$CZ33),0)</f>
        <v>6744022.6672186488</v>
      </c>
      <c r="GF33" s="126">
        <f ca="1">MAX(GF32*(1+CG33)-(Dashboard!$C$11)/(1-Dashboard!$C$17)*((1+Dashboard!$C$12)^$CZ33),0)</f>
        <v>8787010.3318291847</v>
      </c>
      <c r="GG33" s="126">
        <f ca="1">MAX(GG32*(1+CH33)-(Dashboard!$C$11)/(1-Dashboard!$C$17)*((1+Dashboard!$C$12)^$CZ33),0)</f>
        <v>1235352.1854278445</v>
      </c>
      <c r="GH33" s="126">
        <f ca="1">MAX(GH32*(1+CI33)-(Dashboard!$C$11)/(1-Dashboard!$C$17)*((1+Dashboard!$C$12)^$CZ33),0)</f>
        <v>2796523.1324675209</v>
      </c>
      <c r="GI33" s="126">
        <f ca="1">MAX(GI32*(1+CJ33)-(Dashboard!$C$11)/(1-Dashboard!$C$17)*((1+Dashboard!$C$12)^$CZ33),0)</f>
        <v>6076420.2815060634</v>
      </c>
      <c r="GJ33" s="126">
        <f ca="1">MAX(GJ32*(1+CK33)-(Dashboard!$C$11)/(1-Dashboard!$C$17)*((1+Dashboard!$C$12)^$CZ33),0)</f>
        <v>32980594.57864758</v>
      </c>
      <c r="GK33" s="126">
        <f ca="1">MAX(GK32*(1+CL33)-(Dashboard!$C$11)/(1-Dashboard!$C$17)*((1+Dashboard!$C$12)^$CZ33),0)</f>
        <v>5372344.1934770793</v>
      </c>
      <c r="GL33" s="126">
        <f ca="1">MAX(GL32*(1+CM33)-(Dashboard!$C$11)/(1-Dashboard!$C$17)*((1+Dashboard!$C$12)^$CZ33),0)</f>
        <v>8858472.6238750331</v>
      </c>
      <c r="GM33" s="126">
        <f ca="1">MAX(GM32*(1+CN33)-(Dashboard!$C$11)/(1-Dashboard!$C$17)*((1+Dashboard!$C$12)^$CZ33),0)</f>
        <v>1776675.5425025511</v>
      </c>
      <c r="GN33" s="126">
        <f ca="1">MAX(GN32*(1+CO33)-(Dashboard!$C$11)/(1-Dashboard!$C$17)*((1+Dashboard!$C$12)^$CZ33),0)</f>
        <v>0</v>
      </c>
      <c r="GO33" s="126">
        <f ca="1">MAX(GO32*(1+CP33)-(Dashboard!$C$11)/(1-Dashboard!$C$17)*((1+Dashboard!$C$12)^$CZ33),0)</f>
        <v>9623001.9467079639</v>
      </c>
      <c r="GP33" s="126">
        <f ca="1">MAX(GP32*(1+CQ33)-(Dashboard!$C$11)/(1-Dashboard!$C$17)*((1+Dashboard!$C$12)^$CZ33),0)</f>
        <v>11111098.193639331</v>
      </c>
      <c r="GQ33" s="126">
        <f ca="1">MAX(GQ32*(1+CR33)-(Dashboard!$C$11)/(1-Dashboard!$C$17)*((1+Dashboard!$C$12)^$CZ33),0)</f>
        <v>972141.90453943913</v>
      </c>
      <c r="GR33" s="126">
        <f ca="1">MAX(GR32*(1+CS33)-(Dashboard!$C$11)/(1-Dashboard!$C$17)*((1+Dashboard!$C$12)^$CZ33),0)</f>
        <v>4293631.5421766425</v>
      </c>
      <c r="GS33" s="126">
        <f ca="1">MAX(GS32*(1+CT33)-(Dashboard!$C$11)/(1-Dashboard!$C$17)*((1+Dashboard!$C$12)^$CZ33),0)</f>
        <v>8607763.1775939986</v>
      </c>
      <c r="GT33" s="126">
        <f ca="1">MAX(GT32*(1+CU33)-(Dashboard!$C$11)/(1-Dashboard!$C$17)*((1+Dashboard!$C$12)^$CZ33),0)</f>
        <v>31776982.0216549</v>
      </c>
      <c r="GU33" s="126">
        <f ca="1">MAX(GU32*(1+CV33)-(Dashboard!$C$11)/(1-Dashboard!$C$17)*((1+Dashboard!$C$12)^$CZ33),0)</f>
        <v>3439730.9645838873</v>
      </c>
      <c r="GV33" s="126">
        <f ca="1">MAX(GV32*(1+CW33)-(Dashboard!$C$11)/(1-Dashboard!$C$17)*((1+Dashboard!$C$12)^$CZ33),0)</f>
        <v>2279281.6089341808</v>
      </c>
      <c r="GW33" s="115">
        <f t="shared" si="4"/>
        <v>82</v>
      </c>
      <c r="GX33" s="130">
        <f t="shared" ca="1" si="2"/>
        <v>98</v>
      </c>
      <c r="HC33" s="130">
        <f t="shared" si="0"/>
        <v>82</v>
      </c>
      <c r="HD33" s="137">
        <f t="shared" ca="1" si="6"/>
        <v>2803064.7737225811</v>
      </c>
      <c r="HE33" s="137">
        <f t="shared" ca="1" si="6"/>
        <v>5601569.6703714114</v>
      </c>
      <c r="HF33" s="137">
        <f t="shared" ca="1" si="6"/>
        <v>9781815.5338398777</v>
      </c>
    </row>
    <row r="34" spans="1:214" ht="16">
      <c r="A34" s="145">
        <f t="shared" si="3"/>
        <v>83</v>
      </c>
      <c r="B34" s="122">
        <f ca="1">(Dashboard!$C$7*'Equity and Bond Returns'!N34)+(Dashboard!$C$8*'Equity and Bond Returns'!DL34)</f>
        <v>3.7813788785494622E-2</v>
      </c>
      <c r="C34" s="122">
        <f ca="1">(Dashboard!$C$7*'Equity and Bond Returns'!O34)+(Dashboard!$C$8*'Equity and Bond Returns'!DM34)</f>
        <v>0.14474051523388248</v>
      </c>
      <c r="D34" s="122">
        <f ca="1">(Dashboard!$C$7*'Equity and Bond Returns'!P34)+(Dashboard!$C$8*'Equity and Bond Returns'!DN34)</f>
        <v>8.0457265877707129E-2</v>
      </c>
      <c r="E34" s="122">
        <f ca="1">(Dashboard!$C$7*'Equity and Bond Returns'!Q34)+(Dashboard!$C$8*'Equity and Bond Returns'!DO34)</f>
        <v>5.0666931259560809E-2</v>
      </c>
      <c r="F34" s="122">
        <f ca="1">(Dashboard!$C$7*'Equity and Bond Returns'!R34)+(Dashboard!$C$8*'Equity and Bond Returns'!DP34)</f>
        <v>6.77302915681669E-2</v>
      </c>
      <c r="G34" s="122">
        <f ca="1">(Dashboard!$C$7*'Equity and Bond Returns'!S34)+(Dashboard!$C$8*'Equity and Bond Returns'!DQ34)</f>
        <v>6.9448413614303595E-2</v>
      </c>
      <c r="H34" s="122">
        <f ca="1">(Dashboard!$C$7*'Equity and Bond Returns'!T34)+(Dashboard!$C$8*'Equity and Bond Returns'!DR34)</f>
        <v>7.0284552340217105E-2</v>
      </c>
      <c r="I34" s="122">
        <f ca="1">(Dashboard!$C$7*'Equity and Bond Returns'!U34)+(Dashboard!$C$8*'Equity and Bond Returns'!DS34)</f>
        <v>9.8391049346530882E-2</v>
      </c>
      <c r="J34" s="122">
        <f ca="1">(Dashboard!$C$7*'Equity and Bond Returns'!V34)+(Dashboard!$C$8*'Equity and Bond Returns'!DT34)</f>
        <v>0.14928202843237701</v>
      </c>
      <c r="K34" s="122">
        <f ca="1">(Dashboard!$C$7*'Equity and Bond Returns'!W34)+(Dashboard!$C$8*'Equity and Bond Returns'!DU34)</f>
        <v>-2.9504682624739868E-2</v>
      </c>
      <c r="L34" s="122">
        <f ca="1">(Dashboard!$C$7*'Equity and Bond Returns'!X34)+(Dashboard!$C$8*'Equity and Bond Returns'!DV34)</f>
        <v>5.6847755807164571E-2</v>
      </c>
      <c r="M34" s="122">
        <f ca="1">(Dashboard!$C$7*'Equity and Bond Returns'!Y34)+(Dashboard!$C$8*'Equity and Bond Returns'!DW34)</f>
        <v>-5.2211715448922218E-2</v>
      </c>
      <c r="N34" s="122">
        <f ca="1">(Dashboard!$C$7*'Equity and Bond Returns'!Z34)+(Dashboard!$C$8*'Equity and Bond Returns'!DX34)</f>
        <v>0.13814818472836851</v>
      </c>
      <c r="O34" s="122">
        <f ca="1">(Dashboard!$C$7*'Equity and Bond Returns'!AA34)+(Dashboard!$C$8*'Equity and Bond Returns'!DY34)</f>
        <v>0.28203068572397455</v>
      </c>
      <c r="P34" s="122">
        <f ca="1">(Dashboard!$C$7*'Equity and Bond Returns'!AB34)+(Dashboard!$C$8*'Equity and Bond Returns'!DZ34)</f>
        <v>-8.1469507886208881E-2</v>
      </c>
      <c r="Q34" s="122">
        <f ca="1">(Dashboard!$C$7*'Equity and Bond Returns'!AC34)+(Dashboard!$C$8*'Equity and Bond Returns'!EA34)</f>
        <v>3.5304303746123082E-2</v>
      </c>
      <c r="R34" s="122">
        <f ca="1">(Dashboard!$C$7*'Equity and Bond Returns'!AD34)+(Dashboard!$C$8*'Equity and Bond Returns'!EB34)</f>
        <v>-1.8789056626393325E-2</v>
      </c>
      <c r="S34" s="122">
        <f ca="1">(Dashboard!$C$7*'Equity and Bond Returns'!AE34)+(Dashboard!$C$8*'Equity and Bond Returns'!EC34)</f>
        <v>0.1844964088014775</v>
      </c>
      <c r="T34" s="122">
        <f ca="1">(Dashboard!$C$7*'Equity and Bond Returns'!AF34)+(Dashboard!$C$8*'Equity and Bond Returns'!ED34)</f>
        <v>-3.8252119839005547E-2</v>
      </c>
      <c r="U34" s="122">
        <f ca="1">(Dashboard!$C$7*'Equity and Bond Returns'!AG34)+(Dashboard!$C$8*'Equity and Bond Returns'!EE34)</f>
        <v>-0.20835252501383397</v>
      </c>
      <c r="V34" s="122">
        <f ca="1">(Dashboard!$C$7*'Equity and Bond Returns'!AH34)+(Dashboard!$C$8*'Equity and Bond Returns'!EF34)</f>
        <v>0.12321159889754799</v>
      </c>
      <c r="W34" s="122">
        <f ca="1">(Dashboard!$C$7*'Equity and Bond Returns'!AI34)+(Dashboard!$C$8*'Equity and Bond Returns'!EG34)</f>
        <v>4.5726458644867685E-2</v>
      </c>
      <c r="X34" s="122">
        <f ca="1">(Dashboard!$C$7*'Equity and Bond Returns'!AJ34)+(Dashboard!$C$8*'Equity and Bond Returns'!EH34)</f>
        <v>-2.2953174169029131E-3</v>
      </c>
      <c r="Y34" s="122">
        <f ca="1">(Dashboard!$C$7*'Equity and Bond Returns'!AK34)+(Dashboard!$C$8*'Equity and Bond Returns'!EI34)</f>
        <v>6.0240865533961178E-2</v>
      </c>
      <c r="Z34" s="122">
        <f ca="1">(Dashboard!$C$7*'Equity and Bond Returns'!AL34)+(Dashboard!$C$8*'Equity and Bond Returns'!EJ34)</f>
        <v>3.9714710591025312E-2</v>
      </c>
      <c r="AA34" s="122">
        <f ca="1">(Dashboard!$C$7*'Equity and Bond Returns'!AM34)+(Dashboard!$C$8*'Equity and Bond Returns'!EK34)</f>
        <v>0.19134628746410537</v>
      </c>
      <c r="AB34" s="122">
        <f ca="1">(Dashboard!$C$7*'Equity and Bond Returns'!AN34)+(Dashboard!$C$8*'Equity and Bond Returns'!EL34)</f>
        <v>-9.5014121071505364E-2</v>
      </c>
      <c r="AC34" s="122">
        <f ca="1">(Dashboard!$C$7*'Equity and Bond Returns'!AO34)+(Dashboard!$C$8*'Equity and Bond Returns'!EM34)</f>
        <v>0.13481910616829923</v>
      </c>
      <c r="AD34" s="122">
        <f ca="1">(Dashboard!$C$7*'Equity and Bond Returns'!AP34)+(Dashboard!$C$8*'Equity and Bond Returns'!EN34)</f>
        <v>-6.2305939489494082E-2</v>
      </c>
      <c r="AE34" s="122">
        <f ca="1">(Dashboard!$C$7*'Equity and Bond Returns'!AQ34)+(Dashboard!$C$8*'Equity and Bond Returns'!EO34)</f>
        <v>0.54842305199157504</v>
      </c>
      <c r="AF34" s="122">
        <f ca="1">(Dashboard!$C$7*'Equity and Bond Returns'!AR34)+(Dashboard!$C$8*'Equity and Bond Returns'!EP34)</f>
        <v>4.2962122651847179E-2</v>
      </c>
      <c r="AG34" s="122">
        <f ca="1">(Dashboard!$C$7*'Equity and Bond Returns'!AS34)+(Dashboard!$C$8*'Equity and Bond Returns'!EQ34)</f>
        <v>0.12009767124351434</v>
      </c>
      <c r="AH34" s="122">
        <f ca="1">(Dashboard!$C$7*'Equity and Bond Returns'!AT34)+(Dashboard!$C$8*'Equity and Bond Returns'!ER34)</f>
        <v>0.40117702291280305</v>
      </c>
      <c r="AI34" s="122">
        <f ca="1">(Dashboard!$C$7*'Equity and Bond Returns'!AU34)+(Dashboard!$C$8*'Equity and Bond Returns'!ES34)</f>
        <v>0.29537176228659345</v>
      </c>
      <c r="AJ34" s="122">
        <f ca="1">(Dashboard!$C$7*'Equity and Bond Returns'!AV34)+(Dashboard!$C$8*'Equity and Bond Returns'!ET34)</f>
        <v>-0.17589273633294034</v>
      </c>
      <c r="AK34" s="122">
        <f ca="1">(Dashboard!$C$7*'Equity and Bond Returns'!AW34)+(Dashboard!$C$8*'Equity and Bond Returns'!EU34)</f>
        <v>0.16861096813126386</v>
      </c>
      <c r="AL34" s="122">
        <f ca="1">(Dashboard!$C$7*'Equity and Bond Returns'!AX34)+(Dashboard!$C$8*'Equity and Bond Returns'!EV34)</f>
        <v>6.4808439618210228E-2</v>
      </c>
      <c r="AM34" s="122">
        <f ca="1">(Dashboard!$C$7*'Equity and Bond Returns'!AY34)+(Dashboard!$C$8*'Equity and Bond Returns'!EW34)</f>
        <v>-3.0828634628880684E-2</v>
      </c>
      <c r="AN34" s="122">
        <f ca="1">(Dashboard!$C$7*'Equity and Bond Returns'!AZ34)+(Dashboard!$C$8*'Equity and Bond Returns'!EX34)</f>
        <v>9.9673624589888876E-2</v>
      </c>
      <c r="AO34" s="122">
        <f ca="1">(Dashboard!$C$7*'Equity and Bond Returns'!BA34)+(Dashboard!$C$8*'Equity and Bond Returns'!EY34)</f>
        <v>0.33408597632774584</v>
      </c>
      <c r="AP34" s="122">
        <f ca="1">(Dashboard!$C$7*'Equity and Bond Returns'!BB34)+(Dashboard!$C$8*'Equity and Bond Returns'!EZ34)</f>
        <v>-8.1520253570827969E-2</v>
      </c>
      <c r="AQ34" s="122">
        <f ca="1">(Dashboard!$C$7*'Equity and Bond Returns'!BC34)+(Dashboard!$C$8*'Equity and Bond Returns'!FA34)</f>
        <v>0.17929332572413284</v>
      </c>
      <c r="AR34" s="122">
        <f ca="1">(Dashboard!$C$7*'Equity and Bond Returns'!BD34)+(Dashboard!$C$8*'Equity and Bond Returns'!FB34)</f>
        <v>0.11050014594678155</v>
      </c>
      <c r="AS34" s="122">
        <f ca="1">(Dashboard!$C$7*'Equity and Bond Returns'!BE34)+(Dashboard!$C$8*'Equity and Bond Returns'!FC34)</f>
        <v>-1.3964105110139053E-2</v>
      </c>
      <c r="AT34" s="122">
        <f ca="1">(Dashboard!$C$7*'Equity and Bond Returns'!BF34)+(Dashboard!$C$8*'Equity and Bond Returns'!FD34)</f>
        <v>0.16985874782608798</v>
      </c>
      <c r="AU34" s="122">
        <f ca="1">(Dashboard!$C$7*'Equity and Bond Returns'!BG34)+(Dashboard!$C$8*'Equity and Bond Returns'!FE34)</f>
        <v>0.22145946702394648</v>
      </c>
      <c r="AV34" s="122">
        <f ca="1">(Dashboard!$C$7*'Equity and Bond Returns'!BH34)+(Dashboard!$C$8*'Equity and Bond Returns'!FF34)</f>
        <v>0.33891242175758113</v>
      </c>
      <c r="AW34" s="122">
        <f ca="1">(Dashboard!$C$7*'Equity and Bond Returns'!BI34)+(Dashboard!$C$8*'Equity and Bond Returns'!FG34)</f>
        <v>-1.1047242565816569E-2</v>
      </c>
      <c r="AX34" s="122">
        <f ca="1">(Dashboard!$C$7*'Equity and Bond Returns'!BJ34)+(Dashboard!$C$8*'Equity and Bond Returns'!FH34)</f>
        <v>0.1148045337598991</v>
      </c>
      <c r="AY34" s="122">
        <f ca="1">(Dashboard!$C$7*'Equity and Bond Returns'!BK34)+(Dashboard!$C$8*'Equity and Bond Returns'!FI34)</f>
        <v>0.1329299059651628</v>
      </c>
      <c r="AZ34" s="122">
        <f ca="1">(Dashboard!$C$7*'Equity and Bond Returns'!BL34)+(Dashboard!$C$8*'Equity and Bond Returns'!FJ34)</f>
        <v>5.429697806690071E-2</v>
      </c>
      <c r="BA34" s="122">
        <f ca="1">(Dashboard!$C$7*'Equity and Bond Returns'!BM34)+(Dashboard!$C$8*'Equity and Bond Returns'!FK34)</f>
        <v>7.9828059102637239E-2</v>
      </c>
      <c r="BB34" s="122">
        <f ca="1">(Dashboard!$C$7*'Equity and Bond Returns'!BN34)+(Dashboard!$C$8*'Equity and Bond Returns'!FL34)</f>
        <v>0.15256794887265265</v>
      </c>
      <c r="BC34" s="122">
        <f ca="1">(Dashboard!$C$7*'Equity and Bond Returns'!BO34)+(Dashboard!$C$8*'Equity and Bond Returns'!FM34)</f>
        <v>9.1346082056560168E-2</v>
      </c>
      <c r="BD34" s="122">
        <f ca="1">(Dashboard!$C$7*'Equity and Bond Returns'!BP34)+(Dashboard!$C$8*'Equity and Bond Returns'!FN34)</f>
        <v>-0.31539965513124857</v>
      </c>
      <c r="BE34" s="122">
        <f ca="1">(Dashboard!$C$7*'Equity and Bond Returns'!BQ34)+(Dashboard!$C$8*'Equity and Bond Returns'!FO34)</f>
        <v>0.19672111370581202</v>
      </c>
      <c r="BF34" s="122">
        <f ca="1">(Dashboard!$C$7*'Equity and Bond Returns'!BR34)+(Dashboard!$C$8*'Equity and Bond Returns'!FP34)</f>
        <v>0.26234875514902395</v>
      </c>
      <c r="BG34" s="122">
        <f ca="1">(Dashboard!$C$7*'Equity and Bond Returns'!BS34)+(Dashboard!$C$8*'Equity and Bond Returns'!FQ34)</f>
        <v>-1.0699466205589682E-2</v>
      </c>
      <c r="BH34" s="122">
        <f ca="1">(Dashboard!$C$7*'Equity and Bond Returns'!BT34)+(Dashboard!$C$8*'Equity and Bond Returns'!FR34)</f>
        <v>0.12145930083654277</v>
      </c>
      <c r="BI34" s="122">
        <f ca="1">(Dashboard!$C$7*'Equity and Bond Returns'!BU34)+(Dashboard!$C$8*'Equity and Bond Returns'!FS34)</f>
        <v>0.11207157001009027</v>
      </c>
      <c r="BJ34" s="122">
        <f ca="1">(Dashboard!$C$7*'Equity and Bond Returns'!BV34)+(Dashboard!$C$8*'Equity and Bond Returns'!FT34)</f>
        <v>-4.282894046233169E-2</v>
      </c>
      <c r="BK34" s="122">
        <f ca="1">(Dashboard!$C$7*'Equity and Bond Returns'!BW34)+(Dashboard!$C$8*'Equity and Bond Returns'!FU34)</f>
        <v>9.7681229046072487E-2</v>
      </c>
      <c r="BL34" s="122">
        <f ca="1">(Dashboard!$C$7*'Equity and Bond Returns'!BX34)+(Dashboard!$C$8*'Equity and Bond Returns'!FV34)</f>
        <v>0.25625911868910667</v>
      </c>
      <c r="BM34" s="122">
        <f ca="1">(Dashboard!$C$7*'Equity and Bond Returns'!BY34)+(Dashboard!$C$8*'Equity and Bond Returns'!FW34)</f>
        <v>0.26703170006362126</v>
      </c>
      <c r="BN34" s="122">
        <f ca="1">(Dashboard!$C$7*'Equity and Bond Returns'!BZ34)+(Dashboard!$C$8*'Equity and Bond Returns'!FX34)</f>
        <v>0.26438063899522174</v>
      </c>
      <c r="BO34" s="122">
        <f ca="1">(Dashboard!$C$7*'Equity and Bond Returns'!CA34)+(Dashboard!$C$8*'Equity and Bond Returns'!FY34)</f>
        <v>-1.2916803803508981E-2</v>
      </c>
      <c r="BP34" s="122">
        <f ca="1">(Dashboard!$C$7*'Equity and Bond Returns'!CB34)+(Dashboard!$C$8*'Equity and Bond Returns'!FZ34)</f>
        <v>1.5654352232180872E-2</v>
      </c>
      <c r="BQ34" s="122">
        <f ca="1">(Dashboard!$C$7*'Equity and Bond Returns'!CC34)+(Dashboard!$C$8*'Equity and Bond Returns'!GA34)</f>
        <v>-3.8861478128303935E-2</v>
      </c>
      <c r="BR34" s="122">
        <f ca="1">(Dashboard!$C$7*'Equity and Bond Returns'!CD34)+(Dashboard!$C$8*'Equity and Bond Returns'!GB34)</f>
        <v>0.36519878567805575</v>
      </c>
      <c r="BS34" s="122">
        <f ca="1">(Dashboard!$C$7*'Equity and Bond Returns'!CE34)+(Dashboard!$C$8*'Equity and Bond Returns'!GC34)</f>
        <v>0.13396950021879528</v>
      </c>
      <c r="BT34" s="122">
        <f ca="1">(Dashboard!$C$7*'Equity and Bond Returns'!CF34)+(Dashboard!$C$8*'Equity and Bond Returns'!GD34)</f>
        <v>6.8684232104934143E-2</v>
      </c>
      <c r="BU34" s="122">
        <f ca="1">(Dashboard!$C$7*'Equity and Bond Returns'!CG34)+(Dashboard!$C$8*'Equity and Bond Returns'!GE34)</f>
        <v>-5.135012929444828E-2</v>
      </c>
      <c r="BV34" s="122">
        <f ca="1">(Dashboard!$C$7*'Equity and Bond Returns'!CH34)+(Dashboard!$C$8*'Equity and Bond Returns'!GF34)</f>
        <v>-6.431698384549471E-2</v>
      </c>
      <c r="BW34" s="122">
        <f ca="1">(Dashboard!$C$7*'Equity and Bond Returns'!CI34)+(Dashboard!$C$8*'Equity and Bond Returns'!GG34)</f>
        <v>0.10144941541618085</v>
      </c>
      <c r="BX34" s="122">
        <f ca="1">(Dashboard!$C$7*'Equity and Bond Returns'!CJ34)+(Dashboard!$C$8*'Equity and Bond Returns'!GH34)</f>
        <v>-0.17266234367410216</v>
      </c>
      <c r="BY34" s="122">
        <f ca="1">(Dashboard!$C$7*'Equity and Bond Returns'!CK34)+(Dashboard!$C$8*'Equity and Bond Returns'!GI34)</f>
        <v>0.18048953033743495</v>
      </c>
      <c r="BZ34" s="122">
        <f ca="1">(Dashboard!$C$7*'Equity and Bond Returns'!CL34)+(Dashboard!$C$8*'Equity and Bond Returns'!GJ34)</f>
        <v>-9.6262004051336655E-2</v>
      </c>
      <c r="CA34" s="122">
        <f ca="1">(Dashboard!$C$7*'Equity and Bond Returns'!CM34)+(Dashboard!$C$8*'Equity and Bond Returns'!GK34)</f>
        <v>5.6543991755656997E-2</v>
      </c>
      <c r="CB34" s="122">
        <f ca="1">(Dashboard!$C$7*'Equity and Bond Returns'!CN34)+(Dashboard!$C$8*'Equity and Bond Returns'!GL34)</f>
        <v>0.11451067918148247</v>
      </c>
      <c r="CC34" s="122">
        <f ca="1">(Dashboard!$C$7*'Equity and Bond Returns'!CO34)+(Dashboard!$C$8*'Equity and Bond Returns'!GM34)</f>
        <v>0.1850357498977882</v>
      </c>
      <c r="CD34" s="122">
        <f ca="1">(Dashboard!$C$7*'Equity and Bond Returns'!CP34)+(Dashboard!$C$8*'Equity and Bond Returns'!GN34)</f>
        <v>0.21299827584748976</v>
      </c>
      <c r="CE34" s="122">
        <f ca="1">(Dashboard!$C$7*'Equity and Bond Returns'!CQ34)+(Dashboard!$C$8*'Equity and Bond Returns'!GO34)</f>
        <v>0.11079970227628914</v>
      </c>
      <c r="CF34" s="122">
        <f ca="1">(Dashboard!$C$7*'Equity and Bond Returns'!CR34)+(Dashboard!$C$8*'Equity and Bond Returns'!GP34)</f>
        <v>8.8413619529577908E-2</v>
      </c>
      <c r="CG34" s="122">
        <f ca="1">(Dashboard!$C$7*'Equity and Bond Returns'!CS34)+(Dashboard!$C$8*'Equity and Bond Returns'!GQ34)</f>
        <v>-0.18927312679735167</v>
      </c>
      <c r="CH34" s="122">
        <f ca="1">(Dashboard!$C$7*'Equity and Bond Returns'!CT34)+(Dashboard!$C$8*'Equity and Bond Returns'!GR34)</f>
        <v>0.15601122674571374</v>
      </c>
      <c r="CI34" s="122">
        <f ca="1">(Dashboard!$C$7*'Equity and Bond Returns'!CU34)+(Dashboard!$C$8*'Equity and Bond Returns'!GS34)</f>
        <v>0.20069293152305001</v>
      </c>
      <c r="CJ34" s="122">
        <f ca="1">(Dashboard!$C$7*'Equity and Bond Returns'!CV34)+(Dashboard!$C$8*'Equity and Bond Returns'!GT34)</f>
        <v>0.19408687350533424</v>
      </c>
      <c r="CK34" s="122">
        <f ca="1">(Dashboard!$C$7*'Equity and Bond Returns'!CW34)+(Dashboard!$C$8*'Equity and Bond Returns'!GU34)</f>
        <v>-4.8010379714099258E-2</v>
      </c>
      <c r="CL34" s="122">
        <f ca="1">(Dashboard!$C$7*'Equity and Bond Returns'!CX34)+(Dashboard!$C$8*'Equity and Bond Returns'!GV34)</f>
        <v>4.5177339102415552E-3</v>
      </c>
      <c r="CM34" s="122">
        <f ca="1">(Dashboard!$C$7*'Equity and Bond Returns'!CY34)+(Dashboard!$C$8*'Equity and Bond Returns'!GW34)</f>
        <v>0.24476053590180588</v>
      </c>
      <c r="CN34" s="122">
        <f ca="1">(Dashboard!$C$7*'Equity and Bond Returns'!CZ34)+(Dashboard!$C$8*'Equity and Bond Returns'!GX34)</f>
        <v>0.32348008366084718</v>
      </c>
      <c r="CO34" s="122">
        <f ca="1">(Dashboard!$C$7*'Equity and Bond Returns'!DA34)+(Dashboard!$C$8*'Equity and Bond Returns'!GY34)</f>
        <v>-3.2926837166034357E-3</v>
      </c>
      <c r="CP34" s="122">
        <f ca="1">(Dashboard!$C$7*'Equity and Bond Returns'!DB34)+(Dashboard!$C$8*'Equity and Bond Returns'!GZ34)</f>
        <v>7.0200589039494249E-3</v>
      </c>
      <c r="CQ34" s="122">
        <f ca="1">(Dashboard!$C$7*'Equity and Bond Returns'!DC34)+(Dashboard!$C$8*'Equity and Bond Returns'!HA34)</f>
        <v>4.5098920542918086E-3</v>
      </c>
      <c r="CR34" s="122">
        <f ca="1">(Dashboard!$C$7*'Equity and Bond Returns'!DD34)+(Dashboard!$C$8*'Equity and Bond Returns'!HB34)</f>
        <v>-3.8582168374258888E-2</v>
      </c>
      <c r="CS34" s="122">
        <f ca="1">(Dashboard!$C$7*'Equity and Bond Returns'!DE34)+(Dashboard!$C$8*'Equity and Bond Returns'!HC34)</f>
        <v>-3.016442651719943E-2</v>
      </c>
      <c r="CT34" s="122">
        <f ca="1">(Dashboard!$C$7*'Equity and Bond Returns'!DF34)+(Dashboard!$C$8*'Equity and Bond Returns'!HD34)</f>
        <v>0.27628326789988733</v>
      </c>
      <c r="CU34" s="122">
        <f ca="1">(Dashboard!$C$7*'Equity and Bond Returns'!DG34)+(Dashboard!$C$8*'Equity and Bond Returns'!HE34)</f>
        <v>2.5968982725380119E-2</v>
      </c>
      <c r="CV34" s="122">
        <f ca="1">(Dashboard!$C$7*'Equity and Bond Returns'!DH34)+(Dashboard!$C$8*'Equity and Bond Returns'!HF34)</f>
        <v>0.11946446372290515</v>
      </c>
      <c r="CW34" s="122">
        <f ca="1">(Dashboard!$C$7*'Equity and Bond Returns'!DI34)+(Dashboard!$C$8*'Equity and Bond Returns'!HG34)</f>
        <v>-9.277822684187445E-2</v>
      </c>
      <c r="CY34" s="147">
        <f t="shared" si="5"/>
        <v>83</v>
      </c>
      <c r="CZ34" s="148">
        <v>33</v>
      </c>
      <c r="DA34" s="126">
        <f ca="1">MAX(DA33*(1+B34)-(Dashboard!$C$11)/(1-Dashboard!$C$17)*((1+Dashboard!$C$12)^$CZ34),0)</f>
        <v>24890006.907996204</v>
      </c>
      <c r="DB34" s="126">
        <f ca="1">MAX(DB33*(1+C34)-(Dashboard!$C$11)/(1-Dashboard!$C$17)*((1+Dashboard!$C$12)^$CZ34),0)</f>
        <v>0</v>
      </c>
      <c r="DC34" s="126">
        <f ca="1">MAX(DC33*(1+D34)-(Dashboard!$C$11)/(1-Dashboard!$C$17)*((1+Dashboard!$C$12)^$CZ34),0)</f>
        <v>6936065.8628912503</v>
      </c>
      <c r="DD34" s="126">
        <f ca="1">MAX(DD33*(1+E34)-(Dashboard!$C$11)/(1-Dashboard!$C$17)*((1+Dashboard!$C$12)^$CZ34),0)</f>
        <v>1307646.7832398338</v>
      </c>
      <c r="DE34" s="126">
        <f ca="1">MAX(DE33*(1+F34)-(Dashboard!$C$11)/(1-Dashboard!$C$17)*((1+Dashboard!$C$12)^$CZ34),0)</f>
        <v>6080399.3788572866</v>
      </c>
      <c r="DF34" s="126">
        <f ca="1">MAX(DF33*(1+G34)-(Dashboard!$C$11)/(1-Dashboard!$C$17)*((1+Dashboard!$C$12)^$CZ34),0)</f>
        <v>15579904.49279476</v>
      </c>
      <c r="DG34" s="126">
        <f ca="1">MAX(DG33*(1+H34)-(Dashboard!$C$11)/(1-Dashboard!$C$17)*((1+Dashboard!$C$12)^$CZ34),0)</f>
        <v>968955.47053414735</v>
      </c>
      <c r="DH34" s="126">
        <f ca="1">MAX(DH33*(1+I34)-(Dashboard!$C$11)/(1-Dashboard!$C$17)*((1+Dashboard!$C$12)^$CZ34),0)</f>
        <v>13695611.122912453</v>
      </c>
      <c r="DI34" s="126">
        <f ca="1">MAX(DI33*(1+J34)-(Dashboard!$C$11)/(1-Dashboard!$C$17)*((1+Dashboard!$C$12)^$CZ34),0)</f>
        <v>5283742.8274681987</v>
      </c>
      <c r="DJ34" s="126">
        <f ca="1">MAX(DJ33*(1+K34)-(Dashboard!$C$11)/(1-Dashboard!$C$17)*((1+Dashboard!$C$12)^$CZ34),0)</f>
        <v>5279570.959331505</v>
      </c>
      <c r="DK34" s="126">
        <f ca="1">MAX(DK33*(1+L34)-(Dashboard!$C$11)/(1-Dashboard!$C$17)*((1+Dashboard!$C$12)^$CZ34),0)</f>
        <v>22183897.611188918</v>
      </c>
      <c r="DL34" s="126">
        <f ca="1">MAX(DL33*(1+M34)-(Dashboard!$C$11)/(1-Dashboard!$C$17)*((1+Dashboard!$C$12)^$CZ34),0)</f>
        <v>628961.54216909641</v>
      </c>
      <c r="DM34" s="126">
        <f ca="1">MAX(DM33*(1+N34)-(Dashboard!$C$11)/(1-Dashboard!$C$17)*((1+Dashboard!$C$12)^$CZ34),0)</f>
        <v>8249191.7557156673</v>
      </c>
      <c r="DN34" s="126">
        <f ca="1">MAX(DN33*(1+O34)-(Dashboard!$C$11)/(1-Dashboard!$C$17)*((1+Dashboard!$C$12)^$CZ34),0)</f>
        <v>30806298.371098876</v>
      </c>
      <c r="DO34" s="126">
        <f ca="1">MAX(DO33*(1+P34)-(Dashboard!$C$11)/(1-Dashboard!$C$17)*((1+Dashboard!$C$12)^$CZ34),0)</f>
        <v>2768625.9960687128</v>
      </c>
      <c r="DP34" s="126">
        <f ca="1">MAX(DP33*(1+Q34)-(Dashboard!$C$11)/(1-Dashboard!$C$17)*((1+Dashboard!$C$12)^$CZ34),0)</f>
        <v>3364867.5186738768</v>
      </c>
      <c r="DQ34" s="126">
        <f ca="1">MAX(DQ33*(1+R34)-(Dashboard!$C$11)/(1-Dashboard!$C$17)*((1+Dashboard!$C$12)^$CZ34),0)</f>
        <v>9773881.6149822287</v>
      </c>
      <c r="DR34" s="126">
        <f ca="1">MAX(DR33*(1+S34)-(Dashboard!$C$11)/(1-Dashboard!$C$17)*((1+Dashboard!$C$12)^$CZ34),0)</f>
        <v>20766069.226867441</v>
      </c>
      <c r="DS34" s="126">
        <f ca="1">MAX(DS33*(1+T34)-(Dashboard!$C$11)/(1-Dashboard!$C$17)*((1+Dashboard!$C$12)^$CZ34),0)</f>
        <v>1291743.4392617415</v>
      </c>
      <c r="DT34" s="126">
        <f ca="1">MAX(DT33*(1+U34)-(Dashboard!$C$11)/(1-Dashboard!$C$17)*((1+Dashboard!$C$12)^$CZ34),0)</f>
        <v>2386047.6635976322</v>
      </c>
      <c r="DU34" s="126">
        <f ca="1">MAX(DU33*(1+V34)-(Dashboard!$C$11)/(1-Dashboard!$C$17)*((1+Dashboard!$C$12)^$CZ34),0)</f>
        <v>7676834.1626264853</v>
      </c>
      <c r="DV34" s="126">
        <f ca="1">MAX(DV33*(1+W34)-(Dashboard!$C$11)/(1-Dashboard!$C$17)*((1+Dashboard!$C$12)^$CZ34),0)</f>
        <v>29560269.269423839</v>
      </c>
      <c r="DW34" s="126">
        <f ca="1">MAX(DW33*(1+X34)-(Dashboard!$C$11)/(1-Dashboard!$C$17)*((1+Dashboard!$C$12)^$CZ34),0)</f>
        <v>5274996.7674187412</v>
      </c>
      <c r="DX34" s="126">
        <f ca="1">MAX(DX33*(1+Y34)-(Dashboard!$C$11)/(1-Dashboard!$C$17)*((1+Dashboard!$C$12)^$CZ34),0)</f>
        <v>3793196.0730652376</v>
      </c>
      <c r="DY34" s="126">
        <f ca="1">MAX(DY33*(1+Z34)-(Dashboard!$C$11)/(1-Dashboard!$C$17)*((1+Dashboard!$C$12)^$CZ34),0)</f>
        <v>10170633.366790965</v>
      </c>
      <c r="DZ34" s="126">
        <f ca="1">MAX(DZ33*(1+AA34)-(Dashboard!$C$11)/(1-Dashboard!$C$17)*((1+Dashboard!$C$12)^$CZ34),0)</f>
        <v>1006175.5568881844</v>
      </c>
      <c r="EA34" s="126">
        <f ca="1">MAX(EA33*(1+AB34)-(Dashboard!$C$11)/(1-Dashboard!$C$17)*((1+Dashboard!$C$12)^$CZ34),0)</f>
        <v>5944530.9666342437</v>
      </c>
      <c r="EB34" s="126">
        <f ca="1">MAX(EB33*(1+AC34)-(Dashboard!$C$11)/(1-Dashboard!$C$17)*((1+Dashboard!$C$12)^$CZ34),0)</f>
        <v>9863451.0168744884</v>
      </c>
      <c r="EC34" s="126">
        <f ca="1">MAX(EC33*(1+AD34)-(Dashboard!$C$11)/(1-Dashboard!$C$17)*((1+Dashboard!$C$12)^$CZ34),0)</f>
        <v>7987988.339410861</v>
      </c>
      <c r="ED34" s="126">
        <f ca="1">MAX(ED33*(1+AE34)-(Dashboard!$C$11)/(1-Dashboard!$C$17)*((1+Dashboard!$C$12)^$CZ34),0)</f>
        <v>7634278.1048048781</v>
      </c>
      <c r="EE34" s="126">
        <f ca="1">MAX(EE33*(1+AF34)-(Dashboard!$C$11)/(1-Dashboard!$C$17)*((1+Dashboard!$C$12)^$CZ34),0)</f>
        <v>12374398.733851058</v>
      </c>
      <c r="EF34" s="126">
        <f ca="1">MAX(EF33*(1+AG34)-(Dashboard!$C$11)/(1-Dashboard!$C$17)*((1+Dashboard!$C$12)^$CZ34),0)</f>
        <v>1783873.4193105607</v>
      </c>
      <c r="EG34" s="126">
        <f ca="1">MAX(EG33*(1+AH34)-(Dashboard!$C$11)/(1-Dashboard!$C$17)*((1+Dashboard!$C$12)^$CZ34),0)</f>
        <v>11300138.246593267</v>
      </c>
      <c r="EH34" s="126">
        <f ca="1">MAX(EH33*(1+AI34)-(Dashboard!$C$11)/(1-Dashboard!$C$17)*((1+Dashboard!$C$12)^$CZ34),0)</f>
        <v>22355343.498726618</v>
      </c>
      <c r="EI34" s="126">
        <f ca="1">MAX(EI33*(1+AJ34)-(Dashboard!$C$11)/(1-Dashboard!$C$17)*((1+Dashboard!$C$12)^$CZ34),0)</f>
        <v>258178.72434757621</v>
      </c>
      <c r="EJ34" s="126">
        <f ca="1">MAX(EJ33*(1+AK34)-(Dashboard!$C$11)/(1-Dashboard!$C$17)*((1+Dashboard!$C$12)^$CZ34),0)</f>
        <v>9748854.0633084215</v>
      </c>
      <c r="EK34" s="126">
        <f ca="1">MAX(EK33*(1+AL34)-(Dashboard!$C$11)/(1-Dashboard!$C$17)*((1+Dashboard!$C$12)^$CZ34),0)</f>
        <v>9717836.1115162876</v>
      </c>
      <c r="EL34" s="126">
        <f ca="1">MAX(EL33*(1+AM34)-(Dashboard!$C$11)/(1-Dashboard!$C$17)*((1+Dashboard!$C$12)^$CZ34),0)</f>
        <v>1814513.1258608021</v>
      </c>
      <c r="EM34" s="126">
        <f ca="1">MAX(EM33*(1+AN34)-(Dashboard!$C$11)/(1-Dashboard!$C$17)*((1+Dashboard!$C$12)^$CZ34),0)</f>
        <v>15112367.70922298</v>
      </c>
      <c r="EN34" s="126">
        <f ca="1">MAX(EN33*(1+AO34)-(Dashboard!$C$11)/(1-Dashboard!$C$17)*((1+Dashboard!$C$12)^$CZ34),0)</f>
        <v>2714637.8986077486</v>
      </c>
      <c r="EO34" s="126">
        <f ca="1">MAX(EO33*(1+AP34)-(Dashboard!$C$11)/(1-Dashboard!$C$17)*((1+Dashboard!$C$12)^$CZ34),0)</f>
        <v>180772.58736078325</v>
      </c>
      <c r="EP34" s="126">
        <f ca="1">MAX(EP33*(1+AQ34)-(Dashboard!$C$11)/(1-Dashboard!$C$17)*((1+Dashboard!$C$12)^$CZ34),0)</f>
        <v>4299507.5111478353</v>
      </c>
      <c r="EQ34" s="126">
        <f ca="1">MAX(EQ33*(1+AR34)-(Dashboard!$C$11)/(1-Dashboard!$C$17)*((1+Dashboard!$C$12)^$CZ34),0)</f>
        <v>4488793.0797679415</v>
      </c>
      <c r="ER34" s="126">
        <f ca="1">MAX(ER33*(1+AS34)-(Dashboard!$C$11)/(1-Dashboard!$C$17)*((1+Dashboard!$C$12)^$CZ34),0)</f>
        <v>1602993.0152247625</v>
      </c>
      <c r="ES34" s="126">
        <f ca="1">MAX(ES33*(1+AT34)-(Dashboard!$C$11)/(1-Dashboard!$C$17)*((1+Dashboard!$C$12)^$CZ34),0)</f>
        <v>11064855.904029632</v>
      </c>
      <c r="ET34" s="126">
        <f ca="1">MAX(ET33*(1+AU34)-(Dashboard!$C$11)/(1-Dashboard!$C$17)*((1+Dashboard!$C$12)^$CZ34),0)</f>
        <v>7149721.2193906549</v>
      </c>
      <c r="EU34" s="126">
        <f ca="1">MAX(EU33*(1+AV34)-(Dashboard!$C$11)/(1-Dashboard!$C$17)*((1+Dashboard!$C$12)^$CZ34),0)</f>
        <v>4963632.0762638394</v>
      </c>
      <c r="EV34" s="126">
        <f ca="1">MAX(EV33*(1+AW34)-(Dashboard!$C$11)/(1-Dashboard!$C$17)*((1+Dashboard!$C$12)^$CZ34),0)</f>
        <v>37755056.090246566</v>
      </c>
      <c r="EW34" s="126">
        <f ca="1">MAX(EW33*(1+AX34)-(Dashboard!$C$11)/(1-Dashboard!$C$17)*((1+Dashboard!$C$12)^$CZ34),0)</f>
        <v>2128251.1633145544</v>
      </c>
      <c r="EX34" s="126">
        <f ca="1">MAX(EX33*(1+AY34)-(Dashboard!$C$11)/(1-Dashboard!$C$17)*((1+Dashboard!$C$12)^$CZ34),0)</f>
        <v>7224018.7080982691</v>
      </c>
      <c r="EY34" s="126">
        <f ca="1">MAX(EY33*(1+AZ34)-(Dashboard!$C$11)/(1-Dashboard!$C$17)*((1+Dashboard!$C$12)^$CZ34),0)</f>
        <v>14146590.982341243</v>
      </c>
      <c r="EZ34" s="126">
        <f ca="1">MAX(EZ33*(1+BA34)-(Dashboard!$C$11)/(1-Dashboard!$C$17)*((1+Dashboard!$C$12)^$CZ34),0)</f>
        <v>8028258.6010855408</v>
      </c>
      <c r="FA34" s="126">
        <f ca="1">MAX(FA33*(1+BB34)-(Dashboard!$C$11)/(1-Dashboard!$C$17)*((1+Dashboard!$C$12)^$CZ34),0)</f>
        <v>18175521.490218576</v>
      </c>
      <c r="FB34" s="126">
        <f ca="1">MAX(FB33*(1+BC34)-(Dashboard!$C$11)/(1-Dashboard!$C$17)*((1+Dashboard!$C$12)^$CZ34),0)</f>
        <v>800594.10633610107</v>
      </c>
      <c r="FC34" s="126">
        <f ca="1">MAX(FC33*(1+BD34)-(Dashboard!$C$11)/(1-Dashboard!$C$17)*((1+Dashboard!$C$12)^$CZ34),0)</f>
        <v>7776894.9113449808</v>
      </c>
      <c r="FD34" s="126">
        <f ca="1">MAX(FD33*(1+BE34)-(Dashboard!$C$11)/(1-Dashboard!$C$17)*((1+Dashboard!$C$12)^$CZ34),0)</f>
        <v>19337118.741633471</v>
      </c>
      <c r="FE34" s="126">
        <f ca="1">MAX(FE33*(1+BF34)-(Dashboard!$C$11)/(1-Dashboard!$C$17)*((1+Dashboard!$C$12)^$CZ34),0)</f>
        <v>31873575.2054145</v>
      </c>
      <c r="FF34" s="126">
        <f ca="1">MAX(FF33*(1+BG34)-(Dashboard!$C$11)/(1-Dashboard!$C$17)*((1+Dashboard!$C$12)^$CZ34),0)</f>
        <v>5553882.5954387123</v>
      </c>
      <c r="FG34" s="126">
        <f ca="1">MAX(FG33*(1+BH34)-(Dashboard!$C$11)/(1-Dashboard!$C$17)*((1+Dashboard!$C$12)^$CZ34),0)</f>
        <v>6151332.9716515495</v>
      </c>
      <c r="FH34" s="126">
        <f ca="1">MAX(FH33*(1+BI34)-(Dashboard!$C$11)/(1-Dashboard!$C$17)*((1+Dashboard!$C$12)^$CZ34),0)</f>
        <v>3084328.5492454357</v>
      </c>
      <c r="FI34" s="126">
        <f ca="1">MAX(FI33*(1+BJ34)-(Dashboard!$C$11)/(1-Dashboard!$C$17)*((1+Dashboard!$C$12)^$CZ34),0)</f>
        <v>13114994.335309085</v>
      </c>
      <c r="FJ34" s="126">
        <f ca="1">MAX(FJ33*(1+BK34)-(Dashboard!$C$11)/(1-Dashboard!$C$17)*((1+Dashboard!$C$12)^$CZ34),0)</f>
        <v>4292621.7478530882</v>
      </c>
      <c r="FK34" s="126">
        <f ca="1">MAX(FK33*(1+BL34)-(Dashboard!$C$11)/(1-Dashboard!$C$17)*((1+Dashboard!$C$12)^$CZ34),0)</f>
        <v>8733543.7961253095</v>
      </c>
      <c r="FL34" s="126">
        <f ca="1">MAX(FL33*(1+BM34)-(Dashboard!$C$11)/(1-Dashboard!$C$17)*((1+Dashboard!$C$12)^$CZ34),0)</f>
        <v>4880960.2200748017</v>
      </c>
      <c r="FM34" s="126">
        <f ca="1">MAX(FM33*(1+BN34)-(Dashboard!$C$11)/(1-Dashboard!$C$17)*((1+Dashboard!$C$12)^$CZ34),0)</f>
        <v>6783775.4780208962</v>
      </c>
      <c r="FN34" s="126">
        <f ca="1">MAX(FN33*(1+BO34)-(Dashboard!$C$11)/(1-Dashboard!$C$17)*((1+Dashboard!$C$12)^$CZ34),0)</f>
        <v>30765.83591614601</v>
      </c>
      <c r="FO34" s="126">
        <f ca="1">MAX(FO33*(1+BP34)-(Dashboard!$C$11)/(1-Dashboard!$C$17)*((1+Dashboard!$C$12)^$CZ34),0)</f>
        <v>6310479.7028443795</v>
      </c>
      <c r="FP34" s="126">
        <f ca="1">MAX(FP33*(1+BQ34)-(Dashboard!$C$11)/(1-Dashboard!$C$17)*((1+Dashboard!$C$12)^$CZ34),0)</f>
        <v>4734058.6182060344</v>
      </c>
      <c r="FQ34" s="126">
        <f ca="1">MAX(FQ33*(1+BR34)-(Dashboard!$C$11)/(1-Dashboard!$C$17)*((1+Dashboard!$C$12)^$CZ34),0)</f>
        <v>6516679.3512723017</v>
      </c>
      <c r="FR34" s="126">
        <f ca="1">MAX(FR33*(1+BS34)-(Dashboard!$C$11)/(1-Dashboard!$C$17)*((1+Dashboard!$C$12)^$CZ34),0)</f>
        <v>9904110.036852967</v>
      </c>
      <c r="FS34" s="126">
        <f ca="1">MAX(FS33*(1+BT34)-(Dashboard!$C$11)/(1-Dashboard!$C$17)*((1+Dashboard!$C$12)^$CZ34),0)</f>
        <v>12647323.568897881</v>
      </c>
      <c r="FT34" s="126">
        <f ca="1">MAX(FT33*(1+BU34)-(Dashboard!$C$11)/(1-Dashboard!$C$17)*((1+Dashboard!$C$12)^$CZ34),0)</f>
        <v>1199712.6328395919</v>
      </c>
      <c r="FU34" s="126">
        <f ca="1">MAX(FU33*(1+BV34)-(Dashboard!$C$11)/(1-Dashboard!$C$17)*((1+Dashboard!$C$12)^$CZ34),0)</f>
        <v>2631301.7405412733</v>
      </c>
      <c r="FV34" s="126">
        <f ca="1">MAX(FV33*(1+BW34)-(Dashboard!$C$11)/(1-Dashboard!$C$17)*((1+Dashboard!$C$12)^$CZ34),0)</f>
        <v>4648487.1246166853</v>
      </c>
      <c r="FW34" s="126">
        <f ca="1">MAX(FW33*(1+BX34)-(Dashboard!$C$11)/(1-Dashboard!$C$17)*((1+Dashboard!$C$12)^$CZ34),0)</f>
        <v>3504142.1298490921</v>
      </c>
      <c r="FX34" s="126">
        <f ca="1">MAX(FX33*(1+BY34)-(Dashboard!$C$11)/(1-Dashboard!$C$17)*((1+Dashboard!$C$12)^$CZ34),0)</f>
        <v>1232823.7304218281</v>
      </c>
      <c r="FY34" s="126">
        <f ca="1">MAX(FY33*(1+BZ34)-(Dashboard!$C$11)/(1-Dashboard!$C$17)*((1+Dashboard!$C$12)^$CZ34),0)</f>
        <v>2093510.1002113803</v>
      </c>
      <c r="FZ34" s="126">
        <f ca="1">MAX(FZ33*(1+CA34)-(Dashboard!$C$11)/(1-Dashboard!$C$17)*((1+Dashboard!$C$12)^$CZ34),0)</f>
        <v>16495244.31622868</v>
      </c>
      <c r="GA34" s="126">
        <f ca="1">MAX(GA33*(1+CB34)-(Dashboard!$C$11)/(1-Dashboard!$C$17)*((1+Dashboard!$C$12)^$CZ34),0)</f>
        <v>11723845.501336219</v>
      </c>
      <c r="GB34" s="126">
        <f ca="1">MAX(GB33*(1+CC34)-(Dashboard!$C$11)/(1-Dashboard!$C$17)*((1+Dashboard!$C$12)^$CZ34),0)</f>
        <v>3736198.1504432922</v>
      </c>
      <c r="GC34" s="126">
        <f ca="1">MAX(GC33*(1+CD34)-(Dashboard!$C$11)/(1-Dashboard!$C$17)*((1+Dashboard!$C$12)^$CZ34),0)</f>
        <v>9085039.2034098003</v>
      </c>
      <c r="GD34" s="126">
        <f ca="1">MAX(GD33*(1+CE34)-(Dashboard!$C$11)/(1-Dashboard!$C$17)*((1+Dashboard!$C$12)^$CZ34),0)</f>
        <v>37178724.934380412</v>
      </c>
      <c r="GE34" s="126">
        <f ca="1">MAX(GE33*(1+CF34)-(Dashboard!$C$11)/(1-Dashboard!$C$17)*((1+Dashboard!$C$12)^$CZ34),0)</f>
        <v>7285581.7071258826</v>
      </c>
      <c r="GF34" s="126">
        <f ca="1">MAX(GF33*(1+CG34)-(Dashboard!$C$11)/(1-Dashboard!$C$17)*((1+Dashboard!$C$12)^$CZ34),0)</f>
        <v>7069160.9968321547</v>
      </c>
      <c r="GG34" s="126">
        <f ca="1">MAX(GG33*(1+CH34)-(Dashboard!$C$11)/(1-Dashboard!$C$17)*((1+Dashboard!$C$12)^$CZ34),0)</f>
        <v>1373376.5810483554</v>
      </c>
      <c r="GH34" s="126">
        <f ca="1">MAX(GH33*(1+CI34)-(Dashboard!$C$11)/(1-Dashboard!$C$17)*((1+Dashboard!$C$12)^$CZ34),0)</f>
        <v>3303061.1437033643</v>
      </c>
      <c r="GI34" s="126">
        <f ca="1">MAX(GI33*(1+CJ34)-(Dashboard!$C$11)/(1-Dashboard!$C$17)*((1+Dashboard!$C$12)^$CZ34),0)</f>
        <v>7201069.2817568928</v>
      </c>
      <c r="GJ34" s="126">
        <f ca="1">MAX(GJ33*(1+CK34)-(Dashboard!$C$11)/(1-Dashboard!$C$17)*((1+Dashboard!$C$12)^$CZ34),0)</f>
        <v>31342479.295438863</v>
      </c>
      <c r="GK34" s="126">
        <f ca="1">MAX(GK33*(1+CL34)-(Dashboard!$C$11)/(1-Dashboard!$C$17)*((1+Dashboard!$C$12)^$CZ34),0)</f>
        <v>5341910.6007263549</v>
      </c>
      <c r="GL34" s="126">
        <f ca="1">MAX(GL33*(1+CM34)-(Dashboard!$C$11)/(1-Dashboard!$C$17)*((1+Dashboard!$C$12)^$CZ34),0)</f>
        <v>10971972.716275077</v>
      </c>
      <c r="GM34" s="126">
        <f ca="1">MAX(GM33*(1+CN34)-(Dashboard!$C$11)/(1-Dashboard!$C$17)*((1+Dashboard!$C$12)^$CZ34),0)</f>
        <v>2296690.2813383718</v>
      </c>
      <c r="GN34" s="126">
        <f ca="1">MAX(GN33*(1+CO34)-(Dashboard!$C$11)/(1-Dashboard!$C$17)*((1+Dashboard!$C$12)^$CZ34),0)</f>
        <v>0</v>
      </c>
      <c r="GO34" s="126">
        <f ca="1">MAX(GO33*(1+CP34)-(Dashboard!$C$11)/(1-Dashboard!$C$17)*((1+Dashboard!$C$12)^$CZ34),0)</f>
        <v>9635851.5729155894</v>
      </c>
      <c r="GP34" s="126">
        <f ca="1">MAX(GP33*(1+CQ34)-(Dashboard!$C$11)/(1-Dashboard!$C$17)*((1+Dashboard!$C$12)^$CZ34),0)</f>
        <v>11106503.632806195</v>
      </c>
      <c r="GQ34" s="126">
        <f ca="1">MAX(GQ33*(1+CR34)-(Dashboard!$C$11)/(1-Dashboard!$C$17)*((1+Dashboard!$C$12)^$CZ34),0)</f>
        <v>879930.14760374022</v>
      </c>
      <c r="GR34" s="126">
        <f ca="1">MAX(GR33*(1+CS34)-(Dashboard!$C$11)/(1-Dashboard!$C$17)*((1+Dashboard!$C$12)^$CZ34),0)</f>
        <v>4109412.1947396398</v>
      </c>
      <c r="GS34" s="126">
        <f ca="1">MAX(GS33*(1+CT34)-(Dashboard!$C$11)/(1-Dashboard!$C$17)*((1+Dashboard!$C$12)^$CZ34),0)</f>
        <v>10931239.703316903</v>
      </c>
      <c r="GT34" s="126">
        <f ca="1">MAX(GT33*(1+CU34)-(Dashboard!$C$11)/(1-Dashboard!$C$17)*((1+Dashboard!$C$12)^$CZ34),0)</f>
        <v>32547493.504548889</v>
      </c>
      <c r="GU34" s="126">
        <f ca="1">MAX(GU33*(1+CV34)-(Dashboard!$C$11)/(1-Dashboard!$C$17)*((1+Dashboard!$C$12)^$CZ34),0)</f>
        <v>3795952.1653278871</v>
      </c>
      <c r="GV34" s="126">
        <f ca="1">MAX(GV33*(1+CW34)-(Dashboard!$C$11)/(1-Dashboard!$C$17)*((1+Dashboard!$C$12)^$CZ34),0)</f>
        <v>2013109.4884928875</v>
      </c>
      <c r="GW34" s="115">
        <f t="shared" si="4"/>
        <v>83</v>
      </c>
      <c r="GX34" s="130">
        <f t="shared" ca="1" si="2"/>
        <v>98</v>
      </c>
      <c r="HC34" s="130">
        <f t="shared" ref="HC34:HC51" si="7">GW34</f>
        <v>83</v>
      </c>
      <c r="HD34" s="137">
        <f t="shared" ca="1" si="6"/>
        <v>2652135.7800578922</v>
      </c>
      <c r="HE34" s="137">
        <f t="shared" ca="1" si="6"/>
        <v>6230906.337247964</v>
      </c>
      <c r="HF34" s="137">
        <f t="shared" ca="1" si="6"/>
        <v>10961789.463035533</v>
      </c>
    </row>
    <row r="35" spans="1:214" ht="16">
      <c r="A35" s="145">
        <f t="shared" si="3"/>
        <v>84</v>
      </c>
      <c r="B35" s="122">
        <f ca="1">(Dashboard!$C$7*'Equity and Bond Returns'!N35)+(Dashboard!$C$8*'Equity and Bond Returns'!DL35)</f>
        <v>0.10573401506962822</v>
      </c>
      <c r="C35" s="122">
        <f ca="1">(Dashboard!$C$7*'Equity and Bond Returns'!O35)+(Dashboard!$C$8*'Equity and Bond Returns'!DM35)</f>
        <v>-3.4178043726042634E-2</v>
      </c>
      <c r="D35" s="122">
        <f ca="1">(Dashboard!$C$7*'Equity and Bond Returns'!P35)+(Dashboard!$C$8*'Equity and Bond Returns'!DN35)</f>
        <v>-1.6243680348805641E-2</v>
      </c>
      <c r="E35" s="122">
        <f ca="1">(Dashboard!$C$7*'Equity and Bond Returns'!Q35)+(Dashboard!$C$8*'Equity and Bond Returns'!DO35)</f>
        <v>0.18599602700109025</v>
      </c>
      <c r="F35" s="122">
        <f ca="1">(Dashboard!$C$7*'Equity and Bond Returns'!R35)+(Dashboard!$C$8*'Equity and Bond Returns'!DP35)</f>
        <v>0.17744533698157933</v>
      </c>
      <c r="G35" s="122">
        <f ca="1">(Dashboard!$C$7*'Equity and Bond Returns'!S35)+(Dashboard!$C$8*'Equity and Bond Returns'!DQ35)</f>
        <v>0.29322674017088735</v>
      </c>
      <c r="H35" s="122">
        <f ca="1">(Dashboard!$C$7*'Equity and Bond Returns'!T35)+(Dashboard!$C$8*'Equity and Bond Returns'!DR35)</f>
        <v>0.304236150657414</v>
      </c>
      <c r="I35" s="122">
        <f ca="1">(Dashboard!$C$7*'Equity and Bond Returns'!U35)+(Dashboard!$C$8*'Equity and Bond Returns'!DS35)</f>
        <v>0.29704774029673936</v>
      </c>
      <c r="J35" s="122">
        <f ca="1">(Dashboard!$C$7*'Equity and Bond Returns'!V35)+(Dashboard!$C$8*'Equity and Bond Returns'!DT35)</f>
        <v>6.6193806212061529E-2</v>
      </c>
      <c r="K35" s="122">
        <f ca="1">(Dashboard!$C$7*'Equity and Bond Returns'!W35)+(Dashboard!$C$8*'Equity and Bond Returns'!DU35)</f>
        <v>0.13306212723416239</v>
      </c>
      <c r="L35" s="122">
        <f ca="1">(Dashboard!$C$7*'Equity and Bond Returns'!X35)+(Dashboard!$C$8*'Equity and Bond Returns'!DV35)</f>
        <v>0.23194362568832744</v>
      </c>
      <c r="M35" s="122">
        <f ca="1">(Dashboard!$C$7*'Equity and Bond Returns'!Y35)+(Dashboard!$C$8*'Equity and Bond Returns'!DW35)</f>
        <v>-0.10020002000554445</v>
      </c>
      <c r="N35" s="122">
        <f ca="1">(Dashboard!$C$7*'Equity and Bond Returns'!Z35)+(Dashboard!$C$8*'Equity and Bond Returns'!DX35)</f>
        <v>0.23783230616074352</v>
      </c>
      <c r="O35" s="122">
        <f ca="1">(Dashboard!$C$7*'Equity and Bond Returns'!AA35)+(Dashboard!$C$8*'Equity and Bond Returns'!DY35)</f>
        <v>-1.1170606396227039E-2</v>
      </c>
      <c r="P35" s="122">
        <f ca="1">(Dashboard!$C$7*'Equity and Bond Returns'!AB35)+(Dashboard!$C$8*'Equity and Bond Returns'!DZ35)</f>
        <v>0.29868650090538901</v>
      </c>
      <c r="Q35" s="122">
        <f ca="1">(Dashboard!$C$7*'Equity and Bond Returns'!AC35)+(Dashboard!$C$8*'Equity and Bond Returns'!EA35)</f>
        <v>0.22096705293171151</v>
      </c>
      <c r="R35" s="122">
        <f ca="1">(Dashboard!$C$7*'Equity and Bond Returns'!AD35)+(Dashboard!$C$8*'Equity and Bond Returns'!EB35)</f>
        <v>6.118057000171042E-2</v>
      </c>
      <c r="S35" s="122">
        <f ca="1">(Dashboard!$C$7*'Equity and Bond Returns'!AE35)+(Dashboard!$C$8*'Equity and Bond Returns'!EC35)</f>
        <v>0.2928849715139028</v>
      </c>
      <c r="T35" s="122">
        <f ca="1">(Dashboard!$C$7*'Equity and Bond Returns'!AF35)+(Dashboard!$C$8*'Equity and Bond Returns'!ED35)</f>
        <v>0.20874301825014541</v>
      </c>
      <c r="U35" s="122">
        <f ca="1">(Dashboard!$C$7*'Equity and Bond Returns'!AG35)+(Dashboard!$C$8*'Equity and Bond Returns'!EE35)</f>
        <v>9.0965329171693005E-2</v>
      </c>
      <c r="V35" s="122">
        <f ca="1">(Dashboard!$C$7*'Equity and Bond Returns'!AH35)+(Dashboard!$C$8*'Equity and Bond Returns'!EF35)</f>
        <v>6.8523024102516039E-2</v>
      </c>
      <c r="W35" s="122">
        <f ca="1">(Dashboard!$C$7*'Equity and Bond Returns'!AI35)+(Dashboard!$C$8*'Equity and Bond Returns'!EG35)</f>
        <v>8.3366425406989131E-2</v>
      </c>
      <c r="X35" s="122">
        <f ca="1">(Dashboard!$C$7*'Equity and Bond Returns'!AJ35)+(Dashboard!$C$8*'Equity and Bond Returns'!EH35)</f>
        <v>-0.17746603702661126</v>
      </c>
      <c r="Y35" s="122">
        <f ca="1">(Dashboard!$C$7*'Equity and Bond Returns'!AK35)+(Dashboard!$C$8*'Equity and Bond Returns'!EI35)</f>
        <v>-4.1845029161576112E-2</v>
      </c>
      <c r="Z35" s="122">
        <f ca="1">(Dashboard!$C$7*'Equity and Bond Returns'!AL35)+(Dashboard!$C$8*'Equity and Bond Returns'!EJ35)</f>
        <v>0.12216884810584162</v>
      </c>
      <c r="AA35" s="122">
        <f ca="1">(Dashboard!$C$7*'Equity and Bond Returns'!AM35)+(Dashboard!$C$8*'Equity and Bond Returns'!EK35)</f>
        <v>0.1829489823684283</v>
      </c>
      <c r="AB35" s="122">
        <f ca="1">(Dashboard!$C$7*'Equity and Bond Returns'!AN35)+(Dashboard!$C$8*'Equity and Bond Returns'!EL35)</f>
        <v>-3.0778847455192448E-2</v>
      </c>
      <c r="AC35" s="122">
        <f ca="1">(Dashboard!$C$7*'Equity and Bond Returns'!AO35)+(Dashboard!$C$8*'Equity and Bond Returns'!EM35)</f>
        <v>9.7426876881349322E-2</v>
      </c>
      <c r="AD35" s="122">
        <f ca="1">(Dashboard!$C$7*'Equity and Bond Returns'!AP35)+(Dashboard!$C$8*'Equity and Bond Returns'!EN35)</f>
        <v>0.24838853857224943</v>
      </c>
      <c r="AE35" s="122">
        <f ca="1">(Dashboard!$C$7*'Equity and Bond Returns'!AQ35)+(Dashboard!$C$8*'Equity and Bond Returns'!EO35)</f>
        <v>-6.7985698357572785E-3</v>
      </c>
      <c r="AF35" s="122">
        <f ca="1">(Dashboard!$C$7*'Equity and Bond Returns'!AR35)+(Dashboard!$C$8*'Equity and Bond Returns'!EP35)</f>
        <v>0.13137690759498674</v>
      </c>
      <c r="AG35" s="122">
        <f ca="1">(Dashboard!$C$7*'Equity and Bond Returns'!AS35)+(Dashboard!$C$8*'Equity and Bond Returns'!EQ35)</f>
        <v>-8.6772651016804342E-2</v>
      </c>
      <c r="AH35" s="122">
        <f ca="1">(Dashboard!$C$7*'Equity and Bond Returns'!AT35)+(Dashboard!$C$8*'Equity and Bond Returns'!ER35)</f>
        <v>0.13301976695118331</v>
      </c>
      <c r="AI35" s="122">
        <f ca="1">(Dashboard!$C$7*'Equity and Bond Returns'!AU35)+(Dashboard!$C$8*'Equity and Bond Returns'!ES35)</f>
        <v>9.0845177265389196E-2</v>
      </c>
      <c r="AJ35" s="122">
        <f ca="1">(Dashboard!$C$7*'Equity and Bond Returns'!AV35)+(Dashboard!$C$8*'Equity and Bond Returns'!ET35)</f>
        <v>0.16991991520243516</v>
      </c>
      <c r="AK35" s="122">
        <f ca="1">(Dashboard!$C$7*'Equity and Bond Returns'!AW35)+(Dashboard!$C$8*'Equity and Bond Returns'!EU35)</f>
        <v>0.21894056118011224</v>
      </c>
      <c r="AL35" s="122">
        <f ca="1">(Dashboard!$C$7*'Equity and Bond Returns'!AX35)+(Dashboard!$C$8*'Equity and Bond Returns'!EV35)</f>
        <v>-0.22303511062115822</v>
      </c>
      <c r="AM35" s="122">
        <f ca="1">(Dashboard!$C$7*'Equity and Bond Returns'!AY35)+(Dashboard!$C$8*'Equity and Bond Returns'!EW35)</f>
        <v>7.0374788390039369E-2</v>
      </c>
      <c r="AN35" s="122">
        <f ca="1">(Dashboard!$C$7*'Equity and Bond Returns'!AZ35)+(Dashboard!$C$8*'Equity and Bond Returns'!EX35)</f>
        <v>0.24049341156249529</v>
      </c>
      <c r="AO35" s="122">
        <f ca="1">(Dashboard!$C$7*'Equity and Bond Returns'!BA35)+(Dashboard!$C$8*'Equity and Bond Returns'!EY35)</f>
        <v>-0.10793104036967338</v>
      </c>
      <c r="AP35" s="122">
        <f ca="1">(Dashboard!$C$7*'Equity and Bond Returns'!BB35)+(Dashboard!$C$8*'Equity and Bond Returns'!EZ35)</f>
        <v>-0.11867343288156816</v>
      </c>
      <c r="AQ35" s="122">
        <f ca="1">(Dashboard!$C$7*'Equity and Bond Returns'!BC35)+(Dashboard!$C$8*'Equity and Bond Returns'!FA35)</f>
        <v>0.17170480528480048</v>
      </c>
      <c r="AR35" s="122">
        <f ca="1">(Dashboard!$C$7*'Equity and Bond Returns'!BD35)+(Dashboard!$C$8*'Equity and Bond Returns'!FB35)</f>
        <v>0.332653495614744</v>
      </c>
      <c r="AS35" s="122">
        <f ca="1">(Dashboard!$C$7*'Equity and Bond Returns'!BE35)+(Dashboard!$C$8*'Equity and Bond Returns'!FC35)</f>
        <v>0.1443336622162838</v>
      </c>
      <c r="AT35" s="122">
        <f ca="1">(Dashboard!$C$7*'Equity and Bond Returns'!BF35)+(Dashboard!$C$8*'Equity and Bond Returns'!FD35)</f>
        <v>0.14533123230712069</v>
      </c>
      <c r="AU35" s="122">
        <f ca="1">(Dashboard!$C$7*'Equity and Bond Returns'!BG35)+(Dashboard!$C$8*'Equity and Bond Returns'!FE35)</f>
        <v>0.36189485380153663</v>
      </c>
      <c r="AV35" s="122">
        <f ca="1">(Dashboard!$C$7*'Equity and Bond Returns'!BH35)+(Dashboard!$C$8*'Equity and Bond Returns'!FF35)</f>
        <v>0.12407419172198471</v>
      </c>
      <c r="AW35" s="122">
        <f ca="1">(Dashboard!$C$7*'Equity and Bond Returns'!BI35)+(Dashboard!$C$8*'Equity and Bond Returns'!FG35)</f>
        <v>4.4592817809451762E-2</v>
      </c>
      <c r="AX35" s="122">
        <f ca="1">(Dashboard!$C$7*'Equity and Bond Returns'!BJ35)+(Dashboard!$C$8*'Equity and Bond Returns'!FH35)</f>
        <v>0.13460156852664318</v>
      </c>
      <c r="AY35" s="122">
        <f ca="1">(Dashboard!$C$7*'Equity and Bond Returns'!BK35)+(Dashboard!$C$8*'Equity and Bond Returns'!FI35)</f>
        <v>-7.3613646276732586E-2</v>
      </c>
      <c r="AZ35" s="122">
        <f ca="1">(Dashboard!$C$7*'Equity and Bond Returns'!BL35)+(Dashboard!$C$8*'Equity and Bond Returns'!FJ35)</f>
        <v>-0.16822133262689001</v>
      </c>
      <c r="BA35" s="122">
        <f ca="1">(Dashboard!$C$7*'Equity and Bond Returns'!BM35)+(Dashboard!$C$8*'Equity and Bond Returns'!FK35)</f>
        <v>0.14920130073582766</v>
      </c>
      <c r="BB35" s="122">
        <f ca="1">(Dashboard!$C$7*'Equity and Bond Returns'!BN35)+(Dashboard!$C$8*'Equity and Bond Returns'!FL35)</f>
        <v>0.14620587997121143</v>
      </c>
      <c r="BC35" s="122">
        <f ca="1">(Dashboard!$C$7*'Equity and Bond Returns'!BO35)+(Dashboard!$C$8*'Equity and Bond Returns'!FM35)</f>
        <v>0.26259269286370729</v>
      </c>
      <c r="BD35" s="122">
        <f ca="1">(Dashboard!$C$7*'Equity and Bond Returns'!BP35)+(Dashboard!$C$8*'Equity and Bond Returns'!FN35)</f>
        <v>-0.10869756737828361</v>
      </c>
      <c r="BE35" s="122">
        <f ca="1">(Dashboard!$C$7*'Equity and Bond Returns'!BQ35)+(Dashboard!$C$8*'Equity and Bond Returns'!FO35)</f>
        <v>0.27992979098829907</v>
      </c>
      <c r="BF35" s="122">
        <f ca="1">(Dashboard!$C$7*'Equity and Bond Returns'!BR35)+(Dashboard!$C$8*'Equity and Bond Returns'!FP35)</f>
        <v>-9.8705897079134214E-2</v>
      </c>
      <c r="BG35" s="122">
        <f ca="1">(Dashboard!$C$7*'Equity and Bond Returns'!BS35)+(Dashboard!$C$8*'Equity and Bond Returns'!FQ35)</f>
        <v>0.14079796447745563</v>
      </c>
      <c r="BH35" s="122">
        <f ca="1">(Dashboard!$C$7*'Equity and Bond Returns'!BT35)+(Dashboard!$C$8*'Equity and Bond Returns'!FR35)</f>
        <v>0.14785725837729596</v>
      </c>
      <c r="BI35" s="122">
        <f ca="1">(Dashboard!$C$7*'Equity and Bond Returns'!BU35)+(Dashboard!$C$8*'Equity and Bond Returns'!FS35)</f>
        <v>0.14739006768279861</v>
      </c>
      <c r="BJ35" s="122">
        <f ca="1">(Dashboard!$C$7*'Equity and Bond Returns'!BV35)+(Dashboard!$C$8*'Equity and Bond Returns'!FT35)</f>
        <v>0.10932298889581737</v>
      </c>
      <c r="BK35" s="122">
        <f ca="1">(Dashboard!$C$7*'Equity and Bond Returns'!BW35)+(Dashboard!$C$8*'Equity and Bond Returns'!FU35)</f>
        <v>7.6022221515206628E-2</v>
      </c>
      <c r="BL35" s="122">
        <f ca="1">(Dashboard!$C$7*'Equity and Bond Returns'!BX35)+(Dashboard!$C$8*'Equity and Bond Returns'!FV35)</f>
        <v>-0.2062292841356991</v>
      </c>
      <c r="BM35" s="122">
        <f ca="1">(Dashboard!$C$7*'Equity and Bond Returns'!BY35)+(Dashboard!$C$8*'Equity and Bond Returns'!FW35)</f>
        <v>-7.6248412612578115E-2</v>
      </c>
      <c r="BN35" s="122">
        <f ca="1">(Dashboard!$C$7*'Equity and Bond Returns'!BZ35)+(Dashboard!$C$8*'Equity and Bond Returns'!FX35)</f>
        <v>9.6157071857898374E-2</v>
      </c>
      <c r="BO35" s="122">
        <f ca="1">(Dashboard!$C$7*'Equity and Bond Returns'!CA35)+(Dashboard!$C$8*'Equity and Bond Returns'!FY35)</f>
        <v>0.25996610583218827</v>
      </c>
      <c r="BP35" s="122">
        <f ca="1">(Dashboard!$C$7*'Equity and Bond Returns'!CB35)+(Dashboard!$C$8*'Equity and Bond Returns'!FZ35)</f>
        <v>0.16602710913782343</v>
      </c>
      <c r="BQ35" s="122">
        <f ca="1">(Dashboard!$C$7*'Equity and Bond Returns'!CC35)+(Dashboard!$C$8*'Equity and Bond Returns'!GA35)</f>
        <v>-1.7156127812196206E-2</v>
      </c>
      <c r="BR35" s="122">
        <f ca="1">(Dashboard!$C$7*'Equity and Bond Returns'!CD35)+(Dashboard!$C$8*'Equity and Bond Returns'!GB35)</f>
        <v>-8.9393165861124849E-2</v>
      </c>
      <c r="BS35" s="122">
        <f ca="1">(Dashboard!$C$7*'Equity and Bond Returns'!CE35)+(Dashboard!$C$8*'Equity and Bond Returns'!GC35)</f>
        <v>7.3931658737851985E-2</v>
      </c>
      <c r="BT35" s="122">
        <f ca="1">(Dashboard!$C$7*'Equity and Bond Returns'!CF35)+(Dashboard!$C$8*'Equity and Bond Returns'!GD35)</f>
        <v>-2.7903453095921543E-2</v>
      </c>
      <c r="BU35" s="122">
        <f ca="1">(Dashboard!$C$7*'Equity and Bond Returns'!CG35)+(Dashboard!$C$8*'Equity and Bond Returns'!GE35)</f>
        <v>-0.11756254837953797</v>
      </c>
      <c r="BV35" s="122">
        <f ca="1">(Dashboard!$C$7*'Equity and Bond Returns'!CH35)+(Dashboard!$C$8*'Equity and Bond Returns'!GF35)</f>
        <v>-8.5846210173476253E-2</v>
      </c>
      <c r="BW35" s="122">
        <f ca="1">(Dashboard!$C$7*'Equity and Bond Returns'!CI35)+(Dashboard!$C$8*'Equity and Bond Returns'!GG35)</f>
        <v>-4.2898270572513782E-2</v>
      </c>
      <c r="BX35" s="122">
        <f ca="1">(Dashboard!$C$7*'Equity and Bond Returns'!CJ35)+(Dashboard!$C$8*'Equity and Bond Returns'!GH35)</f>
        <v>0.404785145402144</v>
      </c>
      <c r="BY35" s="122">
        <f ca="1">(Dashboard!$C$7*'Equity and Bond Returns'!CK35)+(Dashboard!$C$8*'Equity and Bond Returns'!GI35)</f>
        <v>0.42012802803938526</v>
      </c>
      <c r="BZ35" s="122">
        <f ca="1">(Dashboard!$C$7*'Equity and Bond Returns'!CL35)+(Dashboard!$C$8*'Equity and Bond Returns'!GJ35)</f>
        <v>-1.0096079308579023E-2</v>
      </c>
      <c r="CA35" s="122">
        <f ca="1">(Dashboard!$C$7*'Equity and Bond Returns'!CM35)+(Dashboard!$C$8*'Equity and Bond Returns'!GK35)</f>
        <v>8.5294652139453947E-2</v>
      </c>
      <c r="CB35" s="122">
        <f ca="1">(Dashboard!$C$7*'Equity and Bond Returns'!CN35)+(Dashboard!$C$8*'Equity and Bond Returns'!GL35)</f>
        <v>0.14766738709329488</v>
      </c>
      <c r="CC35" s="122">
        <f ca="1">(Dashboard!$C$7*'Equity and Bond Returns'!CO35)+(Dashboard!$C$8*'Equity and Bond Returns'!GM35)</f>
        <v>0.39831724416433856</v>
      </c>
      <c r="CD35" s="122">
        <f ca="1">(Dashboard!$C$7*'Equity and Bond Returns'!CP35)+(Dashboard!$C$8*'Equity and Bond Returns'!GN35)</f>
        <v>2.6815800419801077E-2</v>
      </c>
      <c r="CE35" s="122">
        <f ca="1">(Dashboard!$C$7*'Equity and Bond Returns'!CQ35)+(Dashboard!$C$8*'Equity and Bond Returns'!GO35)</f>
        <v>0.20739564314506376</v>
      </c>
      <c r="CF35" s="122">
        <f ca="1">(Dashboard!$C$7*'Equity and Bond Returns'!CR35)+(Dashboard!$C$8*'Equity and Bond Returns'!GP35)</f>
        <v>-9.5239315322964008E-2</v>
      </c>
      <c r="CG35" s="122">
        <f ca="1">(Dashboard!$C$7*'Equity and Bond Returns'!CS35)+(Dashboard!$C$8*'Equity and Bond Returns'!GQ35)</f>
        <v>0.26143313701264942</v>
      </c>
      <c r="CH35" s="122">
        <f ca="1">(Dashboard!$C$7*'Equity and Bond Returns'!CT35)+(Dashboard!$C$8*'Equity and Bond Returns'!GR35)</f>
        <v>8.9498811660779512E-2</v>
      </c>
      <c r="CI35" s="122">
        <f ca="1">(Dashboard!$C$7*'Equity and Bond Returns'!CU35)+(Dashboard!$C$8*'Equity and Bond Returns'!GS35)</f>
        <v>6.4832538193734759E-2</v>
      </c>
      <c r="CJ35" s="122">
        <f ca="1">(Dashboard!$C$7*'Equity and Bond Returns'!CV35)+(Dashboard!$C$8*'Equity and Bond Returns'!GT35)</f>
        <v>0.28289240531207993</v>
      </c>
      <c r="CK35" s="122">
        <f ca="1">(Dashboard!$C$7*'Equity and Bond Returns'!CW35)+(Dashboard!$C$8*'Equity and Bond Returns'!GU35)</f>
        <v>0.35399501342721629</v>
      </c>
      <c r="CL35" s="122">
        <f ca="1">(Dashboard!$C$7*'Equity and Bond Returns'!CX35)+(Dashboard!$C$8*'Equity and Bond Returns'!GV35)</f>
        <v>-0.12182112408888644</v>
      </c>
      <c r="CM35" s="122">
        <f ca="1">(Dashboard!$C$7*'Equity and Bond Returns'!CY35)+(Dashboard!$C$8*'Equity and Bond Returns'!GW35)</f>
        <v>0.19055396565015151</v>
      </c>
      <c r="CN35" s="122">
        <f ca="1">(Dashboard!$C$7*'Equity and Bond Returns'!CZ35)+(Dashboard!$C$8*'Equity and Bond Returns'!GX35)</f>
        <v>-0.1799993938003647</v>
      </c>
      <c r="CO35" s="122">
        <f ca="1">(Dashboard!$C$7*'Equity and Bond Returns'!DA35)+(Dashboard!$C$8*'Equity and Bond Returns'!GY35)</f>
        <v>-0.14806178920695434</v>
      </c>
      <c r="CP35" s="122">
        <f ca="1">(Dashboard!$C$7*'Equity and Bond Returns'!DB35)+(Dashboard!$C$8*'Equity and Bond Returns'!GZ35)</f>
        <v>3.59606212278899E-2</v>
      </c>
      <c r="CQ35" s="122">
        <f ca="1">(Dashboard!$C$7*'Equity and Bond Returns'!DC35)+(Dashboard!$C$8*'Equity and Bond Returns'!HA35)</f>
        <v>-5.8821002247868695E-2</v>
      </c>
      <c r="CR35" s="122">
        <f ca="1">(Dashboard!$C$7*'Equity and Bond Returns'!DD35)+(Dashboard!$C$8*'Equity and Bond Returns'!HB35)</f>
        <v>0.12656915126870993</v>
      </c>
      <c r="CS35" s="122">
        <f ca="1">(Dashboard!$C$7*'Equity and Bond Returns'!DE35)+(Dashboard!$C$8*'Equity and Bond Returns'!HC35)</f>
        <v>3.6827053080754381E-2</v>
      </c>
      <c r="CT35" s="122">
        <f ca="1">(Dashboard!$C$7*'Equity and Bond Returns'!DF35)+(Dashboard!$C$8*'Equity and Bond Returns'!HD35)</f>
        <v>0.14229910701822976</v>
      </c>
      <c r="CU35" s="122">
        <f ca="1">(Dashboard!$C$7*'Equity and Bond Returns'!DG35)+(Dashboard!$C$8*'Equity and Bond Returns'!HE35)</f>
        <v>-8.4290450977040077E-2</v>
      </c>
      <c r="CV35" s="122">
        <f ca="1">(Dashboard!$C$7*'Equity and Bond Returns'!DH35)+(Dashboard!$C$8*'Equity and Bond Returns'!HF35)</f>
        <v>0.31531556642713721</v>
      </c>
      <c r="CW35" s="122">
        <f ca="1">(Dashboard!$C$7*'Equity and Bond Returns'!DI35)+(Dashboard!$C$8*'Equity and Bond Returns'!HG35)</f>
        <v>0.42353950794463252</v>
      </c>
      <c r="CY35" s="147">
        <f t="shared" si="5"/>
        <v>84</v>
      </c>
      <c r="CZ35" s="148">
        <v>34</v>
      </c>
      <c r="DA35" s="126">
        <f ca="1">MAX(DA34*(1+B35)-(Dashboard!$C$11)/(1-Dashboard!$C$17)*((1+Dashboard!$C$12)^$CZ35),0)</f>
        <v>27465381.726769604</v>
      </c>
      <c r="DB35" s="126">
        <f ca="1">MAX(DB34*(1+C35)-(Dashboard!$C$11)/(1-Dashboard!$C$17)*((1+Dashboard!$C$12)^$CZ35),0)</f>
        <v>0</v>
      </c>
      <c r="DC35" s="126">
        <f ca="1">MAX(DC34*(1+D35)-(Dashboard!$C$11)/(1-Dashboard!$C$17)*((1+Dashboard!$C$12)^$CZ35),0)</f>
        <v>6767053.0794163635</v>
      </c>
      <c r="DD35" s="126">
        <f ca="1">MAX(DD34*(1+E35)-(Dashboard!$C$11)/(1-Dashboard!$C$17)*((1+Dashboard!$C$12)^$CZ35),0)</f>
        <v>1494518.3429233807</v>
      </c>
      <c r="DE35" s="126">
        <f ca="1">MAX(DE34*(1+F35)-(Dashboard!$C$11)/(1-Dashboard!$C$17)*((1+Dashboard!$C$12)^$CZ35),0)</f>
        <v>7102992.3489013854</v>
      </c>
      <c r="DF35" s="126">
        <f ca="1">MAX(DF34*(1+G35)-(Dashboard!$C$11)/(1-Dashboard!$C$17)*((1+Dashboard!$C$12)^$CZ35),0)</f>
        <v>20092003.552670911</v>
      </c>
      <c r="DG35" s="126">
        <f ca="1">MAX(DG34*(1+H35)-(Dashboard!$C$11)/(1-Dashboard!$C$17)*((1+Dashboard!$C$12)^$CZ35),0)</f>
        <v>1207401.2063280817</v>
      </c>
      <c r="DH35" s="126">
        <f ca="1">MAX(DH34*(1+I35)-(Dashboard!$C$11)/(1-Dashboard!$C$17)*((1+Dashboard!$C$12)^$CZ35),0)</f>
        <v>17707515.912236668</v>
      </c>
      <c r="DI35" s="126">
        <f ca="1">MAX(DI34*(1+J35)-(Dashboard!$C$11)/(1-Dashboard!$C$17)*((1+Dashboard!$C$12)^$CZ35),0)</f>
        <v>5577148.3295441801</v>
      </c>
      <c r="DJ35" s="126">
        <f ca="1">MAX(DJ34*(1+K35)-(Dashboard!$C$11)/(1-Dashboard!$C$17)*((1+Dashboard!$C$12)^$CZ35),0)</f>
        <v>5925736.355344044</v>
      </c>
      <c r="DK35" s="126">
        <f ca="1">MAX(DK34*(1+L35)-(Dashboard!$C$11)/(1-Dashboard!$C$17)*((1+Dashboard!$C$12)^$CZ35),0)</f>
        <v>27272965.708306883</v>
      </c>
      <c r="DL35" s="126">
        <f ca="1">MAX(DL34*(1+M35)-(Dashboard!$C$11)/(1-Dashboard!$C$17)*((1+Dashboard!$C$12)^$CZ35),0)</f>
        <v>509594.03634121682</v>
      </c>
      <c r="DM35" s="126">
        <f ca="1">MAX(DM34*(1+N35)-(Dashboard!$C$11)/(1-Dashboard!$C$17)*((1+Dashboard!$C$12)^$CZ35),0)</f>
        <v>10154770.5082199</v>
      </c>
      <c r="DN35" s="126">
        <f ca="1">MAX(DN34*(1+O35)-(Dashboard!$C$11)/(1-Dashboard!$C$17)*((1+Dashboard!$C$12)^$CZ35),0)</f>
        <v>30405827.790750783</v>
      </c>
      <c r="DO35" s="126">
        <f ca="1">MAX(DO34*(1+P35)-(Dashboard!$C$11)/(1-Dashboard!$C$17)*((1+Dashboard!$C$12)^$CZ35),0)</f>
        <v>3539231.6604303559</v>
      </c>
      <c r="DP35" s="126">
        <f ca="1">MAX(DP34*(1+Q35)-(Dashboard!$C$11)/(1-Dashboard!$C$17)*((1+Dashboard!$C$12)^$CZ35),0)</f>
        <v>4052046.8310610666</v>
      </c>
      <c r="DQ35" s="126">
        <f ca="1">MAX(DQ34*(1+R35)-(Dashboard!$C$11)/(1-Dashboard!$C$17)*((1+Dashboard!$C$12)^$CZ35),0)</f>
        <v>10315507.716596263</v>
      </c>
      <c r="DR35" s="126">
        <f ca="1">MAX(DR34*(1+S35)-(Dashboard!$C$11)/(1-Dashboard!$C$17)*((1+Dashboard!$C$12)^$CZ35),0)</f>
        <v>26791793.274114426</v>
      </c>
      <c r="DS35" s="126">
        <f ca="1">MAX(DS34*(1+T35)-(Dashboard!$C$11)/(1-Dashboard!$C$17)*((1+Dashboard!$C$12)^$CZ35),0)</f>
        <v>1505040.3168582427</v>
      </c>
      <c r="DT35" s="126">
        <f ca="1">MAX(DT34*(1+U35)-(Dashboard!$C$11)/(1-Dashboard!$C$17)*((1+Dashboard!$C$12)^$CZ35),0)</f>
        <v>2546749.728016322</v>
      </c>
      <c r="DU35" s="126">
        <f ca="1">MAX(DU34*(1+V35)-(Dashboard!$C$11)/(1-Dashboard!$C$17)*((1+Dashboard!$C$12)^$CZ35),0)</f>
        <v>8146528.5082633402</v>
      </c>
      <c r="DV35" s="126">
        <f ca="1">MAX(DV34*(1+W35)-(Dashboard!$C$11)/(1-Dashboard!$C$17)*((1+Dashboard!$C$12)^$CZ35),0)</f>
        <v>31968257.705763951</v>
      </c>
      <c r="DW35" s="126">
        <f ca="1">MAX(DW34*(1+X35)-(Dashboard!$C$11)/(1-Dashboard!$C$17)*((1+Dashboard!$C$12)^$CZ35),0)</f>
        <v>4282518.4490569336</v>
      </c>
      <c r="DX35" s="126">
        <f ca="1">MAX(DX34*(1+Y35)-(Dashboard!$C$11)/(1-Dashboard!$C$17)*((1+Dashboard!$C$12)^$CZ35),0)</f>
        <v>3578124.126052429</v>
      </c>
      <c r="DY35" s="126">
        <f ca="1">MAX(DY34*(1+Z35)-(Dashboard!$C$11)/(1-Dashboard!$C$17)*((1+Dashboard!$C$12)^$CZ35),0)</f>
        <v>11356822.382998837</v>
      </c>
      <c r="DZ35" s="126">
        <f ca="1">MAX(DZ34*(1+AA35)-(Dashboard!$C$11)/(1-Dashboard!$C$17)*((1+Dashboard!$C$12)^$CZ35),0)</f>
        <v>1133908.8043850462</v>
      </c>
      <c r="EA35" s="126">
        <f ca="1">MAX(EA34*(1+AB35)-(Dashboard!$C$11)/(1-Dashboard!$C$17)*((1+Dashboard!$C$12)^$CZ35),0)</f>
        <v>5705219.6080997223</v>
      </c>
      <c r="EB35" s="126">
        <f ca="1">MAX(EB34*(1+AC35)-(Dashboard!$C$11)/(1-Dashboard!$C$17)*((1+Dashboard!$C$12)^$CZ35),0)</f>
        <v>10768070.698000921</v>
      </c>
      <c r="EC35" s="126">
        <f ca="1">MAX(EC34*(1+AD35)-(Dashboard!$C$11)/(1-Dashboard!$C$17)*((1+Dashboard!$C$12)^$CZ35),0)</f>
        <v>9915767.5424494781</v>
      </c>
      <c r="ED35" s="126">
        <f ca="1">MAX(ED34*(1+AE35)-(Dashboard!$C$11)/(1-Dashboard!$C$17)*((1+Dashboard!$C$12)^$CZ35),0)</f>
        <v>7526030.3852439504</v>
      </c>
      <c r="EE35" s="126">
        <f ca="1">MAX(EE34*(1+AF35)-(Dashboard!$C$11)/(1-Dashboard!$C$17)*((1+Dashboard!$C$12)^$CZ35),0)</f>
        <v>13943763.426131912</v>
      </c>
      <c r="EF35" s="126">
        <f ca="1">MAX(EF34*(1+AG35)-(Dashboard!$C$11)/(1-Dashboard!$C$17)*((1+Dashboard!$C$12)^$CZ35),0)</f>
        <v>1572736.4469187539</v>
      </c>
      <c r="EG35" s="126">
        <f ca="1">MAX(EG34*(1+AH35)-(Dashboard!$C$11)/(1-Dashboard!$C$17)*((1+Dashboard!$C$12)^$CZ35),0)</f>
        <v>12746934.455951437</v>
      </c>
      <c r="EH35" s="126">
        <f ca="1">MAX(EH34*(1+AI35)-(Dashboard!$C$11)/(1-Dashboard!$C$17)*((1+Dashboard!$C$12)^$CZ35),0)</f>
        <v>24329873.094977282</v>
      </c>
      <c r="EI35" s="126">
        <f ca="1">MAX(EI34*(1+AJ35)-(Dashboard!$C$11)/(1-Dashboard!$C$17)*((1+Dashboard!$C$12)^$CZ35),0)</f>
        <v>245702.88457597111</v>
      </c>
      <c r="EJ35" s="126">
        <f ca="1">MAX(EJ34*(1+AK35)-(Dashboard!$C$11)/(1-Dashboard!$C$17)*((1+Dashboard!$C$12)^$CZ35),0)</f>
        <v>11826928.096072368</v>
      </c>
      <c r="EK35" s="126">
        <f ca="1">MAX(EK34*(1+AL35)-(Dashboard!$C$11)/(1-Dashboard!$C$17)*((1+Dashboard!$C$12)^$CZ35),0)</f>
        <v>7494071.9126661476</v>
      </c>
      <c r="EL35" s="126">
        <f ca="1">MAX(EL34*(1+AM35)-(Dashboard!$C$11)/(1-Dashboard!$C$17)*((1+Dashboard!$C$12)^$CZ35),0)</f>
        <v>1885863.5564043869</v>
      </c>
      <c r="EM35" s="126">
        <f ca="1">MAX(EM34*(1+AN35)-(Dashboard!$C$11)/(1-Dashboard!$C$17)*((1+Dashboard!$C$12)^$CZ35),0)</f>
        <v>18690447.029681087</v>
      </c>
      <c r="EN35" s="126">
        <f ca="1">MAX(EN34*(1+AO35)-(Dashboard!$C$11)/(1-Dashboard!$C$17)*((1+Dashboard!$C$12)^$CZ35),0)</f>
        <v>2365298.6592642525</v>
      </c>
      <c r="EO35" s="126">
        <f ca="1">MAX(EO34*(1+AP35)-(Dashboard!$C$11)/(1-Dashboard!$C$17)*((1+Dashboard!$C$12)^$CZ35),0)</f>
        <v>102974.13712797781</v>
      </c>
      <c r="EP35" s="126">
        <f ca="1">MAX(EP34*(1+AQ35)-(Dashboard!$C$11)/(1-Dashboard!$C$17)*((1+Dashboard!$C$12)^$CZ35),0)</f>
        <v>4981408.0644501932</v>
      </c>
      <c r="EQ35" s="126">
        <f ca="1">MAX(EQ34*(1+AR35)-(Dashboard!$C$11)/(1-Dashboard!$C$17)*((1+Dashboard!$C$12)^$CZ35),0)</f>
        <v>5925660.2421242008</v>
      </c>
      <c r="ER35" s="126">
        <f ca="1">MAX(ER34*(1+AS35)-(Dashboard!$C$11)/(1-Dashboard!$C$17)*((1+Dashboard!$C$12)^$CZ35),0)</f>
        <v>1778013.3208994577</v>
      </c>
      <c r="ES35" s="126">
        <f ca="1">MAX(ES34*(1+AT35)-(Dashboard!$C$11)/(1-Dashboard!$C$17)*((1+Dashboard!$C$12)^$CZ35),0)</f>
        <v>12616579.501143161</v>
      </c>
      <c r="ET35" s="126">
        <f ca="1">MAX(ET34*(1+AU35)-(Dashboard!$C$11)/(1-Dashboard!$C$17)*((1+Dashboard!$C$12)^$CZ35),0)</f>
        <v>9680822.9880839624</v>
      </c>
      <c r="EU35" s="126">
        <f ca="1">MAX(EU34*(1+AV35)-(Dashboard!$C$11)/(1-Dashboard!$C$17)*((1+Dashboard!$C$12)^$CZ35),0)</f>
        <v>5523145.1674117735</v>
      </c>
      <c r="EV35" s="126">
        <f ca="1">MAX(EV34*(1+AW35)-(Dashboard!$C$11)/(1-Dashboard!$C$17)*((1+Dashboard!$C$12)^$CZ35),0)</f>
        <v>39382314.88114474</v>
      </c>
      <c r="EW35" s="126">
        <f ca="1">MAX(EW34*(1+AX35)-(Dashboard!$C$11)/(1-Dashboard!$C$17)*((1+Dashboard!$C$12)^$CZ35),0)</f>
        <v>2358371.5613955283</v>
      </c>
      <c r="EX35" s="126">
        <f ca="1">MAX(EX34*(1+AY35)-(Dashboard!$C$11)/(1-Dashboard!$C$17)*((1+Dashboard!$C$12)^$CZ35),0)</f>
        <v>6635886.803504006</v>
      </c>
      <c r="EY35" s="126">
        <f ca="1">MAX(EY34*(1+AZ35)-(Dashboard!$C$11)/(1-Dashboard!$C$17)*((1+Dashboard!$C$12)^$CZ35),0)</f>
        <v>11710487.048444437</v>
      </c>
      <c r="EZ35" s="126">
        <f ca="1">MAX(EZ34*(1+BA35)-(Dashboard!$C$11)/(1-Dashboard!$C$17)*((1+Dashboard!$C$12)^$CZ35),0)</f>
        <v>9169739.680291282</v>
      </c>
      <c r="FA35" s="126">
        <f ca="1">MAX(FA34*(1+BB35)-(Dashboard!$C$11)/(1-Dashboard!$C$17)*((1+Dashboard!$C$12)^$CZ35),0)</f>
        <v>20776544.056911826</v>
      </c>
      <c r="FB35" s="126">
        <f ca="1">MAX(FB34*(1+BC35)-(Dashboard!$C$11)/(1-Dashboard!$C$17)*((1+Dashboard!$C$12)^$CZ35),0)</f>
        <v>954478.72188989294</v>
      </c>
      <c r="FC35" s="126">
        <f ca="1">MAX(FC34*(1+BD35)-(Dashboard!$C$11)/(1-Dashboard!$C$17)*((1+Dashboard!$C$12)^$CZ35),0)</f>
        <v>6875219.8060054099</v>
      </c>
      <c r="FD35" s="126">
        <f ca="1">MAX(FD34*(1+BE35)-(Dashboard!$C$11)/(1-Dashboard!$C$17)*((1+Dashboard!$C$12)^$CZ35),0)</f>
        <v>24693808.802575029</v>
      </c>
      <c r="FE35" s="126">
        <f ca="1">MAX(FE34*(1+BF35)-(Dashboard!$C$11)/(1-Dashboard!$C$17)*((1+Dashboard!$C$12)^$CZ35),0)</f>
        <v>28671119.824924991</v>
      </c>
      <c r="FF35" s="126">
        <f ca="1">MAX(FF34*(1+BG35)-(Dashboard!$C$11)/(1-Dashboard!$C$17)*((1+Dashboard!$C$12)^$CZ35),0)</f>
        <v>6279512.4131034333</v>
      </c>
      <c r="FG35" s="126">
        <f ca="1">MAX(FG34*(1+BH35)-(Dashboard!$C$11)/(1-Dashboard!$C$17)*((1+Dashboard!$C$12)^$CZ35),0)</f>
        <v>7004506.6534859939</v>
      </c>
      <c r="FH35" s="126">
        <f ca="1">MAX(FH34*(1+BI35)-(Dashboard!$C$11)/(1-Dashboard!$C$17)*((1+Dashboard!$C$12)^$CZ35),0)</f>
        <v>3482582.3961548908</v>
      </c>
      <c r="FI35" s="126">
        <f ca="1">MAX(FI34*(1+BJ35)-(Dashboard!$C$11)/(1-Dashboard!$C$17)*((1+Dashboard!$C$12)^$CZ35),0)</f>
        <v>14492419.168676971</v>
      </c>
      <c r="FJ35" s="126">
        <f ca="1">MAX(FJ34*(1+BK35)-(Dashboard!$C$11)/(1-Dashboard!$C$17)*((1+Dashboard!$C$12)^$CZ35),0)</f>
        <v>4562610.8425295511</v>
      </c>
      <c r="FK35" s="126">
        <f ca="1">MAX(FK34*(1+BL35)-(Dashboard!$C$11)/(1-Dashboard!$C$17)*((1+Dashboard!$C$12)^$CZ35),0)</f>
        <v>6876085.7643627925</v>
      </c>
      <c r="FL35" s="126">
        <f ca="1">MAX(FL34*(1+BM35)-(Dashboard!$C$11)/(1-Dashboard!$C$17)*((1+Dashboard!$C$12)^$CZ35),0)</f>
        <v>4452449.2045491403</v>
      </c>
      <c r="FM35" s="126">
        <f ca="1">MAX(FM34*(1+BN35)-(Dashboard!$C$11)/(1-Dashboard!$C$17)*((1+Dashboard!$C$12)^$CZ35),0)</f>
        <v>7379737.9174089823</v>
      </c>
      <c r="FN35" s="126">
        <f ca="1">MAX(FN34*(1+BO35)-(Dashboard!$C$11)/(1-Dashboard!$C$17)*((1+Dashboard!$C$12)^$CZ35),0)</f>
        <v>0</v>
      </c>
      <c r="FO35" s="126">
        <f ca="1">MAX(FO34*(1+BP35)-(Dashboard!$C$11)/(1-Dashboard!$C$17)*((1+Dashboard!$C$12)^$CZ35),0)</f>
        <v>7301844.8584607244</v>
      </c>
      <c r="FP35" s="126">
        <f ca="1">MAX(FP34*(1+BQ35)-(Dashboard!$C$11)/(1-Dashboard!$C$17)*((1+Dashboard!$C$12)^$CZ35),0)</f>
        <v>4596494.9567618445</v>
      </c>
      <c r="FQ35" s="126">
        <f ca="1">MAX(FQ34*(1+BR35)-(Dashboard!$C$11)/(1-Dashboard!$C$17)*((1+Dashboard!$C$12)^$CZ35),0)</f>
        <v>5877787.2064404311</v>
      </c>
      <c r="FR35" s="126">
        <f ca="1">MAX(FR34*(1+BS35)-(Dashboard!$C$11)/(1-Dashboard!$C$17)*((1+Dashboard!$C$12)^$CZ35),0)</f>
        <v>10579991.773479898</v>
      </c>
      <c r="FS35" s="126">
        <f ca="1">MAX(FS34*(1+BT35)-(Dashboard!$C$11)/(1-Dashboard!$C$17)*((1+Dashboard!$C$12)^$CZ35),0)</f>
        <v>12238074.022184378</v>
      </c>
      <c r="FT35" s="126">
        <f ca="1">MAX(FT34*(1+BU35)-(Dashboard!$C$11)/(1-Dashboard!$C$17)*((1+Dashboard!$C$12)^$CZ35),0)</f>
        <v>1002325.8116800264</v>
      </c>
      <c r="FU35" s="126">
        <f ca="1">MAX(FU34*(1+BV35)-(Dashboard!$C$11)/(1-Dashboard!$C$17)*((1+Dashboard!$C$12)^$CZ35),0)</f>
        <v>2349068.9115731153</v>
      </c>
      <c r="FV35" s="126">
        <f ca="1">MAX(FV34*(1+BW35)-(Dashboard!$C$11)/(1-Dashboard!$C$17)*((1+Dashboard!$C$12)^$CZ35),0)</f>
        <v>4392729.5194722135</v>
      </c>
      <c r="FW35" s="126">
        <f ca="1">MAX(FW34*(1+BX35)-(Dashboard!$C$11)/(1-Dashboard!$C$17)*((1+Dashboard!$C$12)^$CZ35),0)</f>
        <v>4866221.2646700172</v>
      </c>
      <c r="FX35" s="126">
        <f ca="1">MAX(FX34*(1+BY35)-(Dashboard!$C$11)/(1-Dashboard!$C$17)*((1+Dashboard!$C$12)^$CZ35),0)</f>
        <v>1694421.9864842913</v>
      </c>
      <c r="FY35" s="126">
        <f ca="1">MAX(FY34*(1+BZ35)-(Dashboard!$C$11)/(1-Dashboard!$C$17)*((1+Dashboard!$C$12)^$CZ35),0)</f>
        <v>2016028.3094865168</v>
      </c>
      <c r="FZ35" s="126">
        <f ca="1">MAX(FZ34*(1+CA35)-(Dashboard!$C$11)/(1-Dashboard!$C$17)*((1+Dashboard!$C$12)^$CZ35),0)</f>
        <v>17845854.895416893</v>
      </c>
      <c r="GA35" s="126">
        <f ca="1">MAX(GA34*(1+CB35)-(Dashboard!$C$11)/(1-Dashboard!$C$17)*((1+Dashboard!$C$12)^$CZ35),0)</f>
        <v>13398729.586484201</v>
      </c>
      <c r="GB35" s="126">
        <f ca="1">MAX(GB34*(1+CC35)-(Dashboard!$C$11)/(1-Dashboard!$C$17)*((1+Dashboard!$C$12)^$CZ35),0)</f>
        <v>5168044.7546599451</v>
      </c>
      <c r="GC35" s="126">
        <f ca="1">MAX(GC34*(1+CD35)-(Dashboard!$C$11)/(1-Dashboard!$C$17)*((1+Dashboard!$C$12)^$CZ35),0)</f>
        <v>9272316.2547746897</v>
      </c>
      <c r="GD35" s="126">
        <f ca="1">MAX(GD34*(1+CE35)-(Dashboard!$C$11)/(1-Dashboard!$C$17)*((1+Dashboard!$C$12)^$CZ35),0)</f>
        <v>44833084.956739843</v>
      </c>
      <c r="GE35" s="126">
        <f ca="1">MAX(GE34*(1+CF35)-(Dashboard!$C$11)/(1-Dashboard!$C$17)*((1+Dashboard!$C$12)^$CZ35),0)</f>
        <v>6535362.3468898833</v>
      </c>
      <c r="GF35" s="126">
        <f ca="1">MAX(GF34*(1+CG35)-(Dashboard!$C$11)/(1-Dashboard!$C$17)*((1+Dashboard!$C$12)^$CZ35),0)</f>
        <v>8860928.3855616357</v>
      </c>
      <c r="GG35" s="126">
        <f ca="1">MAX(GG34*(1+CH35)-(Dashboard!$C$11)/(1-Dashboard!$C$17)*((1+Dashboard!$C$12)^$CZ35),0)</f>
        <v>1439946.6062951095</v>
      </c>
      <c r="GH35" s="126">
        <f ca="1">MAX(GH34*(1+CI35)-(Dashboard!$C$11)/(1-Dashboard!$C$17)*((1+Dashboard!$C$12)^$CZ35),0)</f>
        <v>3460861.4347389359</v>
      </c>
      <c r="GI35" s="126">
        <f ca="1">MAX(GI34*(1+CJ35)-(Dashboard!$C$11)/(1-Dashboard!$C$17)*((1+Dashboard!$C$12)^$CZ35),0)</f>
        <v>9181851.544972213</v>
      </c>
      <c r="GJ35" s="126">
        <f ca="1">MAX(GJ34*(1+CK35)-(Dashboard!$C$11)/(1-Dashboard!$C$17)*((1+Dashboard!$C$12)^$CZ35),0)</f>
        <v>42381215.127750173</v>
      </c>
      <c r="GK35" s="126">
        <f ca="1">MAX(GK34*(1+CL35)-(Dashboard!$C$11)/(1-Dashboard!$C$17)*((1+Dashboard!$C$12)^$CZ35),0)</f>
        <v>4634807.4998437129</v>
      </c>
      <c r="GL35" s="126">
        <f ca="1">MAX(GL34*(1+CM35)-(Dashboard!$C$11)/(1-Dashboard!$C$17)*((1+Dashboard!$C$12)^$CZ35),0)</f>
        <v>13006380.081646742</v>
      </c>
      <c r="GM35" s="126">
        <f ca="1">MAX(GM34*(1+CN35)-(Dashboard!$C$11)/(1-Dashboard!$C$17)*((1+Dashboard!$C$12)^$CZ35),0)</f>
        <v>1826941.8762304578</v>
      </c>
      <c r="GN35" s="126">
        <f ca="1">MAX(GN34*(1+CO35)-(Dashboard!$C$11)/(1-Dashboard!$C$17)*((1+Dashboard!$C$12)^$CZ35),0)</f>
        <v>0</v>
      </c>
      <c r="GO35" s="126">
        <f ca="1">MAX(GO34*(1+CP35)-(Dashboard!$C$11)/(1-Dashboard!$C$17)*((1+Dashboard!$C$12)^$CZ35),0)</f>
        <v>9926017.2348175552</v>
      </c>
      <c r="GP35" s="126">
        <f ca="1">MAX(GP34*(1+CQ35)-(Dashboard!$C$11)/(1-Dashboard!$C$17)*((1+Dashboard!$C$12)^$CZ35),0)</f>
        <v>10396862.410935123</v>
      </c>
      <c r="GQ35" s="126">
        <f ca="1">MAX(GQ34*(1+CR35)-(Dashboard!$C$11)/(1-Dashboard!$C$17)*((1+Dashboard!$C$12)^$CZ35),0)</f>
        <v>934956.61284187809</v>
      </c>
      <c r="GR35" s="126">
        <f ca="1">MAX(GR34*(1+CS35)-(Dashboard!$C$11)/(1-Dashboard!$C$17)*((1+Dashboard!$C$12)^$CZ35),0)</f>
        <v>4204404.1890461976</v>
      </c>
      <c r="GS35" s="126">
        <f ca="1">MAX(GS34*(1+CT35)-(Dashboard!$C$11)/(1-Dashboard!$C$17)*((1+Dashboard!$C$12)^$CZ35),0)</f>
        <v>12430399.804981299</v>
      </c>
      <c r="GT35" s="126">
        <f ca="1">MAX(GT34*(1+CU35)-(Dashboard!$C$11)/(1-Dashboard!$C$17)*((1+Dashboard!$C$12)^$CZ35),0)</f>
        <v>29747705.052158359</v>
      </c>
      <c r="GU35" s="126">
        <f ca="1">MAX(GU34*(1+CV35)-(Dashboard!$C$11)/(1-Dashboard!$C$17)*((1+Dashboard!$C$12)^$CZ35),0)</f>
        <v>4936529.4257487496</v>
      </c>
      <c r="GV35" s="126">
        <f ca="1">MAX(GV34*(1+CW35)-(Dashboard!$C$11)/(1-Dashboard!$C$17)*((1+Dashboard!$C$12)^$CZ35),0)</f>
        <v>2809395.343968018</v>
      </c>
      <c r="GW35" s="115">
        <f t="shared" si="4"/>
        <v>84</v>
      </c>
      <c r="GX35" s="130">
        <f t="shared" ca="1" si="2"/>
        <v>97</v>
      </c>
      <c r="HC35" s="130">
        <f t="shared" si="7"/>
        <v>84</v>
      </c>
      <c r="HD35" s="137">
        <f t="shared" ca="1" si="6"/>
        <v>2612411.1320042461</v>
      </c>
      <c r="HE35" s="137">
        <f t="shared" ca="1" si="6"/>
        <v>6585624.5751969442</v>
      </c>
      <c r="HF35" s="137">
        <f t="shared" ca="1" si="6"/>
        <v>11797817.834165385</v>
      </c>
    </row>
    <row r="36" spans="1:214" ht="16">
      <c r="A36" s="145">
        <f t="shared" si="3"/>
        <v>85</v>
      </c>
      <c r="B36" s="122">
        <f ca="1">(Dashboard!$C$7*'Equity and Bond Returns'!N36)+(Dashboard!$C$8*'Equity and Bond Returns'!DL36)</f>
        <v>0.31660001571368235</v>
      </c>
      <c r="C36" s="122">
        <f ca="1">(Dashboard!$C$7*'Equity and Bond Returns'!O36)+(Dashboard!$C$8*'Equity and Bond Returns'!DM36)</f>
        <v>0.14236745047340527</v>
      </c>
      <c r="D36" s="122">
        <f ca="1">(Dashboard!$C$7*'Equity and Bond Returns'!P36)+(Dashboard!$C$8*'Equity and Bond Returns'!DN36)</f>
        <v>3.6827790160869463E-2</v>
      </c>
      <c r="E36" s="122">
        <f ca="1">(Dashboard!$C$7*'Equity and Bond Returns'!Q36)+(Dashboard!$C$8*'Equity and Bond Returns'!DO36)</f>
        <v>-0.19259645624317825</v>
      </c>
      <c r="F36" s="122">
        <f ca="1">(Dashboard!$C$7*'Equity and Bond Returns'!R36)+(Dashboard!$C$8*'Equity and Bond Returns'!DP36)</f>
        <v>0.32198842187786975</v>
      </c>
      <c r="G36" s="122">
        <f ca="1">(Dashboard!$C$7*'Equity and Bond Returns'!S36)+(Dashboard!$C$8*'Equity and Bond Returns'!DQ36)</f>
        <v>0.16770226824702691</v>
      </c>
      <c r="H36" s="122">
        <f ca="1">(Dashboard!$C$7*'Equity and Bond Returns'!T36)+(Dashboard!$C$8*'Equity and Bond Returns'!DR36)</f>
        <v>-0.13090784921963672</v>
      </c>
      <c r="I36" s="122">
        <f ca="1">(Dashboard!$C$7*'Equity and Bond Returns'!U36)+(Dashboard!$C$8*'Equity and Bond Returns'!DS36)</f>
        <v>0.10809104070068207</v>
      </c>
      <c r="J36" s="122">
        <f ca="1">(Dashboard!$C$7*'Equity and Bond Returns'!V36)+(Dashboard!$C$8*'Equity and Bond Returns'!DT36)</f>
        <v>-9.3293424901631644E-2</v>
      </c>
      <c r="K36" s="122">
        <f ca="1">(Dashboard!$C$7*'Equity and Bond Returns'!W36)+(Dashboard!$C$8*'Equity and Bond Returns'!DU36)</f>
        <v>0.24258881190893258</v>
      </c>
      <c r="L36" s="122">
        <f ca="1">(Dashboard!$C$7*'Equity and Bond Returns'!X36)+(Dashboard!$C$8*'Equity and Bond Returns'!DV36)</f>
        <v>3.1466488822435232E-3</v>
      </c>
      <c r="M36" s="122">
        <f ca="1">(Dashboard!$C$7*'Equity and Bond Returns'!Y36)+(Dashboard!$C$8*'Equity and Bond Returns'!DW36)</f>
        <v>0.35244097006067338</v>
      </c>
      <c r="N36" s="122">
        <f ca="1">(Dashboard!$C$7*'Equity and Bond Returns'!Z36)+(Dashboard!$C$8*'Equity and Bond Returns'!DX36)</f>
        <v>0.42151422119261756</v>
      </c>
      <c r="O36" s="122">
        <f ca="1">(Dashboard!$C$7*'Equity and Bond Returns'!AA36)+(Dashboard!$C$8*'Equity and Bond Returns'!DY36)</f>
        <v>9.4385534952886027E-2</v>
      </c>
      <c r="P36" s="122">
        <f ca="1">(Dashboard!$C$7*'Equity and Bond Returns'!AB36)+(Dashboard!$C$8*'Equity and Bond Returns'!DZ36)</f>
        <v>1.6324046350067713E-2</v>
      </c>
      <c r="Q36" s="122">
        <f ca="1">(Dashboard!$C$7*'Equity and Bond Returns'!AC36)+(Dashboard!$C$8*'Equity and Bond Returns'!EA36)</f>
        <v>0.35132402440494892</v>
      </c>
      <c r="R36" s="122">
        <f ca="1">(Dashboard!$C$7*'Equity and Bond Returns'!AD36)+(Dashboard!$C$8*'Equity and Bond Returns'!EB36)</f>
        <v>0.10890531853789795</v>
      </c>
      <c r="S36" s="122">
        <f ca="1">(Dashboard!$C$7*'Equity and Bond Returns'!AE36)+(Dashboard!$C$8*'Equity and Bond Returns'!EC36)</f>
        <v>-1.5473727187327015E-2</v>
      </c>
      <c r="T36" s="122">
        <f ca="1">(Dashboard!$C$7*'Equity and Bond Returns'!AF36)+(Dashboard!$C$8*'Equity and Bond Returns'!ED36)</f>
        <v>4.2119359997799741E-2</v>
      </c>
      <c r="U36" s="122">
        <f ca="1">(Dashboard!$C$7*'Equity and Bond Returns'!AG36)+(Dashboard!$C$8*'Equity and Bond Returns'!EE36)</f>
        <v>4.7867794353094205E-2</v>
      </c>
      <c r="V36" s="122">
        <f ca="1">(Dashboard!$C$7*'Equity and Bond Returns'!AH36)+(Dashboard!$C$8*'Equity and Bond Returns'!EF36)</f>
        <v>0.19778508739262202</v>
      </c>
      <c r="W36" s="122">
        <f ca="1">(Dashboard!$C$7*'Equity and Bond Returns'!AI36)+(Dashboard!$C$8*'Equity and Bond Returns'!EG36)</f>
        <v>0.1458164464190066</v>
      </c>
      <c r="X36" s="122">
        <f ca="1">(Dashboard!$C$7*'Equity and Bond Returns'!AJ36)+(Dashboard!$C$8*'Equity and Bond Returns'!EH36)</f>
        <v>-0.1063007769256174</v>
      </c>
      <c r="Y36" s="122">
        <f ca="1">(Dashboard!$C$7*'Equity and Bond Returns'!AK36)+(Dashboard!$C$8*'Equity and Bond Returns'!EI36)</f>
        <v>5.8716522748225156E-2</v>
      </c>
      <c r="Z36" s="122">
        <f ca="1">(Dashboard!$C$7*'Equity and Bond Returns'!AL36)+(Dashboard!$C$8*'Equity and Bond Returns'!EJ36)</f>
        <v>0.17415337622506488</v>
      </c>
      <c r="AA36" s="122">
        <f ca="1">(Dashboard!$C$7*'Equity and Bond Returns'!AM36)+(Dashboard!$C$8*'Equity and Bond Returns'!EK36)</f>
        <v>0.28674187447394317</v>
      </c>
      <c r="AB36" s="122">
        <f ca="1">(Dashboard!$C$7*'Equity and Bond Returns'!AN36)+(Dashboard!$C$8*'Equity and Bond Returns'!EL36)</f>
        <v>0.14520049916460759</v>
      </c>
      <c r="AC36" s="122">
        <f ca="1">(Dashboard!$C$7*'Equity and Bond Returns'!AO36)+(Dashboard!$C$8*'Equity and Bond Returns'!EM36)</f>
        <v>0.17180025596799503</v>
      </c>
      <c r="AD36" s="122">
        <f ca="1">(Dashboard!$C$7*'Equity and Bond Returns'!AP36)+(Dashboard!$C$8*'Equity and Bond Returns'!EN36)</f>
        <v>5.6977612889953989E-2</v>
      </c>
      <c r="AE36" s="122">
        <f ca="1">(Dashboard!$C$7*'Equity and Bond Returns'!AQ36)+(Dashboard!$C$8*'Equity and Bond Returns'!EO36)</f>
        <v>0.1557162827680493</v>
      </c>
      <c r="AF36" s="122">
        <f ca="1">(Dashboard!$C$7*'Equity and Bond Returns'!AR36)+(Dashboard!$C$8*'Equity and Bond Returns'!EP36)</f>
        <v>0.10812915497100316</v>
      </c>
      <c r="AG36" s="122">
        <f ca="1">(Dashboard!$C$7*'Equity and Bond Returns'!AS36)+(Dashboard!$C$8*'Equity and Bond Returns'!EQ36)</f>
        <v>0.2529596328556219</v>
      </c>
      <c r="AH36" s="122">
        <f ca="1">(Dashboard!$C$7*'Equity and Bond Returns'!AT36)+(Dashboard!$C$8*'Equity and Bond Returns'!ER36)</f>
        <v>0.27910527213191305</v>
      </c>
      <c r="AI36" s="122">
        <f ca="1">(Dashboard!$C$7*'Equity and Bond Returns'!AU36)+(Dashboard!$C$8*'Equity and Bond Returns'!ES36)</f>
        <v>0.13381459317415401</v>
      </c>
      <c r="AJ36" s="122">
        <f ca="1">(Dashboard!$C$7*'Equity and Bond Returns'!AV36)+(Dashboard!$C$8*'Equity and Bond Returns'!ET36)</f>
        <v>-0.18010214065582608</v>
      </c>
      <c r="AK36" s="122">
        <f ca="1">(Dashboard!$C$7*'Equity and Bond Returns'!AW36)+(Dashboard!$C$8*'Equity and Bond Returns'!EU36)</f>
        <v>-8.9139304425863597E-2</v>
      </c>
      <c r="AL36" s="122">
        <f ca="1">(Dashboard!$C$7*'Equity and Bond Returns'!AX36)+(Dashboard!$C$8*'Equity and Bond Returns'!EV36)</f>
        <v>0.1391699228786516</v>
      </c>
      <c r="AM36" s="122">
        <f ca="1">(Dashboard!$C$7*'Equity and Bond Returns'!AY36)+(Dashboard!$C$8*'Equity and Bond Returns'!EW36)</f>
        <v>-0.14279998562574622</v>
      </c>
      <c r="AN36" s="122">
        <f ca="1">(Dashboard!$C$7*'Equity and Bond Returns'!AZ36)+(Dashboard!$C$8*'Equity and Bond Returns'!EX36)</f>
        <v>0.30717305485466184</v>
      </c>
      <c r="AO36" s="122">
        <f ca="1">(Dashboard!$C$7*'Equity and Bond Returns'!BA36)+(Dashboard!$C$8*'Equity and Bond Returns'!EY36)</f>
        <v>6.4369742906906169E-2</v>
      </c>
      <c r="AP36" s="122">
        <f ca="1">(Dashboard!$C$7*'Equity and Bond Returns'!BB36)+(Dashboard!$C$8*'Equity and Bond Returns'!EZ36)</f>
        <v>8.7304724032167907E-2</v>
      </c>
      <c r="AQ36" s="122">
        <f ca="1">(Dashboard!$C$7*'Equity and Bond Returns'!BC36)+(Dashboard!$C$8*'Equity and Bond Returns'!FA36)</f>
        <v>0.16858396110986743</v>
      </c>
      <c r="AR36" s="122">
        <f ca="1">(Dashboard!$C$7*'Equity and Bond Returns'!BD36)+(Dashboard!$C$8*'Equity and Bond Returns'!FB36)</f>
        <v>4.2795903512525171E-2</v>
      </c>
      <c r="AS36" s="122">
        <f ca="1">(Dashboard!$C$7*'Equity and Bond Returns'!BE36)+(Dashboard!$C$8*'Equity and Bond Returns'!FC36)</f>
        <v>0.26648981418183149</v>
      </c>
      <c r="AT36" s="122">
        <f ca="1">(Dashboard!$C$7*'Equity and Bond Returns'!BF36)+(Dashboard!$C$8*'Equity and Bond Returns'!FD36)</f>
        <v>0.11523535802916524</v>
      </c>
      <c r="AU36" s="122">
        <f ca="1">(Dashboard!$C$7*'Equity and Bond Returns'!BG36)+(Dashboard!$C$8*'Equity and Bond Returns'!FE36)</f>
        <v>9.9529287316037739E-4</v>
      </c>
      <c r="AV36" s="122">
        <f ca="1">(Dashboard!$C$7*'Equity and Bond Returns'!BH36)+(Dashboard!$C$8*'Equity and Bond Returns'!FF36)</f>
        <v>7.6421568812471669E-2</v>
      </c>
      <c r="AW36" s="122">
        <f ca="1">(Dashboard!$C$7*'Equity and Bond Returns'!BI36)+(Dashboard!$C$8*'Equity and Bond Returns'!FG36)</f>
        <v>0.18808562937344156</v>
      </c>
      <c r="AX36" s="122">
        <f ca="1">(Dashboard!$C$7*'Equity and Bond Returns'!BJ36)+(Dashboard!$C$8*'Equity and Bond Returns'!FH36)</f>
        <v>1.8704326293956439E-2</v>
      </c>
      <c r="AY36" s="122">
        <f ca="1">(Dashboard!$C$7*'Equity and Bond Returns'!BK36)+(Dashboard!$C$8*'Equity and Bond Returns'!FI36)</f>
        <v>0.23333180638807205</v>
      </c>
      <c r="AZ36" s="122">
        <f ca="1">(Dashboard!$C$7*'Equity and Bond Returns'!BL36)+(Dashboard!$C$8*'Equity and Bond Returns'!FJ36)</f>
        <v>8.8179881951101449E-2</v>
      </c>
      <c r="BA36" s="122">
        <f ca="1">(Dashboard!$C$7*'Equity and Bond Returns'!BM36)+(Dashboard!$C$8*'Equity and Bond Returns'!FK36)</f>
        <v>-9.0848163654326602E-2</v>
      </c>
      <c r="BB36" s="122">
        <f ca="1">(Dashboard!$C$7*'Equity and Bond Returns'!BN36)+(Dashboard!$C$8*'Equity and Bond Returns'!FL36)</f>
        <v>0.11796571034811064</v>
      </c>
      <c r="BC36" s="122">
        <f ca="1">(Dashboard!$C$7*'Equity and Bond Returns'!BO36)+(Dashboard!$C$8*'Equity and Bond Returns'!FM36)</f>
        <v>-0.10418298587050714</v>
      </c>
      <c r="BD36" s="122">
        <f ca="1">(Dashboard!$C$7*'Equity and Bond Returns'!BP36)+(Dashboard!$C$8*'Equity and Bond Returns'!FN36)</f>
        <v>-5.0762864903898933E-2</v>
      </c>
      <c r="BE36" s="122">
        <f ca="1">(Dashboard!$C$7*'Equity and Bond Returns'!BQ36)+(Dashboard!$C$8*'Equity and Bond Returns'!FO36)</f>
        <v>-5.9601407586068245E-2</v>
      </c>
      <c r="BF36" s="122">
        <f ca="1">(Dashboard!$C$7*'Equity and Bond Returns'!BR36)+(Dashboard!$C$8*'Equity and Bond Returns'!FP36)</f>
        <v>-5.4622466807718616E-2</v>
      </c>
      <c r="BG36" s="122">
        <f ca="1">(Dashboard!$C$7*'Equity and Bond Returns'!BS36)+(Dashboard!$C$8*'Equity and Bond Returns'!FQ36)</f>
        <v>0.22307676506523283</v>
      </c>
      <c r="BH36" s="122">
        <f ca="1">(Dashboard!$C$7*'Equity and Bond Returns'!BT36)+(Dashboard!$C$8*'Equity and Bond Returns'!FR36)</f>
        <v>-1.2993576637209764E-2</v>
      </c>
      <c r="BI36" s="122">
        <f ca="1">(Dashboard!$C$7*'Equity and Bond Returns'!BU36)+(Dashboard!$C$8*'Equity and Bond Returns'!FS36)</f>
        <v>0.16070956688457466</v>
      </c>
      <c r="BJ36" s="122">
        <f ca="1">(Dashboard!$C$7*'Equity and Bond Returns'!BV36)+(Dashboard!$C$8*'Equity and Bond Returns'!FT36)</f>
        <v>0.27944347266518355</v>
      </c>
      <c r="BK36" s="122">
        <f ca="1">(Dashboard!$C$7*'Equity and Bond Returns'!BW36)+(Dashboard!$C$8*'Equity and Bond Returns'!FU36)</f>
        <v>-9.8308655302270287E-2</v>
      </c>
      <c r="BL36" s="122">
        <f ca="1">(Dashboard!$C$7*'Equity and Bond Returns'!BX36)+(Dashboard!$C$8*'Equity and Bond Returns'!FV36)</f>
        <v>-5.7884788667864187E-2</v>
      </c>
      <c r="BM36" s="122">
        <f ca="1">(Dashboard!$C$7*'Equity and Bond Returns'!BY36)+(Dashboard!$C$8*'Equity and Bond Returns'!FW36)</f>
        <v>5.4230068475110554E-4</v>
      </c>
      <c r="BN36" s="122">
        <f ca="1">(Dashboard!$C$7*'Equity and Bond Returns'!BZ36)+(Dashboard!$C$8*'Equity and Bond Returns'!FX36)</f>
        <v>0.10619761743103596</v>
      </c>
      <c r="BO36" s="122">
        <f ca="1">(Dashboard!$C$7*'Equity and Bond Returns'!CA36)+(Dashboard!$C$8*'Equity and Bond Returns'!FY36)</f>
        <v>0.30304819235100627</v>
      </c>
      <c r="BP36" s="122">
        <f ca="1">(Dashboard!$C$7*'Equity and Bond Returns'!CB36)+(Dashboard!$C$8*'Equity and Bond Returns'!FZ36)</f>
        <v>0.1366141338704612</v>
      </c>
      <c r="BQ36" s="122">
        <f ca="1">(Dashboard!$C$7*'Equity and Bond Returns'!CC36)+(Dashboard!$C$8*'Equity and Bond Returns'!GA36)</f>
        <v>2.0475215258771402E-2</v>
      </c>
      <c r="BR36" s="122">
        <f ca="1">(Dashboard!$C$7*'Equity and Bond Returns'!CD36)+(Dashboard!$C$8*'Equity and Bond Returns'!GB36)</f>
        <v>0.24085573436736674</v>
      </c>
      <c r="BS36" s="122">
        <f ca="1">(Dashboard!$C$7*'Equity and Bond Returns'!CE36)+(Dashboard!$C$8*'Equity and Bond Returns'!GC36)</f>
        <v>0.29102469502586809</v>
      </c>
      <c r="BT36" s="122">
        <f ca="1">(Dashboard!$C$7*'Equity and Bond Returns'!CF36)+(Dashboard!$C$8*'Equity and Bond Returns'!GD36)</f>
        <v>1.8646253900241813E-2</v>
      </c>
      <c r="BU36" s="122">
        <f ca="1">(Dashboard!$C$7*'Equity and Bond Returns'!CG36)+(Dashboard!$C$8*'Equity and Bond Returns'!GE36)</f>
        <v>0.10753599422507203</v>
      </c>
      <c r="BV36" s="122">
        <f ca="1">(Dashboard!$C$7*'Equity and Bond Returns'!CH36)+(Dashboard!$C$8*'Equity and Bond Returns'!GF36)</f>
        <v>0.21890412405831225</v>
      </c>
      <c r="BW36" s="122">
        <f ca="1">(Dashboard!$C$7*'Equity and Bond Returns'!CI36)+(Dashboard!$C$8*'Equity and Bond Returns'!GG36)</f>
        <v>-3.4217658900847638E-2</v>
      </c>
      <c r="BX36" s="122">
        <f ca="1">(Dashboard!$C$7*'Equity and Bond Returns'!CJ36)+(Dashboard!$C$8*'Equity and Bond Returns'!GH36)</f>
        <v>5.0392809158317939E-2</v>
      </c>
      <c r="BY36" s="122">
        <f ca="1">(Dashboard!$C$7*'Equity and Bond Returns'!CK36)+(Dashboard!$C$8*'Equity and Bond Returns'!GI36)</f>
        <v>0.13194048001124595</v>
      </c>
      <c r="BZ36" s="122">
        <f ca="1">(Dashboard!$C$7*'Equity and Bond Returns'!CL36)+(Dashboard!$C$8*'Equity and Bond Returns'!GJ36)</f>
        <v>5.9493459689708331E-2</v>
      </c>
      <c r="CA36" s="122">
        <f ca="1">(Dashboard!$C$7*'Equity and Bond Returns'!CM36)+(Dashboard!$C$8*'Equity and Bond Returns'!GK36)</f>
        <v>0.43534165755613169</v>
      </c>
      <c r="CB36" s="122">
        <f ca="1">(Dashboard!$C$7*'Equity and Bond Returns'!CN36)+(Dashboard!$C$8*'Equity and Bond Returns'!GL36)</f>
        <v>0.23423378852104915</v>
      </c>
      <c r="CC36" s="122">
        <f ca="1">(Dashboard!$C$7*'Equity and Bond Returns'!CO36)+(Dashboard!$C$8*'Equity and Bond Returns'!GM36)</f>
        <v>-2.3775500149272558E-2</v>
      </c>
      <c r="CD36" s="122">
        <f ca="1">(Dashboard!$C$7*'Equity and Bond Returns'!CP36)+(Dashboard!$C$8*'Equity and Bond Returns'!GN36)</f>
        <v>0.2464737679228704</v>
      </c>
      <c r="CE36" s="122">
        <f ca="1">(Dashboard!$C$7*'Equity and Bond Returns'!CQ36)+(Dashboard!$C$8*'Equity and Bond Returns'!GO36)</f>
        <v>0.22099318029578005</v>
      </c>
      <c r="CF36" s="122">
        <f ca="1">(Dashboard!$C$7*'Equity and Bond Returns'!CR36)+(Dashboard!$C$8*'Equity and Bond Returns'!GP36)</f>
        <v>0.14310220468899187</v>
      </c>
      <c r="CG36" s="122">
        <f ca="1">(Dashboard!$C$7*'Equity and Bond Returns'!CS36)+(Dashboard!$C$8*'Equity and Bond Returns'!GQ36)</f>
        <v>9.7815292798881334E-2</v>
      </c>
      <c r="CH36" s="122">
        <f ca="1">(Dashboard!$C$7*'Equity and Bond Returns'!CT36)+(Dashboard!$C$8*'Equity and Bond Returns'!GR36)</f>
        <v>8.4946055563683107E-2</v>
      </c>
      <c r="CI36" s="122">
        <f ca="1">(Dashboard!$C$7*'Equity and Bond Returns'!CU36)+(Dashboard!$C$8*'Equity and Bond Returns'!GS36)</f>
        <v>3.2289003969515243E-2</v>
      </c>
      <c r="CJ36" s="122">
        <f ca="1">(Dashboard!$C$7*'Equity and Bond Returns'!CV36)+(Dashboard!$C$8*'Equity and Bond Returns'!GT36)</f>
        <v>0.38711067846355279</v>
      </c>
      <c r="CK36" s="122">
        <f ca="1">(Dashboard!$C$7*'Equity and Bond Returns'!CW36)+(Dashboard!$C$8*'Equity and Bond Returns'!GU36)</f>
        <v>6.274444773700491E-2</v>
      </c>
      <c r="CL36" s="122">
        <f ca="1">(Dashboard!$C$7*'Equity and Bond Returns'!CX36)+(Dashboard!$C$8*'Equity and Bond Returns'!GV36)</f>
        <v>0.15567615229377516</v>
      </c>
      <c r="CM36" s="122">
        <f ca="1">(Dashboard!$C$7*'Equity and Bond Returns'!CY36)+(Dashboard!$C$8*'Equity and Bond Returns'!GW36)</f>
        <v>2.8432834692600439E-2</v>
      </c>
      <c r="CN36" s="122">
        <f ca="1">(Dashboard!$C$7*'Equity and Bond Returns'!CZ36)+(Dashboard!$C$8*'Equity and Bond Returns'!GX36)</f>
        <v>0.27881449896416993</v>
      </c>
      <c r="CO36" s="122">
        <f ca="1">(Dashboard!$C$7*'Equity and Bond Returns'!DA36)+(Dashboard!$C$8*'Equity and Bond Returns'!GY36)</f>
        <v>-0.1049409973785841</v>
      </c>
      <c r="CP36" s="122">
        <f ca="1">(Dashboard!$C$7*'Equity and Bond Returns'!DB36)+(Dashboard!$C$8*'Equity and Bond Returns'!GZ36)</f>
        <v>0.13169865209087395</v>
      </c>
      <c r="CQ36" s="122">
        <f ca="1">(Dashboard!$C$7*'Equity and Bond Returns'!DC36)+(Dashboard!$C$8*'Equity and Bond Returns'!HA36)</f>
        <v>4.8927858110163237E-2</v>
      </c>
      <c r="CR36" s="122">
        <f ca="1">(Dashboard!$C$7*'Equity and Bond Returns'!DD36)+(Dashboard!$C$8*'Equity and Bond Returns'!HB36)</f>
        <v>0.33451038059985388</v>
      </c>
      <c r="CS36" s="122">
        <f ca="1">(Dashboard!$C$7*'Equity and Bond Returns'!DE36)+(Dashboard!$C$8*'Equity and Bond Returns'!HC36)</f>
        <v>4.6396506991413677E-2</v>
      </c>
      <c r="CT36" s="122">
        <f ca="1">(Dashboard!$C$7*'Equity and Bond Returns'!DF36)+(Dashboard!$C$8*'Equity and Bond Returns'!HD36)</f>
        <v>2.4364881543753832E-2</v>
      </c>
      <c r="CU36" s="122">
        <f ca="1">(Dashboard!$C$7*'Equity and Bond Returns'!DG36)+(Dashboard!$C$8*'Equity and Bond Returns'!HE36)</f>
        <v>0.21787448790911398</v>
      </c>
      <c r="CV36" s="122">
        <f ca="1">(Dashboard!$C$7*'Equity and Bond Returns'!DH36)+(Dashboard!$C$8*'Equity and Bond Returns'!HF36)</f>
        <v>0.14099440633321722</v>
      </c>
      <c r="CW36" s="122">
        <f ca="1">(Dashboard!$C$7*'Equity and Bond Returns'!DI36)+(Dashboard!$C$8*'Equity and Bond Returns'!HG36)</f>
        <v>0.1152845214937903</v>
      </c>
      <c r="CY36" s="147">
        <f t="shared" si="5"/>
        <v>85</v>
      </c>
      <c r="CZ36" s="148">
        <v>35</v>
      </c>
      <c r="DA36" s="126">
        <f ca="1">MAX(DA35*(1+B36)-(Dashboard!$C$11)/(1-Dashboard!$C$17)*((1+Dashboard!$C$12)^$CZ36),0)</f>
        <v>36102886.099925734</v>
      </c>
      <c r="DB36" s="126">
        <f ca="1">MAX(DB35*(1+C36)-(Dashboard!$C$11)/(1-Dashboard!$C$17)*((1+Dashboard!$C$12)^$CZ36),0)</f>
        <v>0</v>
      </c>
      <c r="DC36" s="126">
        <f ca="1">MAX(DC35*(1+D36)-(Dashboard!$C$11)/(1-Dashboard!$C$17)*((1+Dashboard!$C$12)^$CZ36),0)</f>
        <v>6958232.7771111634</v>
      </c>
      <c r="DD36" s="126">
        <f ca="1">MAX(DD35*(1+E36)-(Dashboard!$C$11)/(1-Dashboard!$C$17)*((1+Dashboard!$C$12)^$CZ36),0)</f>
        <v>1148643.4931644979</v>
      </c>
      <c r="DE36" s="126">
        <f ca="1">MAX(DE35*(1+F36)-(Dashboard!$C$11)/(1-Dashboard!$C$17)*((1+Dashboard!$C$12)^$CZ36),0)</f>
        <v>9332037.7328133117</v>
      </c>
      <c r="DF36" s="126">
        <f ca="1">MAX(DF35*(1+G36)-(Dashboard!$C$11)/(1-Dashboard!$C$17)*((1+Dashboard!$C$12)^$CZ36),0)</f>
        <v>23403442.208959732</v>
      </c>
      <c r="DG36" s="126">
        <f ca="1">MAX(DG35*(1+H36)-(Dashboard!$C$11)/(1-Dashboard!$C$17)*((1+Dashboard!$C$12)^$CZ36),0)</f>
        <v>991306.99814106512</v>
      </c>
      <c r="DH36" s="126">
        <f ca="1">MAX(DH35*(1+I36)-(Dashboard!$C$11)/(1-Dashboard!$C$17)*((1+Dashboard!$C$12)^$CZ36),0)</f>
        <v>19563503.822292805</v>
      </c>
      <c r="DI36" s="126">
        <f ca="1">MAX(DI35*(1+J36)-(Dashboard!$C$11)/(1-Dashboard!$C$17)*((1+Dashboard!$C$12)^$CZ36),0)</f>
        <v>4998801.1475751773</v>
      </c>
      <c r="DJ36" s="126">
        <f ca="1">MAX(DJ35*(1+K36)-(Dashboard!$C$11)/(1-Dashboard!$C$17)*((1+Dashboard!$C$12)^$CZ36),0)</f>
        <v>7305217.7843511114</v>
      </c>
      <c r="DK36" s="126">
        <f ca="1">MAX(DK35*(1+L36)-(Dashboard!$C$11)/(1-Dashboard!$C$17)*((1+Dashboard!$C$12)^$CZ36),0)</f>
        <v>27300748.242246982</v>
      </c>
      <c r="DL36" s="126">
        <f ca="1">MAX(DL35*(1+M36)-(Dashboard!$C$11)/(1-Dashboard!$C$17)*((1+Dashboard!$C$12)^$CZ36),0)</f>
        <v>631159.93972503673</v>
      </c>
      <c r="DM36" s="126">
        <f ca="1">MAX(DM35*(1+N36)-(Dashboard!$C$11)/(1-Dashboard!$C$17)*((1+Dashboard!$C$12)^$CZ36),0)</f>
        <v>14377114.777260559</v>
      </c>
      <c r="DN36" s="126">
        <f ca="1">MAX(DN35*(1+O36)-(Dashboard!$C$11)/(1-Dashboard!$C$17)*((1+Dashboard!$C$12)^$CZ36),0)</f>
        <v>33217662.19934471</v>
      </c>
      <c r="DO36" s="126">
        <f ca="1">MAX(DO35*(1+P36)-(Dashboard!$C$11)/(1-Dashboard!$C$17)*((1+Dashboard!$C$12)^$CZ36),0)</f>
        <v>3538970.3289774358</v>
      </c>
      <c r="DP36" s="126">
        <f ca="1">MAX(DP35*(1+Q36)-(Dashboard!$C$11)/(1-Dashboard!$C$17)*((1+Dashboard!$C$12)^$CZ36),0)</f>
        <v>5417592.3177053481</v>
      </c>
      <c r="DQ36" s="126">
        <f ca="1">MAX(DQ35*(1+R36)-(Dashboard!$C$11)/(1-Dashboard!$C$17)*((1+Dashboard!$C$12)^$CZ36),0)</f>
        <v>11380885.457230909</v>
      </c>
      <c r="DR36" s="126">
        <f ca="1">MAX(DR35*(1+S36)-(Dashboard!$C$11)/(1-Dashboard!$C$17)*((1+Dashboard!$C$12)^$CZ36),0)</f>
        <v>26319188.461010106</v>
      </c>
      <c r="DS36" s="126">
        <f ca="1">MAX(DS35*(1+T36)-(Dashboard!$C$11)/(1-Dashboard!$C$17)*((1+Dashboard!$C$12)^$CZ36),0)</f>
        <v>1510395.7386537851</v>
      </c>
      <c r="DT36" s="126">
        <f ca="1">MAX(DT35*(1+U36)-(Dashboard!$C$11)/(1-Dashboard!$C$17)*((1+Dashboard!$C$12)^$CZ36),0)</f>
        <v>2610621.1071443935</v>
      </c>
      <c r="DU36" s="126">
        <f ca="1">MAX(DU35*(1+V36)-(Dashboard!$C$11)/(1-Dashboard!$C$17)*((1+Dashboard!$C$12)^$CZ36),0)</f>
        <v>9699754.4480952788</v>
      </c>
      <c r="DV36" s="126">
        <f ca="1">MAX(DV35*(1+W36)-(Dashboard!$C$11)/(1-Dashboard!$C$17)*((1+Dashboard!$C$12)^$CZ36),0)</f>
        <v>36571719.529504068</v>
      </c>
      <c r="DW36" s="126">
        <f ca="1">MAX(DW35*(1+X36)-(Dashboard!$C$11)/(1-Dashboard!$C$17)*((1+Dashboard!$C$12)^$CZ36),0)</f>
        <v>3769247.4976024786</v>
      </c>
      <c r="DX36" s="126">
        <f ca="1">MAX(DX35*(1+Y36)-(Dashboard!$C$11)/(1-Dashboard!$C$17)*((1+Dashboard!$C$12)^$CZ36),0)</f>
        <v>3730183.2195743471</v>
      </c>
      <c r="DY36" s="126">
        <f ca="1">MAX(DY35*(1+Z36)-(Dashboard!$C$11)/(1-Dashboard!$C$17)*((1+Dashboard!$C$12)^$CZ36),0)</f>
        <v>13276615.431065058</v>
      </c>
      <c r="DZ36" s="126">
        <f ca="1">MAX(DZ35*(1+AA36)-(Dashboard!$C$11)/(1-Dashboard!$C$17)*((1+Dashboard!$C$12)^$CZ36),0)</f>
        <v>1401012.0273155095</v>
      </c>
      <c r="EA36" s="126">
        <f ca="1">MAX(EA35*(1+AB36)-(Dashboard!$C$11)/(1-Dashboard!$C$17)*((1+Dashboard!$C$12)^$CZ36),0)</f>
        <v>6475584.4299180964</v>
      </c>
      <c r="EB36" s="126">
        <f ca="1">MAX(EB35*(1+AC36)-(Dashboard!$C$11)/(1-Dashboard!$C$17)*((1+Dashboard!$C$12)^$CZ36),0)</f>
        <v>12559992.087077532</v>
      </c>
      <c r="EC36" s="126">
        <f ca="1">MAX(EC35*(1+AD36)-(Dashboard!$C$11)/(1-Dashboard!$C$17)*((1+Dashboard!$C$12)^$CZ36),0)</f>
        <v>10422708.393868521</v>
      </c>
      <c r="ED36" s="126">
        <f ca="1">MAX(ED35*(1+AE36)-(Dashboard!$C$11)/(1-Dashboard!$C$17)*((1+Dashboard!$C$12)^$CZ36),0)</f>
        <v>8639919.9477121159</v>
      </c>
      <c r="EE36" s="126">
        <f ca="1">MAX(EE35*(1+AF36)-(Dashboard!$C$11)/(1-Dashboard!$C$17)*((1+Dashboard!$C$12)^$CZ36),0)</f>
        <v>15393454.869393719</v>
      </c>
      <c r="EF36" s="126">
        <f ca="1">MAX(EF35*(1+AG36)-(Dashboard!$C$11)/(1-Dashboard!$C$17)*((1+Dashboard!$C$12)^$CZ36),0)</f>
        <v>1912539.3679885643</v>
      </c>
      <c r="EG36" s="126">
        <f ca="1">MAX(EG35*(1+AH36)-(Dashboard!$C$11)/(1-Dashboard!$C$17)*((1+Dashboard!$C$12)^$CZ36),0)</f>
        <v>16246635.153006008</v>
      </c>
      <c r="EH36" s="126">
        <f ca="1">MAX(EH35*(1+AI36)-(Dashboard!$C$11)/(1-Dashboard!$C$17)*((1+Dashboard!$C$12)^$CZ36),0)</f>
        <v>27527529.252039045</v>
      </c>
      <c r="EI36" s="126">
        <f ca="1">MAX(EI35*(1+AJ36)-(Dashboard!$C$11)/(1-Dashboard!$C$17)*((1+Dashboard!$C$12)^$CZ36),0)</f>
        <v>143415.3559771147</v>
      </c>
      <c r="EJ36" s="126">
        <f ca="1">MAX(EJ35*(1+AK36)-(Dashboard!$C$11)/(1-Dashboard!$C$17)*((1+Dashboard!$C$12)^$CZ36),0)</f>
        <v>10714648.038972361</v>
      </c>
      <c r="EK36" s="126">
        <f ca="1">MAX(EK35*(1+AL36)-(Dashboard!$C$11)/(1-Dashboard!$C$17)*((1+Dashboard!$C$12)^$CZ36),0)</f>
        <v>8478985.4096775502</v>
      </c>
      <c r="EL36" s="126">
        <f ca="1">MAX(EL35*(1+AM36)-(Dashboard!$C$11)/(1-Dashboard!$C$17)*((1+Dashboard!$C$12)^$CZ36),0)</f>
        <v>1558526.3545363089</v>
      </c>
      <c r="EM36" s="126">
        <f ca="1">MAX(EM35*(1+AN36)-(Dashboard!$C$11)/(1-Dashboard!$C$17)*((1+Dashboard!$C$12)^$CZ36),0)</f>
        <v>24373612.827266052</v>
      </c>
      <c r="EN36" s="126">
        <f ca="1">MAX(EN35*(1+AO36)-(Dashboard!$C$11)/(1-Dashboard!$C$17)*((1+Dashboard!$C$12)^$CZ36),0)</f>
        <v>2459516.4127377295</v>
      </c>
      <c r="EO36" s="126">
        <f ca="1">MAX(EO35*(1+AP36)-(Dashboard!$C$11)/(1-Dashboard!$C$17)*((1+Dashboard!$C$12)^$CZ36),0)</f>
        <v>53928.352630973866</v>
      </c>
      <c r="EP36" s="126">
        <f ca="1">MAX(EP35*(1+AQ36)-(Dashboard!$C$11)/(1-Dashboard!$C$17)*((1+Dashboard!$C$12)^$CZ36),0)</f>
        <v>5763157.6547384318</v>
      </c>
      <c r="EQ36" s="126">
        <f ca="1">MAX(EQ35*(1+AR36)-(Dashboard!$C$11)/(1-Dashboard!$C$17)*((1+Dashboard!$C$12)^$CZ36),0)</f>
        <v>6121218.3129727421</v>
      </c>
      <c r="ER36" s="126">
        <f ca="1">MAX(ER35*(1+AS36)-(Dashboard!$C$11)/(1-Dashboard!$C$17)*((1+Dashboard!$C$12)^$CZ36),0)</f>
        <v>2193799.8472773628</v>
      </c>
      <c r="ES36" s="126">
        <f ca="1">MAX(ES35*(1+AT36)-(Dashboard!$C$11)/(1-Dashboard!$C$17)*((1+Dashboard!$C$12)^$CZ36),0)</f>
        <v>14012419.643939406</v>
      </c>
      <c r="ET36" s="126">
        <f ca="1">MAX(ET35*(1+AU36)-(Dashboard!$C$11)/(1-Dashboard!$C$17)*((1+Dashboard!$C$12)^$CZ36),0)</f>
        <v>9632422.329088917</v>
      </c>
      <c r="EU36" s="126">
        <f ca="1">MAX(EU35*(1+AV36)-(Dashboard!$C$11)/(1-Dashboard!$C$17)*((1+Dashboard!$C$12)^$CZ36),0)</f>
        <v>5887196.67276299</v>
      </c>
      <c r="EV36" s="126">
        <f ca="1">MAX(EV35*(1+AW36)-(Dashboard!$C$11)/(1-Dashboard!$C$17)*((1+Dashboard!$C$12)^$CZ36),0)</f>
        <v>46731526.448626496</v>
      </c>
      <c r="EW36" s="126">
        <f ca="1">MAX(EW35*(1+AX36)-(Dashboard!$C$11)/(1-Dashboard!$C$17)*((1+Dashboard!$C$12)^$CZ36),0)</f>
        <v>2344447.3994808448</v>
      </c>
      <c r="EX36" s="126">
        <f ca="1">MAX(EX35*(1+AY36)-(Dashboard!$C$11)/(1-Dashboard!$C$17)*((1+Dashboard!$C$12)^$CZ36),0)</f>
        <v>8126214.3452309528</v>
      </c>
      <c r="EY36" s="126">
        <f ca="1">MAX(EY35*(1+AZ36)-(Dashboard!$C$11)/(1-Dashboard!$C$17)*((1+Dashboard!$C$12)^$CZ36),0)</f>
        <v>12685080.500844756</v>
      </c>
      <c r="EZ36" s="126">
        <f ca="1">MAX(EZ35*(1+BA36)-(Dashboard!$C$11)/(1-Dashboard!$C$17)*((1+Dashboard!$C$12)^$CZ36),0)</f>
        <v>8278649.7560271947</v>
      </c>
      <c r="FA36" s="126">
        <f ca="1">MAX(FA35*(1+BB36)-(Dashboard!$C$11)/(1-Dashboard!$C$17)*((1+Dashboard!$C$12)^$CZ36),0)</f>
        <v>23169427.922042832</v>
      </c>
      <c r="FB36" s="126">
        <f ca="1">MAX(FB35*(1+BC36)-(Dashboard!$C$11)/(1-Dashboard!$C$17)*((1+Dashboard!$C$12)^$CZ36),0)</f>
        <v>797002.36557212588</v>
      </c>
      <c r="FC36" s="126">
        <f ca="1">MAX(FC35*(1+BD36)-(Dashboard!$C$11)/(1-Dashboard!$C$17)*((1+Dashboard!$C$12)^$CZ36),0)</f>
        <v>6468178.0386871351</v>
      </c>
      <c r="FD36" s="126">
        <f ca="1">MAX(FD35*(1+BE36)-(Dashboard!$C$11)/(1-Dashboard!$C$17)*((1+Dashboard!$C$12)^$CZ36),0)</f>
        <v>23163987.126158901</v>
      </c>
      <c r="FE36" s="126">
        <f ca="1">MAX(FE35*(1+BF36)-(Dashboard!$C$11)/(1-Dashboard!$C$17)*((1+Dashboard!$C$12)^$CZ36),0)</f>
        <v>27046996.620826486</v>
      </c>
      <c r="FF36" s="126">
        <f ca="1">MAX(FF35*(1+BG36)-(Dashboard!$C$11)/(1-Dashboard!$C$17)*((1+Dashboard!$C$12)^$CZ36),0)</f>
        <v>7622289.8152841087</v>
      </c>
      <c r="FG36" s="126">
        <f ca="1">MAX(FG35*(1+BH36)-(Dashboard!$C$11)/(1-Dashboard!$C$17)*((1+Dashboard!$C$12)^$CZ36),0)</f>
        <v>6855457.1463566655</v>
      </c>
      <c r="FH36" s="126">
        <f ca="1">MAX(FH35*(1+BI36)-(Dashboard!$C$11)/(1-Dashboard!$C$17)*((1+Dashboard!$C$12)^$CZ36),0)</f>
        <v>3984230.7915593749</v>
      </c>
      <c r="FI36" s="126">
        <f ca="1">MAX(FI35*(1+BJ36)-(Dashboard!$C$11)/(1-Dashboard!$C$17)*((1+Dashboard!$C$12)^$CZ36),0)</f>
        <v>18484195.195370123</v>
      </c>
      <c r="FJ36" s="126">
        <f ca="1">MAX(FJ35*(1+BK36)-(Dashboard!$C$11)/(1-Dashboard!$C$17)*((1+Dashboard!$C$12)^$CZ36),0)</f>
        <v>4056030.7928114999</v>
      </c>
      <c r="FK36" s="126">
        <f ca="1">MAX(FK35*(1+BL36)-(Dashboard!$C$11)/(1-Dashboard!$C$17)*((1+Dashboard!$C$12)^$CZ36),0)</f>
        <v>6420029.07990913</v>
      </c>
      <c r="FL36" s="126">
        <f ca="1">MAX(FL35*(1+BM36)-(Dashboard!$C$11)/(1-Dashboard!$C$17)*((1+Dashboard!$C$12)^$CZ36),0)</f>
        <v>4396827.8576801745</v>
      </c>
      <c r="FM36" s="126">
        <f ca="1">MAX(FM35*(1+BN36)-(Dashboard!$C$11)/(1-Dashboard!$C$17)*((1+Dashboard!$C$12)^$CZ36),0)</f>
        <v>8105412.588381879</v>
      </c>
      <c r="FN36" s="126">
        <f ca="1">MAX(FN35*(1+BO36)-(Dashboard!$C$11)/(1-Dashboard!$C$17)*((1+Dashboard!$C$12)^$CZ36),0)</f>
        <v>0</v>
      </c>
      <c r="FO36" s="126">
        <f ca="1">MAX(FO35*(1+BP36)-(Dashboard!$C$11)/(1-Dashboard!$C$17)*((1+Dashboard!$C$12)^$CZ36),0)</f>
        <v>8241344.1563344039</v>
      </c>
      <c r="FP36" s="126">
        <f ca="1">MAX(FP35*(1+BQ36)-(Dashboard!$C$11)/(1-Dashboard!$C$17)*((1+Dashboard!$C$12)^$CZ36),0)</f>
        <v>4632573.2673159884</v>
      </c>
      <c r="FQ36" s="126">
        <f ca="1">MAX(FQ35*(1+BR36)-(Dashboard!$C$11)/(1-Dashboard!$C$17)*((1+Dashboard!$C$12)^$CZ36),0)</f>
        <v>7235450.0473813415</v>
      </c>
      <c r="FR36" s="126">
        <f ca="1">MAX(FR35*(1+BS36)-(Dashboard!$C$11)/(1-Dashboard!$C$17)*((1+Dashboard!$C$12)^$CZ36),0)</f>
        <v>13600994.739611665</v>
      </c>
      <c r="FS36" s="126">
        <f ca="1">MAX(FS35*(1+BT36)-(Dashboard!$C$11)/(1-Dashboard!$C$17)*((1+Dashboard!$C$12)^$CZ36),0)</f>
        <v>12408232.344530568</v>
      </c>
      <c r="FT36" s="126">
        <f ca="1">MAX(FT35*(1+BU36)-(Dashboard!$C$11)/(1-Dashboard!$C$17)*((1+Dashboard!$C$12)^$CZ36),0)</f>
        <v>1052076.0012550775</v>
      </c>
      <c r="FU36" s="126">
        <f ca="1">MAX(FU35*(1+BV36)-(Dashboard!$C$11)/(1-Dashboard!$C$17)*((1+Dashboard!$C$12)^$CZ36),0)</f>
        <v>2805253.8708922286</v>
      </c>
      <c r="FV36" s="126">
        <f ca="1">MAX(FV35*(1+BW36)-(Dashboard!$C$11)/(1-Dashboard!$C$17)*((1+Dashboard!$C$12)^$CZ36),0)</f>
        <v>4184384.6860098168</v>
      </c>
      <c r="FW36" s="126">
        <f ca="1">MAX(FW35*(1+BX36)-(Dashboard!$C$11)/(1-Dashboard!$C$17)*((1+Dashboard!$C$12)^$CZ36),0)</f>
        <v>5053407.9110612692</v>
      </c>
      <c r="FX36" s="126">
        <f ca="1">MAX(FX35*(1+BY36)-(Dashboard!$C$11)/(1-Dashboard!$C$17)*((1+Dashboard!$C$12)^$CZ36),0)</f>
        <v>1859948.923601225</v>
      </c>
      <c r="FY36" s="126">
        <f ca="1">MAX(FY35*(1+BZ36)-(Dashboard!$C$11)/(1-Dashboard!$C$17)*((1+Dashboard!$C$12)^$CZ36),0)</f>
        <v>2077932.8953288507</v>
      </c>
      <c r="FZ36" s="126">
        <f ca="1">MAX(FZ35*(1+CA36)-(Dashboard!$C$11)/(1-Dashboard!$C$17)*((1+Dashboard!$C$12)^$CZ36),0)</f>
        <v>25556863.032972477</v>
      </c>
      <c r="GA36" s="126">
        <f ca="1">MAX(GA35*(1+CB36)-(Dashboard!$C$11)/(1-Dashboard!$C$17)*((1+Dashboard!$C$12)^$CZ36),0)</f>
        <v>16479128.86577405</v>
      </c>
      <c r="GB36" s="126">
        <f ca="1">MAX(GB35*(1+CC36)-(Dashboard!$C$11)/(1-Dashboard!$C$17)*((1+Dashboard!$C$12)^$CZ36),0)</f>
        <v>4987135.9927026676</v>
      </c>
      <c r="GC36" s="126">
        <f ca="1">MAX(GC35*(1+CD36)-(Dashboard!$C$11)/(1-Dashboard!$C$17)*((1+Dashboard!$C$12)^$CZ36),0)</f>
        <v>11499663.066340072</v>
      </c>
      <c r="GD36" s="126">
        <f ca="1">MAX(GD35*(1+CE36)-(Dashboard!$C$11)/(1-Dashboard!$C$17)*((1+Dashboard!$C$12)^$CZ36),0)</f>
        <v>54682855.07067927</v>
      </c>
      <c r="GE36" s="126">
        <f ca="1">MAX(GE35*(1+CF36)-(Dashboard!$C$11)/(1-Dashboard!$C$17)*((1+Dashboard!$C$12)^$CZ36),0)</f>
        <v>7412551.1940498371</v>
      </c>
      <c r="GF36" s="126">
        <f ca="1">MAX(GF35*(1+CG36)-(Dashboard!$C$11)/(1-Dashboard!$C$17)*((1+Dashboard!$C$12)^$CZ36),0)</f>
        <v>9669626.7769438531</v>
      </c>
      <c r="GG36" s="126">
        <f ca="1">MAX(GG35*(1+CH36)-(Dashboard!$C$11)/(1-Dashboard!$C$17)*((1+Dashboard!$C$12)^$CZ36),0)</f>
        <v>1504228.4776007782</v>
      </c>
      <c r="GH36" s="126">
        <f ca="1">MAX(GH35*(1+CI36)-(Dashboard!$C$11)/(1-Dashboard!$C$17)*((1+Dashboard!$C$12)^$CZ36),0)</f>
        <v>3514573.2902217507</v>
      </c>
      <c r="GI36" s="126">
        <f ca="1">MAX(GI35*(1+CJ36)-(Dashboard!$C$11)/(1-Dashboard!$C$17)*((1+Dashboard!$C$12)^$CZ36),0)</f>
        <v>12678208.412976613</v>
      </c>
      <c r="GJ36" s="126">
        <f ca="1">MAX(GJ35*(1+CK36)-(Dashboard!$C$11)/(1-Dashboard!$C$17)*((1+Dashboard!$C$12)^$CZ36),0)</f>
        <v>44982365.152242646</v>
      </c>
      <c r="GK36" s="126">
        <f ca="1">MAX(GK35*(1+CL36)-(Dashboard!$C$11)/(1-Dashboard!$C$17)*((1+Dashboard!$C$12)^$CZ36),0)</f>
        <v>5298300.5849203011</v>
      </c>
      <c r="GL36" s="126">
        <f ca="1">MAX(GL35*(1+CM36)-(Dashboard!$C$11)/(1-Dashboard!$C$17)*((1+Dashboard!$C$12)^$CZ36),0)</f>
        <v>13318152.423335921</v>
      </c>
      <c r="GM36" s="126">
        <f ca="1">MAX(GM35*(1+CN36)-(Dashboard!$C$11)/(1-Dashboard!$C$17)*((1+Dashboard!$C$12)^$CZ36),0)</f>
        <v>2278283.8469669009</v>
      </c>
      <c r="GN36" s="126">
        <f ca="1">MAX(GN35*(1+CO36)-(Dashboard!$C$11)/(1-Dashboard!$C$17)*((1+Dashboard!$C$12)^$CZ36),0)</f>
        <v>0</v>
      </c>
      <c r="GO36" s="126">
        <f ca="1">MAX(GO35*(1+CP36)-(Dashboard!$C$11)/(1-Dashboard!$C$17)*((1+Dashboard!$C$12)^$CZ36),0)</f>
        <v>11175224.412152397</v>
      </c>
      <c r="GP36" s="126">
        <f ca="1">MAX(GP35*(1+CQ36)-(Dashboard!$C$11)/(1-Dashboard!$C$17)*((1+Dashboard!$C$12)^$CZ36),0)</f>
        <v>10847522.706646834</v>
      </c>
      <c r="GQ36" s="126">
        <f ca="1">MAX(GQ35*(1+CR36)-(Dashboard!$C$11)/(1-Dashboard!$C$17)*((1+Dashboard!$C$12)^$CZ36),0)</f>
        <v>1189673.3921265523</v>
      </c>
      <c r="GR36" s="126">
        <f ca="1">MAX(GR35*(1+CS36)-(Dashboard!$C$11)/(1-Dashboard!$C$17)*((1+Dashboard!$C$12)^$CZ36),0)</f>
        <v>4341437.9442765955</v>
      </c>
      <c r="GS36" s="126">
        <f ca="1">MAX(GS35*(1+CT36)-(Dashboard!$C$11)/(1-Dashboard!$C$17)*((1+Dashboard!$C$12)^$CZ36),0)</f>
        <v>12675229.110649755</v>
      </c>
      <c r="GT36" s="126">
        <f ca="1">MAX(GT35*(1+CU36)-(Dashboard!$C$11)/(1-Dashboard!$C$17)*((1+Dashboard!$C$12)^$CZ36),0)</f>
        <v>36170935.143747315</v>
      </c>
      <c r="GU36" s="126">
        <f ca="1">MAX(GU35*(1+CV36)-(Dashboard!$C$11)/(1-Dashboard!$C$17)*((1+Dashboard!$C$12)^$CZ36),0)</f>
        <v>5574516.548357239</v>
      </c>
      <c r="GV36" s="126">
        <f ca="1">MAX(GV35*(1+CW36)-(Dashboard!$C$11)/(1-Dashboard!$C$17)*((1+Dashboard!$C$12)^$CZ36),0)</f>
        <v>3075239.2287628409</v>
      </c>
      <c r="GW36" s="115">
        <f t="shared" si="4"/>
        <v>85</v>
      </c>
      <c r="GX36" s="130">
        <f t="shared" ca="1" si="2"/>
        <v>97</v>
      </c>
      <c r="HC36" s="130">
        <f t="shared" si="7"/>
        <v>85</v>
      </c>
      <c r="HD36" s="137">
        <f t="shared" ca="1" si="6"/>
        <v>2872750.2103598816</v>
      </c>
      <c r="HE36" s="137">
        <f t="shared" ca="1" si="6"/>
        <v>7096841.4122462524</v>
      </c>
      <c r="HF36" s="137">
        <f t="shared" ca="1" si="6"/>
        <v>13128731.698509984</v>
      </c>
    </row>
    <row r="37" spans="1:214" ht="16">
      <c r="A37" s="145">
        <f t="shared" si="3"/>
        <v>86</v>
      </c>
      <c r="B37" s="122">
        <f ca="1">(Dashboard!$C$7*'Equity and Bond Returns'!N37)+(Dashboard!$C$8*'Equity and Bond Returns'!DL37)</f>
        <v>-4.0986896365523329E-2</v>
      </c>
      <c r="C37" s="122">
        <f ca="1">(Dashboard!$C$7*'Equity and Bond Returns'!O37)+(Dashboard!$C$8*'Equity and Bond Returns'!DM37)</f>
        <v>0.1376407605238221</v>
      </c>
      <c r="D37" s="122">
        <f ca="1">(Dashboard!$C$7*'Equity and Bond Returns'!P37)+(Dashboard!$C$8*'Equity and Bond Returns'!DN37)</f>
        <v>1.6901317194039544E-2</v>
      </c>
      <c r="E37" s="122">
        <f ca="1">(Dashboard!$C$7*'Equity and Bond Returns'!Q37)+(Dashboard!$C$8*'Equity and Bond Returns'!DO37)</f>
        <v>0.18986232158519925</v>
      </c>
      <c r="F37" s="122">
        <f ca="1">(Dashboard!$C$7*'Equity and Bond Returns'!R37)+(Dashboard!$C$8*'Equity and Bond Returns'!DP37)</f>
        <v>6.8942750547724987E-2</v>
      </c>
      <c r="G37" s="122">
        <f ca="1">(Dashboard!$C$7*'Equity and Bond Returns'!S37)+(Dashboard!$C$8*'Equity and Bond Returns'!DQ37)</f>
        <v>-6.496817853801462E-2</v>
      </c>
      <c r="H37" s="122">
        <f ca="1">(Dashboard!$C$7*'Equity and Bond Returns'!T37)+(Dashboard!$C$8*'Equity and Bond Returns'!DR37)</f>
        <v>2.529613562526712E-2</v>
      </c>
      <c r="I37" s="122">
        <f ca="1">(Dashboard!$C$7*'Equity and Bond Returns'!U37)+(Dashboard!$C$8*'Equity and Bond Returns'!DS37)</f>
        <v>5.1248524744871085E-2</v>
      </c>
      <c r="J37" s="122">
        <f ca="1">(Dashboard!$C$7*'Equity and Bond Returns'!V37)+(Dashboard!$C$8*'Equity and Bond Returns'!DT37)</f>
        <v>0.12702037775612773</v>
      </c>
      <c r="K37" s="122">
        <f ca="1">(Dashboard!$C$7*'Equity and Bond Returns'!W37)+(Dashboard!$C$8*'Equity and Bond Returns'!DU37)</f>
        <v>9.029778703412443E-2</v>
      </c>
      <c r="L37" s="122">
        <f ca="1">(Dashboard!$C$7*'Equity and Bond Returns'!X37)+(Dashboard!$C$8*'Equity and Bond Returns'!DV37)</f>
        <v>-1.7166162994371487E-2</v>
      </c>
      <c r="M37" s="122">
        <f ca="1">(Dashboard!$C$7*'Equity and Bond Returns'!Y37)+(Dashboard!$C$8*'Equity and Bond Returns'!DW37)</f>
        <v>3.2270651355490128E-2</v>
      </c>
      <c r="N37" s="122">
        <f ca="1">(Dashboard!$C$7*'Equity and Bond Returns'!Z37)+(Dashboard!$C$8*'Equity and Bond Returns'!DX37)</f>
        <v>0.17849538311468344</v>
      </c>
      <c r="O37" s="122">
        <f ca="1">(Dashboard!$C$7*'Equity and Bond Returns'!AA37)+(Dashboard!$C$8*'Equity and Bond Returns'!DY37)</f>
        <v>0.11697406828558235</v>
      </c>
      <c r="P37" s="122">
        <f ca="1">(Dashboard!$C$7*'Equity and Bond Returns'!AB37)+(Dashboard!$C$8*'Equity and Bond Returns'!DZ37)</f>
        <v>0.29536556430013022</v>
      </c>
      <c r="Q37" s="122">
        <f ca="1">(Dashboard!$C$7*'Equity and Bond Returns'!AC37)+(Dashboard!$C$8*'Equity and Bond Returns'!EA37)</f>
        <v>4.1664116971415741E-2</v>
      </c>
      <c r="R37" s="122">
        <f ca="1">(Dashboard!$C$7*'Equity and Bond Returns'!AD37)+(Dashboard!$C$8*'Equity and Bond Returns'!EB37)</f>
        <v>9.0480108733428918E-2</v>
      </c>
      <c r="S37" s="122">
        <f ca="1">(Dashboard!$C$7*'Equity and Bond Returns'!AE37)+(Dashboard!$C$8*'Equity and Bond Returns'!EC37)</f>
        <v>3.0610784071316802E-2</v>
      </c>
      <c r="T37" s="122">
        <f ca="1">(Dashboard!$C$7*'Equity and Bond Returns'!AF37)+(Dashboard!$C$8*'Equity and Bond Returns'!ED37)</f>
        <v>-0.34679140807821635</v>
      </c>
      <c r="U37" s="122">
        <f ca="1">(Dashboard!$C$7*'Equity and Bond Returns'!AG37)+(Dashboard!$C$8*'Equity and Bond Returns'!EE37)</f>
        <v>8.5195047410922625E-2</v>
      </c>
      <c r="V37" s="122">
        <f ca="1">(Dashboard!$C$7*'Equity and Bond Returns'!AH37)+(Dashboard!$C$8*'Equity and Bond Returns'!EF37)</f>
        <v>-0.10851497698457559</v>
      </c>
      <c r="W37" s="122">
        <f ca="1">(Dashboard!$C$7*'Equity and Bond Returns'!AI37)+(Dashboard!$C$8*'Equity and Bond Returns'!EG37)</f>
        <v>3.4248680503941219E-2</v>
      </c>
      <c r="X37" s="122">
        <f ca="1">(Dashboard!$C$7*'Equity and Bond Returns'!AJ37)+(Dashboard!$C$8*'Equity and Bond Returns'!EH37)</f>
        <v>-5.8487232444342147E-2</v>
      </c>
      <c r="Y37" s="122">
        <f ca="1">(Dashboard!$C$7*'Equity and Bond Returns'!AK37)+(Dashboard!$C$8*'Equity and Bond Returns'!EI37)</f>
        <v>0.23987990439179152</v>
      </c>
      <c r="Z37" s="122">
        <f ca="1">(Dashboard!$C$7*'Equity and Bond Returns'!AL37)+(Dashboard!$C$8*'Equity and Bond Returns'!EJ37)</f>
        <v>-9.2908941761579406E-2</v>
      </c>
      <c r="AA37" s="122">
        <f ca="1">(Dashboard!$C$7*'Equity and Bond Returns'!AM37)+(Dashboard!$C$8*'Equity and Bond Returns'!EK37)</f>
        <v>4.8062141873483608E-2</v>
      </c>
      <c r="AB37" s="122">
        <f ca="1">(Dashboard!$C$7*'Equity and Bond Returns'!AN37)+(Dashboard!$C$8*'Equity and Bond Returns'!EL37)</f>
        <v>0.18099320127612406</v>
      </c>
      <c r="AC37" s="122">
        <f ca="1">(Dashboard!$C$7*'Equity and Bond Returns'!AO37)+(Dashboard!$C$8*'Equity and Bond Returns'!EM37)</f>
        <v>1.1325502542000185E-2</v>
      </c>
      <c r="AD37" s="122">
        <f ca="1">(Dashboard!$C$7*'Equity and Bond Returns'!AP37)+(Dashboard!$C$8*'Equity and Bond Returns'!EN37)</f>
        <v>0.30975953063164924</v>
      </c>
      <c r="AE37" s="122">
        <f ca="1">(Dashboard!$C$7*'Equity and Bond Returns'!AQ37)+(Dashboard!$C$8*'Equity and Bond Returns'!EO37)</f>
        <v>0.10651420149900219</v>
      </c>
      <c r="AF37" s="122">
        <f ca="1">(Dashboard!$C$7*'Equity and Bond Returns'!AR37)+(Dashboard!$C$8*'Equity and Bond Returns'!EP37)</f>
        <v>8.5770232142148878E-2</v>
      </c>
      <c r="AG37" s="122">
        <f ca="1">(Dashboard!$C$7*'Equity and Bond Returns'!AS37)+(Dashboard!$C$8*'Equity and Bond Returns'!EQ37)</f>
        <v>0.10212377629977497</v>
      </c>
      <c r="AH37" s="122">
        <f ca="1">(Dashboard!$C$7*'Equity and Bond Returns'!AT37)+(Dashboard!$C$8*'Equity and Bond Returns'!ER37)</f>
        <v>-7.5110850575920707E-2</v>
      </c>
      <c r="AI37" s="122">
        <f ca="1">(Dashboard!$C$7*'Equity and Bond Returns'!AU37)+(Dashboard!$C$8*'Equity and Bond Returns'!ES37)</f>
        <v>0.23281643708319197</v>
      </c>
      <c r="AJ37" s="122">
        <f ca="1">(Dashboard!$C$7*'Equity and Bond Returns'!AV37)+(Dashboard!$C$8*'Equity and Bond Returns'!ET37)</f>
        <v>0.23963745052531488</v>
      </c>
      <c r="AK37" s="122">
        <f ca="1">(Dashboard!$C$7*'Equity and Bond Returns'!AW37)+(Dashboard!$C$8*'Equity and Bond Returns'!EU37)</f>
        <v>0.12436939570956858</v>
      </c>
      <c r="AL37" s="122">
        <f ca="1">(Dashboard!$C$7*'Equity and Bond Returns'!AX37)+(Dashboard!$C$8*'Equity and Bond Returns'!EV37)</f>
        <v>-0.12695980682140101</v>
      </c>
      <c r="AM37" s="122">
        <f ca="1">(Dashboard!$C$7*'Equity and Bond Returns'!AY37)+(Dashboard!$C$8*'Equity and Bond Returns'!EW37)</f>
        <v>-8.7747855938448416E-4</v>
      </c>
      <c r="AN37" s="122">
        <f ca="1">(Dashboard!$C$7*'Equity and Bond Returns'!AZ37)+(Dashboard!$C$8*'Equity and Bond Returns'!EX37)</f>
        <v>8.2962475010053355E-2</v>
      </c>
      <c r="AO37" s="122">
        <f ca="1">(Dashboard!$C$7*'Equity and Bond Returns'!BA37)+(Dashboard!$C$8*'Equity and Bond Returns'!EY37)</f>
        <v>0.22881523119632965</v>
      </c>
      <c r="AP37" s="122">
        <f ca="1">(Dashboard!$C$7*'Equity and Bond Returns'!BB37)+(Dashboard!$C$8*'Equity and Bond Returns'!EZ37)</f>
        <v>5.2323828092089908E-2</v>
      </c>
      <c r="AQ37" s="122">
        <f ca="1">(Dashboard!$C$7*'Equity and Bond Returns'!BC37)+(Dashboard!$C$8*'Equity and Bond Returns'!FA37)</f>
        <v>-0.14144364864053297</v>
      </c>
      <c r="AR37" s="122">
        <f ca="1">(Dashboard!$C$7*'Equity and Bond Returns'!BD37)+(Dashboard!$C$8*'Equity and Bond Returns'!FB37)</f>
        <v>-0.11518938342527556</v>
      </c>
      <c r="AS37" s="122">
        <f ca="1">(Dashboard!$C$7*'Equity and Bond Returns'!BE37)+(Dashboard!$C$8*'Equity and Bond Returns'!FC37)</f>
        <v>-0.20830622329422516</v>
      </c>
      <c r="AT37" s="122">
        <f ca="1">(Dashboard!$C$7*'Equity and Bond Returns'!BF37)+(Dashboard!$C$8*'Equity and Bond Returns'!FD37)</f>
        <v>0.13926657109842119</v>
      </c>
      <c r="AU37" s="122">
        <f ca="1">(Dashboard!$C$7*'Equity and Bond Returns'!BG37)+(Dashboard!$C$8*'Equity and Bond Returns'!FE37)</f>
        <v>9.6755823063644206E-2</v>
      </c>
      <c r="AV37" s="122">
        <f ca="1">(Dashboard!$C$7*'Equity and Bond Returns'!BH37)+(Dashboard!$C$8*'Equity and Bond Returns'!FF37)</f>
        <v>0.10687192407678289</v>
      </c>
      <c r="AW37" s="122">
        <f ca="1">(Dashboard!$C$7*'Equity and Bond Returns'!BI37)+(Dashboard!$C$8*'Equity and Bond Returns'!FG37)</f>
        <v>0.23133606662929607</v>
      </c>
      <c r="AX37" s="122">
        <f ca="1">(Dashboard!$C$7*'Equity and Bond Returns'!BJ37)+(Dashboard!$C$8*'Equity and Bond Returns'!FH37)</f>
        <v>-2.7125644837297028E-2</v>
      </c>
      <c r="AY37" s="122">
        <f ca="1">(Dashboard!$C$7*'Equity and Bond Returns'!BK37)+(Dashboard!$C$8*'Equity and Bond Returns'!FI37)</f>
        <v>2.8512078090191732E-2</v>
      </c>
      <c r="AZ37" s="122">
        <f ca="1">(Dashboard!$C$7*'Equity and Bond Returns'!BL37)+(Dashboard!$C$8*'Equity and Bond Returns'!FJ37)</f>
        <v>0.51611212501646087</v>
      </c>
      <c r="BA37" s="122">
        <f ca="1">(Dashboard!$C$7*'Equity and Bond Returns'!BM37)+(Dashboard!$C$8*'Equity and Bond Returns'!FK37)</f>
        <v>-8.2737135409174115E-2</v>
      </c>
      <c r="BB37" s="122">
        <f ca="1">(Dashboard!$C$7*'Equity and Bond Returns'!BN37)+(Dashboard!$C$8*'Equity and Bond Returns'!FL37)</f>
        <v>3.1894238852655077E-2</v>
      </c>
      <c r="BC37" s="122">
        <f ca="1">(Dashboard!$C$7*'Equity and Bond Returns'!BO37)+(Dashboard!$C$8*'Equity and Bond Returns'!FM37)</f>
        <v>0.177146975635362</v>
      </c>
      <c r="BD37" s="122">
        <f ca="1">(Dashboard!$C$7*'Equity and Bond Returns'!BP37)+(Dashboard!$C$8*'Equity and Bond Returns'!FN37)</f>
        <v>1.3327393389306578E-2</v>
      </c>
      <c r="BE37" s="122">
        <f ca="1">(Dashboard!$C$7*'Equity and Bond Returns'!BQ37)+(Dashboard!$C$8*'Equity and Bond Returns'!FO37)</f>
        <v>-2.317000560912166E-2</v>
      </c>
      <c r="BF37" s="122">
        <f ca="1">(Dashboard!$C$7*'Equity and Bond Returns'!BR37)+(Dashboard!$C$8*'Equity and Bond Returns'!FP37)</f>
        <v>0.1651633610662919</v>
      </c>
      <c r="BG37" s="122">
        <f ca="1">(Dashboard!$C$7*'Equity and Bond Returns'!BS37)+(Dashboard!$C$8*'Equity and Bond Returns'!FQ37)</f>
        <v>8.6613229294346672E-2</v>
      </c>
      <c r="BH37" s="122">
        <f ca="1">(Dashboard!$C$7*'Equity and Bond Returns'!BT37)+(Dashboard!$C$8*'Equity and Bond Returns'!FR37)</f>
        <v>-9.9826107527482486E-2</v>
      </c>
      <c r="BI37" s="122">
        <f ca="1">(Dashboard!$C$7*'Equity and Bond Returns'!BU37)+(Dashboard!$C$8*'Equity and Bond Returns'!FS37)</f>
        <v>9.2193542882265569E-2</v>
      </c>
      <c r="BJ37" s="122">
        <f ca="1">(Dashboard!$C$7*'Equity and Bond Returns'!BV37)+(Dashboard!$C$8*'Equity and Bond Returns'!FT37)</f>
        <v>0.26539951973859088</v>
      </c>
      <c r="BK37" s="122">
        <f ca="1">(Dashboard!$C$7*'Equity and Bond Returns'!BW37)+(Dashboard!$C$8*'Equity and Bond Returns'!FU37)</f>
        <v>0.27948719928455984</v>
      </c>
      <c r="BL37" s="122">
        <f ca="1">(Dashboard!$C$7*'Equity and Bond Returns'!BX37)+(Dashboard!$C$8*'Equity and Bond Returns'!FV37)</f>
        <v>0.15262950956190469</v>
      </c>
      <c r="BM37" s="122">
        <f ca="1">(Dashboard!$C$7*'Equity and Bond Returns'!BY37)+(Dashboard!$C$8*'Equity and Bond Returns'!FW37)</f>
        <v>-0.18057019806003979</v>
      </c>
      <c r="BN37" s="122">
        <f ca="1">(Dashboard!$C$7*'Equity and Bond Returns'!BZ37)+(Dashboard!$C$8*'Equity and Bond Returns'!FX37)</f>
        <v>5.0500996336819294E-2</v>
      </c>
      <c r="BO37" s="122">
        <f ca="1">(Dashboard!$C$7*'Equity and Bond Returns'!CA37)+(Dashboard!$C$8*'Equity and Bond Returns'!FY37)</f>
        <v>0.1024415860253502</v>
      </c>
      <c r="BP37" s="122">
        <f ca="1">(Dashboard!$C$7*'Equity and Bond Returns'!CB37)+(Dashboard!$C$8*'Equity and Bond Returns'!FZ37)</f>
        <v>0.22059797296462855</v>
      </c>
      <c r="BQ37" s="122">
        <f ca="1">(Dashboard!$C$7*'Equity and Bond Returns'!CC37)+(Dashboard!$C$8*'Equity and Bond Returns'!GA37)</f>
        <v>0.17312546058004422</v>
      </c>
      <c r="BR37" s="122">
        <f ca="1">(Dashboard!$C$7*'Equity and Bond Returns'!CD37)+(Dashboard!$C$8*'Equity and Bond Returns'!GB37)</f>
        <v>-0.15972120207919951</v>
      </c>
      <c r="BS37" s="122">
        <f ca="1">(Dashboard!$C$7*'Equity and Bond Returns'!CE37)+(Dashboard!$C$8*'Equity and Bond Returns'!GC37)</f>
        <v>0.1586217069676005</v>
      </c>
      <c r="BT37" s="122">
        <f ca="1">(Dashboard!$C$7*'Equity and Bond Returns'!CF37)+(Dashboard!$C$8*'Equity and Bond Returns'!GD37)</f>
        <v>0.36825614862231398</v>
      </c>
      <c r="BU37" s="122">
        <f ca="1">(Dashboard!$C$7*'Equity and Bond Returns'!CG37)+(Dashboard!$C$8*'Equity and Bond Returns'!GE37)</f>
        <v>5.0337109440221579E-2</v>
      </c>
      <c r="BV37" s="122">
        <f ca="1">(Dashboard!$C$7*'Equity and Bond Returns'!CH37)+(Dashboard!$C$8*'Equity and Bond Returns'!GF37)</f>
        <v>-2.0256664753759302E-3</v>
      </c>
      <c r="BW37" s="122">
        <f ca="1">(Dashboard!$C$7*'Equity and Bond Returns'!CI37)+(Dashboard!$C$8*'Equity and Bond Returns'!GG37)</f>
        <v>0.13517170072085904</v>
      </c>
      <c r="BX37" s="122">
        <f ca="1">(Dashboard!$C$7*'Equity and Bond Returns'!CJ37)+(Dashboard!$C$8*'Equity and Bond Returns'!GH37)</f>
        <v>3.4923160123895805E-2</v>
      </c>
      <c r="BY37" s="122">
        <f ca="1">(Dashboard!$C$7*'Equity and Bond Returns'!CK37)+(Dashboard!$C$8*'Equity and Bond Returns'!GI37)</f>
        <v>-3.6728603289737073E-2</v>
      </c>
      <c r="BZ37" s="122">
        <f ca="1">(Dashboard!$C$7*'Equity and Bond Returns'!CL37)+(Dashboard!$C$8*'Equity and Bond Returns'!GJ37)</f>
        <v>0.12751877566764136</v>
      </c>
      <c r="CA37" s="122">
        <f ca="1">(Dashboard!$C$7*'Equity and Bond Returns'!CM37)+(Dashboard!$C$8*'Equity and Bond Returns'!GK37)</f>
        <v>0.11027409122129321</v>
      </c>
      <c r="CB37" s="122">
        <f ca="1">(Dashboard!$C$7*'Equity and Bond Returns'!CN37)+(Dashboard!$C$8*'Equity and Bond Returns'!GL37)</f>
        <v>2.4618269792300064E-2</v>
      </c>
      <c r="CC37" s="122">
        <f ca="1">(Dashboard!$C$7*'Equity and Bond Returns'!CO37)+(Dashboard!$C$8*'Equity and Bond Returns'!GM37)</f>
        <v>4.1350931397643967E-2</v>
      </c>
      <c r="CD37" s="122">
        <f ca="1">(Dashboard!$C$7*'Equity and Bond Returns'!CP37)+(Dashboard!$C$8*'Equity and Bond Returns'!GN37)</f>
        <v>5.8331250399673296E-2</v>
      </c>
      <c r="CE37" s="122">
        <f ca="1">(Dashboard!$C$7*'Equity and Bond Returns'!CQ37)+(Dashboard!$C$8*'Equity and Bond Returns'!GO37)</f>
        <v>0.31358305258785146</v>
      </c>
      <c r="CF37" s="122">
        <f ca="1">(Dashboard!$C$7*'Equity and Bond Returns'!CR37)+(Dashboard!$C$8*'Equity and Bond Returns'!GP37)</f>
        <v>0.11235831823020254</v>
      </c>
      <c r="CG37" s="122">
        <f ca="1">(Dashboard!$C$7*'Equity and Bond Returns'!CS37)+(Dashboard!$C$8*'Equity and Bond Returns'!GQ37)</f>
        <v>9.8561256635511338E-2</v>
      </c>
      <c r="CH37" s="122">
        <f ca="1">(Dashboard!$C$7*'Equity and Bond Returns'!CT37)+(Dashboard!$C$8*'Equity and Bond Returns'!GR37)</f>
        <v>-0.106909007895287</v>
      </c>
      <c r="CI37" s="122">
        <f ca="1">(Dashboard!$C$7*'Equity and Bond Returns'!CU37)+(Dashboard!$C$8*'Equity and Bond Returns'!GS37)</f>
        <v>0.13301299120553556</v>
      </c>
      <c r="CJ37" s="122">
        <f ca="1">(Dashboard!$C$7*'Equity and Bond Returns'!CV37)+(Dashboard!$C$8*'Equity and Bond Returns'!GT37)</f>
        <v>0.27284820714912056</v>
      </c>
      <c r="CK37" s="122">
        <f ca="1">(Dashboard!$C$7*'Equity and Bond Returns'!CW37)+(Dashboard!$C$8*'Equity and Bond Returns'!GU37)</f>
        <v>0.22706632417616737</v>
      </c>
      <c r="CL37" s="122">
        <f ca="1">(Dashboard!$C$7*'Equity and Bond Returns'!CX37)+(Dashboard!$C$8*'Equity and Bond Returns'!GV37)</f>
        <v>-0.17737505303877849</v>
      </c>
      <c r="CM37" s="122">
        <f ca="1">(Dashboard!$C$7*'Equity and Bond Returns'!CY37)+(Dashboard!$C$8*'Equity and Bond Returns'!GW37)</f>
        <v>0.12823697635884118</v>
      </c>
      <c r="CN37" s="122">
        <f ca="1">(Dashboard!$C$7*'Equity and Bond Returns'!CZ37)+(Dashboard!$C$8*'Equity and Bond Returns'!GX37)</f>
        <v>0.12403545895390818</v>
      </c>
      <c r="CO37" s="122">
        <f ca="1">(Dashboard!$C$7*'Equity and Bond Returns'!DA37)+(Dashboard!$C$8*'Equity and Bond Returns'!GY37)</f>
        <v>0.11927812036430119</v>
      </c>
      <c r="CP37" s="122">
        <f ca="1">(Dashboard!$C$7*'Equity and Bond Returns'!DB37)+(Dashboard!$C$8*'Equity and Bond Returns'!GZ37)</f>
        <v>3.7002108273880438E-2</v>
      </c>
      <c r="CQ37" s="122">
        <f ca="1">(Dashboard!$C$7*'Equity and Bond Returns'!DC37)+(Dashboard!$C$8*'Equity and Bond Returns'!HA37)</f>
        <v>0.24753297865289969</v>
      </c>
      <c r="CR37" s="122">
        <f ca="1">(Dashboard!$C$7*'Equity and Bond Returns'!DD37)+(Dashboard!$C$8*'Equity and Bond Returns'!HB37)</f>
        <v>-6.9022651907045957E-2</v>
      </c>
      <c r="CS37" s="122">
        <f ca="1">(Dashboard!$C$7*'Equity and Bond Returns'!DE37)+(Dashboard!$C$8*'Equity and Bond Returns'!HC37)</f>
        <v>-6.8820532602680007E-2</v>
      </c>
      <c r="CT37" s="122">
        <f ca="1">(Dashboard!$C$7*'Equity and Bond Returns'!DF37)+(Dashboard!$C$8*'Equity and Bond Returns'!HD37)</f>
        <v>0.1184070452167463</v>
      </c>
      <c r="CU37" s="122">
        <f ca="1">(Dashboard!$C$7*'Equity and Bond Returns'!DG37)+(Dashboard!$C$8*'Equity and Bond Returns'!HE37)</f>
        <v>-9.8520351777768439E-2</v>
      </c>
      <c r="CV37" s="122">
        <f ca="1">(Dashboard!$C$7*'Equity and Bond Returns'!DH37)+(Dashboard!$C$8*'Equity and Bond Returns'!HF37)</f>
        <v>6.2237890598459689E-2</v>
      </c>
      <c r="CW37" s="122">
        <f ca="1">(Dashboard!$C$7*'Equity and Bond Returns'!DI37)+(Dashboard!$C$8*'Equity and Bond Returns'!HG37)</f>
        <v>2.157561282541192E-2</v>
      </c>
      <c r="CY37" s="147">
        <f t="shared" si="5"/>
        <v>86</v>
      </c>
      <c r="CZ37" s="148">
        <v>36</v>
      </c>
      <c r="DA37" s="126">
        <f ca="1">MAX(DA36*(1+B37)-(Dashboard!$C$11)/(1-Dashboard!$C$17)*((1+Dashboard!$C$12)^$CZ37),0)</f>
        <v>34563363.858336732</v>
      </c>
      <c r="DB37" s="126">
        <f ca="1">MAX(DB36*(1+C37)-(Dashboard!$C$11)/(1-Dashboard!$C$17)*((1+Dashboard!$C$12)^$CZ37),0)</f>
        <v>0</v>
      </c>
      <c r="DC37" s="126">
        <f ca="1">MAX(DC36*(1+D37)-(Dashboard!$C$11)/(1-Dashboard!$C$17)*((1+Dashboard!$C$12)^$CZ37),0)</f>
        <v>7016059.0858720262</v>
      </c>
      <c r="DD37" s="126">
        <f ca="1">MAX(DD36*(1+E37)-(Dashboard!$C$11)/(1-Dashboard!$C$17)*((1+Dashboard!$C$12)^$CZ37),0)</f>
        <v>1306950.6229353873</v>
      </c>
      <c r="DE37" s="126">
        <f ca="1">MAX(DE36*(1+F37)-(Dashboard!$C$11)/(1-Dashboard!$C$17)*((1+Dashboard!$C$12)^$CZ37),0)</f>
        <v>9915637.0918135606</v>
      </c>
      <c r="DF37" s="126">
        <f ca="1">MAX(DF36*(1+G37)-(Dashboard!$C$11)/(1-Dashboard!$C$17)*((1+Dashboard!$C$12)^$CZ37),0)</f>
        <v>21823186.206608877</v>
      </c>
      <c r="DG37" s="126">
        <f ca="1">MAX(DG36*(1+H37)-(Dashboard!$C$11)/(1-Dashboard!$C$17)*((1+Dashboard!$C$12)^$CZ37),0)</f>
        <v>956606.24389726296</v>
      </c>
      <c r="DH37" s="126">
        <f ca="1">MAX(DH36*(1+I37)-(Dashboard!$C$11)/(1-Dashboard!$C$17)*((1+Dashboard!$C$12)^$CZ37),0)</f>
        <v>20506327.541510902</v>
      </c>
      <c r="DI37" s="126">
        <f ca="1">MAX(DI36*(1+J37)-(Dashboard!$C$11)/(1-Dashboard!$C$17)*((1+Dashboard!$C$12)^$CZ37),0)</f>
        <v>5573973.767152885</v>
      </c>
      <c r="DJ37" s="126">
        <f ca="1">MAX(DJ36*(1+K37)-(Dashboard!$C$11)/(1-Dashboard!$C$17)*((1+Dashboard!$C$12)^$CZ37),0)</f>
        <v>7905085.793565291</v>
      </c>
      <c r="DK37" s="126">
        <f ca="1">MAX(DK36*(1+L37)-(Dashboard!$C$11)/(1-Dashboard!$C$17)*((1+Dashboard!$C$12)^$CZ37),0)</f>
        <v>26772322.157537218</v>
      </c>
      <c r="DL37" s="126">
        <f ca="1">MAX(DL36*(1+M37)-(Dashboard!$C$11)/(1-Dashboard!$C$17)*((1+Dashboard!$C$12)^$CZ37),0)</f>
        <v>591750.89157440059</v>
      </c>
      <c r="DM37" s="126">
        <f ca="1">MAX(DM36*(1+N37)-(Dashboard!$C$11)/(1-Dashboard!$C$17)*((1+Dashboard!$C$12)^$CZ37),0)</f>
        <v>16883586.396996405</v>
      </c>
      <c r="DN37" s="126">
        <f ca="1">MAX(DN36*(1+O37)-(Dashboard!$C$11)/(1-Dashboard!$C$17)*((1+Dashboard!$C$12)^$CZ37),0)</f>
        <v>37043490.295223214</v>
      </c>
      <c r="DO37" s="126">
        <f ca="1">MAX(DO36*(1+P37)-(Dashboard!$C$11)/(1-Dashboard!$C$17)*((1+Dashboard!$C$12)^$CZ37),0)</f>
        <v>4524483.3067222191</v>
      </c>
      <c r="DP37" s="126">
        <f ca="1">MAX(DP36*(1+Q37)-(Dashboard!$C$11)/(1-Dashboard!$C$17)*((1+Dashboard!$C$12)^$CZ37),0)</f>
        <v>5583534.5272186119</v>
      </c>
      <c r="DQ37" s="126">
        <f ca="1">MAX(DQ36*(1+R37)-(Dashboard!$C$11)/(1-Dashboard!$C$17)*((1+Dashboard!$C$12)^$CZ37),0)</f>
        <v>12350852.220368804</v>
      </c>
      <c r="DR37" s="126">
        <f ca="1">MAX(DR36*(1+S37)-(Dashboard!$C$11)/(1-Dashboard!$C$17)*((1+Dashboard!$C$12)^$CZ37),0)</f>
        <v>27065062.465407327</v>
      </c>
      <c r="DS37" s="126">
        <f ca="1">MAX(DS36*(1+T37)-(Dashboard!$C$11)/(1-Dashboard!$C$17)*((1+Dashboard!$C$12)^$CZ37),0)</f>
        <v>926826.48317564616</v>
      </c>
      <c r="DT37" s="126">
        <f ca="1">MAX(DT36*(1+U37)-(Dashboard!$C$11)/(1-Dashboard!$C$17)*((1+Dashboard!$C$12)^$CZ37),0)</f>
        <v>2773256.1056244601</v>
      </c>
      <c r="DU37" s="126">
        <f ca="1">MAX(DU36*(1+V37)-(Dashboard!$C$11)/(1-Dashboard!$C$17)*((1+Dashboard!$C$12)^$CZ37),0)</f>
        <v>8587408.8268891294</v>
      </c>
      <c r="DV37" s="126">
        <f ca="1">MAX(DV36*(1+W37)-(Dashboard!$C$11)/(1-Dashboard!$C$17)*((1+Dashboard!$C$12)^$CZ37),0)</f>
        <v>37764475.676634751</v>
      </c>
      <c r="DW37" s="126">
        <f ca="1">MAX(DW36*(1+X37)-(Dashboard!$C$11)/(1-Dashboard!$C$17)*((1+Dashboard!$C$12)^$CZ37),0)</f>
        <v>3489017.652554892</v>
      </c>
      <c r="DX37" s="126">
        <f ca="1">MAX(DX36*(1+Y37)-(Dashboard!$C$11)/(1-Dashboard!$C$17)*((1+Dashboard!$C$12)^$CZ37),0)</f>
        <v>4565202.2231346508</v>
      </c>
      <c r="DY37" s="126">
        <f ca="1">MAX(DY36*(1+Z37)-(Dashboard!$C$11)/(1-Dashboard!$C$17)*((1+Dashboard!$C$12)^$CZ37),0)</f>
        <v>11983322.150674293</v>
      </c>
      <c r="DZ37" s="126">
        <f ca="1">MAX(DZ36*(1+AA37)-(Dashboard!$C$11)/(1-Dashboard!$C$17)*((1+Dashboard!$C$12)^$CZ37),0)</f>
        <v>1408570.6756237494</v>
      </c>
      <c r="EA37" s="126">
        <f ca="1">MAX(EA36*(1+AB37)-(Dashboard!$C$11)/(1-Dashboard!$C$17)*((1+Dashboard!$C$12)^$CZ37),0)</f>
        <v>7587844.1955077434</v>
      </c>
      <c r="EB37" s="126">
        <f ca="1">MAX(EB36*(1+AC37)-(Dashboard!$C$11)/(1-Dashboard!$C$17)*((1+Dashboard!$C$12)^$CZ37),0)</f>
        <v>12642463.318872176</v>
      </c>
      <c r="EC37" s="126">
        <f ca="1">MAX(EC36*(1+AD37)-(Dashboard!$C$11)/(1-Dashboard!$C$17)*((1+Dashboard!$C$12)^$CZ37),0)</f>
        <v>13591464.663348729</v>
      </c>
      <c r="ED37" s="126">
        <f ca="1">MAX(ED36*(1+AE37)-(Dashboard!$C$11)/(1-Dashboard!$C$17)*((1+Dashboard!$C$12)^$CZ37),0)</f>
        <v>9500417.1314429175</v>
      </c>
      <c r="EE37" s="126">
        <f ca="1">MAX(EE36*(1+AF37)-(Dashboard!$C$11)/(1-Dashboard!$C$17)*((1+Dashboard!$C$12)^$CZ37),0)</f>
        <v>16653978.076496257</v>
      </c>
      <c r="EF37" s="126">
        <f ca="1">MAX(EF36*(1+AG37)-(Dashboard!$C$11)/(1-Dashboard!$C$17)*((1+Dashboard!$C$12)^$CZ37),0)</f>
        <v>2048078.1200544862</v>
      </c>
      <c r="EG37" s="126">
        <f ca="1">MAX(EG36*(1+AH37)-(Dashboard!$C$11)/(1-Dashboard!$C$17)*((1+Dashboard!$C$12)^$CZ37),0)</f>
        <v>14966559.577152018</v>
      </c>
      <c r="EH37" s="126">
        <f ca="1">MAX(EH36*(1+AI37)-(Dashboard!$C$11)/(1-Dashboard!$C$17)*((1+Dashboard!$C$12)^$CZ37),0)</f>
        <v>33876613.543687068</v>
      </c>
      <c r="EI37" s="126">
        <f ca="1">MAX(EI36*(1+AJ37)-(Dashboard!$C$11)/(1-Dashboard!$C$17)*((1+Dashboard!$C$12)^$CZ37),0)</f>
        <v>118006.05573459592</v>
      </c>
      <c r="EJ37" s="126">
        <f ca="1">MAX(EJ36*(1+AK37)-(Dashboard!$C$11)/(1-Dashboard!$C$17)*((1+Dashboard!$C$12)^$CZ37),0)</f>
        <v>11987445.350305013</v>
      </c>
      <c r="EK37" s="126">
        <f ca="1">MAX(EK36*(1+AL37)-(Dashboard!$C$11)/(1-Dashboard!$C$17)*((1+Dashboard!$C$12)^$CZ37),0)</f>
        <v>7342718.0695083551</v>
      </c>
      <c r="EL37" s="126">
        <f ca="1">MAX(EL36*(1+AM37)-(Dashboard!$C$11)/(1-Dashboard!$C$17)*((1+Dashboard!$C$12)^$CZ37),0)</f>
        <v>1497381.7905609126</v>
      </c>
      <c r="EM37" s="126">
        <f ca="1">MAX(EM36*(1+AN37)-(Dashboard!$C$11)/(1-Dashboard!$C$17)*((1+Dashboard!$C$12)^$CZ37),0)</f>
        <v>26335931.081837773</v>
      </c>
      <c r="EN37" s="126">
        <f ca="1">MAX(EN36*(1+AO37)-(Dashboard!$C$11)/(1-Dashboard!$C$17)*((1+Dashboard!$C$12)^$CZ37),0)</f>
        <v>2962514.2388344253</v>
      </c>
      <c r="EO37" s="126">
        <f ca="1">MAX(EO36*(1+AP37)-(Dashboard!$C$11)/(1-Dashboard!$C$17)*((1+Dashboard!$C$12)^$CZ37),0)</f>
        <v>0</v>
      </c>
      <c r="EP37" s="126">
        <f ca="1">MAX(EP36*(1+AQ37)-(Dashboard!$C$11)/(1-Dashboard!$C$17)*((1+Dashboard!$C$12)^$CZ37),0)</f>
        <v>4888218.617846556</v>
      </c>
      <c r="EQ37" s="126">
        <f ca="1">MAX(EQ36*(1+AR37)-(Dashboard!$C$11)/(1-Dashboard!$C$17)*((1+Dashboard!$C$12)^$CZ37),0)</f>
        <v>5356341.9591748519</v>
      </c>
      <c r="ER37" s="126">
        <f ca="1">MAX(ER36*(1+AS37)-(Dashboard!$C$11)/(1-Dashboard!$C$17)*((1+Dashboard!$C$12)^$CZ37),0)</f>
        <v>1677040.6959125123</v>
      </c>
      <c r="ES37" s="126">
        <f ca="1">MAX(ES36*(1+AT37)-(Dashboard!$C$11)/(1-Dashboard!$C$17)*((1+Dashboard!$C$12)^$CZ37),0)</f>
        <v>15904104.29002795</v>
      </c>
      <c r="ET37" s="126">
        <f ca="1">MAX(ET36*(1+AU37)-(Dashboard!$C$11)/(1-Dashboard!$C$17)*((1+Dashboard!$C$12)^$CZ37),0)</f>
        <v>10504638.289121486</v>
      </c>
      <c r="EU37" s="126">
        <f ca="1">MAX(EU36*(1+AV37)-(Dashboard!$C$11)/(1-Dashboard!$C$17)*((1+Dashboard!$C$12)^$CZ37),0)</f>
        <v>6456595.7180845495</v>
      </c>
      <c r="EV37" s="126">
        <f ca="1">MAX(EV36*(1+AW37)-(Dashboard!$C$11)/(1-Dashboard!$C$17)*((1+Dashboard!$C$12)^$CZ37),0)</f>
        <v>57482436.974319614</v>
      </c>
      <c r="EW37" s="126">
        <f ca="1">MAX(EW36*(1+AX37)-(Dashboard!$C$11)/(1-Dashboard!$C$17)*((1+Dashboard!$C$12)^$CZ37),0)</f>
        <v>2221075.7614677474</v>
      </c>
      <c r="EX37" s="126">
        <f ca="1">MAX(EX36*(1+AY37)-(Dashboard!$C$11)/(1-Dashboard!$C$17)*((1+Dashboard!$C$12)^$CZ37),0)</f>
        <v>8298132.6127047585</v>
      </c>
      <c r="EY37" s="126">
        <f ca="1">MAX(EY36*(1+AZ37)-(Dashboard!$C$11)/(1-Dashboard!$C$17)*((1+Dashboard!$C$12)^$CZ37),0)</f>
        <v>19172227.36362556</v>
      </c>
      <c r="EZ37" s="126">
        <f ca="1">MAX(EZ36*(1+BA37)-(Dashboard!$C$11)/(1-Dashboard!$C$17)*((1+Dashboard!$C$12)^$CZ37),0)</f>
        <v>7533920.999642591</v>
      </c>
      <c r="FA37" s="126">
        <f ca="1">MAX(FA36*(1+BB37)-(Dashboard!$C$11)/(1-Dashboard!$C$17)*((1+Dashboard!$C$12)^$CZ37),0)</f>
        <v>23848622.199752789</v>
      </c>
      <c r="FB37" s="126">
        <f ca="1">MAX(FB36*(1+BC37)-(Dashboard!$C$11)/(1-Dashboard!$C$17)*((1+Dashboard!$C$12)^$CZ37),0)</f>
        <v>878411.93369240221</v>
      </c>
      <c r="FC37" s="126">
        <f ca="1">MAX(FC36*(1+BD37)-(Dashboard!$C$11)/(1-Dashboard!$C$17)*((1+Dashboard!$C$12)^$CZ37),0)</f>
        <v>6494605.0014057364</v>
      </c>
      <c r="FD37" s="126">
        <f ca="1">MAX(FD36*(1+BE37)-(Dashboard!$C$11)/(1-Dashboard!$C$17)*((1+Dashboard!$C$12)^$CZ37),0)</f>
        <v>22567500.424001124</v>
      </c>
      <c r="FE37" s="126">
        <f ca="1">MAX(FE36*(1+BF37)-(Dashboard!$C$11)/(1-Dashboard!$C$17)*((1+Dashboard!$C$12)^$CZ37),0)</f>
        <v>31454392.498955775</v>
      </c>
      <c r="FF37" s="126">
        <f ca="1">MAX(FF36*(1+BG37)-(Dashboard!$C$11)/(1-Dashboard!$C$17)*((1+Dashboard!$C$12)^$CZ37),0)</f>
        <v>8222703.9602882192</v>
      </c>
      <c r="FG37" s="126">
        <f ca="1">MAX(FG36*(1+BH37)-(Dashboard!$C$11)/(1-Dashboard!$C$17)*((1+Dashboard!$C$12)^$CZ37),0)</f>
        <v>6111326.5535993623</v>
      </c>
      <c r="FH37" s="126">
        <f ca="1">MAX(FH36*(1+BI37)-(Dashboard!$C$11)/(1-Dashboard!$C$17)*((1+Dashboard!$C$12)^$CZ37),0)</f>
        <v>4291774.1533787921</v>
      </c>
      <c r="FI37" s="126">
        <f ca="1">MAX(FI36*(1+BJ37)-(Dashboard!$C$11)/(1-Dashboard!$C$17)*((1+Dashboard!$C$12)^$CZ37),0)</f>
        <v>23330114.732460666</v>
      </c>
      <c r="FJ37" s="126">
        <f ca="1">MAX(FJ36*(1+BK37)-(Dashboard!$C$11)/(1-Dashboard!$C$17)*((1+Dashboard!$C$12)^$CZ37),0)</f>
        <v>5129862.4887912637</v>
      </c>
      <c r="FK37" s="126">
        <f ca="1">MAX(FK36*(1+BL37)-(Dashboard!$C$11)/(1-Dashboard!$C$17)*((1+Dashboard!$C$12)^$CZ37),0)</f>
        <v>7340137.9792337725</v>
      </c>
      <c r="FL37" s="126">
        <f ca="1">MAX(FL36*(1+BM37)-(Dashboard!$C$11)/(1-Dashboard!$C$17)*((1+Dashboard!$C$12)^$CZ37),0)</f>
        <v>3543114.7900679098</v>
      </c>
      <c r="FM37" s="126">
        <f ca="1">MAX(FM36*(1+BN37)-(Dashboard!$C$11)/(1-Dashboard!$C$17)*((1+Dashboard!$C$12)^$CZ37),0)</f>
        <v>8454967.0093011055</v>
      </c>
      <c r="FN37" s="126">
        <f ca="1">MAX(FN36*(1+BO37)-(Dashboard!$C$11)/(1-Dashboard!$C$17)*((1+Dashboard!$C$12)^$CZ37),0)</f>
        <v>0</v>
      </c>
      <c r="FO37" s="126">
        <f ca="1">MAX(FO36*(1+BP37)-(Dashboard!$C$11)/(1-Dashboard!$C$17)*((1+Dashboard!$C$12)^$CZ37),0)</f>
        <v>9999590.9812106062</v>
      </c>
      <c r="FP37" s="126">
        <f ca="1">MAX(FP36*(1+BQ37)-(Dashboard!$C$11)/(1-Dashboard!$C$17)*((1+Dashboard!$C$12)^$CZ37),0)</f>
        <v>5374812.6573758144</v>
      </c>
      <c r="FQ37" s="126">
        <f ca="1">MAX(FQ36*(1+BR37)-(Dashboard!$C$11)/(1-Dashboard!$C$17)*((1+Dashboard!$C$12)^$CZ37),0)</f>
        <v>6020018.2777145375</v>
      </c>
      <c r="FR37" s="126">
        <f ca="1">MAX(FR36*(1+BS37)-(Dashboard!$C$11)/(1-Dashboard!$C$17)*((1+Dashboard!$C$12)^$CZ37),0)</f>
        <v>15698630.751151169</v>
      </c>
      <c r="FS37" s="126">
        <f ca="1">MAX(FS36*(1+BT37)-(Dashboard!$C$11)/(1-Dashboard!$C$17)*((1+Dashboard!$C$12)^$CZ37),0)</f>
        <v>16917863.208423167</v>
      </c>
      <c r="FT37" s="126">
        <f ca="1">MAX(FT36*(1+BU37)-(Dashboard!$C$11)/(1-Dashboard!$C$17)*((1+Dashboard!$C$12)^$CZ37),0)</f>
        <v>1045257.47555463</v>
      </c>
      <c r="FU37" s="126">
        <f ca="1">MAX(FU36*(1+BV37)-(Dashboard!$C$11)/(1-Dashboard!$C$17)*((1+Dashboard!$C$12)^$CZ37),0)</f>
        <v>2739794.3716559885</v>
      </c>
      <c r="FV37" s="126">
        <f ca="1">MAX(FV36*(1+BW37)-(Dashboard!$C$11)/(1-Dashboard!$C$17)*((1+Dashboard!$C$12)^$CZ37),0)</f>
        <v>4690218.089973026</v>
      </c>
      <c r="FW37" s="126">
        <f ca="1">MAX(FW36*(1+BX37)-(Dashboard!$C$11)/(1-Dashboard!$C$17)*((1+Dashboard!$C$12)^$CZ37),0)</f>
        <v>5170111.8941955678</v>
      </c>
      <c r="FX37" s="126">
        <f ca="1">MAX(FX36*(1+BY37)-(Dashboard!$C$11)/(1-Dashboard!$C$17)*((1+Dashboard!$C$12)^$CZ37),0)</f>
        <v>1731858.6069320471</v>
      </c>
      <c r="FY37" s="126">
        <f ca="1">MAX(FY36*(1+BZ37)-(Dashboard!$C$11)/(1-Dashboard!$C$17)*((1+Dashboard!$C$12)^$CZ37),0)</f>
        <v>2283131.3635456478</v>
      </c>
      <c r="FZ37" s="126">
        <f ca="1">MAX(FZ36*(1+CA37)-(Dashboard!$C$11)/(1-Dashboard!$C$17)*((1+Dashboard!$C$12)^$CZ37),0)</f>
        <v>28315345.887885526</v>
      </c>
      <c r="GA37" s="126">
        <f ca="1">MAX(GA36*(1+CB37)-(Dashboard!$C$11)/(1-Dashboard!$C$17)*((1+Dashboard!$C$12)^$CZ37),0)</f>
        <v>16825039.515618704</v>
      </c>
      <c r="GB37" s="126">
        <f ca="1">MAX(GB36*(1+CC37)-(Dashboard!$C$11)/(1-Dashboard!$C$17)*((1+Dashboard!$C$12)^$CZ37),0)</f>
        <v>5133581.7204925809</v>
      </c>
      <c r="GC37" s="126">
        <f ca="1">MAX(GC36*(1+CD37)-(Dashboard!$C$11)/(1-Dashboard!$C$17)*((1+Dashboard!$C$12)^$CZ37),0)</f>
        <v>12110675.801659575</v>
      </c>
      <c r="GD37" s="126">
        <f ca="1">MAX(GD36*(1+CE37)-(Dashboard!$C$11)/(1-Dashboard!$C$17)*((1+Dashboard!$C$12)^$CZ37),0)</f>
        <v>71770694.697446883</v>
      </c>
      <c r="GE37" s="126">
        <f ca="1">MAX(GE36*(1+CF37)-(Dashboard!$C$11)/(1-Dashboard!$C$17)*((1+Dashboard!$C$12)^$CZ37),0)</f>
        <v>8185635.9894935014</v>
      </c>
      <c r="GF37" s="126">
        <f ca="1">MAX(GF36*(1+CG37)-(Dashboard!$C$11)/(1-Dashboard!$C$17)*((1+Dashboard!$C$12)^$CZ37),0)</f>
        <v>10562900.352760775</v>
      </c>
      <c r="GG37" s="126">
        <f ca="1">MAX(GG36*(1+CH37)-(Dashboard!$C$11)/(1-Dashboard!$C$17)*((1+Dashboard!$C$12)^$CZ37),0)</f>
        <v>1283635.9128975859</v>
      </c>
      <c r="GH37" s="126">
        <f ca="1">MAX(GH36*(1+CI37)-(Dashboard!$C$11)/(1-Dashboard!$C$17)*((1+Dashboard!$C$12)^$CZ37),0)</f>
        <v>3922280.2058501714</v>
      </c>
      <c r="GI37" s="126">
        <f ca="1">MAX(GI36*(1+CJ37)-(Dashboard!$C$11)/(1-Dashboard!$C$17)*((1+Dashboard!$C$12)^$CZ37),0)</f>
        <v>16077657.857805124</v>
      </c>
      <c r="GJ37" s="126">
        <f ca="1">MAX(GJ36*(1+CK37)-(Dashboard!$C$11)/(1-Dashboard!$C$17)*((1+Dashboard!$C$12)^$CZ37),0)</f>
        <v>55136568.469597459</v>
      </c>
      <c r="GK37" s="126">
        <f ca="1">MAX(GK36*(1+CL37)-(Dashboard!$C$11)/(1-Dashboard!$C$17)*((1+Dashboard!$C$12)^$CZ37),0)</f>
        <v>4298737.2471396159</v>
      </c>
      <c r="GL37" s="126">
        <f ca="1">MAX(GL36*(1+CM37)-(Dashboard!$C$11)/(1-Dashboard!$C$17)*((1+Dashboard!$C$12)^$CZ37),0)</f>
        <v>14966255.030275637</v>
      </c>
      <c r="GM37" s="126">
        <f ca="1">MAX(GM36*(1+CN37)-(Dashboard!$C$11)/(1-Dashboard!$C$17)*((1+Dashboard!$C$12)^$CZ37),0)</f>
        <v>2501094.8390376605</v>
      </c>
      <c r="GN37" s="126">
        <f ca="1">MAX(GN36*(1+CO37)-(Dashboard!$C$11)/(1-Dashboard!$C$17)*((1+Dashboard!$C$12)^$CZ37),0)</f>
        <v>0</v>
      </c>
      <c r="GO37" s="126">
        <f ca="1">MAX(GO36*(1+CP37)-(Dashboard!$C$11)/(1-Dashboard!$C$17)*((1+Dashboard!$C$12)^$CZ37),0)</f>
        <v>11528954.285320718</v>
      </c>
      <c r="GP37" s="126">
        <f ca="1">MAX(GP36*(1+CQ37)-(Dashboard!$C$11)/(1-Dashboard!$C$17)*((1+Dashboard!$C$12)^$CZ37),0)</f>
        <v>13472865.322713034</v>
      </c>
      <c r="GQ37" s="126">
        <f ca="1">MAX(GQ36*(1+CR37)-(Dashboard!$C$11)/(1-Dashboard!$C$17)*((1+Dashboard!$C$12)^$CZ37),0)</f>
        <v>1047781.9891836717</v>
      </c>
      <c r="GR37" s="126">
        <f ca="1">MAX(GR36*(1+CS37)-(Dashboard!$C$11)/(1-Dashboard!$C$17)*((1+Dashboard!$C$12)^$CZ37),0)</f>
        <v>3982880.8821749408</v>
      </c>
      <c r="GS37" s="126">
        <f ca="1">MAX(GS36*(1+CT37)-(Dashboard!$C$11)/(1-Dashboard!$C$17)*((1+Dashboard!$C$12)^$CZ37),0)</f>
        <v>14116288.546572024</v>
      </c>
      <c r="GT37" s="126">
        <f ca="1">MAX(GT36*(1+CU37)-(Dashboard!$C$11)/(1-Dashboard!$C$17)*((1+Dashboard!$C$12)^$CZ37),0)</f>
        <v>32547584.898739431</v>
      </c>
      <c r="GU37" s="126">
        <f ca="1">MAX(GU36*(1+CV37)-(Dashboard!$C$11)/(1-Dashboard!$C$17)*((1+Dashboard!$C$12)^$CZ37),0)</f>
        <v>5861685.7089181449</v>
      </c>
      <c r="GV37" s="126">
        <f ca="1">MAX(GV36*(1+CW37)-(Dashboard!$C$11)/(1-Dashboard!$C$17)*((1+Dashboard!$C$12)^$CZ37),0)</f>
        <v>3081812.4091930911</v>
      </c>
      <c r="GW37" s="115">
        <f t="shared" si="4"/>
        <v>86</v>
      </c>
      <c r="GX37" s="130">
        <f t="shared" ca="1" si="2"/>
        <v>96</v>
      </c>
      <c r="HC37" s="130">
        <f t="shared" si="7"/>
        <v>86</v>
      </c>
      <c r="HD37" s="137">
        <f t="shared" ca="1" si="6"/>
        <v>2992338.7814240917</v>
      </c>
      <c r="HE37" s="137">
        <f t="shared" ca="1" si="6"/>
        <v>7341428.0243710633</v>
      </c>
      <c r="HF37" s="137">
        <f t="shared" ca="1" si="6"/>
        <v>15515612.95765138</v>
      </c>
    </row>
    <row r="38" spans="1:214" ht="16">
      <c r="A38" s="145">
        <f t="shared" si="3"/>
        <v>87</v>
      </c>
      <c r="B38" s="122">
        <f ca="1">(Dashboard!$C$7*'Equity and Bond Returns'!N38)+(Dashboard!$C$8*'Equity and Bond Returns'!DL38)</f>
        <v>0.41159722231880541</v>
      </c>
      <c r="C38" s="122">
        <f ca="1">(Dashboard!$C$7*'Equity and Bond Returns'!O38)+(Dashboard!$C$8*'Equity and Bond Returns'!DM38)</f>
        <v>2.236818006609425E-2</v>
      </c>
      <c r="D38" s="122">
        <f ca="1">(Dashboard!$C$7*'Equity and Bond Returns'!P38)+(Dashboard!$C$8*'Equity and Bond Returns'!DN38)</f>
        <v>0.21895744275320056</v>
      </c>
      <c r="E38" s="122">
        <f ca="1">(Dashboard!$C$7*'Equity and Bond Returns'!Q38)+(Dashboard!$C$8*'Equity and Bond Returns'!DO38)</f>
        <v>8.9501019501817186E-2</v>
      </c>
      <c r="F38" s="122">
        <f ca="1">(Dashboard!$C$7*'Equity and Bond Returns'!R38)+(Dashboard!$C$8*'Equity and Bond Returns'!DP38)</f>
        <v>0.15452635886785804</v>
      </c>
      <c r="G38" s="122">
        <f ca="1">(Dashboard!$C$7*'Equity and Bond Returns'!S38)+(Dashboard!$C$8*'Equity and Bond Returns'!DQ38)</f>
        <v>-0.17177888894963689</v>
      </c>
      <c r="H38" s="122">
        <f ca="1">(Dashboard!$C$7*'Equity and Bond Returns'!T38)+(Dashboard!$C$8*'Equity and Bond Returns'!DR38)</f>
        <v>1.659323695776671E-2</v>
      </c>
      <c r="I38" s="122">
        <f ca="1">(Dashboard!$C$7*'Equity and Bond Returns'!U38)+(Dashboard!$C$8*'Equity and Bond Returns'!DS38)</f>
        <v>1.0568512208613094E-2</v>
      </c>
      <c r="J38" s="122">
        <f ca="1">(Dashboard!$C$7*'Equity and Bond Returns'!V38)+(Dashboard!$C$8*'Equity and Bond Returns'!DT38)</f>
        <v>-0.15342062669389514</v>
      </c>
      <c r="K38" s="122">
        <f ca="1">(Dashboard!$C$7*'Equity and Bond Returns'!W38)+(Dashboard!$C$8*'Equity and Bond Returns'!DU38)</f>
        <v>9.7000984961316233E-2</v>
      </c>
      <c r="L38" s="122">
        <f ca="1">(Dashboard!$C$7*'Equity and Bond Returns'!X38)+(Dashboard!$C$8*'Equity and Bond Returns'!DV38)</f>
        <v>-1.847768618296006E-2</v>
      </c>
      <c r="M38" s="122">
        <f ca="1">(Dashboard!$C$7*'Equity and Bond Returns'!Y38)+(Dashboard!$C$8*'Equity and Bond Returns'!DW38)</f>
        <v>-1.7217267314946928E-2</v>
      </c>
      <c r="N38" s="122">
        <f ca="1">(Dashboard!$C$7*'Equity and Bond Returns'!Z38)+(Dashboard!$C$8*'Equity and Bond Returns'!DX38)</f>
        <v>-0.14685846272269881</v>
      </c>
      <c r="O38" s="122">
        <f ca="1">(Dashboard!$C$7*'Equity and Bond Returns'!AA38)+(Dashboard!$C$8*'Equity and Bond Returns'!DY38)</f>
        <v>0.30208900092738361</v>
      </c>
      <c r="P38" s="122">
        <f ca="1">(Dashboard!$C$7*'Equity and Bond Returns'!AB38)+(Dashboard!$C$8*'Equity and Bond Returns'!DZ38)</f>
        <v>-6.2813243590021245E-2</v>
      </c>
      <c r="Q38" s="122">
        <f ca="1">(Dashboard!$C$7*'Equity and Bond Returns'!AC38)+(Dashboard!$C$8*'Equity and Bond Returns'!EA38)</f>
        <v>0.1977121090691594</v>
      </c>
      <c r="R38" s="122">
        <f ca="1">(Dashboard!$C$7*'Equity and Bond Returns'!AD38)+(Dashboard!$C$8*'Equity and Bond Returns'!EB38)</f>
        <v>0.13449520067050891</v>
      </c>
      <c r="S38" s="122">
        <f ca="1">(Dashboard!$C$7*'Equity and Bond Returns'!AE38)+(Dashboard!$C$8*'Equity and Bond Returns'!EC38)</f>
        <v>7.9064462056152279E-2</v>
      </c>
      <c r="T38" s="122">
        <f ca="1">(Dashboard!$C$7*'Equity and Bond Returns'!AF38)+(Dashboard!$C$8*'Equity and Bond Returns'!ED38)</f>
        <v>-0.29127237206051676</v>
      </c>
      <c r="U38" s="122">
        <f ca="1">(Dashboard!$C$7*'Equity and Bond Returns'!AG38)+(Dashboard!$C$8*'Equity and Bond Returns'!EE38)</f>
        <v>0.17170034141214438</v>
      </c>
      <c r="V38" s="122">
        <f ca="1">(Dashboard!$C$7*'Equity and Bond Returns'!AH38)+(Dashboard!$C$8*'Equity and Bond Returns'!EF38)</f>
        <v>0.13521082807514326</v>
      </c>
      <c r="W38" s="122">
        <f ca="1">(Dashboard!$C$7*'Equity and Bond Returns'!AI38)+(Dashboard!$C$8*'Equity and Bond Returns'!EG38)</f>
        <v>0.1350850327246782</v>
      </c>
      <c r="X38" s="122">
        <f ca="1">(Dashboard!$C$7*'Equity and Bond Returns'!AJ38)+(Dashboard!$C$8*'Equity and Bond Returns'!EH38)</f>
        <v>0.17999497760755079</v>
      </c>
      <c r="Y38" s="122">
        <f ca="1">(Dashboard!$C$7*'Equity and Bond Returns'!AK38)+(Dashboard!$C$8*'Equity and Bond Returns'!EI38)</f>
        <v>3.1230932617765592E-2</v>
      </c>
      <c r="Z38" s="122">
        <f ca="1">(Dashboard!$C$7*'Equity and Bond Returns'!AL38)+(Dashboard!$C$8*'Equity and Bond Returns'!EJ38)</f>
        <v>0.12258315532678359</v>
      </c>
      <c r="AA38" s="122">
        <f ca="1">(Dashboard!$C$7*'Equity and Bond Returns'!AM38)+(Dashboard!$C$8*'Equity and Bond Returns'!EK38)</f>
        <v>0.25184157003043073</v>
      </c>
      <c r="AB38" s="122">
        <f ca="1">(Dashboard!$C$7*'Equity and Bond Returns'!AN38)+(Dashboard!$C$8*'Equity and Bond Returns'!EL38)</f>
        <v>0.11471571772482311</v>
      </c>
      <c r="AC38" s="122">
        <f ca="1">(Dashboard!$C$7*'Equity and Bond Returns'!AO38)+(Dashboard!$C$8*'Equity and Bond Returns'!EM38)</f>
        <v>-0.1311873440704712</v>
      </c>
      <c r="AD38" s="122">
        <f ca="1">(Dashboard!$C$7*'Equity and Bond Returns'!AP38)+(Dashboard!$C$8*'Equity and Bond Returns'!EN38)</f>
        <v>0.15815045263254121</v>
      </c>
      <c r="AE38" s="122">
        <f ca="1">(Dashboard!$C$7*'Equity and Bond Returns'!AQ38)+(Dashboard!$C$8*'Equity and Bond Returns'!EO38)</f>
        <v>0.10562719983553728</v>
      </c>
      <c r="AF38" s="122">
        <f ca="1">(Dashboard!$C$7*'Equity and Bond Returns'!AR38)+(Dashboard!$C$8*'Equity and Bond Returns'!EP38)</f>
        <v>0.32046124202819937</v>
      </c>
      <c r="AG38" s="122">
        <f ca="1">(Dashboard!$C$7*'Equity and Bond Returns'!AS38)+(Dashboard!$C$8*'Equity and Bond Returns'!EQ38)</f>
        <v>0.13696473087570024</v>
      </c>
      <c r="AH38" s="122">
        <f ca="1">(Dashboard!$C$7*'Equity and Bond Returns'!AT38)+(Dashboard!$C$8*'Equity and Bond Returns'!ER38)</f>
        <v>-0.15904606243541028</v>
      </c>
      <c r="AI38" s="122">
        <f ca="1">(Dashboard!$C$7*'Equity and Bond Returns'!AU38)+(Dashboard!$C$8*'Equity and Bond Returns'!ES38)</f>
        <v>3.6678018175251181E-2</v>
      </c>
      <c r="AJ38" s="122">
        <f ca="1">(Dashboard!$C$7*'Equity and Bond Returns'!AV38)+(Dashboard!$C$8*'Equity and Bond Returns'!ET38)</f>
        <v>7.2322508377146794E-2</v>
      </c>
      <c r="AK38" s="122">
        <f ca="1">(Dashboard!$C$7*'Equity and Bond Returns'!AW38)+(Dashboard!$C$8*'Equity and Bond Returns'!EU38)</f>
        <v>0.14471221829010733</v>
      </c>
      <c r="AL38" s="122">
        <f ca="1">(Dashboard!$C$7*'Equity and Bond Returns'!AX38)+(Dashboard!$C$8*'Equity and Bond Returns'!EV38)</f>
        <v>-4.2415603320663943E-2</v>
      </c>
      <c r="AM38" s="122">
        <f ca="1">(Dashboard!$C$7*'Equity and Bond Returns'!AY38)+(Dashboard!$C$8*'Equity and Bond Returns'!EW38)</f>
        <v>-1.6181656399241608E-2</v>
      </c>
      <c r="AN38" s="122">
        <f ca="1">(Dashboard!$C$7*'Equity and Bond Returns'!AZ38)+(Dashboard!$C$8*'Equity and Bond Returns'!EX38)</f>
        <v>7.0601775554723675E-2</v>
      </c>
      <c r="AO38" s="122">
        <f ca="1">(Dashboard!$C$7*'Equity and Bond Returns'!BA38)+(Dashboard!$C$8*'Equity and Bond Returns'!EY38)</f>
        <v>0.11159012088192963</v>
      </c>
      <c r="AP38" s="122">
        <f ca="1">(Dashboard!$C$7*'Equity and Bond Returns'!BB38)+(Dashboard!$C$8*'Equity and Bond Returns'!EZ38)</f>
        <v>6.4227361790562418E-2</v>
      </c>
      <c r="AQ38" s="122">
        <f ca="1">(Dashboard!$C$7*'Equity and Bond Returns'!BC38)+(Dashboard!$C$8*'Equity and Bond Returns'!FA38)</f>
        <v>0.3303047441272482</v>
      </c>
      <c r="AR38" s="122">
        <f ca="1">(Dashboard!$C$7*'Equity and Bond Returns'!BD38)+(Dashboard!$C$8*'Equity and Bond Returns'!FB38)</f>
        <v>0.12373141423393887</v>
      </c>
      <c r="AS38" s="122">
        <f ca="1">(Dashboard!$C$7*'Equity and Bond Returns'!BE38)+(Dashboard!$C$8*'Equity and Bond Returns'!FC38)</f>
        <v>0.23723491760362037</v>
      </c>
      <c r="AT38" s="122">
        <f ca="1">(Dashboard!$C$7*'Equity and Bond Returns'!BF38)+(Dashboard!$C$8*'Equity and Bond Returns'!FD38)</f>
        <v>0.13811042868601617</v>
      </c>
      <c r="AU38" s="122">
        <f ca="1">(Dashboard!$C$7*'Equity and Bond Returns'!BG38)+(Dashboard!$C$8*'Equity and Bond Returns'!FE38)</f>
        <v>-0.11283594636233482</v>
      </c>
      <c r="AV38" s="122">
        <f ca="1">(Dashboard!$C$7*'Equity and Bond Returns'!BH38)+(Dashboard!$C$8*'Equity and Bond Returns'!FF38)</f>
        <v>-6.2383117379681982E-2</v>
      </c>
      <c r="AW38" s="122">
        <f ca="1">(Dashboard!$C$7*'Equity and Bond Returns'!BI38)+(Dashboard!$C$8*'Equity and Bond Returns'!FG38)</f>
        <v>0.27396413619437776</v>
      </c>
      <c r="AX38" s="122">
        <f ca="1">(Dashboard!$C$7*'Equity and Bond Returns'!BJ38)+(Dashboard!$C$8*'Equity and Bond Returns'!FH38)</f>
        <v>7.2405074037424216E-2</v>
      </c>
      <c r="AY38" s="122">
        <f ca="1">(Dashboard!$C$7*'Equity and Bond Returns'!BK38)+(Dashboard!$C$8*'Equity and Bond Returns'!FI38)</f>
        <v>-9.3291325629848099E-2</v>
      </c>
      <c r="AZ38" s="122">
        <f ca="1">(Dashboard!$C$7*'Equity and Bond Returns'!BL38)+(Dashboard!$C$8*'Equity and Bond Returns'!FJ38)</f>
        <v>0.16104969695353571</v>
      </c>
      <c r="BA38" s="122">
        <f ca="1">(Dashboard!$C$7*'Equity and Bond Returns'!BM38)+(Dashboard!$C$8*'Equity and Bond Returns'!FK38)</f>
        <v>0.1053603883905493</v>
      </c>
      <c r="BB38" s="122">
        <f ca="1">(Dashboard!$C$7*'Equity and Bond Returns'!BN38)+(Dashboard!$C$8*'Equity and Bond Returns'!FL38)</f>
        <v>0.12446709452847535</v>
      </c>
      <c r="BC38" s="122">
        <f ca="1">(Dashboard!$C$7*'Equity and Bond Returns'!BO38)+(Dashboard!$C$8*'Equity and Bond Returns'!FM38)</f>
        <v>-9.2837127413098908E-2</v>
      </c>
      <c r="BD38" s="122">
        <f ca="1">(Dashboard!$C$7*'Equity and Bond Returns'!BP38)+(Dashboard!$C$8*'Equity and Bond Returns'!FN38)</f>
        <v>7.1497429642253724E-2</v>
      </c>
      <c r="BE38" s="122">
        <f ca="1">(Dashboard!$C$7*'Equity and Bond Returns'!BQ38)+(Dashboard!$C$8*'Equity and Bond Returns'!FO38)</f>
        <v>8.7432088153045359E-2</v>
      </c>
      <c r="BF38" s="122">
        <f ca="1">(Dashboard!$C$7*'Equity and Bond Returns'!BR38)+(Dashboard!$C$8*'Equity and Bond Returns'!FP38)</f>
        <v>0.19059959513204211</v>
      </c>
      <c r="BG38" s="122">
        <f ca="1">(Dashboard!$C$7*'Equity and Bond Returns'!BS38)+(Dashboard!$C$8*'Equity and Bond Returns'!FQ38)</f>
        <v>0.17933415562197133</v>
      </c>
      <c r="BH38" s="122">
        <f ca="1">(Dashboard!$C$7*'Equity and Bond Returns'!BT38)+(Dashboard!$C$8*'Equity and Bond Returns'!FR38)</f>
        <v>0.24892611495006708</v>
      </c>
      <c r="BI38" s="122">
        <f ca="1">(Dashboard!$C$7*'Equity and Bond Returns'!BU38)+(Dashboard!$C$8*'Equity and Bond Returns'!FS38)</f>
        <v>-0.21906503246284487</v>
      </c>
      <c r="BJ38" s="122">
        <f ca="1">(Dashboard!$C$7*'Equity and Bond Returns'!BV38)+(Dashboard!$C$8*'Equity and Bond Returns'!FT38)</f>
        <v>1.4547466237755113E-2</v>
      </c>
      <c r="BK38" s="122">
        <f ca="1">(Dashboard!$C$7*'Equity and Bond Returns'!BW38)+(Dashboard!$C$8*'Equity and Bond Returns'!FU38)</f>
        <v>-5.2515480057676922E-2</v>
      </c>
      <c r="BL38" s="122">
        <f ca="1">(Dashboard!$C$7*'Equity and Bond Returns'!BX38)+(Dashboard!$C$8*'Equity and Bond Returns'!FV38)</f>
        <v>-0.10081806994758302</v>
      </c>
      <c r="BM38" s="122">
        <f ca="1">(Dashboard!$C$7*'Equity and Bond Returns'!BY38)+(Dashboard!$C$8*'Equity and Bond Returns'!FW38)</f>
        <v>0.17363462190725695</v>
      </c>
      <c r="BN38" s="122">
        <f ca="1">(Dashboard!$C$7*'Equity and Bond Returns'!BZ38)+(Dashboard!$C$8*'Equity and Bond Returns'!FX38)</f>
        <v>0.22348389184072084</v>
      </c>
      <c r="BO38" s="122">
        <f ca="1">(Dashboard!$C$7*'Equity and Bond Returns'!CA38)+(Dashboard!$C$8*'Equity and Bond Returns'!FY38)</f>
        <v>7.1529081942724421E-2</v>
      </c>
      <c r="BP38" s="122">
        <f ca="1">(Dashboard!$C$7*'Equity and Bond Returns'!CB38)+(Dashboard!$C$8*'Equity and Bond Returns'!FZ38)</f>
        <v>4.6109008724009748E-2</v>
      </c>
      <c r="BQ38" s="122">
        <f ca="1">(Dashboard!$C$7*'Equity and Bond Returns'!CC38)+(Dashboard!$C$8*'Equity and Bond Returns'!GA38)</f>
        <v>8.9821784083345277E-2</v>
      </c>
      <c r="BR38" s="122">
        <f ca="1">(Dashboard!$C$7*'Equity and Bond Returns'!CD38)+(Dashboard!$C$8*'Equity and Bond Returns'!GB38)</f>
        <v>7.1462924447499868E-2</v>
      </c>
      <c r="BS38" s="122">
        <f ca="1">(Dashboard!$C$7*'Equity and Bond Returns'!CE38)+(Dashboard!$C$8*'Equity and Bond Returns'!GC38)</f>
        <v>1.8411708539307115E-2</v>
      </c>
      <c r="BT38" s="122">
        <f ca="1">(Dashboard!$C$7*'Equity and Bond Returns'!CF38)+(Dashboard!$C$8*'Equity and Bond Returns'!GD38)</f>
        <v>-0.15873161708187222</v>
      </c>
      <c r="BU38" s="122">
        <f ca="1">(Dashboard!$C$7*'Equity and Bond Returns'!CG38)+(Dashboard!$C$8*'Equity and Bond Returns'!GE38)</f>
        <v>0.24490179107134857</v>
      </c>
      <c r="BV38" s="122">
        <f ca="1">(Dashboard!$C$7*'Equity and Bond Returns'!CH38)+(Dashboard!$C$8*'Equity and Bond Returns'!GF38)</f>
        <v>-5.3574603190242494E-2</v>
      </c>
      <c r="BW38" s="122">
        <f ca="1">(Dashboard!$C$7*'Equity and Bond Returns'!CI38)+(Dashboard!$C$8*'Equity and Bond Returns'!GG38)</f>
        <v>0.18858843584483062</v>
      </c>
      <c r="BX38" s="122">
        <f ca="1">(Dashboard!$C$7*'Equity and Bond Returns'!CJ38)+(Dashboard!$C$8*'Equity and Bond Returns'!GH38)</f>
        <v>2.3153004176840138E-2</v>
      </c>
      <c r="BY38" s="122">
        <f ca="1">(Dashboard!$C$7*'Equity and Bond Returns'!CK38)+(Dashboard!$C$8*'Equity and Bond Returns'!GI38)</f>
        <v>0.25940025066477562</v>
      </c>
      <c r="BZ38" s="122">
        <f ca="1">(Dashboard!$C$7*'Equity and Bond Returns'!CL38)+(Dashboard!$C$8*'Equity and Bond Returns'!GJ38)</f>
        <v>3.8302512794037666E-2</v>
      </c>
      <c r="CA38" s="122">
        <f ca="1">(Dashboard!$C$7*'Equity and Bond Returns'!CM38)+(Dashboard!$C$8*'Equity and Bond Returns'!GK38)</f>
        <v>0.14871287141725595</v>
      </c>
      <c r="CB38" s="122">
        <f ca="1">(Dashboard!$C$7*'Equity and Bond Returns'!CN38)+(Dashboard!$C$8*'Equity and Bond Returns'!GL38)</f>
        <v>0.16632647882105661</v>
      </c>
      <c r="CC38" s="122">
        <f ca="1">(Dashboard!$C$7*'Equity and Bond Returns'!CO38)+(Dashboard!$C$8*'Equity and Bond Returns'!GM38)</f>
        <v>-0.19536433608652248</v>
      </c>
      <c r="CD38" s="122">
        <f ca="1">(Dashboard!$C$7*'Equity and Bond Returns'!CP38)+(Dashboard!$C$8*'Equity and Bond Returns'!GN38)</f>
        <v>0.1201489031944161</v>
      </c>
      <c r="CE38" s="122">
        <f ca="1">(Dashboard!$C$7*'Equity and Bond Returns'!CQ38)+(Dashboard!$C$8*'Equity and Bond Returns'!GO38)</f>
        <v>0.19958493283701392</v>
      </c>
      <c r="CF38" s="122">
        <f ca="1">(Dashboard!$C$7*'Equity and Bond Returns'!CR38)+(Dashboard!$C$8*'Equity and Bond Returns'!GP38)</f>
        <v>0.3284676509458071</v>
      </c>
      <c r="CG38" s="122">
        <f ca="1">(Dashboard!$C$7*'Equity and Bond Returns'!CS38)+(Dashboard!$C$8*'Equity and Bond Returns'!GQ38)</f>
        <v>3.1395632949020633E-2</v>
      </c>
      <c r="CH38" s="122">
        <f ca="1">(Dashboard!$C$7*'Equity and Bond Returns'!CT38)+(Dashboard!$C$8*'Equity and Bond Returns'!GR38)</f>
        <v>0.11001238624338805</v>
      </c>
      <c r="CI38" s="122">
        <f ca="1">(Dashboard!$C$7*'Equity and Bond Returns'!CU38)+(Dashboard!$C$8*'Equity and Bond Returns'!GS38)</f>
        <v>-1.8602003950063825E-2</v>
      </c>
      <c r="CJ38" s="122">
        <f ca="1">(Dashboard!$C$7*'Equity and Bond Returns'!CV38)+(Dashboard!$C$8*'Equity and Bond Returns'!GT38)</f>
        <v>0.21838223375735955</v>
      </c>
      <c r="CK38" s="122">
        <f ca="1">(Dashboard!$C$7*'Equity and Bond Returns'!CW38)+(Dashboard!$C$8*'Equity and Bond Returns'!GU38)</f>
        <v>5.9870840223846103E-2</v>
      </c>
      <c r="CL38" s="122">
        <f ca="1">(Dashboard!$C$7*'Equity and Bond Returns'!CX38)+(Dashboard!$C$8*'Equity and Bond Returns'!GV38)</f>
        <v>0.15222853808167136</v>
      </c>
      <c r="CM38" s="122">
        <f ca="1">(Dashboard!$C$7*'Equity and Bond Returns'!CY38)+(Dashboard!$C$8*'Equity and Bond Returns'!GW38)</f>
        <v>-1.074047383815676E-2</v>
      </c>
      <c r="CN38" s="122">
        <f ca="1">(Dashboard!$C$7*'Equity and Bond Returns'!CZ38)+(Dashboard!$C$8*'Equity and Bond Returns'!GX38)</f>
        <v>8.3408378334506164E-2</v>
      </c>
      <c r="CO38" s="122">
        <f ca="1">(Dashboard!$C$7*'Equity and Bond Returns'!DA38)+(Dashboard!$C$8*'Equity and Bond Returns'!GY38)</f>
        <v>-0.17454882383172862</v>
      </c>
      <c r="CP38" s="122">
        <f ca="1">(Dashboard!$C$7*'Equity and Bond Returns'!DB38)+(Dashboard!$C$8*'Equity and Bond Returns'!GZ38)</f>
        <v>0.23655637381439729</v>
      </c>
      <c r="CQ38" s="122">
        <f ca="1">(Dashboard!$C$7*'Equity and Bond Returns'!DC38)+(Dashboard!$C$8*'Equity and Bond Returns'!HA38)</f>
        <v>-3.644889997725341E-2</v>
      </c>
      <c r="CR38" s="122">
        <f ca="1">(Dashboard!$C$7*'Equity and Bond Returns'!DD38)+(Dashboard!$C$8*'Equity and Bond Returns'!HB38)</f>
        <v>0.1006017041917146</v>
      </c>
      <c r="CS38" s="122">
        <f ca="1">(Dashboard!$C$7*'Equity and Bond Returns'!DE38)+(Dashboard!$C$8*'Equity and Bond Returns'!HC38)</f>
        <v>-3.0565891924390257E-2</v>
      </c>
      <c r="CT38" s="122">
        <f ca="1">(Dashboard!$C$7*'Equity and Bond Returns'!DF38)+(Dashboard!$C$8*'Equity and Bond Returns'!HD38)</f>
        <v>-0.1671536907236951</v>
      </c>
      <c r="CU38" s="122">
        <f ca="1">(Dashboard!$C$7*'Equity and Bond Returns'!DG38)+(Dashboard!$C$8*'Equity and Bond Returns'!HE38)</f>
        <v>-8.4473486140231105E-2</v>
      </c>
      <c r="CV38" s="122">
        <f ca="1">(Dashboard!$C$7*'Equity and Bond Returns'!DH38)+(Dashboard!$C$8*'Equity and Bond Returns'!HF38)</f>
        <v>-9.4478232536483853E-2</v>
      </c>
      <c r="CW38" s="122">
        <f ca="1">(Dashboard!$C$7*'Equity and Bond Returns'!DI38)+(Dashboard!$C$8*'Equity and Bond Returns'!HG38)</f>
        <v>-7.1143390931558165E-2</v>
      </c>
      <c r="CY38" s="147">
        <f t="shared" si="5"/>
        <v>87</v>
      </c>
      <c r="CZ38" s="148">
        <v>37</v>
      </c>
      <c r="DA38" s="126">
        <f ca="1">MAX(DA37*(1+B38)-(Dashboard!$C$11)/(1-Dashboard!$C$17)*((1+Dashboard!$C$12)^$CZ38),0)</f>
        <v>48727978.116191812</v>
      </c>
      <c r="DB38" s="126">
        <f ca="1">MAX(DB37*(1+C38)-(Dashboard!$C$11)/(1-Dashboard!$C$17)*((1+Dashboard!$C$12)^$CZ38),0)</f>
        <v>0</v>
      </c>
      <c r="DC38" s="126">
        <f ca="1">MAX(DC37*(1+D38)-(Dashboard!$C$11)/(1-Dashboard!$C$17)*((1+Dashboard!$C$12)^$CZ38),0)</f>
        <v>8490707.1412894167</v>
      </c>
      <c r="DD38" s="126">
        <f ca="1">MAX(DD37*(1+E38)-(Dashboard!$C$11)/(1-Dashboard!$C$17)*((1+Dashboard!$C$12)^$CZ38),0)</f>
        <v>1362353.7358961329</v>
      </c>
      <c r="DE38" s="126">
        <f ca="1">MAX(DE37*(1+F38)-(Dashboard!$C$11)/(1-Dashboard!$C$17)*((1+Dashboard!$C$12)^$CZ38),0)</f>
        <v>11386294.08723608</v>
      </c>
      <c r="DF38" s="126">
        <f ca="1">MAX(DF37*(1+G38)-(Dashboard!$C$11)/(1-Dashboard!$C$17)*((1+Dashboard!$C$12)^$CZ38),0)</f>
        <v>18012853.226466056</v>
      </c>
      <c r="DG38" s="126">
        <f ca="1">MAX(DG37*(1+H38)-(Dashboard!$C$11)/(1-Dashboard!$C$17)*((1+Dashboard!$C$12)^$CZ38),0)</f>
        <v>910909.13774702267</v>
      </c>
      <c r="DH38" s="126">
        <f ca="1">MAX(DH37*(1+I38)-(Dashboard!$C$11)/(1-Dashboard!$C$17)*((1+Dashboard!$C$12)^$CZ38),0)</f>
        <v>20661478.614256669</v>
      </c>
      <c r="DI38" s="126">
        <f ca="1">MAX(DI37*(1+J38)-(Dashboard!$C$11)/(1-Dashboard!$C$17)*((1+Dashboard!$C$12)^$CZ38),0)</f>
        <v>4657240.918390451</v>
      </c>
      <c r="DJ38" s="126">
        <f ca="1">MAX(DJ37*(1+K38)-(Dashboard!$C$11)/(1-Dashboard!$C$17)*((1+Dashboard!$C$12)^$CZ38),0)</f>
        <v>8610316.6015143264</v>
      </c>
      <c r="DK38" s="126">
        <f ca="1">MAX(DK37*(1+L38)-(Dashboard!$C$11)/(1-Dashboard!$C$17)*((1+Dashboard!$C$12)^$CZ38),0)</f>
        <v>26216061.290090628</v>
      </c>
      <c r="DL38" s="126">
        <f ca="1">MAX(DL37*(1+M38)-(Dashboard!$C$11)/(1-Dashboard!$C$17)*((1+Dashboard!$C$12)^$CZ38),0)</f>
        <v>519992.25805979932</v>
      </c>
      <c r="DM38" s="126">
        <f ca="1">MAX(DM37*(1+N38)-(Dashboard!$C$11)/(1-Dashboard!$C$17)*((1+Dashboard!$C$12)^$CZ38),0)</f>
        <v>14342518.553257138</v>
      </c>
      <c r="DN38" s="126">
        <f ca="1">MAX(DN37*(1+O38)-(Dashboard!$C$11)/(1-Dashboard!$C$17)*((1+Dashboard!$C$12)^$CZ38),0)</f>
        <v>48172350.969139919</v>
      </c>
      <c r="DO38" s="126">
        <f ca="1">MAX(DO37*(1+P38)-(Dashboard!$C$11)/(1-Dashboard!$C$17)*((1+Dashboard!$C$12)^$CZ38),0)</f>
        <v>4178715.5344275841</v>
      </c>
      <c r="DP38" s="126">
        <f ca="1">MAX(DP37*(1+Q38)-(Dashboard!$C$11)/(1-Dashboard!$C$17)*((1+Dashboard!$C$12)^$CZ38),0)</f>
        <v>6625896.6144249681</v>
      </c>
      <c r="DQ38" s="126">
        <f ca="1">MAX(DQ37*(1+R38)-(Dashboard!$C$11)/(1-Dashboard!$C$17)*((1+Dashboard!$C$12)^$CZ38),0)</f>
        <v>13950412.267968601</v>
      </c>
      <c r="DR38" s="126">
        <f ca="1">MAX(DR37*(1+S38)-(Dashboard!$C$11)/(1-Dashboard!$C$17)*((1+Dashboard!$C$12)^$CZ38),0)</f>
        <v>29143376.769520409</v>
      </c>
      <c r="DS38" s="126">
        <f ca="1">MAX(DS37*(1+T38)-(Dashboard!$C$11)/(1-Dashboard!$C$17)*((1+Dashboard!$C$12)^$CZ38),0)</f>
        <v>595297.23470206233</v>
      </c>
      <c r="DT38" s="126">
        <f ca="1">MAX(DT37*(1+U38)-(Dashboard!$C$11)/(1-Dashboard!$C$17)*((1+Dashboard!$C$12)^$CZ38),0)</f>
        <v>3187854.8255529869</v>
      </c>
      <c r="DU38" s="126">
        <f ca="1">MAX(DU37*(1+V38)-(Dashboard!$C$11)/(1-Dashboard!$C$17)*((1+Dashboard!$C$12)^$CZ38),0)</f>
        <v>9686949.1851620954</v>
      </c>
      <c r="DV38" s="126">
        <f ca="1">MAX(DV37*(1+W38)-(Dashboard!$C$11)/(1-Dashboard!$C$17)*((1+Dashboard!$C$12)^$CZ38),0)</f>
        <v>42804320.809012771</v>
      </c>
      <c r="DW38" s="126">
        <f ca="1">MAX(DW37*(1+X38)-(Dashboard!$C$11)/(1-Dashboard!$C$17)*((1+Dashboard!$C$12)^$CZ38),0)</f>
        <v>4055453.0065683522</v>
      </c>
      <c r="DX38" s="126">
        <f ca="1">MAX(DX37*(1+Y38)-(Dashboard!$C$11)/(1-Dashboard!$C$17)*((1+Dashboard!$C$12)^$CZ38),0)</f>
        <v>4646207.4459213354</v>
      </c>
      <c r="DY38" s="126">
        <f ca="1">MAX(DY37*(1+Z38)-(Dashboard!$C$11)/(1-Dashboard!$C$17)*((1+Dashboard!$C$12)^$CZ38),0)</f>
        <v>13390705.290970778</v>
      </c>
      <c r="DZ38" s="126">
        <f ca="1">MAX(DZ37*(1+AA38)-(Dashboard!$C$11)/(1-Dashboard!$C$17)*((1+Dashboard!$C$12)^$CZ38),0)</f>
        <v>1701737.0258411523</v>
      </c>
      <c r="EA38" s="126">
        <f ca="1">MAX(EA37*(1+AB38)-(Dashboard!$C$11)/(1-Dashboard!$C$17)*((1+Dashboard!$C$12)^$CZ38),0)</f>
        <v>8396718.8881490398</v>
      </c>
      <c r="EB38" s="126">
        <f ca="1">MAX(EB37*(1+AC38)-(Dashboard!$C$11)/(1-Dashboard!$C$17)*((1+Dashboard!$C$12)^$CZ38),0)</f>
        <v>10922361.833330475</v>
      </c>
      <c r="EC38" s="126">
        <f ca="1">MAX(EC37*(1+AD38)-(Dashboard!$C$11)/(1-Dashboard!$C$17)*((1+Dashboard!$C$12)^$CZ38),0)</f>
        <v>15679390.651566014</v>
      </c>
      <c r="ED38" s="126">
        <f ca="1">MAX(ED37*(1+AE38)-(Dashboard!$C$11)/(1-Dashboard!$C$17)*((1+Dashboard!$C$12)^$CZ38),0)</f>
        <v>10442349.290076295</v>
      </c>
      <c r="EE38" s="126">
        <f ca="1">MAX(EE37*(1+AF38)-(Dashboard!$C$11)/(1-Dashboard!$C$17)*((1+Dashboard!$C$12)^$CZ38),0)</f>
        <v>21929362.275370143</v>
      </c>
      <c r="EF38" s="126">
        <f ca="1">MAX(EF37*(1+AG38)-(Dashboard!$C$11)/(1-Dashboard!$C$17)*((1+Dashboard!$C$12)^$CZ38),0)</f>
        <v>2267022.2883496522</v>
      </c>
      <c r="EG38" s="126">
        <f ca="1">MAX(EG37*(1+AH38)-(Dashboard!$C$11)/(1-Dashboard!$C$17)*((1+Dashboard!$C$12)^$CZ38),0)</f>
        <v>12524616.907970503</v>
      </c>
      <c r="EH38" s="126">
        <f ca="1">MAX(EH37*(1+AI38)-(Dashboard!$C$11)/(1-Dashboard!$C$17)*((1+Dashboard!$C$12)^$CZ38),0)</f>
        <v>35057570.290727884</v>
      </c>
      <c r="EI38" s="126">
        <f ca="1">MAX(EI37*(1+AJ38)-(Dashboard!$C$11)/(1-Dashboard!$C$17)*((1+Dashboard!$C$12)^$CZ38),0)</f>
        <v>64970.249458508617</v>
      </c>
      <c r="EJ38" s="126">
        <f ca="1">MAX(EJ37*(1+AK38)-(Dashboard!$C$11)/(1-Dashboard!$C$17)*((1+Dashboard!$C$12)^$CZ38),0)</f>
        <v>13660604.858348576</v>
      </c>
      <c r="EK38" s="126">
        <f ca="1">MAX(EK37*(1+AL38)-(Dashboard!$C$11)/(1-Dashboard!$C$17)*((1+Dashboard!$C$12)^$CZ38),0)</f>
        <v>6969701.9523461107</v>
      </c>
      <c r="EL38" s="126">
        <f ca="1">MAX(EL37*(1+AM38)-(Dashboard!$C$11)/(1-Dashboard!$C$17)*((1+Dashboard!$C$12)^$CZ38),0)</f>
        <v>1411581.3726970681</v>
      </c>
      <c r="EM38" s="126">
        <f ca="1">MAX(EM37*(1+AN38)-(Dashboard!$C$11)/(1-Dashboard!$C$17)*((1+Dashboard!$C$12)^$CZ38),0)</f>
        <v>28133724.276871849</v>
      </c>
      <c r="EN38" s="126">
        <f ca="1">MAX(EN37*(1+AO38)-(Dashboard!$C$11)/(1-Dashboard!$C$17)*((1+Dashboard!$C$12)^$CZ38),0)</f>
        <v>3231531.26062989</v>
      </c>
      <c r="EO38" s="126">
        <f ca="1">MAX(EO37*(1+AP38)-(Dashboard!$C$11)/(1-Dashboard!$C$17)*((1+Dashboard!$C$12)^$CZ38),0)</f>
        <v>0</v>
      </c>
      <c r="EP38" s="126">
        <f ca="1">MAX(EP37*(1+AQ38)-(Dashboard!$C$11)/(1-Dashboard!$C$17)*((1+Dashboard!$C$12)^$CZ38),0)</f>
        <v>6441250.1174219064</v>
      </c>
      <c r="EQ38" s="126">
        <f ca="1">MAX(EQ37*(1+AR38)-(Dashboard!$C$11)/(1-Dashboard!$C$17)*((1+Dashboard!$C$12)^$CZ38),0)</f>
        <v>5957519.4246736364</v>
      </c>
      <c r="ER38" s="126">
        <f ca="1">MAX(ER37*(1+AS38)-(Dashboard!$C$11)/(1-Dashboard!$C$17)*((1+Dashboard!$C$12)^$CZ38),0)</f>
        <v>2013323.0069947287</v>
      </c>
      <c r="ES38" s="126">
        <f ca="1">MAX(ES37*(1+AT38)-(Dashboard!$C$11)/(1-Dashboard!$C$17)*((1+Dashboard!$C$12)^$CZ38),0)</f>
        <v>18039056.651160311</v>
      </c>
      <c r="ET38" s="126">
        <f ca="1">MAX(ET37*(1+AU38)-(Dashboard!$C$11)/(1-Dashboard!$C$17)*((1+Dashboard!$C$12)^$CZ38),0)</f>
        <v>9257767.1863439381</v>
      </c>
      <c r="EU38" s="126">
        <f ca="1">MAX(EU37*(1+AV38)-(Dashboard!$C$11)/(1-Dashboard!$C$17)*((1+Dashboard!$C$12)^$CZ38),0)</f>
        <v>5992242.8492996227</v>
      </c>
      <c r="EV38" s="126">
        <f ca="1">MAX(EV37*(1+AW38)-(Dashboard!$C$11)/(1-Dashboard!$C$17)*((1+Dashboard!$C$12)^$CZ38),0)</f>
        <v>73168992.866106346</v>
      </c>
      <c r="EW38" s="126">
        <f ca="1">MAX(EW37*(1+AX38)-(Dashboard!$C$11)/(1-Dashboard!$C$17)*((1+Dashboard!$C$12)^$CZ38),0)</f>
        <v>2320322.6161890412</v>
      </c>
      <c r="EX38" s="126">
        <f ca="1">MAX(EX37*(1+AY38)-(Dashboard!$C$11)/(1-Dashboard!$C$17)*((1+Dashboard!$C$12)^$CZ38),0)</f>
        <v>7462418.5207827501</v>
      </c>
      <c r="EY38" s="126">
        <f ca="1">MAX(EY37*(1+AZ38)-(Dashboard!$C$11)/(1-Dashboard!$C$17)*((1+Dashboard!$C$12)^$CZ38),0)</f>
        <v>22198338.470231235</v>
      </c>
      <c r="EZ38" s="126">
        <f ca="1">MAX(EZ37*(1+BA38)-(Dashboard!$C$11)/(1-Dashboard!$C$17)*((1+Dashboard!$C$12)^$CZ38),0)</f>
        <v>8266127.5420381436</v>
      </c>
      <c r="FA38" s="126">
        <f ca="1">MAX(FA37*(1+BB38)-(Dashboard!$C$11)/(1-Dashboard!$C$17)*((1+Dashboard!$C$12)^$CZ38),0)</f>
        <v>26755420.61323281</v>
      </c>
      <c r="FB38" s="126">
        <f ca="1">MAX(FB37*(1+BC38)-(Dashboard!$C$11)/(1-Dashboard!$C$17)*((1+Dashboard!$C$12)^$CZ38),0)</f>
        <v>735292.39285250742</v>
      </c>
      <c r="FC38" s="126">
        <f ca="1">MAX(FC37*(1+BD38)-(Dashboard!$C$11)/(1-Dashboard!$C$17)*((1+Dashboard!$C$12)^$CZ38),0)</f>
        <v>6897382.2653174652</v>
      </c>
      <c r="FD38" s="126">
        <f ca="1">MAX(FD37*(1+BE38)-(Dashboard!$C$11)/(1-Dashboard!$C$17)*((1+Dashboard!$C$12)^$CZ38),0)</f>
        <v>24479053.810235769</v>
      </c>
      <c r="FE38" s="126">
        <f ca="1">MAX(FE37*(1+BF38)-(Dashboard!$C$11)/(1-Dashboard!$C$17)*((1+Dashboard!$C$12)^$CZ38),0)</f>
        <v>37388016.674150586</v>
      </c>
      <c r="FF38" s="126">
        <f ca="1">MAX(FF37*(1+BG38)-(Dashboard!$C$11)/(1-Dashboard!$C$17)*((1+Dashboard!$C$12)^$CZ38),0)</f>
        <v>9635745.3317054398</v>
      </c>
      <c r="FG38" s="126">
        <f ca="1">MAX(FG37*(1+BH38)-(Dashboard!$C$11)/(1-Dashboard!$C$17)*((1+Dashboard!$C$12)^$CZ38),0)</f>
        <v>7571025.0295475274</v>
      </c>
      <c r="FH38" s="126">
        <f ca="1">MAX(FH37*(1+BI38)-(Dashboard!$C$11)/(1-Dashboard!$C$17)*((1+Dashboard!$C$12)^$CZ38),0)</f>
        <v>3290026.2089151614</v>
      </c>
      <c r="FI38" s="126">
        <f ca="1">MAX(FI37*(1+BJ38)-(Dashboard!$C$11)/(1-Dashboard!$C$17)*((1+Dashboard!$C$12)^$CZ38),0)</f>
        <v>23607938.488623586</v>
      </c>
      <c r="FJ38" s="126">
        <f ca="1">MAX(FJ37*(1+BK38)-(Dashboard!$C$11)/(1-Dashboard!$C$17)*((1+Dashboard!$C$12)^$CZ38),0)</f>
        <v>4798894.9973320141</v>
      </c>
      <c r="FK38" s="126">
        <f ca="1">MAX(FK37*(1+BL38)-(Dashboard!$C$11)/(1-Dashboard!$C$17)*((1+Dashboard!$C$12)^$CZ38),0)</f>
        <v>6538549.1347879646</v>
      </c>
      <c r="FL38" s="126">
        <f ca="1">MAX(FL37*(1+BM38)-(Dashboard!$C$11)/(1-Dashboard!$C$17)*((1+Dashboard!$C$12)^$CZ38),0)</f>
        <v>4096751.8867848543</v>
      </c>
      <c r="FM38" s="126">
        <f ca="1">MAX(FM37*(1+BN38)-(Dashboard!$C$11)/(1-Dashboard!$C$17)*((1+Dashboard!$C$12)^$CZ38),0)</f>
        <v>10282945.64169411</v>
      </c>
      <c r="FN38" s="126">
        <f ca="1">MAX(FN37*(1+BO38)-(Dashboard!$C$11)/(1-Dashboard!$C$17)*((1+Dashboard!$C$12)^$CZ38),0)</f>
        <v>0</v>
      </c>
      <c r="FO38" s="126">
        <f ca="1">MAX(FO37*(1+BP38)-(Dashboard!$C$11)/(1-Dashboard!$C$17)*((1+Dashboard!$C$12)^$CZ38),0)</f>
        <v>10399091.908769269</v>
      </c>
      <c r="FP38" s="126">
        <f ca="1">MAX(FP37*(1+BQ38)-(Dashboard!$C$11)/(1-Dashboard!$C$17)*((1+Dashboard!$C$12)^$CZ38),0)</f>
        <v>5796017.6191445496</v>
      </c>
      <c r="FQ38" s="126">
        <f ca="1">MAX(FQ37*(1+BR38)-(Dashboard!$C$11)/(1-Dashboard!$C$17)*((1+Dashboard!$C$12)^$CZ38),0)</f>
        <v>6388656.0888369121</v>
      </c>
      <c r="FR38" s="126">
        <f ca="1">MAX(FR37*(1+BS38)-(Dashboard!$C$11)/(1-Dashboard!$C$17)*((1+Dashboard!$C$12)^$CZ38),0)</f>
        <v>15926099.064777061</v>
      </c>
      <c r="FS38" s="126">
        <f ca="1">MAX(FS37*(1+BT38)-(Dashboard!$C$11)/(1-Dashboard!$C$17)*((1+Dashboard!$C$12)^$CZ38),0)</f>
        <v>14170893.123549741</v>
      </c>
      <c r="FT38" s="126">
        <f ca="1">MAX(FT37*(1+BU38)-(Dashboard!$C$11)/(1-Dashboard!$C$17)*((1+Dashboard!$C$12)^$CZ38),0)</f>
        <v>1239672.6032181685</v>
      </c>
      <c r="FU38" s="126">
        <f ca="1">MAX(FU37*(1+BV38)-(Dashboard!$C$11)/(1-Dashboard!$C$17)*((1+Dashboard!$C$12)^$CZ38),0)</f>
        <v>2531440.675141152</v>
      </c>
      <c r="FV38" s="126">
        <f ca="1">MAX(FV37*(1+BW38)-(Dashboard!$C$11)/(1-Dashboard!$C$17)*((1+Dashboard!$C$12)^$CZ38),0)</f>
        <v>5513168.6831016615</v>
      </c>
      <c r="FW38" s="126">
        <f ca="1">MAX(FW37*(1+BX38)-(Dashboard!$C$11)/(1-Dashboard!$C$17)*((1+Dashboard!$C$12)^$CZ38),0)</f>
        <v>5228245.216246102</v>
      </c>
      <c r="FX38" s="126">
        <f ca="1">MAX(FX37*(1+BY38)-(Dashboard!$C$11)/(1-Dashboard!$C$17)*((1+Dashboard!$C$12)^$CZ38),0)</f>
        <v>2119532.8634556625</v>
      </c>
      <c r="FY38" s="126">
        <f ca="1">MAX(FY37*(1+BZ38)-(Dashboard!$C$11)/(1-Dashboard!$C$17)*((1+Dashboard!$C$12)^$CZ38),0)</f>
        <v>2309010.7315778169</v>
      </c>
      <c r="FZ38" s="126">
        <f ca="1">MAX(FZ37*(1+CA38)-(Dashboard!$C$11)/(1-Dashboard!$C$17)*((1+Dashboard!$C$12)^$CZ38),0)</f>
        <v>32464631.979815263</v>
      </c>
      <c r="GA38" s="126">
        <f ca="1">MAX(GA37*(1+CB38)-(Dashboard!$C$11)/(1-Dashboard!$C$17)*((1+Dashboard!$C$12)^$CZ38),0)</f>
        <v>19561918.794046193</v>
      </c>
      <c r="GB38" s="126">
        <f ca="1">MAX(GB37*(1+CC38)-(Dashboard!$C$11)/(1-Dashboard!$C$17)*((1+Dashboard!$C$12)^$CZ38),0)</f>
        <v>4069092.6356921331</v>
      </c>
      <c r="GC38" s="126">
        <f ca="1">MAX(GC37*(1+CD38)-(Dashboard!$C$11)/(1-Dashboard!$C$17)*((1+Dashboard!$C$12)^$CZ38),0)</f>
        <v>13504189.915941622</v>
      </c>
      <c r="GD38" s="126">
        <f ca="1">MAX(GD37*(1+CE38)-(Dashboard!$C$11)/(1-Dashboard!$C$17)*((1+Dashboard!$C$12)^$CZ38),0)</f>
        <v>86033473.67807214</v>
      </c>
      <c r="GE38" s="126">
        <f ca="1">MAX(GE37*(1+CF38)-(Dashboard!$C$11)/(1-Dashboard!$C$17)*((1+Dashboard!$C$12)^$CZ38),0)</f>
        <v>10812782.314229382</v>
      </c>
      <c r="GF38" s="126">
        <f ca="1">MAX(GF37*(1+CG38)-(Dashboard!$C$11)/(1-Dashboard!$C$17)*((1+Dashboard!$C$12)^$CZ38),0)</f>
        <v>10832958.994882626</v>
      </c>
      <c r="GG38" s="126">
        <f ca="1">MAX(GG37*(1+CH38)-(Dashboard!$C$11)/(1-Dashboard!$C$17)*((1+Dashboard!$C$12)^$CZ38),0)</f>
        <v>1363281.4625126526</v>
      </c>
      <c r="GH38" s="126">
        <f ca="1">MAX(GH37*(1+CI38)-(Dashboard!$C$11)/(1-Dashboard!$C$17)*((1+Dashboard!$C$12)^$CZ38),0)</f>
        <v>3787747.6337371827</v>
      </c>
      <c r="GI38" s="126">
        <f ca="1">MAX(GI37*(1+CJ38)-(Dashboard!$C$11)/(1-Dashboard!$C$17)*((1+Dashboard!$C$12)^$CZ38),0)</f>
        <v>19527162.394148663</v>
      </c>
      <c r="GJ38" s="126">
        <f ca="1">MAX(GJ37*(1+CK38)-(Dashboard!$C$11)/(1-Dashboard!$C$17)*((1+Dashboard!$C$12)^$CZ38),0)</f>
        <v>58376070.850701377</v>
      </c>
      <c r="GK38" s="126">
        <f ca="1">MAX(GK37*(1+CL38)-(Dashboard!$C$11)/(1-Dashboard!$C$17)*((1+Dashboard!$C$12)^$CZ38),0)</f>
        <v>4891557.4336384004</v>
      </c>
      <c r="GL38" s="126">
        <f ca="1">MAX(GL37*(1+CM38)-(Dashboard!$C$11)/(1-Dashboard!$C$17)*((1+Dashboard!$C$12)^$CZ38),0)</f>
        <v>14743940.059437273</v>
      </c>
      <c r="GM38" s="126">
        <f ca="1">MAX(GM37*(1+CN38)-(Dashboard!$C$11)/(1-Dashboard!$C$17)*((1+Dashboard!$C$12)^$CZ38),0)</f>
        <v>2648136.8033920876</v>
      </c>
      <c r="GN38" s="126">
        <f ca="1">MAX(GN37*(1+CO38)-(Dashboard!$C$11)/(1-Dashboard!$C$17)*((1+Dashboard!$C$12)^$CZ38),0)</f>
        <v>0</v>
      </c>
      <c r="GO38" s="126">
        <f ca="1">MAX(GO37*(1+CP38)-(Dashboard!$C$11)/(1-Dashboard!$C$17)*((1+Dashboard!$C$12)^$CZ38),0)</f>
        <v>14194631.604697635</v>
      </c>
      <c r="GP38" s="126">
        <f ca="1">MAX(GP37*(1+CQ38)-(Dashboard!$C$11)/(1-Dashboard!$C$17)*((1+Dashboard!$C$12)^$CZ38),0)</f>
        <v>12920223.901927954</v>
      </c>
      <c r="GQ38" s="126">
        <f ca="1">MAX(GQ37*(1+CR38)-(Dashboard!$C$11)/(1-Dashboard!$C$17)*((1+Dashboard!$C$12)^$CZ38),0)</f>
        <v>1091620.3426864273</v>
      </c>
      <c r="GR38" s="126">
        <f ca="1">MAX(GR37*(1+CS38)-(Dashboard!$C$11)/(1-Dashboard!$C$17)*((1+Dashboard!$C$12)^$CZ38),0)</f>
        <v>3799570.2753521544</v>
      </c>
      <c r="GS38" s="126">
        <f ca="1">MAX(GS37*(1+CT38)-(Dashboard!$C$11)/(1-Dashboard!$C$17)*((1+Dashboard!$C$12)^$CZ38),0)</f>
        <v>11695128.516461378</v>
      </c>
      <c r="GT38" s="126">
        <f ca="1">MAX(GT37*(1+CU38)-(Dashboard!$C$11)/(1-Dashboard!$C$17)*((1+Dashboard!$C$12)^$CZ38),0)</f>
        <v>29736606.636667263</v>
      </c>
      <c r="GU38" s="126">
        <f ca="1">MAX(GU37*(1+CV38)-(Dashboard!$C$11)/(1-Dashboard!$C$17)*((1+Dashboard!$C$12)^$CZ38),0)</f>
        <v>5246313.703224685</v>
      </c>
      <c r="GV38" s="126">
        <f ca="1">MAX(GV37*(1+CW38)-(Dashboard!$C$11)/(1-Dashboard!$C$17)*((1+Dashboard!$C$12)^$CZ38),0)</f>
        <v>2800991.5239576329</v>
      </c>
      <c r="GW38" s="115">
        <f t="shared" si="4"/>
        <v>87</v>
      </c>
      <c r="GX38" s="130">
        <f t="shared" ca="1" si="2"/>
        <v>96</v>
      </c>
      <c r="HC38" s="130">
        <f t="shared" si="7"/>
        <v>87</v>
      </c>
      <c r="HD38" s="137">
        <f t="shared" ca="1" si="6"/>
        <v>3198773.9343222128</v>
      </c>
      <c r="HE38" s="137">
        <f t="shared" ca="1" si="6"/>
        <v>7516721.7751651388</v>
      </c>
      <c r="HF38" s="137">
        <f t="shared" ca="1" si="6"/>
        <v>14643584.682892239</v>
      </c>
    </row>
    <row r="39" spans="1:214" ht="16">
      <c r="A39" s="145">
        <f t="shared" si="3"/>
        <v>88</v>
      </c>
      <c r="B39" s="122">
        <f ca="1">(Dashboard!$C$7*'Equity and Bond Returns'!N39)+(Dashboard!$C$8*'Equity and Bond Returns'!DL39)</f>
        <v>0.15184476935411914</v>
      </c>
      <c r="C39" s="122">
        <f ca="1">(Dashboard!$C$7*'Equity and Bond Returns'!O39)+(Dashboard!$C$8*'Equity and Bond Returns'!DM39)</f>
        <v>0.25141780821488569</v>
      </c>
      <c r="D39" s="122">
        <f ca="1">(Dashboard!$C$7*'Equity and Bond Returns'!P39)+(Dashboard!$C$8*'Equity and Bond Returns'!DN39)</f>
        <v>3.5245607618734978E-2</v>
      </c>
      <c r="E39" s="122">
        <f ca="1">(Dashboard!$C$7*'Equity and Bond Returns'!Q39)+(Dashboard!$C$8*'Equity and Bond Returns'!DO39)</f>
        <v>0.32763622190973007</v>
      </c>
      <c r="F39" s="122">
        <f ca="1">(Dashboard!$C$7*'Equity and Bond Returns'!R39)+(Dashboard!$C$8*'Equity and Bond Returns'!DP39)</f>
        <v>-2.4561483688944195E-2</v>
      </c>
      <c r="G39" s="122">
        <f ca="1">(Dashboard!$C$7*'Equity and Bond Returns'!S39)+(Dashboard!$C$8*'Equity and Bond Returns'!DQ39)</f>
        <v>0.19903074486558475</v>
      </c>
      <c r="H39" s="122">
        <f ca="1">(Dashboard!$C$7*'Equity and Bond Returns'!T39)+(Dashboard!$C$8*'Equity and Bond Returns'!DR39)</f>
        <v>0.31199390437387908</v>
      </c>
      <c r="I39" s="122">
        <f ca="1">(Dashboard!$C$7*'Equity and Bond Returns'!U39)+(Dashboard!$C$8*'Equity and Bond Returns'!DS39)</f>
        <v>0.26863830428506025</v>
      </c>
      <c r="J39" s="122">
        <f ca="1">(Dashboard!$C$7*'Equity and Bond Returns'!V39)+(Dashboard!$C$8*'Equity and Bond Returns'!DT39)</f>
        <v>0.2977243974335852</v>
      </c>
      <c r="K39" s="122">
        <f ca="1">(Dashboard!$C$7*'Equity and Bond Returns'!W39)+(Dashboard!$C$8*'Equity and Bond Returns'!DU39)</f>
        <v>-0.14833011540522312</v>
      </c>
      <c r="L39" s="122">
        <f ca="1">(Dashboard!$C$7*'Equity and Bond Returns'!X39)+(Dashboard!$C$8*'Equity and Bond Returns'!DV39)</f>
        <v>-0.37942990275090138</v>
      </c>
      <c r="M39" s="122">
        <f ca="1">(Dashboard!$C$7*'Equity and Bond Returns'!Y39)+(Dashboard!$C$8*'Equity and Bond Returns'!DW39)</f>
        <v>0.20884262863389877</v>
      </c>
      <c r="N39" s="122">
        <f ca="1">(Dashboard!$C$7*'Equity and Bond Returns'!Z39)+(Dashboard!$C$8*'Equity and Bond Returns'!DX39)</f>
        <v>-0.10081998051307969</v>
      </c>
      <c r="O39" s="122">
        <f ca="1">(Dashboard!$C$7*'Equity and Bond Returns'!AA39)+(Dashboard!$C$8*'Equity and Bond Returns'!DY39)</f>
        <v>0.2367550494913489</v>
      </c>
      <c r="P39" s="122">
        <f ca="1">(Dashboard!$C$7*'Equity and Bond Returns'!AB39)+(Dashboard!$C$8*'Equity and Bond Returns'!DZ39)</f>
        <v>-3.6731670015260925E-2</v>
      </c>
      <c r="Q39" s="122">
        <f ca="1">(Dashboard!$C$7*'Equity and Bond Returns'!AC39)+(Dashboard!$C$8*'Equity and Bond Returns'!EA39)</f>
        <v>0.14259791496902843</v>
      </c>
      <c r="R39" s="122">
        <f ca="1">(Dashboard!$C$7*'Equity and Bond Returns'!AD39)+(Dashboard!$C$8*'Equity and Bond Returns'!EB39)</f>
        <v>-0.11298701234403928</v>
      </c>
      <c r="S39" s="122">
        <f ca="1">(Dashboard!$C$7*'Equity and Bond Returns'!AE39)+(Dashboard!$C$8*'Equity and Bond Returns'!EC39)</f>
        <v>-0.14374279235964837</v>
      </c>
      <c r="T39" s="122">
        <f ca="1">(Dashboard!$C$7*'Equity and Bond Returns'!AF39)+(Dashboard!$C$8*'Equity and Bond Returns'!ED39)</f>
        <v>0.13501909771501427</v>
      </c>
      <c r="U39" s="122">
        <f ca="1">(Dashboard!$C$7*'Equity and Bond Returns'!AG39)+(Dashboard!$C$8*'Equity and Bond Returns'!EE39)</f>
        <v>6.4547043637732893E-2</v>
      </c>
      <c r="V39" s="122">
        <f ca="1">(Dashboard!$C$7*'Equity and Bond Returns'!AH39)+(Dashboard!$C$8*'Equity and Bond Returns'!EF39)</f>
        <v>-0.20363172662272844</v>
      </c>
      <c r="W39" s="122">
        <f ca="1">(Dashboard!$C$7*'Equity and Bond Returns'!AI39)+(Dashboard!$C$8*'Equity and Bond Returns'!EG39)</f>
        <v>0.28460287058330125</v>
      </c>
      <c r="X39" s="122">
        <f ca="1">(Dashboard!$C$7*'Equity and Bond Returns'!AJ39)+(Dashboard!$C$8*'Equity and Bond Returns'!EH39)</f>
        <v>7.9446982009588815E-2</v>
      </c>
      <c r="Y39" s="122">
        <f ca="1">(Dashboard!$C$7*'Equity and Bond Returns'!AK39)+(Dashboard!$C$8*'Equity and Bond Returns'!EI39)</f>
        <v>-8.5621255269787699E-2</v>
      </c>
      <c r="Z39" s="122">
        <f ca="1">(Dashboard!$C$7*'Equity and Bond Returns'!AL39)+(Dashboard!$C$8*'Equity and Bond Returns'!EJ39)</f>
        <v>7.0147343040911872E-2</v>
      </c>
      <c r="AA39" s="122">
        <f ca="1">(Dashboard!$C$7*'Equity and Bond Returns'!AM39)+(Dashboard!$C$8*'Equity and Bond Returns'!EK39)</f>
        <v>-4.4806022777166374E-2</v>
      </c>
      <c r="AB39" s="122">
        <f ca="1">(Dashboard!$C$7*'Equity and Bond Returns'!AN39)+(Dashboard!$C$8*'Equity and Bond Returns'!EL39)</f>
        <v>0.1326375286355303</v>
      </c>
      <c r="AC39" s="122">
        <f ca="1">(Dashboard!$C$7*'Equity and Bond Returns'!AO39)+(Dashboard!$C$8*'Equity and Bond Returns'!EM39)</f>
        <v>0.11517031692187912</v>
      </c>
      <c r="AD39" s="122">
        <f ca="1">(Dashboard!$C$7*'Equity and Bond Returns'!AP39)+(Dashboard!$C$8*'Equity and Bond Returns'!EN39)</f>
        <v>0.24991386796533818</v>
      </c>
      <c r="AE39" s="122">
        <f ca="1">(Dashboard!$C$7*'Equity and Bond Returns'!AQ39)+(Dashboard!$C$8*'Equity and Bond Returns'!EO39)</f>
        <v>4.5509547279958096E-2</v>
      </c>
      <c r="AF39" s="122">
        <f ca="1">(Dashboard!$C$7*'Equity and Bond Returns'!AR39)+(Dashboard!$C$8*'Equity and Bond Returns'!EP39)</f>
        <v>9.7296325563000829E-2</v>
      </c>
      <c r="AG39" s="122">
        <f ca="1">(Dashboard!$C$7*'Equity and Bond Returns'!AS39)+(Dashboard!$C$8*'Equity and Bond Returns'!EQ39)</f>
        <v>-4.6716626858882976E-4</v>
      </c>
      <c r="AH39" s="122">
        <f ca="1">(Dashboard!$C$7*'Equity and Bond Returns'!AT39)+(Dashboard!$C$8*'Equity and Bond Returns'!ER39)</f>
        <v>9.5186732470512264E-2</v>
      </c>
      <c r="AI39" s="122">
        <f ca="1">(Dashboard!$C$7*'Equity and Bond Returns'!AU39)+(Dashboard!$C$8*'Equity and Bond Returns'!ES39)</f>
        <v>2.2828150884439284E-2</v>
      </c>
      <c r="AJ39" s="122">
        <f ca="1">(Dashboard!$C$7*'Equity and Bond Returns'!AV39)+(Dashboard!$C$8*'Equity and Bond Returns'!ET39)</f>
        <v>7.6306037050983294E-2</v>
      </c>
      <c r="AK39" s="122">
        <f ca="1">(Dashboard!$C$7*'Equity and Bond Returns'!AW39)+(Dashboard!$C$8*'Equity and Bond Returns'!EU39)</f>
        <v>0.29437881151977358</v>
      </c>
      <c r="AL39" s="122">
        <f ca="1">(Dashboard!$C$7*'Equity and Bond Returns'!AX39)+(Dashboard!$C$8*'Equity and Bond Returns'!EV39)</f>
        <v>-3.868626566398424E-2</v>
      </c>
      <c r="AM39" s="122">
        <f ca="1">(Dashboard!$C$7*'Equity and Bond Returns'!AY39)+(Dashboard!$C$8*'Equity and Bond Returns'!EW39)</f>
        <v>0.17579625489812351</v>
      </c>
      <c r="AN39" s="122">
        <f ca="1">(Dashboard!$C$7*'Equity and Bond Returns'!AZ39)+(Dashboard!$C$8*'Equity and Bond Returns'!EX39)</f>
        <v>0.15505673479947638</v>
      </c>
      <c r="AO39" s="122">
        <f ca="1">(Dashboard!$C$7*'Equity and Bond Returns'!BA39)+(Dashboard!$C$8*'Equity and Bond Returns'!EY39)</f>
        <v>-6.8834655546442247E-2</v>
      </c>
      <c r="AP39" s="122">
        <f ca="1">(Dashboard!$C$7*'Equity and Bond Returns'!BB39)+(Dashboard!$C$8*'Equity and Bond Returns'!EZ39)</f>
        <v>-1.4438877325401606E-2</v>
      </c>
      <c r="AQ39" s="122">
        <f ca="1">(Dashboard!$C$7*'Equity and Bond Returns'!BC39)+(Dashboard!$C$8*'Equity and Bond Returns'!FA39)</f>
        <v>0.13225536432817464</v>
      </c>
      <c r="AR39" s="122">
        <f ca="1">(Dashboard!$C$7*'Equity and Bond Returns'!BD39)+(Dashboard!$C$8*'Equity and Bond Returns'!FB39)</f>
        <v>1.9915247180662898E-2</v>
      </c>
      <c r="AS39" s="122">
        <f ca="1">(Dashboard!$C$7*'Equity and Bond Returns'!BE39)+(Dashboard!$C$8*'Equity and Bond Returns'!FC39)</f>
        <v>0.24988910556064198</v>
      </c>
      <c r="AT39" s="122">
        <f ca="1">(Dashboard!$C$7*'Equity and Bond Returns'!BF39)+(Dashboard!$C$8*'Equity and Bond Returns'!FD39)</f>
        <v>1.0697172108482932E-2</v>
      </c>
      <c r="AU39" s="122">
        <f ca="1">(Dashboard!$C$7*'Equity and Bond Returns'!BG39)+(Dashboard!$C$8*'Equity and Bond Returns'!FE39)</f>
        <v>-2.4386561619023823E-2</v>
      </c>
      <c r="AV39" s="122">
        <f ca="1">(Dashboard!$C$7*'Equity and Bond Returns'!BH39)+(Dashboard!$C$8*'Equity and Bond Returns'!FF39)</f>
        <v>0.1320627637652389</v>
      </c>
      <c r="AW39" s="122">
        <f ca="1">(Dashboard!$C$7*'Equity and Bond Returns'!BI39)+(Dashboard!$C$8*'Equity and Bond Returns'!FG39)</f>
        <v>0.17479336700635398</v>
      </c>
      <c r="AX39" s="122">
        <f ca="1">(Dashboard!$C$7*'Equity and Bond Returns'!BJ39)+(Dashboard!$C$8*'Equity and Bond Returns'!FH39)</f>
        <v>0.14800432599257018</v>
      </c>
      <c r="AY39" s="122">
        <f ca="1">(Dashboard!$C$7*'Equity and Bond Returns'!BK39)+(Dashboard!$C$8*'Equity and Bond Returns'!FI39)</f>
        <v>0.10029208248952201</v>
      </c>
      <c r="AZ39" s="122">
        <f ca="1">(Dashboard!$C$7*'Equity and Bond Returns'!BL39)+(Dashboard!$C$8*'Equity and Bond Returns'!FJ39)</f>
        <v>7.7919717620376389E-2</v>
      </c>
      <c r="BA39" s="122">
        <f ca="1">(Dashboard!$C$7*'Equity and Bond Returns'!BM39)+(Dashboard!$C$8*'Equity and Bond Returns'!FK39)</f>
        <v>-0.15116219642566076</v>
      </c>
      <c r="BB39" s="122">
        <f ca="1">(Dashboard!$C$7*'Equity and Bond Returns'!BN39)+(Dashboard!$C$8*'Equity and Bond Returns'!FL39)</f>
        <v>-0.16126058144304303</v>
      </c>
      <c r="BC39" s="122">
        <f ca="1">(Dashboard!$C$7*'Equity and Bond Returns'!BO39)+(Dashboard!$C$8*'Equity and Bond Returns'!FM39)</f>
        <v>0.12117066701371182</v>
      </c>
      <c r="BD39" s="122">
        <f ca="1">(Dashboard!$C$7*'Equity and Bond Returns'!BP39)+(Dashboard!$C$8*'Equity and Bond Returns'!FN39)</f>
        <v>-7.9504374281498119E-2</v>
      </c>
      <c r="BE39" s="122">
        <f ca="1">(Dashboard!$C$7*'Equity and Bond Returns'!BQ39)+(Dashboard!$C$8*'Equity and Bond Returns'!FO39)</f>
        <v>0.39494368806064845</v>
      </c>
      <c r="BF39" s="122">
        <f ca="1">(Dashboard!$C$7*'Equity and Bond Returns'!BR39)+(Dashboard!$C$8*'Equity and Bond Returns'!FP39)</f>
        <v>7.6285052605489637E-2</v>
      </c>
      <c r="BG39" s="122">
        <f ca="1">(Dashboard!$C$7*'Equity and Bond Returns'!BS39)+(Dashboard!$C$8*'Equity and Bond Returns'!FQ39)</f>
        <v>0.10847144230808616</v>
      </c>
      <c r="BH39" s="122">
        <f ca="1">(Dashboard!$C$7*'Equity and Bond Returns'!BT39)+(Dashboard!$C$8*'Equity and Bond Returns'!FR39)</f>
        <v>-0.13331150902348013</v>
      </c>
      <c r="BI39" s="122">
        <f ca="1">(Dashboard!$C$7*'Equity and Bond Returns'!BU39)+(Dashboard!$C$8*'Equity and Bond Returns'!FS39)</f>
        <v>0.14599710999266863</v>
      </c>
      <c r="BJ39" s="122">
        <f ca="1">(Dashboard!$C$7*'Equity and Bond Returns'!BV39)+(Dashboard!$C$8*'Equity and Bond Returns'!FT39)</f>
        <v>-6.6789761915418244E-2</v>
      </c>
      <c r="BK39" s="122">
        <f ca="1">(Dashboard!$C$7*'Equity and Bond Returns'!BW39)+(Dashboard!$C$8*'Equity and Bond Returns'!FU39)</f>
        <v>0.34844699533801665</v>
      </c>
      <c r="BL39" s="122">
        <f ca="1">(Dashboard!$C$7*'Equity and Bond Returns'!BX39)+(Dashboard!$C$8*'Equity and Bond Returns'!FV39)</f>
        <v>-0.17825815378256021</v>
      </c>
      <c r="BM39" s="122">
        <f ca="1">(Dashboard!$C$7*'Equity and Bond Returns'!BY39)+(Dashboard!$C$8*'Equity and Bond Returns'!FW39)</f>
        <v>7.0862100471621461E-2</v>
      </c>
      <c r="BN39" s="122">
        <f ca="1">(Dashboard!$C$7*'Equity and Bond Returns'!BZ39)+(Dashboard!$C$8*'Equity and Bond Returns'!FX39)</f>
        <v>-0.21990729606813439</v>
      </c>
      <c r="BO39" s="122">
        <f ca="1">(Dashboard!$C$7*'Equity and Bond Returns'!CA39)+(Dashboard!$C$8*'Equity and Bond Returns'!FY39)</f>
        <v>0.36141500467281718</v>
      </c>
      <c r="BP39" s="122">
        <f ca="1">(Dashboard!$C$7*'Equity and Bond Returns'!CB39)+(Dashboard!$C$8*'Equity and Bond Returns'!FZ39)</f>
        <v>2.6943190633220863E-2</v>
      </c>
      <c r="BQ39" s="122">
        <f ca="1">(Dashboard!$C$7*'Equity and Bond Returns'!CC39)+(Dashboard!$C$8*'Equity and Bond Returns'!GA39)</f>
        <v>0.14712253210210263</v>
      </c>
      <c r="BR39" s="122">
        <f ca="1">(Dashboard!$C$7*'Equity and Bond Returns'!CD39)+(Dashboard!$C$8*'Equity and Bond Returns'!GB39)</f>
        <v>-0.14794619979771734</v>
      </c>
      <c r="BS39" s="122">
        <f ca="1">(Dashboard!$C$7*'Equity and Bond Returns'!CE39)+(Dashboard!$C$8*'Equity and Bond Returns'!GC39)</f>
        <v>-2.2365218096162761E-2</v>
      </c>
      <c r="BT39" s="122">
        <f ca="1">(Dashboard!$C$7*'Equity and Bond Returns'!CF39)+(Dashboard!$C$8*'Equity and Bond Returns'!GD39)</f>
        <v>0.12072746320726369</v>
      </c>
      <c r="BU39" s="122">
        <f ca="1">(Dashboard!$C$7*'Equity and Bond Returns'!CG39)+(Dashboard!$C$8*'Equity and Bond Returns'!GE39)</f>
        <v>9.6770219169554167E-2</v>
      </c>
      <c r="BV39" s="122">
        <f ca="1">(Dashboard!$C$7*'Equity and Bond Returns'!CH39)+(Dashboard!$C$8*'Equity and Bond Returns'!GF39)</f>
        <v>-0.12091518280463426</v>
      </c>
      <c r="BW39" s="122">
        <f ca="1">(Dashboard!$C$7*'Equity and Bond Returns'!CI39)+(Dashboard!$C$8*'Equity and Bond Returns'!GG39)</f>
        <v>-6.127161794668564E-2</v>
      </c>
      <c r="BX39" s="122">
        <f ca="1">(Dashboard!$C$7*'Equity and Bond Returns'!CJ39)+(Dashboard!$C$8*'Equity and Bond Returns'!GH39)</f>
        <v>0.17776006414938555</v>
      </c>
      <c r="BY39" s="122">
        <f ca="1">(Dashboard!$C$7*'Equity and Bond Returns'!CK39)+(Dashboard!$C$8*'Equity and Bond Returns'!GI39)</f>
        <v>-7.1830025049384669E-2</v>
      </c>
      <c r="BZ39" s="122">
        <f ca="1">(Dashboard!$C$7*'Equity and Bond Returns'!CL39)+(Dashboard!$C$8*'Equity and Bond Returns'!GJ39)</f>
        <v>0.1264950795272336</v>
      </c>
      <c r="CA39" s="122">
        <f ca="1">(Dashboard!$C$7*'Equity and Bond Returns'!CM39)+(Dashboard!$C$8*'Equity and Bond Returns'!GK39)</f>
        <v>0.15990238985647767</v>
      </c>
      <c r="CB39" s="122">
        <f ca="1">(Dashboard!$C$7*'Equity and Bond Returns'!CN39)+(Dashboard!$C$8*'Equity and Bond Returns'!GL39)</f>
        <v>6.4230566642431638E-3</v>
      </c>
      <c r="CC39" s="122">
        <f ca="1">(Dashboard!$C$7*'Equity and Bond Returns'!CO39)+(Dashboard!$C$8*'Equity and Bond Returns'!GM39)</f>
        <v>0.15281344358619303</v>
      </c>
      <c r="CD39" s="122">
        <f ca="1">(Dashboard!$C$7*'Equity and Bond Returns'!CP39)+(Dashboard!$C$8*'Equity and Bond Returns'!GN39)</f>
        <v>9.5570731725657304E-2</v>
      </c>
      <c r="CE39" s="122">
        <f ca="1">(Dashboard!$C$7*'Equity and Bond Returns'!CQ39)+(Dashboard!$C$8*'Equity and Bond Returns'!GO39)</f>
        <v>-0.12546051078406234</v>
      </c>
      <c r="CF39" s="122">
        <f ca="1">(Dashboard!$C$7*'Equity and Bond Returns'!CR39)+(Dashboard!$C$8*'Equity and Bond Returns'!GP39)</f>
        <v>-5.704225696058416E-2</v>
      </c>
      <c r="CG39" s="122">
        <f ca="1">(Dashboard!$C$7*'Equity and Bond Returns'!CS39)+(Dashboard!$C$8*'Equity and Bond Returns'!GQ39)</f>
        <v>-8.1858145392113002E-2</v>
      </c>
      <c r="CH39" s="122">
        <f ca="1">(Dashboard!$C$7*'Equity and Bond Returns'!CT39)+(Dashboard!$C$8*'Equity and Bond Returns'!GR39)</f>
        <v>0.15057286539517784</v>
      </c>
      <c r="CI39" s="122">
        <f ca="1">(Dashboard!$C$7*'Equity and Bond Returns'!CU39)+(Dashboard!$C$8*'Equity and Bond Returns'!GS39)</f>
        <v>5.5831536461953352E-2</v>
      </c>
      <c r="CJ39" s="122">
        <f ca="1">(Dashboard!$C$7*'Equity and Bond Returns'!CV39)+(Dashboard!$C$8*'Equity and Bond Returns'!GT39)</f>
        <v>5.6567374947091964E-2</v>
      </c>
      <c r="CK39" s="122">
        <f ca="1">(Dashboard!$C$7*'Equity and Bond Returns'!CW39)+(Dashboard!$C$8*'Equity and Bond Returns'!GU39)</f>
        <v>2.9849541540130392E-2</v>
      </c>
      <c r="CL39" s="122">
        <f ca="1">(Dashboard!$C$7*'Equity and Bond Returns'!CX39)+(Dashboard!$C$8*'Equity and Bond Returns'!GV39)</f>
        <v>0.20415517392722601</v>
      </c>
      <c r="CM39" s="122">
        <f ca="1">(Dashboard!$C$7*'Equity and Bond Returns'!CY39)+(Dashboard!$C$8*'Equity and Bond Returns'!GW39)</f>
        <v>0.2290229267763047</v>
      </c>
      <c r="CN39" s="122">
        <f ca="1">(Dashboard!$C$7*'Equity and Bond Returns'!CZ39)+(Dashboard!$C$8*'Equity and Bond Returns'!GX39)</f>
        <v>7.730827414168491E-2</v>
      </c>
      <c r="CO39" s="122">
        <f ca="1">(Dashboard!$C$7*'Equity and Bond Returns'!DA39)+(Dashboard!$C$8*'Equity and Bond Returns'!GY39)</f>
        <v>2.4455214184851928E-2</v>
      </c>
      <c r="CP39" s="122">
        <f ca="1">(Dashboard!$C$7*'Equity and Bond Returns'!DB39)+(Dashboard!$C$8*'Equity and Bond Returns'!GZ39)</f>
        <v>0.30958497510402833</v>
      </c>
      <c r="CQ39" s="122">
        <f ca="1">(Dashboard!$C$7*'Equity and Bond Returns'!DC39)+(Dashboard!$C$8*'Equity and Bond Returns'!HA39)</f>
        <v>0.16961615525706467</v>
      </c>
      <c r="CR39" s="122">
        <f ca="1">(Dashboard!$C$7*'Equity and Bond Returns'!DD39)+(Dashboard!$C$8*'Equity and Bond Returns'!HB39)</f>
        <v>0.19451220702416885</v>
      </c>
      <c r="CS39" s="122">
        <f ca="1">(Dashboard!$C$7*'Equity and Bond Returns'!DE39)+(Dashboard!$C$8*'Equity and Bond Returns'!HC39)</f>
        <v>0.34623854440121327</v>
      </c>
      <c r="CT39" s="122">
        <f ca="1">(Dashboard!$C$7*'Equity and Bond Returns'!DF39)+(Dashboard!$C$8*'Equity and Bond Returns'!HD39)</f>
        <v>8.5612475049318931E-2</v>
      </c>
      <c r="CU39" s="122">
        <f ca="1">(Dashboard!$C$7*'Equity and Bond Returns'!DG39)+(Dashboard!$C$8*'Equity and Bond Returns'!HE39)</f>
        <v>0.2930131616880941</v>
      </c>
      <c r="CV39" s="122">
        <f ca="1">(Dashboard!$C$7*'Equity and Bond Returns'!DH39)+(Dashboard!$C$8*'Equity and Bond Returns'!HF39)</f>
        <v>0.25413425569128029</v>
      </c>
      <c r="CW39" s="122">
        <f ca="1">(Dashboard!$C$7*'Equity and Bond Returns'!DI39)+(Dashboard!$C$8*'Equity and Bond Returns'!HG39)</f>
        <v>0.15311833570338867</v>
      </c>
      <c r="CY39" s="147">
        <f t="shared" si="5"/>
        <v>88</v>
      </c>
      <c r="CZ39" s="148">
        <v>38</v>
      </c>
      <c r="DA39" s="126">
        <f ca="1">MAX(DA38*(1+B39)-(Dashboard!$C$11)/(1-Dashboard!$C$17)*((1+Dashboard!$C$12)^$CZ39),0)</f>
        <v>56063649.305100098</v>
      </c>
      <c r="DB39" s="126">
        <f ca="1">MAX(DB38*(1+C39)-(Dashboard!$C$11)/(1-Dashboard!$C$17)*((1+Dashboard!$C$12)^$CZ39),0)</f>
        <v>0</v>
      </c>
      <c r="DC39" s="126">
        <f ca="1">MAX(DC38*(1+D39)-(Dashboard!$C$11)/(1-Dashboard!$C$17)*((1+Dashboard!$C$12)^$CZ39),0)</f>
        <v>8726549.8643594738</v>
      </c>
      <c r="DD39" s="126">
        <f ca="1">MAX(DD38*(1+E39)-(Dashboard!$C$11)/(1-Dashboard!$C$17)*((1+Dashboard!$C$12)^$CZ39),0)</f>
        <v>1745292.7575923265</v>
      </c>
      <c r="DE39" s="126">
        <f ca="1">MAX(DE38*(1+F39)-(Dashboard!$C$11)/(1-Dashboard!$C$17)*((1+Dashboard!$C$12)^$CZ39),0)</f>
        <v>11043212.401497487</v>
      </c>
      <c r="DF39" s="126">
        <f ca="1">MAX(DF38*(1+G39)-(Dashboard!$C$11)/(1-Dashboard!$C$17)*((1+Dashboard!$C$12)^$CZ39),0)</f>
        <v>21534547.412046626</v>
      </c>
      <c r="DG39" s="126">
        <f ca="1">MAX(DG38*(1+H39)-(Dashboard!$C$11)/(1-Dashboard!$C$17)*((1+Dashboard!$C$12)^$CZ39),0)</f>
        <v>1131689.826925138</v>
      </c>
      <c r="DH39" s="126">
        <f ca="1">MAX(DH38*(1+I39)-(Dashboard!$C$11)/(1-Dashboard!$C$17)*((1+Dashboard!$C$12)^$CZ39),0)</f>
        <v>26148525.783975195</v>
      </c>
      <c r="DI39" s="126">
        <f ca="1">MAX(DI38*(1+J39)-(Dashboard!$C$11)/(1-Dashboard!$C$17)*((1+Dashboard!$C$12)^$CZ39),0)</f>
        <v>5980397.7552838633</v>
      </c>
      <c r="DJ39" s="126">
        <f ca="1">MAX(DJ38*(1+K39)-(Dashboard!$C$11)/(1-Dashboard!$C$17)*((1+Dashboard!$C$12)^$CZ39),0)</f>
        <v>7269729.937098776</v>
      </c>
      <c r="DK39" s="126">
        <f ca="1">MAX(DK38*(1+L39)-(Dashboard!$C$11)/(1-Dashboard!$C$17)*((1+Dashboard!$C$12)^$CZ39),0)</f>
        <v>16205486.29504245</v>
      </c>
      <c r="DL39" s="126">
        <f ca="1">MAX(DL38*(1+M39)-(Dashboard!$C$11)/(1-Dashboard!$C$17)*((1+Dashboard!$C$12)^$CZ39),0)</f>
        <v>565171.39886486251</v>
      </c>
      <c r="DM39" s="126">
        <f ca="1">MAX(DM38*(1+N39)-(Dashboard!$C$11)/(1-Dashboard!$C$17)*((1+Dashboard!$C$12)^$CZ39),0)</f>
        <v>12833088.702971846</v>
      </c>
      <c r="DN39" s="126">
        <f ca="1">MAX(DN38*(1+O39)-(Dashboard!$C$11)/(1-Dashboard!$C$17)*((1+Dashboard!$C$12)^$CZ39),0)</f>
        <v>59513980.897715844</v>
      </c>
      <c r="DO39" s="126">
        <f ca="1">MAX(DO38*(1+P39)-(Dashboard!$C$11)/(1-Dashboard!$C$17)*((1+Dashboard!$C$12)^$CZ39),0)</f>
        <v>3961806.9250919237</v>
      </c>
      <c r="DP39" s="126">
        <f ca="1">MAX(DP38*(1+Q39)-(Dashboard!$C$11)/(1-Dashboard!$C$17)*((1+Dashboard!$C$12)^$CZ39),0)</f>
        <v>7507318.2472048905</v>
      </c>
      <c r="DQ39" s="126">
        <f ca="1">MAX(DQ38*(1+R39)-(Dashboard!$C$11)/(1-Dashboard!$C$17)*((1+Dashboard!$C$12)^$CZ39),0)</f>
        <v>12310779.455605773</v>
      </c>
      <c r="DR39" s="126">
        <f ca="1">MAX(DR38*(1+S39)-(Dashboard!$C$11)/(1-Dashboard!$C$17)*((1+Dashboard!$C$12)^$CZ39),0)</f>
        <v>24890809.004642814</v>
      </c>
      <c r="DS39" s="126">
        <f ca="1">MAX(DS38*(1+T39)-(Dashboard!$C$11)/(1-Dashboard!$C$17)*((1+Dashboard!$C$12)^$CZ39),0)</f>
        <v>612256.32096635597</v>
      </c>
      <c r="DT39" s="126">
        <f ca="1">MAX(DT38*(1+U39)-(Dashboard!$C$11)/(1-Dashboard!$C$17)*((1+Dashboard!$C$12)^$CZ39),0)</f>
        <v>3330204.0208512908</v>
      </c>
      <c r="DU39" s="126">
        <f ca="1">MAX(DU38*(1+V39)-(Dashboard!$C$11)/(1-Dashboard!$C$17)*((1+Dashboard!$C$12)^$CZ39),0)</f>
        <v>7650961.5876434837</v>
      </c>
      <c r="DV39" s="126">
        <f ca="1">MAX(DV38*(1+W39)-(Dashboard!$C$11)/(1-Dashboard!$C$17)*((1+Dashboard!$C$12)^$CZ39),0)</f>
        <v>54923135.975388922</v>
      </c>
      <c r="DW39" s="126">
        <f ca="1">MAX(DW38*(1+X39)-(Dashboard!$C$11)/(1-Dashboard!$C$17)*((1+Dashboard!$C$12)^$CZ39),0)</f>
        <v>4314229.0993844988</v>
      </c>
      <c r="DX39" s="126">
        <f ca="1">MAX(DX38*(1+Y39)-(Dashboard!$C$11)/(1-Dashboard!$C$17)*((1+Dashboard!$C$12)^$CZ39),0)</f>
        <v>4184975.9229202941</v>
      </c>
      <c r="DY39" s="126">
        <f ca="1">MAX(DY38*(1+Z39)-(Dashboard!$C$11)/(1-Dashboard!$C$17)*((1+Dashboard!$C$12)^$CZ39),0)</f>
        <v>14266610.279338837</v>
      </c>
      <c r="DZ39" s="126">
        <f ca="1">MAX(DZ38*(1+AA39)-(Dashboard!$C$11)/(1-Dashboard!$C$17)*((1+Dashboard!$C$12)^$CZ39),0)</f>
        <v>1562071.5486631445</v>
      </c>
      <c r="EA39" s="126">
        <f ca="1">MAX(EA38*(1+AB39)-(Dashboard!$C$11)/(1-Dashboard!$C$17)*((1+Dashboard!$C$12)^$CZ39),0)</f>
        <v>9447021.5208829846</v>
      </c>
      <c r="EB39" s="126">
        <f ca="1">MAX(EB38*(1+AC39)-(Dashboard!$C$11)/(1-Dashboard!$C$17)*((1+Dashboard!$C$12)^$CZ39),0)</f>
        <v>12116876.297973162</v>
      </c>
      <c r="EC39" s="126">
        <f ca="1">MAX(EC38*(1+AD39)-(Dashboard!$C$11)/(1-Dashboard!$C$17)*((1+Dashboard!$C$12)^$CZ39),0)</f>
        <v>19534470.407401018</v>
      </c>
      <c r="ED39" s="126">
        <f ca="1">MAX(ED38*(1+AE39)-(Dashboard!$C$11)/(1-Dashboard!$C$17)*((1+Dashboard!$C$12)^$CZ39),0)</f>
        <v>10854158.469569437</v>
      </c>
      <c r="EE39" s="126">
        <f ca="1">MAX(EE38*(1+AF39)-(Dashboard!$C$11)/(1-Dashboard!$C$17)*((1+Dashboard!$C$12)^$CZ39),0)</f>
        <v>23999591.237466123</v>
      </c>
      <c r="EF39" s="126">
        <f ca="1">MAX(EF38*(1+AG39)-(Dashboard!$C$11)/(1-Dashboard!$C$17)*((1+Dashboard!$C$12)^$CZ39),0)</f>
        <v>2202545.8027689741</v>
      </c>
      <c r="EG39" s="126">
        <f ca="1">MAX(EG38*(1+AH39)-(Dashboard!$C$11)/(1-Dashboard!$C$17)*((1+Dashboard!$C$12)^$CZ39),0)</f>
        <v>13653376.857647723</v>
      </c>
      <c r="EH39" s="126">
        <f ca="1">MAX(EH38*(1+AI39)-(Dashboard!$C$11)/(1-Dashboard!$C$17)*((1+Dashboard!$C$12)^$CZ39),0)</f>
        <v>35794452.38572903</v>
      </c>
      <c r="EI39" s="126">
        <f ca="1">MAX(EI38*(1+AJ39)-(Dashboard!$C$11)/(1-Dashboard!$C$17)*((1+Dashboard!$C$12)^$CZ39),0)</f>
        <v>6510.4624834793358</v>
      </c>
      <c r="EJ39" s="126">
        <f ca="1">MAX(EJ38*(1+AK39)-(Dashboard!$C$11)/(1-Dashboard!$C$17)*((1+Dashboard!$C$12)^$CZ39),0)</f>
        <v>17618580.071953055</v>
      </c>
      <c r="EK39" s="126">
        <f ca="1">MAX(EK38*(1+AL39)-(Dashboard!$C$11)/(1-Dashboard!$C$17)*((1+Dashboard!$C$12)^$CZ39),0)</f>
        <v>6636652.8017814374</v>
      </c>
      <c r="EL39" s="126">
        <f ca="1">MAX(EL38*(1+AM39)-(Dashboard!$C$11)/(1-Dashboard!$C$17)*((1+Dashboard!$C$12)^$CZ39),0)</f>
        <v>1596314.6822637434</v>
      </c>
      <c r="EM39" s="126">
        <f ca="1">MAX(EM38*(1+AN39)-(Dashboard!$C$11)/(1-Dashboard!$C$17)*((1+Dashboard!$C$12)^$CZ39),0)</f>
        <v>32432630.291754939</v>
      </c>
      <c r="EN39" s="126">
        <f ca="1">MAX(EN38*(1+AO39)-(Dashboard!$C$11)/(1-Dashboard!$C$17)*((1+Dashboard!$C$12)^$CZ39),0)</f>
        <v>2945672.5101794489</v>
      </c>
      <c r="EO39" s="126">
        <f ca="1">MAX(EO38*(1+AP39)-(Dashboard!$C$11)/(1-Dashboard!$C$17)*((1+Dashboard!$C$12)^$CZ39),0)</f>
        <v>0</v>
      </c>
      <c r="EP39" s="126">
        <f ca="1">MAX(EP38*(1+AQ39)-(Dashboard!$C$11)/(1-Dashboard!$C$17)*((1+Dashboard!$C$12)^$CZ39),0)</f>
        <v>7229722.5891930154</v>
      </c>
      <c r="EQ39" s="126">
        <f ca="1">MAX(EQ38*(1+AR39)-(Dashboard!$C$11)/(1-Dashboard!$C$17)*((1+Dashboard!$C$12)^$CZ39),0)</f>
        <v>6012747.4873621911</v>
      </c>
      <c r="ER39" s="126">
        <f ca="1">MAX(ER38*(1+AS39)-(Dashboard!$C$11)/(1-Dashboard!$C$17)*((1+Dashboard!$C$12)^$CZ39),0)</f>
        <v>2453013.0831798818</v>
      </c>
      <c r="ES39" s="126">
        <f ca="1">MAX(ES38*(1+AT39)-(Dashboard!$C$11)/(1-Dashboard!$C$17)*((1+Dashboard!$C$12)^$CZ39),0)</f>
        <v>18168606.135595024</v>
      </c>
      <c r="ET39" s="126">
        <f ca="1">MAX(ET38*(1+AU39)-(Dashboard!$C$11)/(1-Dashboard!$C$17)*((1+Dashboard!$C$12)^$CZ39),0)</f>
        <v>8968584.6671621632</v>
      </c>
      <c r="EU39" s="126">
        <f ca="1">MAX(EU38*(1+AV39)-(Dashboard!$C$11)/(1-Dashboard!$C$17)*((1+Dashboard!$C$12)^$CZ39),0)</f>
        <v>6720177.5918931989</v>
      </c>
      <c r="EV39" s="126">
        <f ca="1">MAX(EV38*(1+AW39)-(Dashboard!$C$11)/(1-Dashboard!$C$17)*((1+Dashboard!$C$12)^$CZ39),0)</f>
        <v>85895030.080399558</v>
      </c>
      <c r="EW39" s="126">
        <f ca="1">MAX(EW38*(1+AX39)-(Dashboard!$C$11)/(1-Dashboard!$C$17)*((1+Dashboard!$C$12)^$CZ39),0)</f>
        <v>2600322.9918459952</v>
      </c>
      <c r="EX39" s="126">
        <f ca="1">MAX(EX38*(1+AY39)-(Dashboard!$C$11)/(1-Dashboard!$C$17)*((1+Dashboard!$C$12)^$CZ39),0)</f>
        <v>8147422.6054030079</v>
      </c>
      <c r="EY39" s="126">
        <f ca="1">MAX(EY38*(1+AZ39)-(Dashboard!$C$11)/(1-Dashboard!$C$17)*((1+Dashboard!$C$12)^$CZ39),0)</f>
        <v>23864609.326235767</v>
      </c>
      <c r="EZ39" s="126">
        <f ca="1">MAX(EZ38*(1+BA39)-(Dashboard!$C$11)/(1-Dashboard!$C$17)*((1+Dashboard!$C$12)^$CZ39),0)</f>
        <v>6953184.1376115875</v>
      </c>
      <c r="FA39" s="126">
        <f ca="1">MAX(FA38*(1+BB39)-(Dashboard!$C$11)/(1-Dashboard!$C$17)*((1+Dashboard!$C$12)^$CZ39),0)</f>
        <v>22377408.519152287</v>
      </c>
      <c r="FB39" s="126">
        <f ca="1">MAX(FB38*(1+BC39)-(Dashboard!$C$11)/(1-Dashboard!$C$17)*((1+Dashboard!$C$12)^$CZ39),0)</f>
        <v>760970.85330713214</v>
      </c>
      <c r="FC39" s="126">
        <f ca="1">MAX(FC38*(1+BD39)-(Dashboard!$C$11)/(1-Dashboard!$C$17)*((1+Dashboard!$C$12)^$CZ39),0)</f>
        <v>6285592.794895676</v>
      </c>
      <c r="FD39" s="126">
        <f ca="1">MAX(FD38*(1+BE39)-(Dashboard!$C$11)/(1-Dashboard!$C$17)*((1+Dashboard!$C$12)^$CZ39),0)</f>
        <v>34083484.193047933</v>
      </c>
      <c r="FE39" s="126">
        <f ca="1">MAX(FE38*(1+BF39)-(Dashboard!$C$11)/(1-Dashboard!$C$17)*((1+Dashboard!$C$12)^$CZ39),0)</f>
        <v>40176746.08371567</v>
      </c>
      <c r="FF39" s="126">
        <f ca="1">MAX(FF38*(1+BG39)-(Dashboard!$C$11)/(1-Dashboard!$C$17)*((1+Dashboard!$C$12)^$CZ39),0)</f>
        <v>10617531.116311515</v>
      </c>
      <c r="FG39" s="126">
        <f ca="1">MAX(FG38*(1+BH39)-(Dashboard!$C$11)/(1-Dashboard!$C$17)*((1+Dashboard!$C$12)^$CZ39),0)</f>
        <v>6498302.8487665867</v>
      </c>
      <c r="FH39" s="126">
        <f ca="1">MAX(FH38*(1+BI39)-(Dashboard!$C$11)/(1-Dashboard!$C$17)*((1+Dashboard!$C$12)^$CZ39),0)</f>
        <v>3706943.1179794888</v>
      </c>
      <c r="FI39" s="126">
        <f ca="1">MAX(FI38*(1+BJ39)-(Dashboard!$C$11)/(1-Dashboard!$C$17)*((1+Dashboard!$C$12)^$CZ39),0)</f>
        <v>21967752.488417152</v>
      </c>
      <c r="FJ39" s="126">
        <f ca="1">MAX(FJ38*(1+BK39)-(Dashboard!$C$11)/(1-Dashboard!$C$17)*((1+Dashboard!$C$12)^$CZ39),0)</f>
        <v>6407638.130857572</v>
      </c>
      <c r="FK39" s="126">
        <f ca="1">MAX(FK38*(1+BL39)-(Dashboard!$C$11)/(1-Dashboard!$C$17)*((1+Dashboard!$C$12)^$CZ39),0)</f>
        <v>5309582.0283666831</v>
      </c>
      <c r="FL39" s="126">
        <f ca="1">MAX(FL38*(1+BM39)-(Dashboard!$C$11)/(1-Dashboard!$C$17)*((1+Dashboard!$C$12)^$CZ39),0)</f>
        <v>4323638.9213560857</v>
      </c>
      <c r="FM39" s="126">
        <f ca="1">MAX(FM38*(1+BN39)-(Dashboard!$C$11)/(1-Dashboard!$C$17)*((1+Dashboard!$C$12)^$CZ39),0)</f>
        <v>7958233.4607761288</v>
      </c>
      <c r="FN39" s="126">
        <f ca="1">MAX(FN38*(1+BO39)-(Dashboard!$C$11)/(1-Dashboard!$C$17)*((1+Dashboard!$C$12)^$CZ39),0)</f>
        <v>0</v>
      </c>
      <c r="FO39" s="126">
        <f ca="1">MAX(FO38*(1+BP39)-(Dashboard!$C$11)/(1-Dashboard!$C$17)*((1+Dashboard!$C$12)^$CZ39),0)</f>
        <v>10615859.215242201</v>
      </c>
      <c r="FP39" s="126">
        <f ca="1">MAX(FP38*(1+BQ39)-(Dashboard!$C$11)/(1-Dashboard!$C$17)*((1+Dashboard!$C$12)^$CZ39),0)</f>
        <v>6585324.9981440734</v>
      </c>
      <c r="FQ39" s="126">
        <f ca="1">MAX(FQ38*(1+BR39)-(Dashboard!$C$11)/(1-Dashboard!$C$17)*((1+Dashboard!$C$12)^$CZ39),0)</f>
        <v>5380061.2894415203</v>
      </c>
      <c r="FR39" s="126">
        <f ca="1">MAX(FR38*(1+BS39)-(Dashboard!$C$11)/(1-Dashboard!$C$17)*((1+Dashboard!$C$12)^$CZ39),0)</f>
        <v>15506490.976534806</v>
      </c>
      <c r="FS39" s="126">
        <f ca="1">MAX(FS38*(1+BT39)-(Dashboard!$C$11)/(1-Dashboard!$C$17)*((1+Dashboard!$C$12)^$CZ39),0)</f>
        <v>15818291.692499736</v>
      </c>
      <c r="FT39" s="126">
        <f ca="1">MAX(FT38*(1+BU39)-(Dashboard!$C$11)/(1-Dashboard!$C$17)*((1+Dashboard!$C$12)^$CZ39),0)</f>
        <v>1296218.5834926604</v>
      </c>
      <c r="FU39" s="126">
        <f ca="1">MAX(FU38*(1+BV39)-(Dashboard!$C$11)/(1-Dashboard!$C$17)*((1+Dashboard!$C$12)^$CZ39),0)</f>
        <v>2161933.653909951</v>
      </c>
      <c r="FV39" s="126">
        <f ca="1">MAX(FV38*(1+BW39)-(Dashboard!$C$11)/(1-Dashboard!$C$17)*((1+Dashboard!$C$12)^$CZ39),0)</f>
        <v>5111950.5086376024</v>
      </c>
      <c r="FW39" s="126">
        <f ca="1">MAX(FW38*(1+BX39)-(Dashboard!$C$11)/(1-Dashboard!$C$17)*((1+Dashboard!$C$12)^$CZ39),0)</f>
        <v>6094201.0120373052</v>
      </c>
      <c r="FX39" s="126">
        <f ca="1">MAX(FX38*(1+BY39)-(Dashboard!$C$11)/(1-Dashboard!$C$17)*((1+Dashboard!$C$12)^$CZ39),0)</f>
        <v>1903869.3555432265</v>
      </c>
      <c r="FY39" s="126">
        <f ca="1">MAX(FY38*(1+BZ39)-(Dashboard!$C$11)/(1-Dashboard!$C$17)*((1+Dashboard!$C$12)^$CZ39),0)</f>
        <v>2537671.8184605665</v>
      </c>
      <c r="FZ39" s="126">
        <f ca="1">MAX(FZ38*(1+CA39)-(Dashboard!$C$11)/(1-Dashboard!$C$17)*((1+Dashboard!$C$12)^$CZ39),0)</f>
        <v>37592386.809961334</v>
      </c>
      <c r="GA39" s="126">
        <f ca="1">MAX(GA38*(1+CB39)-(Dashboard!$C$11)/(1-Dashboard!$C$17)*((1+Dashboard!$C$12)^$CZ39),0)</f>
        <v>19624148.697684254</v>
      </c>
      <c r="GB39" s="126">
        <f ca="1">MAX(GB38*(1+CC39)-(Dashboard!$C$11)/(1-Dashboard!$C$17)*((1+Dashboard!$C$12)^$CZ39),0)</f>
        <v>4627487.2843860444</v>
      </c>
      <c r="GC39" s="126">
        <f ca="1">MAX(GC38*(1+CD39)-(Dashboard!$C$11)/(1-Dashboard!$C$17)*((1+Dashboard!$C$12)^$CZ39),0)</f>
        <v>14731377.818332983</v>
      </c>
      <c r="GD39" s="126">
        <f ca="1">MAX(GD38*(1+CE39)-(Dashboard!$C$11)/(1-Dashboard!$C$17)*((1+Dashboard!$C$12)^$CZ39),0)</f>
        <v>75176252.71665661</v>
      </c>
      <c r="GE39" s="126">
        <f ca="1">MAX(GE38*(1+CF39)-(Dashboard!$C$11)/(1-Dashboard!$C$17)*((1+Dashboard!$C$12)^$CZ39),0)</f>
        <v>10132579.397764828</v>
      </c>
      <c r="GF39" s="126">
        <f ca="1">MAX(GF38*(1+CG39)-(Dashboard!$C$11)/(1-Dashboard!$C$17)*((1+Dashboard!$C$12)^$CZ39),0)</f>
        <v>9882775.653215304</v>
      </c>
      <c r="GG39" s="126">
        <f ca="1">MAX(GG38*(1+CH39)-(Dashboard!$C$11)/(1-Dashboard!$C$17)*((1+Dashboard!$C$12)^$CZ39),0)</f>
        <v>1505137.2494258897</v>
      </c>
      <c r="GH39" s="126">
        <f ca="1">MAX(GH38*(1+CI39)-(Dashboard!$C$11)/(1-Dashboard!$C$17)*((1+Dashboard!$C$12)^$CZ39),0)</f>
        <v>3935805.9946214352</v>
      </c>
      <c r="GI39" s="126">
        <f ca="1">MAX(GI38*(1+CJ39)-(Dashboard!$C$11)/(1-Dashboard!$C$17)*((1+Dashboard!$C$12)^$CZ39),0)</f>
        <v>20568345.301713798</v>
      </c>
      <c r="GJ39" s="126">
        <f ca="1">MAX(GJ38*(1+CK39)-(Dashboard!$C$11)/(1-Dashboard!$C$17)*((1+Dashboard!$C$12)^$CZ39),0)</f>
        <v>60055152.393271558</v>
      </c>
      <c r="GK39" s="126">
        <f ca="1">MAX(GK38*(1+CL39)-(Dashboard!$C$11)/(1-Dashboard!$C$17)*((1+Dashboard!$C$12)^$CZ39),0)</f>
        <v>5826776.7830404416</v>
      </c>
      <c r="GL39" s="126">
        <f ca="1">MAX(GL38*(1+CM39)-(Dashboard!$C$11)/(1-Dashboard!$C$17)*((1+Dashboard!$C$12)^$CZ39),0)</f>
        <v>18057222.954826578</v>
      </c>
      <c r="GM39" s="126">
        <f ca="1">MAX(GM38*(1+CN39)-(Dashboard!$C$11)/(1-Dashboard!$C$17)*((1+Dashboard!$C$12)^$CZ39),0)</f>
        <v>2789442.2801159858</v>
      </c>
      <c r="GN39" s="126">
        <f ca="1">MAX(GN38*(1+CO39)-(Dashboard!$C$11)/(1-Dashboard!$C$17)*((1+Dashboard!$C$12)^$CZ39),0)</f>
        <v>0</v>
      </c>
      <c r="GO39" s="126">
        <f ca="1">MAX(GO38*(1+CP39)-(Dashboard!$C$11)/(1-Dashboard!$C$17)*((1+Dashboard!$C$12)^$CZ39),0)</f>
        <v>18525658.867411382</v>
      </c>
      <c r="GP39" s="126">
        <f ca="1">MAX(GP38*(1+CQ39)-(Dashboard!$C$11)/(1-Dashboard!$C$17)*((1+Dashboard!$C$12)^$CZ39),0)</f>
        <v>15048285.195995983</v>
      </c>
      <c r="GQ39" s="126">
        <f ca="1">MAX(GQ38*(1+CR39)-(Dashboard!$C$11)/(1-Dashboard!$C$17)*((1+Dashboard!$C$12)^$CZ39),0)</f>
        <v>1240536.4155374221</v>
      </c>
      <c r="GR39" s="126">
        <f ca="1">MAX(GR38*(1+CS39)-(Dashboard!$C$11)/(1-Dashboard!$C$17)*((1+Dashboard!$C$12)^$CZ39),0)</f>
        <v>5051710.5476027792</v>
      </c>
      <c r="GS39" s="126">
        <f ca="1">MAX(GS38*(1+CT39)-(Dashboard!$C$11)/(1-Dashboard!$C$17)*((1+Dashboard!$C$12)^$CZ39),0)</f>
        <v>12632960.005538085</v>
      </c>
      <c r="GT39" s="126">
        <f ca="1">MAX(GT38*(1+CU39)-(Dashboard!$C$11)/(1-Dashboard!$C$17)*((1+Dashboard!$C$12)^$CZ39),0)</f>
        <v>38386406.355914883</v>
      </c>
      <c r="GU39" s="126">
        <f ca="1">MAX(GU38*(1+CV39)-(Dashboard!$C$11)/(1-Dashboard!$C$17)*((1+Dashboard!$C$12)^$CZ39),0)</f>
        <v>6516164.322079232</v>
      </c>
      <c r="GV39" s="126">
        <f ca="1">MAX(GV38*(1+CW39)-(Dashboard!$C$11)/(1-Dashboard!$C$17)*((1+Dashboard!$C$12)^$CZ39),0)</f>
        <v>3166457.2751879022</v>
      </c>
      <c r="GW39" s="115">
        <f t="shared" si="4"/>
        <v>88</v>
      </c>
      <c r="GX39" s="130">
        <f t="shared" ca="1" si="2"/>
        <v>96</v>
      </c>
      <c r="HC39" s="130">
        <f t="shared" si="7"/>
        <v>88</v>
      </c>
      <c r="HD39" s="137">
        <f t="shared" ca="1" si="6"/>
        <v>3207393.9616037495</v>
      </c>
      <c r="HE39" s="137">
        <f t="shared" ca="1" si="6"/>
        <v>7249726.2631458957</v>
      </c>
      <c r="HF39" s="137">
        <f t="shared" ca="1" si="6"/>
        <v>17265306.627725404</v>
      </c>
    </row>
    <row r="40" spans="1:214" ht="16">
      <c r="A40" s="145">
        <f t="shared" si="3"/>
        <v>89</v>
      </c>
      <c r="B40" s="122">
        <f ca="1">(Dashboard!$C$7*'Equity and Bond Returns'!N40)+(Dashboard!$C$8*'Equity and Bond Returns'!DL40)</f>
        <v>9.290089599392598E-2</v>
      </c>
      <c r="C40" s="122">
        <f ca="1">(Dashboard!$C$7*'Equity and Bond Returns'!O40)+(Dashboard!$C$8*'Equity and Bond Returns'!DM40)</f>
        <v>0.14709602159181101</v>
      </c>
      <c r="D40" s="122">
        <f ca="1">(Dashboard!$C$7*'Equity and Bond Returns'!P40)+(Dashboard!$C$8*'Equity and Bond Returns'!DN40)</f>
        <v>4.6066920097413921E-2</v>
      </c>
      <c r="E40" s="122">
        <f ca="1">(Dashboard!$C$7*'Equity and Bond Returns'!Q40)+(Dashboard!$C$8*'Equity and Bond Returns'!DO40)</f>
        <v>5.9529315500485486E-2</v>
      </c>
      <c r="F40" s="122">
        <f ca="1">(Dashboard!$C$7*'Equity and Bond Returns'!R40)+(Dashboard!$C$8*'Equity and Bond Returns'!DP40)</f>
        <v>0.16837254677088412</v>
      </c>
      <c r="G40" s="122">
        <f ca="1">(Dashboard!$C$7*'Equity and Bond Returns'!S40)+(Dashboard!$C$8*'Equity and Bond Returns'!DQ40)</f>
        <v>9.9594103790972555E-2</v>
      </c>
      <c r="H40" s="122">
        <f ca="1">(Dashboard!$C$7*'Equity and Bond Returns'!T40)+(Dashboard!$C$8*'Equity and Bond Returns'!DR40)</f>
        <v>0.11830898660436549</v>
      </c>
      <c r="I40" s="122">
        <f ca="1">(Dashboard!$C$7*'Equity and Bond Returns'!U40)+(Dashboard!$C$8*'Equity and Bond Returns'!DS40)</f>
        <v>0.35366203395815882</v>
      </c>
      <c r="J40" s="122">
        <f ca="1">(Dashboard!$C$7*'Equity and Bond Returns'!V40)+(Dashboard!$C$8*'Equity and Bond Returns'!DT40)</f>
        <v>0.27352043823633376</v>
      </c>
      <c r="K40" s="122">
        <f ca="1">(Dashboard!$C$7*'Equity and Bond Returns'!W40)+(Dashboard!$C$8*'Equity and Bond Returns'!DU40)</f>
        <v>0.10332826327306119</v>
      </c>
      <c r="L40" s="122">
        <f ca="1">(Dashboard!$C$7*'Equity and Bond Returns'!X40)+(Dashboard!$C$8*'Equity and Bond Returns'!DV40)</f>
        <v>0.18444158729516891</v>
      </c>
      <c r="M40" s="122">
        <f ca="1">(Dashboard!$C$7*'Equity and Bond Returns'!Y40)+(Dashboard!$C$8*'Equity and Bond Returns'!DW40)</f>
        <v>2.7604752102244515E-2</v>
      </c>
      <c r="N40" s="122">
        <f ca="1">(Dashboard!$C$7*'Equity and Bond Returns'!Z40)+(Dashboard!$C$8*'Equity and Bond Returns'!DX40)</f>
        <v>0.1493557886837083</v>
      </c>
      <c r="O40" s="122">
        <f ca="1">(Dashboard!$C$7*'Equity and Bond Returns'!AA40)+(Dashboard!$C$8*'Equity and Bond Returns'!DY40)</f>
        <v>0.10280977000694017</v>
      </c>
      <c r="P40" s="122">
        <f ca="1">(Dashboard!$C$7*'Equity and Bond Returns'!AB40)+(Dashboard!$C$8*'Equity and Bond Returns'!DZ40)</f>
        <v>2.5723137663908921E-2</v>
      </c>
      <c r="Q40" s="122">
        <f ca="1">(Dashboard!$C$7*'Equity and Bond Returns'!AC40)+(Dashboard!$C$8*'Equity and Bond Returns'!EA40)</f>
        <v>4.7712099864724543E-2</v>
      </c>
      <c r="R40" s="122">
        <f ca="1">(Dashboard!$C$7*'Equity and Bond Returns'!AD40)+(Dashboard!$C$8*'Equity and Bond Returns'!EB40)</f>
        <v>-0.27491263038805808</v>
      </c>
      <c r="S40" s="122">
        <f ca="1">(Dashboard!$C$7*'Equity and Bond Returns'!AE40)+(Dashboard!$C$8*'Equity and Bond Returns'!EC40)</f>
        <v>0.11756537169785712</v>
      </c>
      <c r="T40" s="122">
        <f ca="1">(Dashboard!$C$7*'Equity and Bond Returns'!AF40)+(Dashboard!$C$8*'Equity and Bond Returns'!ED40)</f>
        <v>0.12773301774249307</v>
      </c>
      <c r="U40" s="122">
        <f ca="1">(Dashboard!$C$7*'Equity and Bond Returns'!AG40)+(Dashboard!$C$8*'Equity and Bond Returns'!EE40)</f>
        <v>-9.1981264526889109E-2</v>
      </c>
      <c r="V40" s="122">
        <f ca="1">(Dashboard!$C$7*'Equity and Bond Returns'!AH40)+(Dashboard!$C$8*'Equity and Bond Returns'!EF40)</f>
        <v>-0.1779175497317611</v>
      </c>
      <c r="W40" s="122">
        <f ca="1">(Dashboard!$C$7*'Equity and Bond Returns'!AI40)+(Dashboard!$C$8*'Equity and Bond Returns'!EG40)</f>
        <v>0.22405274564571651</v>
      </c>
      <c r="X40" s="122">
        <f ca="1">(Dashboard!$C$7*'Equity and Bond Returns'!AJ40)+(Dashboard!$C$8*'Equity and Bond Returns'!EH40)</f>
        <v>0.27592600835501657</v>
      </c>
      <c r="Y40" s="122">
        <f ca="1">(Dashboard!$C$7*'Equity and Bond Returns'!AK40)+(Dashboard!$C$8*'Equity and Bond Returns'!EI40)</f>
        <v>0.28842376442155798</v>
      </c>
      <c r="Z40" s="122">
        <f ca="1">(Dashboard!$C$7*'Equity and Bond Returns'!AL40)+(Dashboard!$C$8*'Equity and Bond Returns'!EJ40)</f>
        <v>-1.8572047923776563E-2</v>
      </c>
      <c r="AA40" s="122">
        <f ca="1">(Dashboard!$C$7*'Equity and Bond Returns'!AM40)+(Dashboard!$C$8*'Equity and Bond Returns'!EK40)</f>
        <v>-7.6369737902601736E-2</v>
      </c>
      <c r="AB40" s="122">
        <f ca="1">(Dashboard!$C$7*'Equity and Bond Returns'!AN40)+(Dashboard!$C$8*'Equity and Bond Returns'!EL40)</f>
        <v>3.1461970003815329E-2</v>
      </c>
      <c r="AC40" s="122">
        <f ca="1">(Dashboard!$C$7*'Equity and Bond Returns'!AO40)+(Dashboard!$C$8*'Equity and Bond Returns'!EM40)</f>
        <v>-8.1583175905636768E-2</v>
      </c>
      <c r="AD40" s="122">
        <f ca="1">(Dashboard!$C$7*'Equity and Bond Returns'!AP40)+(Dashboard!$C$8*'Equity and Bond Returns'!EN40)</f>
        <v>0.10869710514455616</v>
      </c>
      <c r="AE40" s="122">
        <f ca="1">(Dashboard!$C$7*'Equity and Bond Returns'!AQ40)+(Dashboard!$C$8*'Equity and Bond Returns'!EO40)</f>
        <v>0.37036865545714143</v>
      </c>
      <c r="AF40" s="122">
        <f ca="1">(Dashboard!$C$7*'Equity and Bond Returns'!AR40)+(Dashboard!$C$8*'Equity and Bond Returns'!EP40)</f>
        <v>0.13226322162752083</v>
      </c>
      <c r="AG40" s="122">
        <f ca="1">(Dashboard!$C$7*'Equity and Bond Returns'!AS40)+(Dashboard!$C$8*'Equity and Bond Returns'!EQ40)</f>
        <v>0.1219668480126033</v>
      </c>
      <c r="AH40" s="122">
        <f ca="1">(Dashboard!$C$7*'Equity and Bond Returns'!AT40)+(Dashboard!$C$8*'Equity and Bond Returns'!ER40)</f>
        <v>-2.996204420286696E-2</v>
      </c>
      <c r="AI40" s="122">
        <f ca="1">(Dashboard!$C$7*'Equity and Bond Returns'!AU40)+(Dashboard!$C$8*'Equity and Bond Returns'!ES40)</f>
        <v>-8.4346681689517079E-3</v>
      </c>
      <c r="AJ40" s="122">
        <f ca="1">(Dashboard!$C$7*'Equity and Bond Returns'!AV40)+(Dashboard!$C$8*'Equity and Bond Returns'!ET40)</f>
        <v>-2.5607146254934147E-2</v>
      </c>
      <c r="AK40" s="122">
        <f ca="1">(Dashboard!$C$7*'Equity and Bond Returns'!AW40)+(Dashboard!$C$8*'Equity and Bond Returns'!EU40)</f>
        <v>7.324230144063941E-2</v>
      </c>
      <c r="AL40" s="122">
        <f ca="1">(Dashboard!$C$7*'Equity and Bond Returns'!AX40)+(Dashboard!$C$8*'Equity and Bond Returns'!EV40)</f>
        <v>-0.17032398633397774</v>
      </c>
      <c r="AM40" s="122">
        <f ca="1">(Dashboard!$C$7*'Equity and Bond Returns'!AY40)+(Dashboard!$C$8*'Equity and Bond Returns'!EW40)</f>
        <v>6.5310259070070542E-2</v>
      </c>
      <c r="AN40" s="122">
        <f ca="1">(Dashboard!$C$7*'Equity and Bond Returns'!AZ40)+(Dashboard!$C$8*'Equity and Bond Returns'!EX40)</f>
        <v>6.0383003931932099E-2</v>
      </c>
      <c r="AO40" s="122">
        <f ca="1">(Dashboard!$C$7*'Equity and Bond Returns'!BA40)+(Dashboard!$C$8*'Equity and Bond Returns'!EY40)</f>
        <v>0.12483331144917574</v>
      </c>
      <c r="AP40" s="122">
        <f ca="1">(Dashboard!$C$7*'Equity and Bond Returns'!BB40)+(Dashboard!$C$8*'Equity and Bond Returns'!EZ40)</f>
        <v>0.15888081658747275</v>
      </c>
      <c r="AQ40" s="122">
        <f ca="1">(Dashboard!$C$7*'Equity and Bond Returns'!BC40)+(Dashboard!$C$8*'Equity and Bond Returns'!FA40)</f>
        <v>0.23880010446712754</v>
      </c>
      <c r="AR40" s="122">
        <f ca="1">(Dashboard!$C$7*'Equity and Bond Returns'!BD40)+(Dashboard!$C$8*'Equity and Bond Returns'!FB40)</f>
        <v>-9.6850782900574944E-2</v>
      </c>
      <c r="AS40" s="122">
        <f ca="1">(Dashboard!$C$7*'Equity and Bond Returns'!BE40)+(Dashboard!$C$8*'Equity and Bond Returns'!FC40)</f>
        <v>0.21681153830527025</v>
      </c>
      <c r="AT40" s="122">
        <f ca="1">(Dashboard!$C$7*'Equity and Bond Returns'!BF40)+(Dashboard!$C$8*'Equity and Bond Returns'!FD40)</f>
        <v>0.39529441585065056</v>
      </c>
      <c r="AU40" s="122">
        <f ca="1">(Dashboard!$C$7*'Equity and Bond Returns'!BG40)+(Dashboard!$C$8*'Equity and Bond Returns'!FE40)</f>
        <v>3.3218408471336662E-2</v>
      </c>
      <c r="AV40" s="122">
        <f ca="1">(Dashboard!$C$7*'Equity and Bond Returns'!BH40)+(Dashboard!$C$8*'Equity and Bond Returns'!FF40)</f>
        <v>0.19253754871732265</v>
      </c>
      <c r="AW40" s="122">
        <f ca="1">(Dashboard!$C$7*'Equity and Bond Returns'!BI40)+(Dashboard!$C$8*'Equity and Bond Returns'!FG40)</f>
        <v>-0.15819643189972699</v>
      </c>
      <c r="AX40" s="122">
        <f ca="1">(Dashboard!$C$7*'Equity and Bond Returns'!BJ40)+(Dashboard!$C$8*'Equity and Bond Returns'!FH40)</f>
        <v>0.2123572498443847</v>
      </c>
      <c r="AY40" s="122">
        <f ca="1">(Dashboard!$C$7*'Equity and Bond Returns'!BK40)+(Dashboard!$C$8*'Equity and Bond Returns'!FI40)</f>
        <v>-9.7429577036439216E-2</v>
      </c>
      <c r="AZ40" s="122">
        <f ca="1">(Dashboard!$C$7*'Equity and Bond Returns'!BL40)+(Dashboard!$C$8*'Equity and Bond Returns'!FJ40)</f>
        <v>-8.8301628389408263E-2</v>
      </c>
      <c r="BA40" s="122">
        <f ca="1">(Dashboard!$C$7*'Equity and Bond Returns'!BM40)+(Dashboard!$C$8*'Equity and Bond Returns'!FK40)</f>
        <v>7.2686268284876704E-2</v>
      </c>
      <c r="BB40" s="122">
        <f ca="1">(Dashboard!$C$7*'Equity and Bond Returns'!BN40)+(Dashboard!$C$8*'Equity and Bond Returns'!FL40)</f>
        <v>0.27098912213577453</v>
      </c>
      <c r="BC40" s="122">
        <f ca="1">(Dashboard!$C$7*'Equity and Bond Returns'!BO40)+(Dashboard!$C$8*'Equity and Bond Returns'!FM40)</f>
        <v>-8.1913512096558574E-2</v>
      </c>
      <c r="BD40" s="122">
        <f ca="1">(Dashboard!$C$7*'Equity and Bond Returns'!BP40)+(Dashboard!$C$8*'Equity and Bond Returns'!FN40)</f>
        <v>-2.9867637068181976E-3</v>
      </c>
      <c r="BE40" s="122">
        <f ca="1">(Dashboard!$C$7*'Equity and Bond Returns'!BQ40)+(Dashboard!$C$8*'Equity and Bond Returns'!FO40)</f>
        <v>2.8973950421909079E-2</v>
      </c>
      <c r="BF40" s="122">
        <f ca="1">(Dashboard!$C$7*'Equity and Bond Returns'!BR40)+(Dashboard!$C$8*'Equity and Bond Returns'!FP40)</f>
        <v>5.8408130475565263E-2</v>
      </c>
      <c r="BG40" s="122">
        <f ca="1">(Dashboard!$C$7*'Equity and Bond Returns'!BS40)+(Dashboard!$C$8*'Equity and Bond Returns'!FQ40)</f>
        <v>4.3638416821036932E-3</v>
      </c>
      <c r="BH40" s="122">
        <f ca="1">(Dashboard!$C$7*'Equity and Bond Returns'!BT40)+(Dashboard!$C$8*'Equity and Bond Returns'!FR40)</f>
        <v>-0.12694351636068485</v>
      </c>
      <c r="BI40" s="122">
        <f ca="1">(Dashboard!$C$7*'Equity and Bond Returns'!BU40)+(Dashboard!$C$8*'Equity and Bond Returns'!FS40)</f>
        <v>0.13629273838277034</v>
      </c>
      <c r="BJ40" s="122">
        <f ca="1">(Dashboard!$C$7*'Equity and Bond Returns'!BV40)+(Dashboard!$C$8*'Equity and Bond Returns'!FT40)</f>
        <v>2.0449936390514012E-2</v>
      </c>
      <c r="BK40" s="122">
        <f ca="1">(Dashboard!$C$7*'Equity and Bond Returns'!BW40)+(Dashboard!$C$8*'Equity and Bond Returns'!FU40)</f>
        <v>0.17975665906451307</v>
      </c>
      <c r="BL40" s="122">
        <f ca="1">(Dashboard!$C$7*'Equity and Bond Returns'!BX40)+(Dashboard!$C$8*'Equity and Bond Returns'!FV40)</f>
        <v>9.0597662919579158E-2</v>
      </c>
      <c r="BM40" s="122">
        <f ca="1">(Dashboard!$C$7*'Equity and Bond Returns'!BY40)+(Dashboard!$C$8*'Equity and Bond Returns'!FW40)</f>
        <v>0.19361875135982826</v>
      </c>
      <c r="BN40" s="122">
        <f ca="1">(Dashboard!$C$7*'Equity and Bond Returns'!BZ40)+(Dashboard!$C$8*'Equity and Bond Returns'!FX40)</f>
        <v>-4.3489207111190489E-2</v>
      </c>
      <c r="BO40" s="122">
        <f ca="1">(Dashboard!$C$7*'Equity and Bond Returns'!CA40)+(Dashboard!$C$8*'Equity and Bond Returns'!FY40)</f>
        <v>2.4247836121334278E-2</v>
      </c>
      <c r="BP40" s="122">
        <f ca="1">(Dashboard!$C$7*'Equity and Bond Returns'!CB40)+(Dashboard!$C$8*'Equity and Bond Returns'!FZ40)</f>
        <v>-0.10967359110347547</v>
      </c>
      <c r="BQ40" s="122">
        <f ca="1">(Dashboard!$C$7*'Equity and Bond Returns'!CC40)+(Dashboard!$C$8*'Equity and Bond Returns'!GA40)</f>
        <v>-1.7578846701588945E-2</v>
      </c>
      <c r="BR40" s="122">
        <f ca="1">(Dashboard!$C$7*'Equity and Bond Returns'!CD40)+(Dashboard!$C$8*'Equity and Bond Returns'!GB40)</f>
        <v>0.17399348371399001</v>
      </c>
      <c r="BS40" s="122">
        <f ca="1">(Dashboard!$C$7*'Equity and Bond Returns'!CE40)+(Dashboard!$C$8*'Equity and Bond Returns'!GC40)</f>
        <v>0.25023417297802286</v>
      </c>
      <c r="BT40" s="122">
        <f ca="1">(Dashboard!$C$7*'Equity and Bond Returns'!CF40)+(Dashboard!$C$8*'Equity and Bond Returns'!GD40)</f>
        <v>0.10161368273553018</v>
      </c>
      <c r="BU40" s="122">
        <f ca="1">(Dashboard!$C$7*'Equity and Bond Returns'!CG40)+(Dashboard!$C$8*'Equity and Bond Returns'!GE40)</f>
        <v>0.1532909266893131</v>
      </c>
      <c r="BV40" s="122">
        <f ca="1">(Dashboard!$C$7*'Equity and Bond Returns'!CH40)+(Dashboard!$C$8*'Equity and Bond Returns'!GF40)</f>
        <v>-2.515598853449038E-2</v>
      </c>
      <c r="BW40" s="122">
        <f ca="1">(Dashboard!$C$7*'Equity and Bond Returns'!CI40)+(Dashboard!$C$8*'Equity and Bond Returns'!GG40)</f>
        <v>0.26141797126919364</v>
      </c>
      <c r="BX40" s="122">
        <f ca="1">(Dashboard!$C$7*'Equity and Bond Returns'!CJ40)+(Dashboard!$C$8*'Equity and Bond Returns'!GH40)</f>
        <v>-3.4782170774121435E-2</v>
      </c>
      <c r="BY40" s="122">
        <f ca="1">(Dashboard!$C$7*'Equity and Bond Returns'!CK40)+(Dashboard!$C$8*'Equity and Bond Returns'!GI40)</f>
        <v>8.5511373204864169E-2</v>
      </c>
      <c r="BZ40" s="122">
        <f ca="1">(Dashboard!$C$7*'Equity and Bond Returns'!CL40)+(Dashboard!$C$8*'Equity and Bond Returns'!GJ40)</f>
        <v>0.20411535962355049</v>
      </c>
      <c r="CA40" s="122">
        <f ca="1">(Dashboard!$C$7*'Equity and Bond Returns'!CM40)+(Dashboard!$C$8*'Equity and Bond Returns'!GK40)</f>
        <v>0.13905680173910112</v>
      </c>
      <c r="CB40" s="122">
        <f ca="1">(Dashboard!$C$7*'Equity and Bond Returns'!CN40)+(Dashboard!$C$8*'Equity and Bond Returns'!GL40)</f>
        <v>0.29511060089353186</v>
      </c>
      <c r="CC40" s="122">
        <f ca="1">(Dashboard!$C$7*'Equity and Bond Returns'!CO40)+(Dashboard!$C$8*'Equity and Bond Returns'!GM40)</f>
        <v>0.11371942023064675</v>
      </c>
      <c r="CD40" s="122">
        <f ca="1">(Dashboard!$C$7*'Equity and Bond Returns'!CP40)+(Dashboard!$C$8*'Equity and Bond Returns'!GN40)</f>
        <v>0.10672160403463414</v>
      </c>
      <c r="CE40" s="122">
        <f ca="1">(Dashboard!$C$7*'Equity and Bond Returns'!CQ40)+(Dashboard!$C$8*'Equity and Bond Returns'!GO40)</f>
        <v>0.20031406430239102</v>
      </c>
      <c r="CF40" s="122">
        <f ca="1">(Dashboard!$C$7*'Equity and Bond Returns'!CR40)+(Dashboard!$C$8*'Equity and Bond Returns'!GP40)</f>
        <v>-1.7958184476953711E-2</v>
      </c>
      <c r="CG40" s="122">
        <f ca="1">(Dashboard!$C$7*'Equity and Bond Returns'!CS40)+(Dashboard!$C$8*'Equity and Bond Returns'!GQ40)</f>
        <v>0.1142329208491636</v>
      </c>
      <c r="CH40" s="122">
        <f ca="1">(Dashboard!$C$7*'Equity and Bond Returns'!CT40)+(Dashboard!$C$8*'Equity and Bond Returns'!GR40)</f>
        <v>0.22016170550908731</v>
      </c>
      <c r="CI40" s="122">
        <f ca="1">(Dashboard!$C$7*'Equity and Bond Returns'!CU40)+(Dashboard!$C$8*'Equity and Bond Returns'!GS40)</f>
        <v>-7.9346457183888525E-2</v>
      </c>
      <c r="CJ40" s="122">
        <f ca="1">(Dashboard!$C$7*'Equity and Bond Returns'!CV40)+(Dashboard!$C$8*'Equity and Bond Returns'!GT40)</f>
        <v>0.20259827986850207</v>
      </c>
      <c r="CK40" s="122">
        <f ca="1">(Dashboard!$C$7*'Equity and Bond Returns'!CW40)+(Dashboard!$C$8*'Equity and Bond Returns'!GU40)</f>
        <v>0.16606873794470636</v>
      </c>
      <c r="CL40" s="122">
        <f ca="1">(Dashboard!$C$7*'Equity and Bond Returns'!CX40)+(Dashboard!$C$8*'Equity and Bond Returns'!GV40)</f>
        <v>0.25195073389903544</v>
      </c>
      <c r="CM40" s="122">
        <f ca="1">(Dashboard!$C$7*'Equity and Bond Returns'!CY40)+(Dashboard!$C$8*'Equity and Bond Returns'!GW40)</f>
        <v>-8.7637408162759972E-3</v>
      </c>
      <c r="CN40" s="122">
        <f ca="1">(Dashboard!$C$7*'Equity and Bond Returns'!CZ40)+(Dashboard!$C$8*'Equity and Bond Returns'!GX40)</f>
        <v>-0.11371181903499014</v>
      </c>
      <c r="CO40" s="122">
        <f ca="1">(Dashboard!$C$7*'Equity and Bond Returns'!DA40)+(Dashboard!$C$8*'Equity and Bond Returns'!GY40)</f>
        <v>-6.2834708486781618E-3</v>
      </c>
      <c r="CP40" s="122">
        <f ca="1">(Dashboard!$C$7*'Equity and Bond Returns'!DB40)+(Dashboard!$C$8*'Equity and Bond Returns'!GZ40)</f>
        <v>0.15229362210873262</v>
      </c>
      <c r="CQ40" s="122">
        <f ca="1">(Dashboard!$C$7*'Equity and Bond Returns'!DC40)+(Dashboard!$C$8*'Equity and Bond Returns'!HA40)</f>
        <v>3.9971289508004521E-2</v>
      </c>
      <c r="CR40" s="122">
        <f ca="1">(Dashboard!$C$7*'Equity and Bond Returns'!DD40)+(Dashboard!$C$8*'Equity and Bond Returns'!HB40)</f>
        <v>-1.1464413366338196E-2</v>
      </c>
      <c r="CS40" s="122">
        <f ca="1">(Dashboard!$C$7*'Equity and Bond Returns'!DE40)+(Dashboard!$C$8*'Equity and Bond Returns'!HC40)</f>
        <v>-0.22046880142844189</v>
      </c>
      <c r="CT40" s="122">
        <f ca="1">(Dashboard!$C$7*'Equity and Bond Returns'!DF40)+(Dashboard!$C$8*'Equity and Bond Returns'!HD40)</f>
        <v>0.1556919565414969</v>
      </c>
      <c r="CU40" s="122">
        <f ca="1">(Dashboard!$C$7*'Equity and Bond Returns'!DG40)+(Dashboard!$C$8*'Equity and Bond Returns'!HE40)</f>
        <v>0.41082720388608712</v>
      </c>
      <c r="CV40" s="122">
        <f ca="1">(Dashboard!$C$7*'Equity and Bond Returns'!DH40)+(Dashboard!$C$8*'Equity and Bond Returns'!HF40)</f>
        <v>0.23714201218043499</v>
      </c>
      <c r="CW40" s="122">
        <f ca="1">(Dashboard!$C$7*'Equity and Bond Returns'!DI40)+(Dashboard!$C$8*'Equity and Bond Returns'!HG40)</f>
        <v>0.23275774610481972</v>
      </c>
      <c r="CY40" s="147">
        <f t="shared" si="5"/>
        <v>89</v>
      </c>
      <c r="CZ40" s="148">
        <v>39</v>
      </c>
      <c r="DA40" s="126">
        <f ca="1">MAX(DA39*(1+B40)-(Dashboard!$C$11)/(1-Dashboard!$C$17)*((1+Dashboard!$C$12)^$CZ40),0)</f>
        <v>61206692.626718596</v>
      </c>
      <c r="DB40" s="126">
        <f ca="1">MAX(DB39*(1+C40)-(Dashboard!$C$11)/(1-Dashboard!$C$17)*((1+Dashboard!$C$12)^$CZ40),0)</f>
        <v>0</v>
      </c>
      <c r="DC40" s="126">
        <f ca="1">MAX(DC39*(1+D40)-(Dashboard!$C$11)/(1-Dashboard!$C$17)*((1+Dashboard!$C$12)^$CZ40),0)</f>
        <v>9063235.2081724759</v>
      </c>
      <c r="DD40" s="126">
        <f ca="1">MAX(DD39*(1+E40)-(Dashboard!$C$11)/(1-Dashboard!$C$17)*((1+Dashboard!$C$12)^$CZ40),0)</f>
        <v>1783868.9092852077</v>
      </c>
      <c r="DE40" s="126">
        <f ca="1">MAX(DE39*(1+F40)-(Dashboard!$C$11)/(1-Dashboard!$C$17)*((1+Dashboard!$C$12)^$CZ40),0)</f>
        <v>12837266.266554885</v>
      </c>
      <c r="DF40" s="126">
        <f ca="1">MAX(DF39*(1+G40)-(Dashboard!$C$11)/(1-Dashboard!$C$17)*((1+Dashboard!$C$12)^$CZ40),0)</f>
        <v>23613941.43057907</v>
      </c>
      <c r="DG40" s="126">
        <f ca="1">MAX(DG39*(1+H40)-(Dashboard!$C$11)/(1-Dashboard!$C$17)*((1+Dashboard!$C$12)^$CZ40),0)</f>
        <v>1200258.9719845762</v>
      </c>
      <c r="DH40" s="126">
        <f ca="1">MAX(DH39*(1+I40)-(Dashboard!$C$11)/(1-Dashboard!$C$17)*((1+Dashboard!$C$12)^$CZ40),0)</f>
        <v>35330946.666228674</v>
      </c>
      <c r="DI40" s="126">
        <f ca="1">MAX(DI39*(1+J40)-(Dashboard!$C$11)/(1-Dashboard!$C$17)*((1+Dashboard!$C$12)^$CZ40),0)</f>
        <v>7550838.8386221481</v>
      </c>
      <c r="DJ40" s="126">
        <f ca="1">MAX(DJ39*(1+K40)-(Dashboard!$C$11)/(1-Dashboard!$C$17)*((1+Dashboard!$C$12)^$CZ40),0)</f>
        <v>7955578.5744488286</v>
      </c>
      <c r="DK40" s="126">
        <f ca="1">MAX(DK39*(1+L40)-(Dashboard!$C$11)/(1-Dashboard!$C$17)*((1+Dashboard!$C$12)^$CZ40),0)</f>
        <v>19129131.978675641</v>
      </c>
      <c r="DL40" s="126">
        <f ca="1">MAX(DL39*(1+M40)-(Dashboard!$C$11)/(1-Dashboard!$C$17)*((1+Dashboard!$C$12)^$CZ40),0)</f>
        <v>515452.88371126121</v>
      </c>
      <c r="DM40" s="126">
        <f ca="1">MAX(DM39*(1+N40)-(Dashboard!$C$11)/(1-Dashboard!$C$17)*((1+Dashboard!$C$12)^$CZ40),0)</f>
        <v>14684464.855937649</v>
      </c>
      <c r="DN40" s="126">
        <f ca="1">MAX(DN39*(1+O40)-(Dashboard!$C$11)/(1-Dashboard!$C$17)*((1+Dashboard!$C$12)^$CZ40),0)</f>
        <v>65567279.654492892</v>
      </c>
      <c r="DO40" s="126">
        <f ca="1">MAX(DO39*(1+P40)-(Dashboard!$C$11)/(1-Dashboard!$C$17)*((1+Dashboard!$C$12)^$CZ40),0)</f>
        <v>3998397.0985093461</v>
      </c>
      <c r="DP40" s="126">
        <f ca="1">MAX(DP39*(1+Q40)-(Dashboard!$C$11)/(1-Dashboard!$C$17)*((1+Dashboard!$C$12)^$CZ40),0)</f>
        <v>7800188.2336172536</v>
      </c>
      <c r="DQ40" s="126">
        <f ca="1">MAX(DQ39*(1+R40)-(Dashboard!$C$11)/(1-Dashboard!$C$17)*((1+Dashboard!$C$12)^$CZ40),0)</f>
        <v>8861070.7618233804</v>
      </c>
      <c r="DR40" s="126">
        <f ca="1">MAX(DR39*(1+S40)-(Dashboard!$C$11)/(1-Dashboard!$C$17)*((1+Dashboard!$C$12)^$CZ40),0)</f>
        <v>27751786.285619467</v>
      </c>
      <c r="DS40" s="126">
        <f ca="1">MAX(DS39*(1+T40)-(Dashboard!$C$11)/(1-Dashboard!$C$17)*((1+Dashboard!$C$12)^$CZ40),0)</f>
        <v>625141.73696076055</v>
      </c>
      <c r="DT40" s="126">
        <f ca="1">MAX(DT39*(1+U40)-(Dashboard!$C$11)/(1-Dashboard!$C$17)*((1+Dashboard!$C$12)^$CZ40),0)</f>
        <v>2958567.7123663141</v>
      </c>
      <c r="DU40" s="126">
        <f ca="1">MAX(DU39*(1+V40)-(Dashboard!$C$11)/(1-Dashboard!$C$17)*((1+Dashboard!$C$12)^$CZ40),0)</f>
        <v>6224401.3173635863</v>
      </c>
      <c r="DV40" s="126">
        <f ca="1">MAX(DV39*(1+W40)-(Dashboard!$C$11)/(1-Dashboard!$C$17)*((1+Dashboard!$C$12)^$CZ40),0)</f>
        <v>67163495.458633289</v>
      </c>
      <c r="DW40" s="126">
        <f ca="1">MAX(DW39*(1+X40)-(Dashboard!$C$11)/(1-Dashboard!$C$17)*((1+Dashboard!$C$12)^$CZ40),0)</f>
        <v>5439317.1823921772</v>
      </c>
      <c r="DX40" s="126">
        <f ca="1">MAX(DX39*(1+Y40)-(Dashboard!$C$11)/(1-Dashboard!$C$17)*((1+Dashboard!$C$12)^$CZ40),0)</f>
        <v>5326702.5011080047</v>
      </c>
      <c r="DY40" s="126">
        <f ca="1">MAX(DY39*(1+Z40)-(Dashboard!$C$11)/(1-Dashboard!$C$17)*((1+Dashboard!$C$12)^$CZ40),0)</f>
        <v>13936330.178006569</v>
      </c>
      <c r="DZ40" s="126">
        <f ca="1">MAX(DZ39*(1+AA40)-(Dashboard!$C$11)/(1-Dashboard!$C$17)*((1+Dashboard!$C$12)^$CZ40),0)</f>
        <v>1377456.6223920842</v>
      </c>
      <c r="EA40" s="126">
        <f ca="1">MAX(EA39*(1+AB40)-(Dashboard!$C$11)/(1-Dashboard!$C$17)*((1+Dashboard!$C$12)^$CZ40),0)</f>
        <v>9678923.4970838577</v>
      </c>
      <c r="EB40" s="126">
        <f ca="1">MAX(EB39*(1+AC40)-(Dashboard!$C$11)/(1-Dashboard!$C$17)*((1+Dashboard!$C$12)^$CZ40),0)</f>
        <v>11063023.116014231</v>
      </c>
      <c r="EC40" s="126">
        <f ca="1">MAX(EC39*(1+AD40)-(Dashboard!$C$11)/(1-Dashboard!$C$17)*((1+Dashboard!$C$12)^$CZ40),0)</f>
        <v>21592490.859702963</v>
      </c>
      <c r="ED40" s="126">
        <f ca="1">MAX(ED39*(1+AE40)-(Dashboard!$C$11)/(1-Dashboard!$C$17)*((1+Dashboard!$C$12)^$CZ40),0)</f>
        <v>14808878.616548071</v>
      </c>
      <c r="EE40" s="126">
        <f ca="1">MAX(EE39*(1+AF40)-(Dashboard!$C$11)/(1-Dashboard!$C$17)*((1+Dashboard!$C$12)^$CZ40),0)</f>
        <v>27108534.560762465</v>
      </c>
      <c r="EF40" s="126">
        <f ca="1">MAX(EF39*(1+AG40)-(Dashboard!$C$11)/(1-Dashboard!$C$17)*((1+Dashboard!$C$12)^$CZ40),0)</f>
        <v>2405863.4404215505</v>
      </c>
      <c r="EG40" s="126">
        <f ca="1">MAX(EG39*(1+AH40)-(Dashboard!$C$11)/(1-Dashboard!$C$17)*((1+Dashboard!$C$12)^$CZ40),0)</f>
        <v>13178973.845205937</v>
      </c>
      <c r="EH40" s="126">
        <f ca="1">MAX(EH39*(1+AI40)-(Dashboard!$C$11)/(1-Dashboard!$C$17)*((1+Dashboard!$C$12)^$CZ40),0)</f>
        <v>35427218.126051515</v>
      </c>
      <c r="EI40" s="126">
        <f ca="1">MAX(EI39*(1+AJ40)-(Dashboard!$C$11)/(1-Dashboard!$C$17)*((1+Dashboard!$C$12)^$CZ40),0)</f>
        <v>0</v>
      </c>
      <c r="EJ40" s="126">
        <f ca="1">MAX(EJ39*(1+AK40)-(Dashboard!$C$11)/(1-Dashboard!$C$17)*((1+Dashboard!$C$12)^$CZ40),0)</f>
        <v>18843685.493024535</v>
      </c>
      <c r="EK40" s="126">
        <f ca="1">MAX(EK39*(1+AL40)-(Dashboard!$C$11)/(1-Dashboard!$C$17)*((1+Dashboard!$C$12)^$CZ40),0)</f>
        <v>5440951.7091529164</v>
      </c>
      <c r="EL40" s="126">
        <f ca="1">MAX(EL39*(1+AM40)-(Dashboard!$C$11)/(1-Dashboard!$C$17)*((1+Dashboard!$C$12)^$CZ40),0)</f>
        <v>1635250.4762052011</v>
      </c>
      <c r="EM40" s="126">
        <f ca="1">MAX(EM39*(1+AN40)-(Dashboard!$C$11)/(1-Dashboard!$C$17)*((1+Dashboard!$C$12)^$CZ40),0)</f>
        <v>34325690.002670333</v>
      </c>
      <c r="EN40" s="126">
        <f ca="1">MAX(EN39*(1+AO40)-(Dashboard!$C$11)/(1-Dashboard!$C$17)*((1+Dashboard!$C$12)^$CZ40),0)</f>
        <v>3248070.6325554107</v>
      </c>
      <c r="EO40" s="126">
        <f ca="1">MAX(EO39*(1+AP40)-(Dashboard!$C$11)/(1-Dashboard!$C$17)*((1+Dashboard!$C$12)^$CZ40),0)</f>
        <v>0</v>
      </c>
      <c r="EP40" s="126">
        <f ca="1">MAX(EP39*(1+AQ40)-(Dashboard!$C$11)/(1-Dashboard!$C$17)*((1+Dashboard!$C$12)^$CZ40),0)</f>
        <v>8890861.1672461145</v>
      </c>
      <c r="EQ40" s="126">
        <f ca="1">MAX(EQ39*(1+AR40)-(Dashboard!$C$11)/(1-Dashboard!$C$17)*((1+Dashboard!$C$12)^$CZ40),0)</f>
        <v>5365088.2543131541</v>
      </c>
      <c r="ER40" s="126">
        <f ca="1">MAX(ER39*(1+AS40)-(Dashboard!$C$11)/(1-Dashboard!$C$17)*((1+Dashboard!$C$12)^$CZ40),0)</f>
        <v>2919534.6917125215</v>
      </c>
      <c r="ES40" s="126">
        <f ca="1">MAX(ES39*(1+AT40)-(Dashboard!$C$11)/(1-Dashboard!$C$17)*((1+Dashboard!$C$12)^$CZ40),0)</f>
        <v>25285234.753271058</v>
      </c>
      <c r="ET40" s="126">
        <f ca="1">MAX(ET39*(1+AU40)-(Dashboard!$C$11)/(1-Dashboard!$C$17)*((1+Dashboard!$C$12)^$CZ40),0)</f>
        <v>9201186.8445311785</v>
      </c>
      <c r="EU40" s="126">
        <f ca="1">MAX(EU39*(1+AV40)-(Dashboard!$C$11)/(1-Dashboard!$C$17)*((1+Dashboard!$C$12)^$CZ40),0)</f>
        <v>7948744.1808668515</v>
      </c>
      <c r="EV40" s="126">
        <f ca="1">MAX(EV39*(1+AW40)-(Dashboard!$C$11)/(1-Dashboard!$C$17)*((1+Dashboard!$C$12)^$CZ40),0)</f>
        <v>72241422.872246087</v>
      </c>
      <c r="EW40" s="126">
        <f ca="1">MAX(EW39*(1+AX40)-(Dashboard!$C$11)/(1-Dashboard!$C$17)*((1+Dashboard!$C$12)^$CZ40),0)</f>
        <v>3087200.4995869887</v>
      </c>
      <c r="EX40" s="126">
        <f ca="1">MAX(EX39*(1+AY40)-(Dashboard!$C$11)/(1-Dashboard!$C$17)*((1+Dashboard!$C$12)^$CZ40),0)</f>
        <v>7288302.7355069248</v>
      </c>
      <c r="EY40" s="126">
        <f ca="1">MAX(EY39*(1+AZ40)-(Dashboard!$C$11)/(1-Dashboard!$C$17)*((1+Dashboard!$C$12)^$CZ40),0)</f>
        <v>21692005.530337542</v>
      </c>
      <c r="EZ40" s="126">
        <f ca="1">MAX(EZ39*(1+BA40)-(Dashboard!$C$11)/(1-Dashboard!$C$17)*((1+Dashboard!$C$12)^$CZ40),0)</f>
        <v>7393265.2137576286</v>
      </c>
      <c r="FA40" s="126">
        <f ca="1">MAX(FA39*(1+BB40)-(Dashboard!$C$11)/(1-Dashboard!$C$17)*((1+Dashboard!$C$12)^$CZ40),0)</f>
        <v>28376122.877916422</v>
      </c>
      <c r="FB40" s="126">
        <f ca="1">MAX(FB39*(1+BC40)-(Dashboard!$C$11)/(1-Dashboard!$C$17)*((1+Dashboard!$C$12)^$CZ40),0)</f>
        <v>633317.12659508537</v>
      </c>
      <c r="FC40" s="126">
        <f ca="1">MAX(FC39*(1+BD40)-(Dashboard!$C$11)/(1-Dashboard!$C$17)*((1+Dashboard!$C$12)^$CZ40),0)</f>
        <v>6201499.2829454998</v>
      </c>
      <c r="FD40" s="126">
        <f ca="1">MAX(FD39*(1+BE40)-(Dashboard!$C$11)/(1-Dashboard!$C$17)*((1+Dashboard!$C$12)^$CZ40),0)</f>
        <v>35005697.442748681</v>
      </c>
      <c r="FE40" s="126">
        <f ca="1">MAX(FE39*(1+BF40)-(Dashboard!$C$11)/(1-Dashboard!$C$17)*((1+Dashboard!$C$12)^$CZ40),0)</f>
        <v>42458074.779542446</v>
      </c>
      <c r="FF40" s="126">
        <f ca="1">MAX(FF39*(1+BG40)-(Dashboard!$C$11)/(1-Dashboard!$C$17)*((1+Dashboard!$C$12)^$CZ40),0)</f>
        <v>10598544.409643363</v>
      </c>
      <c r="FG40" s="126">
        <f ca="1">MAX(FG39*(1+BH40)-(Dashboard!$C$11)/(1-Dashboard!$C$17)*((1+Dashboard!$C$12)^$CZ40),0)</f>
        <v>5608065.5032529561</v>
      </c>
      <c r="FH40" s="126">
        <f ca="1">MAX(FH39*(1+BI40)-(Dashboard!$C$11)/(1-Dashboard!$C$17)*((1+Dashboard!$C$12)^$CZ40),0)</f>
        <v>4146852.615043534</v>
      </c>
      <c r="FI40" s="126">
        <f ca="1">MAX(FI39*(1+BJ40)-(Dashboard!$C$11)/(1-Dashboard!$C$17)*((1+Dashboard!$C$12)^$CZ40),0)</f>
        <v>22351671.69793329</v>
      </c>
      <c r="FJ40" s="126">
        <f ca="1">MAX(FJ39*(1+BK40)-(Dashboard!$C$11)/(1-Dashboard!$C$17)*((1+Dashboard!$C$12)^$CZ40),0)</f>
        <v>7494133.8222403657</v>
      </c>
      <c r="FK40" s="126">
        <f ca="1">MAX(FK39*(1+BL40)-(Dashboard!$C$11)/(1-Dashboard!$C$17)*((1+Dashboard!$C$12)^$CZ40),0)</f>
        <v>5725297.8197019584</v>
      </c>
      <c r="FL40" s="126">
        <f ca="1">MAX(FL39*(1+BM40)-(Dashboard!$C$11)/(1-Dashboard!$C$17)*((1+Dashboard!$C$12)^$CZ40),0)</f>
        <v>5095456.5591252614</v>
      </c>
      <c r="FM40" s="126">
        <f ca="1">MAX(FM39*(1+BN40)-(Dashboard!$C$11)/(1-Dashboard!$C$17)*((1+Dashboard!$C$12)^$CZ40),0)</f>
        <v>7546816.2660466852</v>
      </c>
      <c r="FN40" s="126">
        <f ca="1">MAX(FN39*(1+BO40)-(Dashboard!$C$11)/(1-Dashboard!$C$17)*((1+Dashboard!$C$12)^$CZ40),0)</f>
        <v>0</v>
      </c>
      <c r="FO40" s="126">
        <f ca="1">MAX(FO39*(1+BP40)-(Dashboard!$C$11)/(1-Dashboard!$C$17)*((1+Dashboard!$C$12)^$CZ40),0)</f>
        <v>9386259.8809431233</v>
      </c>
      <c r="FP40" s="126">
        <f ca="1">MAX(FP39*(1+BQ40)-(Dashboard!$C$11)/(1-Dashboard!$C$17)*((1+Dashboard!$C$12)^$CZ40),0)</f>
        <v>6404242.6480070129</v>
      </c>
      <c r="FQ40" s="126">
        <f ca="1">MAX(FQ39*(1+BR40)-(Dashboard!$C$11)/(1-Dashboard!$C$17)*((1+Dashboard!$C$12)^$CZ40),0)</f>
        <v>6250836.964271687</v>
      </c>
      <c r="FR40" s="126">
        <f ca="1">MAX(FR39*(1+BS40)-(Dashboard!$C$11)/(1-Dashboard!$C$17)*((1+Dashboard!$C$12)^$CZ40),0)</f>
        <v>19321424.99032462</v>
      </c>
      <c r="FS40" s="126">
        <f ca="1">MAX(FS39*(1+BT40)-(Dashboard!$C$11)/(1-Dashboard!$C$17)*((1+Dashboard!$C$12)^$CZ40),0)</f>
        <v>17360326.634444933</v>
      </c>
      <c r="FT40" s="126">
        <f ca="1">MAX(FT39*(1+BU40)-(Dashboard!$C$11)/(1-Dashboard!$C$17)*((1+Dashboard!$C$12)^$CZ40),0)</f>
        <v>1429597.1998336143</v>
      </c>
      <c r="FU40" s="126">
        <f ca="1">MAX(FU39*(1+BV40)-(Dashboard!$C$11)/(1-Dashboard!$C$17)*((1+Dashboard!$C$12)^$CZ40),0)</f>
        <v>2042228.1441853188</v>
      </c>
      <c r="FV40" s="126">
        <f ca="1">MAX(FV39*(1+BW40)-(Dashboard!$C$11)/(1-Dashboard!$C$17)*((1+Dashboard!$C$12)^$CZ40),0)</f>
        <v>6382986.3083196236</v>
      </c>
      <c r="FW40" s="126">
        <f ca="1">MAX(FW39*(1+BX40)-(Dashboard!$C$11)/(1-Dashboard!$C$17)*((1+Dashboard!$C$12)^$CZ40),0)</f>
        <v>5816911.5401902562</v>
      </c>
      <c r="FX40" s="126">
        <f ca="1">MAX(FX39*(1+BY40)-(Dashboard!$C$11)/(1-Dashboard!$C$17)*((1+Dashboard!$C$12)^$CZ40),0)</f>
        <v>2001351.9070238429</v>
      </c>
      <c r="FY40" s="126">
        <f ca="1">MAX(FY39*(1+BZ40)-(Dashboard!$C$11)/(1-Dashboard!$C$17)*((1+Dashboard!$C$12)^$CZ40),0)</f>
        <v>2990329.6827776502</v>
      </c>
      <c r="FZ40" s="126">
        <f ca="1">MAX(FZ39*(1+CA40)-(Dashboard!$C$11)/(1-Dashboard!$C$17)*((1+Dashboard!$C$12)^$CZ40),0)</f>
        <v>42754543.95797918</v>
      </c>
      <c r="GA40" s="126">
        <f ca="1">MAX(GA39*(1+CB40)-(Dashboard!$C$11)/(1-Dashboard!$C$17)*((1+Dashboard!$C$12)^$CZ40),0)</f>
        <v>25350123.080367327</v>
      </c>
      <c r="GB40" s="126">
        <f ca="1">MAX(GB39*(1+CC40)-(Dashboard!$C$11)/(1-Dashboard!$C$17)*((1+Dashboard!$C$12)^$CZ40),0)</f>
        <v>5088402.5239765709</v>
      </c>
      <c r="GC40" s="126">
        <f ca="1">MAX(GC39*(1+CD40)-(Dashboard!$C$11)/(1-Dashboard!$C$17)*((1+Dashboard!$C$12)^$CZ40),0)</f>
        <v>16238214.157231163</v>
      </c>
      <c r="GD40" s="126">
        <f ca="1">MAX(GD39*(1+CE40)-(Dashboard!$C$11)/(1-Dashboard!$C$17)*((1+Dashboard!$C$12)^$CZ40),0)</f>
        <v>90169793.505839214</v>
      </c>
      <c r="GE40" s="126">
        <f ca="1">MAX(GE39*(1+CF40)-(Dashboard!$C$11)/(1-Dashboard!$C$17)*((1+Dashboard!$C$12)^$CZ40),0)</f>
        <v>9885296.7361978423</v>
      </c>
      <c r="GF40" s="126">
        <f ca="1">MAX(GF39*(1+CG40)-(Dashboard!$C$11)/(1-Dashboard!$C$17)*((1+Dashboard!$C$12)^$CZ40),0)</f>
        <v>10946394.050664546</v>
      </c>
      <c r="GG40" s="126">
        <f ca="1">MAX(GG39*(1+CH40)-(Dashboard!$C$11)/(1-Dashboard!$C$17)*((1+Dashboard!$C$12)^$CZ40),0)</f>
        <v>1771190.9017702052</v>
      </c>
      <c r="GH40" s="126">
        <f ca="1">MAX(GH39*(1+CI40)-(Dashboard!$C$11)/(1-Dashboard!$C$17)*((1+Dashboard!$C$12)^$CZ40),0)</f>
        <v>3558193.8012705692</v>
      </c>
      <c r="GI40" s="126">
        <f ca="1">MAX(GI39*(1+CJ40)-(Dashboard!$C$11)/(1-Dashboard!$C$17)*((1+Dashboard!$C$12)^$CZ40),0)</f>
        <v>24670136.748067852</v>
      </c>
      <c r="GJ40" s="126">
        <f ca="1">MAX(GJ39*(1+CK40)-(Dashboard!$C$11)/(1-Dashboard!$C$17)*((1+Dashboard!$C$12)^$CZ40),0)</f>
        <v>69963115.826784626</v>
      </c>
      <c r="GK40" s="126">
        <f ca="1">MAX(GK39*(1+CL40)-(Dashboard!$C$11)/(1-Dashboard!$C$17)*((1+Dashboard!$C$12)^$CZ40),0)</f>
        <v>7229517.5382787976</v>
      </c>
      <c r="GL40" s="126">
        <f ca="1">MAX(GL39*(1+CM40)-(Dashboard!$C$11)/(1-Dashboard!$C$17)*((1+Dashboard!$C$12)^$CZ40),0)</f>
        <v>17833654.201474223</v>
      </c>
      <c r="GM40" s="126">
        <f ca="1">MAX(GM39*(1+CN40)-(Dashboard!$C$11)/(1-Dashboard!$C$17)*((1+Dashboard!$C$12)^$CZ40),0)</f>
        <v>2406929.792836342</v>
      </c>
      <c r="GN40" s="126">
        <f ca="1">MAX(GN39*(1+CO40)-(Dashboard!$C$11)/(1-Dashboard!$C$17)*((1+Dashboard!$C$12)^$CZ40),0)</f>
        <v>0</v>
      </c>
      <c r="GO40" s="126">
        <f ca="1">MAX(GO39*(1+CP40)-(Dashboard!$C$11)/(1-Dashboard!$C$17)*((1+Dashboard!$C$12)^$CZ40),0)</f>
        <v>21281678.626765676</v>
      </c>
      <c r="GP40" s="126">
        <f ca="1">MAX(GP39*(1+CQ40)-(Dashboard!$C$11)/(1-Dashboard!$C$17)*((1+Dashboard!$C$12)^$CZ40),0)</f>
        <v>15584464.628649611</v>
      </c>
      <c r="GQ40" s="126">
        <f ca="1">MAX(GQ39*(1+CR40)-(Dashboard!$C$11)/(1-Dashboard!$C$17)*((1+Dashboard!$C$12)^$CZ40),0)</f>
        <v>1160994.461759161</v>
      </c>
      <c r="GR40" s="126">
        <f ca="1">MAX(GR39*(1+CS40)-(Dashboard!$C$11)/(1-Dashboard!$C$17)*((1+Dashboard!$C$12)^$CZ40),0)</f>
        <v>3872646.0464948318</v>
      </c>
      <c r="GS40" s="126">
        <f ca="1">MAX(GS39*(1+CT40)-(Dashboard!$C$11)/(1-Dashboard!$C$17)*((1+Dashboard!$C$12)^$CZ40),0)</f>
        <v>14534490.334196245</v>
      </c>
      <c r="GT40" s="126">
        <f ca="1">MAX(GT39*(1+CU40)-(Dashboard!$C$11)/(1-Dashboard!$C$17)*((1+Dashboard!$C$12)^$CZ40),0)</f>
        <v>54091266.414835975</v>
      </c>
      <c r="GU40" s="126">
        <f ca="1">MAX(GU39*(1+CV40)-(Dashboard!$C$11)/(1-Dashboard!$C$17)*((1+Dashboard!$C$12)^$CZ40),0)</f>
        <v>7996100.7096009171</v>
      </c>
      <c r="GV40" s="126">
        <f ca="1">MAX(GV39*(1+CW40)-(Dashboard!$C$11)/(1-Dashboard!$C$17)*((1+Dashboard!$C$12)^$CZ40),0)</f>
        <v>3838154.8021833031</v>
      </c>
      <c r="GW40" s="115">
        <f t="shared" si="4"/>
        <v>89</v>
      </c>
      <c r="GX40" s="130">
        <f t="shared" ca="1" si="2"/>
        <v>95</v>
      </c>
      <c r="HC40" s="130">
        <f t="shared" si="7"/>
        <v>89</v>
      </c>
      <c r="HD40" s="137">
        <f t="shared" ca="1" si="6"/>
        <v>3325601.4247342004</v>
      </c>
      <c r="HE40" s="137">
        <f t="shared" ca="1" si="6"/>
        <v>7675513.5361197013</v>
      </c>
      <c r="HF40" s="137">
        <f t="shared" ca="1" si="6"/>
        <v>19057770.357262865</v>
      </c>
    </row>
    <row r="41" spans="1:214" ht="16">
      <c r="A41" s="145">
        <f t="shared" si="3"/>
        <v>90</v>
      </c>
      <c r="B41" s="122">
        <f ca="1">(Dashboard!$C$7*'Equity and Bond Returns'!N41)+(Dashboard!$C$8*'Equity and Bond Returns'!DL41)</f>
        <v>-0.14860931217508574</v>
      </c>
      <c r="C41" s="122">
        <f ca="1">(Dashboard!$C$7*'Equity and Bond Returns'!O41)+(Dashboard!$C$8*'Equity and Bond Returns'!DM41)</f>
        <v>3.8523005456531631E-2</v>
      </c>
      <c r="D41" s="122">
        <f ca="1">(Dashboard!$C$7*'Equity and Bond Returns'!P41)+(Dashboard!$C$8*'Equity and Bond Returns'!DN41)</f>
        <v>0.19294242389570473</v>
      </c>
      <c r="E41" s="122">
        <f ca="1">(Dashboard!$C$7*'Equity and Bond Returns'!Q41)+(Dashboard!$C$8*'Equity and Bond Returns'!DO41)</f>
        <v>0.10401212116508977</v>
      </c>
      <c r="F41" s="122">
        <f ca="1">(Dashboard!$C$7*'Equity and Bond Returns'!R41)+(Dashboard!$C$8*'Equity and Bond Returns'!DP41)</f>
        <v>0.1084165945175537</v>
      </c>
      <c r="G41" s="122">
        <f ca="1">(Dashboard!$C$7*'Equity and Bond Returns'!S41)+(Dashboard!$C$8*'Equity and Bond Returns'!DQ41)</f>
        <v>0.16550611839071872</v>
      </c>
      <c r="H41" s="122">
        <f ca="1">(Dashboard!$C$7*'Equity and Bond Returns'!T41)+(Dashboard!$C$8*'Equity and Bond Returns'!DR41)</f>
        <v>0.25009342905190352</v>
      </c>
      <c r="I41" s="122">
        <f ca="1">(Dashboard!$C$7*'Equity and Bond Returns'!U41)+(Dashboard!$C$8*'Equity and Bond Returns'!DS41)</f>
        <v>0.12967497773450395</v>
      </c>
      <c r="J41" s="122">
        <f ca="1">(Dashboard!$C$7*'Equity and Bond Returns'!V41)+(Dashboard!$C$8*'Equity and Bond Returns'!DT41)</f>
        <v>0.15678941726433415</v>
      </c>
      <c r="K41" s="122">
        <f ca="1">(Dashboard!$C$7*'Equity and Bond Returns'!W41)+(Dashboard!$C$8*'Equity and Bond Returns'!DU41)</f>
        <v>7.0394504668766553E-2</v>
      </c>
      <c r="L41" s="122">
        <f ca="1">(Dashboard!$C$7*'Equity and Bond Returns'!X41)+(Dashboard!$C$8*'Equity and Bond Returns'!DV41)</f>
        <v>2.7607907938895768E-2</v>
      </c>
      <c r="M41" s="122">
        <f ca="1">(Dashboard!$C$7*'Equity and Bond Returns'!Y41)+(Dashboard!$C$8*'Equity and Bond Returns'!DW41)</f>
        <v>0.15410300816435504</v>
      </c>
      <c r="N41" s="122">
        <f ca="1">(Dashboard!$C$7*'Equity and Bond Returns'!Z41)+(Dashboard!$C$8*'Equity and Bond Returns'!DX41)</f>
        <v>1.0028762192418952E-3</v>
      </c>
      <c r="O41" s="122">
        <f ca="1">(Dashboard!$C$7*'Equity and Bond Returns'!AA41)+(Dashboard!$C$8*'Equity and Bond Returns'!DY41)</f>
        <v>0.21725878117048084</v>
      </c>
      <c r="P41" s="122">
        <f ca="1">(Dashboard!$C$7*'Equity and Bond Returns'!AB41)+(Dashboard!$C$8*'Equity and Bond Returns'!DZ41)</f>
        <v>0.27933131248039805</v>
      </c>
      <c r="Q41" s="122">
        <f ca="1">(Dashboard!$C$7*'Equity and Bond Returns'!AC41)+(Dashboard!$C$8*'Equity and Bond Returns'!EA41)</f>
        <v>7.5987299650249779E-2</v>
      </c>
      <c r="R41" s="122">
        <f ca="1">(Dashboard!$C$7*'Equity and Bond Returns'!AD41)+(Dashboard!$C$8*'Equity and Bond Returns'!EB41)</f>
        <v>0.14082053001581896</v>
      </c>
      <c r="S41" s="122">
        <f ca="1">(Dashboard!$C$7*'Equity and Bond Returns'!AE41)+(Dashboard!$C$8*'Equity and Bond Returns'!EC41)</f>
        <v>-1.7623996600586105E-2</v>
      </c>
      <c r="T41" s="122">
        <f ca="1">(Dashboard!$C$7*'Equity and Bond Returns'!AF41)+(Dashboard!$C$8*'Equity and Bond Returns'!ED41)</f>
        <v>7.7787037138990822E-2</v>
      </c>
      <c r="U41" s="122">
        <f ca="1">(Dashboard!$C$7*'Equity and Bond Returns'!AG41)+(Dashboard!$C$8*'Equity and Bond Returns'!EE41)</f>
        <v>0.17709148938402003</v>
      </c>
      <c r="V41" s="122">
        <f ca="1">(Dashboard!$C$7*'Equity and Bond Returns'!AH41)+(Dashboard!$C$8*'Equity and Bond Returns'!EF41)</f>
        <v>0.15061824180323308</v>
      </c>
      <c r="W41" s="122">
        <f ca="1">(Dashboard!$C$7*'Equity and Bond Returns'!AI41)+(Dashboard!$C$8*'Equity and Bond Returns'!EG41)</f>
        <v>4.0241911191164798E-2</v>
      </c>
      <c r="X41" s="122">
        <f ca="1">(Dashboard!$C$7*'Equity and Bond Returns'!AJ41)+(Dashboard!$C$8*'Equity and Bond Returns'!EH41)</f>
        <v>-9.6168487404361916E-2</v>
      </c>
      <c r="Y41" s="122">
        <f ca="1">(Dashboard!$C$7*'Equity and Bond Returns'!AK41)+(Dashboard!$C$8*'Equity and Bond Returns'!EI41)</f>
        <v>-3.8549503339750865E-2</v>
      </c>
      <c r="Z41" s="122">
        <f ca="1">(Dashboard!$C$7*'Equity and Bond Returns'!AL41)+(Dashboard!$C$8*'Equity and Bond Returns'!EJ41)</f>
        <v>9.5137087106407739E-2</v>
      </c>
      <c r="AA41" s="122">
        <f ca="1">(Dashboard!$C$7*'Equity and Bond Returns'!AM41)+(Dashboard!$C$8*'Equity and Bond Returns'!EK41)</f>
        <v>0.451613593570316</v>
      </c>
      <c r="AB41" s="122">
        <f ca="1">(Dashboard!$C$7*'Equity and Bond Returns'!AN41)+(Dashboard!$C$8*'Equity and Bond Returns'!EL41)</f>
        <v>0.19770139327974923</v>
      </c>
      <c r="AC41" s="122">
        <f ca="1">(Dashboard!$C$7*'Equity and Bond Returns'!AO41)+(Dashboard!$C$8*'Equity and Bond Returns'!EM41)</f>
        <v>0.15595388168298788</v>
      </c>
      <c r="AD41" s="122">
        <f ca="1">(Dashboard!$C$7*'Equity and Bond Returns'!AP41)+(Dashboard!$C$8*'Equity and Bond Returns'!EN41)</f>
        <v>0.12120993477416235</v>
      </c>
      <c r="AE41" s="122">
        <f ca="1">(Dashboard!$C$7*'Equity and Bond Returns'!AQ41)+(Dashboard!$C$8*'Equity and Bond Returns'!EO41)</f>
        <v>-8.1727503526287382E-3</v>
      </c>
      <c r="AF41" s="122">
        <f ca="1">(Dashboard!$C$7*'Equity and Bond Returns'!AR41)+(Dashboard!$C$8*'Equity and Bond Returns'!EP41)</f>
        <v>-3.0218574877927326E-3</v>
      </c>
      <c r="AG41" s="122">
        <f ca="1">(Dashboard!$C$7*'Equity and Bond Returns'!AS41)+(Dashboard!$C$8*'Equity and Bond Returns'!EQ41)</f>
        <v>0.35472229773737018</v>
      </c>
      <c r="AH41" s="122">
        <f ca="1">(Dashboard!$C$7*'Equity and Bond Returns'!AT41)+(Dashboard!$C$8*'Equity and Bond Returns'!ER41)</f>
        <v>0.16092440684047671</v>
      </c>
      <c r="AI41" s="122">
        <f ca="1">(Dashboard!$C$7*'Equity and Bond Returns'!AU41)+(Dashboard!$C$8*'Equity and Bond Returns'!ES41)</f>
        <v>9.4509305832555332E-2</v>
      </c>
      <c r="AJ41" s="122">
        <f ca="1">(Dashboard!$C$7*'Equity and Bond Returns'!AV41)+(Dashboard!$C$8*'Equity and Bond Returns'!ET41)</f>
        <v>0.24138108308086328</v>
      </c>
      <c r="AK41" s="122">
        <f ca="1">(Dashboard!$C$7*'Equity and Bond Returns'!AW41)+(Dashboard!$C$8*'Equity and Bond Returns'!EU41)</f>
        <v>0.10940454222171551</v>
      </c>
      <c r="AL41" s="122">
        <f ca="1">(Dashboard!$C$7*'Equity and Bond Returns'!AX41)+(Dashboard!$C$8*'Equity and Bond Returns'!EV41)</f>
        <v>9.3567907890577687E-2</v>
      </c>
      <c r="AM41" s="122">
        <f ca="1">(Dashboard!$C$7*'Equity and Bond Returns'!AY41)+(Dashboard!$C$8*'Equity and Bond Returns'!EW41)</f>
        <v>0.33109188078720136</v>
      </c>
      <c r="AN41" s="122">
        <f ca="1">(Dashboard!$C$7*'Equity and Bond Returns'!AZ41)+(Dashboard!$C$8*'Equity and Bond Returns'!EX41)</f>
        <v>0.14724177440515859</v>
      </c>
      <c r="AO41" s="122">
        <f ca="1">(Dashboard!$C$7*'Equity and Bond Returns'!BA41)+(Dashboard!$C$8*'Equity and Bond Returns'!EY41)</f>
        <v>-0.10016818874364714</v>
      </c>
      <c r="AP41" s="122">
        <f ca="1">(Dashboard!$C$7*'Equity and Bond Returns'!BB41)+(Dashboard!$C$8*'Equity and Bond Returns'!EZ41)</f>
        <v>9.8413849536420434E-2</v>
      </c>
      <c r="AQ41" s="122">
        <f ca="1">(Dashboard!$C$7*'Equity and Bond Returns'!BC41)+(Dashboard!$C$8*'Equity and Bond Returns'!FA41)</f>
        <v>0.1838979018104018</v>
      </c>
      <c r="AR41" s="122">
        <f ca="1">(Dashboard!$C$7*'Equity and Bond Returns'!BD41)+(Dashboard!$C$8*'Equity and Bond Returns'!FB41)</f>
        <v>5.8804565269739983E-2</v>
      </c>
      <c r="AS41" s="122">
        <f ca="1">(Dashboard!$C$7*'Equity and Bond Returns'!BE41)+(Dashboard!$C$8*'Equity and Bond Returns'!FC41)</f>
        <v>0.21307534339497353</v>
      </c>
      <c r="AT41" s="122">
        <f ca="1">(Dashboard!$C$7*'Equity and Bond Returns'!BF41)+(Dashboard!$C$8*'Equity and Bond Returns'!FD41)</f>
        <v>4.398062230807389E-2</v>
      </c>
      <c r="AU41" s="122">
        <f ca="1">(Dashboard!$C$7*'Equity and Bond Returns'!BG41)+(Dashboard!$C$8*'Equity and Bond Returns'!FE41)</f>
        <v>3.4338351624793373E-2</v>
      </c>
      <c r="AV41" s="122">
        <f ca="1">(Dashboard!$C$7*'Equity and Bond Returns'!BH41)+(Dashboard!$C$8*'Equity and Bond Returns'!FF41)</f>
        <v>4.1558768852752673E-3</v>
      </c>
      <c r="AW41" s="122">
        <f ca="1">(Dashboard!$C$7*'Equity and Bond Returns'!BI41)+(Dashboard!$C$8*'Equity and Bond Returns'!FG41)</f>
        <v>-5.9756869273855748E-2</v>
      </c>
      <c r="AX41" s="122">
        <f ca="1">(Dashboard!$C$7*'Equity and Bond Returns'!BJ41)+(Dashboard!$C$8*'Equity and Bond Returns'!FH41)</f>
        <v>-2.7512003023728783E-2</v>
      </c>
      <c r="AY41" s="122">
        <f ca="1">(Dashboard!$C$7*'Equity and Bond Returns'!BK41)+(Dashboard!$C$8*'Equity and Bond Returns'!FI41)</f>
        <v>0.14869738590240433</v>
      </c>
      <c r="AZ41" s="122">
        <f ca="1">(Dashboard!$C$7*'Equity and Bond Returns'!BL41)+(Dashboard!$C$8*'Equity and Bond Returns'!FJ41)</f>
        <v>-0.22773662582422877</v>
      </c>
      <c r="BA41" s="122">
        <f ca="1">(Dashboard!$C$7*'Equity and Bond Returns'!BM41)+(Dashboard!$C$8*'Equity and Bond Returns'!FK41)</f>
        <v>0.2003681038553215</v>
      </c>
      <c r="BB41" s="122">
        <f ca="1">(Dashboard!$C$7*'Equity and Bond Returns'!BN41)+(Dashboard!$C$8*'Equity and Bond Returns'!FL41)</f>
        <v>0.2857183878047157</v>
      </c>
      <c r="BC41" s="122">
        <f ca="1">(Dashboard!$C$7*'Equity and Bond Returns'!BO41)+(Dashboard!$C$8*'Equity and Bond Returns'!FM41)</f>
        <v>0.19588289886374605</v>
      </c>
      <c r="BD41" s="122">
        <f ca="1">(Dashboard!$C$7*'Equity and Bond Returns'!BP41)+(Dashboard!$C$8*'Equity and Bond Returns'!FN41)</f>
        <v>2.2474701686449647E-2</v>
      </c>
      <c r="BE41" s="122">
        <f ca="1">(Dashboard!$C$7*'Equity and Bond Returns'!BQ41)+(Dashboard!$C$8*'Equity and Bond Returns'!FO41)</f>
        <v>7.4058362579060122E-2</v>
      </c>
      <c r="BF41" s="122">
        <f ca="1">(Dashboard!$C$7*'Equity and Bond Returns'!BR41)+(Dashboard!$C$8*'Equity and Bond Returns'!FP41)</f>
        <v>0.16181618708131693</v>
      </c>
      <c r="BG41" s="122">
        <f ca="1">(Dashboard!$C$7*'Equity and Bond Returns'!BS41)+(Dashboard!$C$8*'Equity and Bond Returns'!FQ41)</f>
        <v>-5.6326490333518046E-2</v>
      </c>
      <c r="BH41" s="122">
        <f ca="1">(Dashboard!$C$7*'Equity and Bond Returns'!BT41)+(Dashboard!$C$8*'Equity and Bond Returns'!FR41)</f>
        <v>7.3175624590870944E-2</v>
      </c>
      <c r="BI41" s="122">
        <f ca="1">(Dashboard!$C$7*'Equity and Bond Returns'!BU41)+(Dashboard!$C$8*'Equity and Bond Returns'!FS41)</f>
        <v>0.12942023841100278</v>
      </c>
      <c r="BJ41" s="122">
        <f ca="1">(Dashboard!$C$7*'Equity and Bond Returns'!BV41)+(Dashboard!$C$8*'Equity and Bond Returns'!FT41)</f>
        <v>-2.2592567744750242E-2</v>
      </c>
      <c r="BK41" s="122">
        <f ca="1">(Dashboard!$C$7*'Equity and Bond Returns'!BW41)+(Dashboard!$C$8*'Equity and Bond Returns'!FU41)</f>
        <v>3.8979760901543287E-2</v>
      </c>
      <c r="BL41" s="122">
        <f ca="1">(Dashboard!$C$7*'Equity and Bond Returns'!BX41)+(Dashboard!$C$8*'Equity and Bond Returns'!FV41)</f>
        <v>0.1302344442697867</v>
      </c>
      <c r="BM41" s="122">
        <f ca="1">(Dashboard!$C$7*'Equity and Bond Returns'!BY41)+(Dashboard!$C$8*'Equity and Bond Returns'!FW41)</f>
        <v>0.22201667796562854</v>
      </c>
      <c r="BN41" s="122">
        <f ca="1">(Dashboard!$C$7*'Equity and Bond Returns'!BZ41)+(Dashboard!$C$8*'Equity and Bond Returns'!FX41)</f>
        <v>0.13002588958381092</v>
      </c>
      <c r="BO41" s="122">
        <f ca="1">(Dashboard!$C$7*'Equity and Bond Returns'!CA41)+(Dashboard!$C$8*'Equity and Bond Returns'!FY41)</f>
        <v>6.0648614576353739E-2</v>
      </c>
      <c r="BP41" s="122">
        <f ca="1">(Dashboard!$C$7*'Equity and Bond Returns'!CB41)+(Dashboard!$C$8*'Equity and Bond Returns'!FZ41)</f>
        <v>0.12536544811663247</v>
      </c>
      <c r="BQ41" s="122">
        <f ca="1">(Dashboard!$C$7*'Equity and Bond Returns'!CC41)+(Dashboard!$C$8*'Equity and Bond Returns'!GA41)</f>
        <v>-4.956143255896972E-2</v>
      </c>
      <c r="BR41" s="122">
        <f ca="1">(Dashboard!$C$7*'Equity and Bond Returns'!CD41)+(Dashboard!$C$8*'Equity and Bond Returns'!GB41)</f>
        <v>-0.20526104773259715</v>
      </c>
      <c r="BS41" s="122">
        <f ca="1">(Dashboard!$C$7*'Equity and Bond Returns'!CE41)+(Dashboard!$C$8*'Equity and Bond Returns'!GC41)</f>
        <v>0.15155672449344074</v>
      </c>
      <c r="BT41" s="122">
        <f ca="1">(Dashboard!$C$7*'Equity and Bond Returns'!CF41)+(Dashboard!$C$8*'Equity and Bond Returns'!GD41)</f>
        <v>0.25075054823232856</v>
      </c>
      <c r="BU41" s="122">
        <f ca="1">(Dashboard!$C$7*'Equity and Bond Returns'!CG41)+(Dashboard!$C$8*'Equity and Bond Returns'!GE41)</f>
        <v>6.3045167229785398E-2</v>
      </c>
      <c r="BV41" s="122">
        <f ca="1">(Dashboard!$C$7*'Equity and Bond Returns'!CH41)+(Dashboard!$C$8*'Equity and Bond Returns'!GF41)</f>
        <v>-6.6891655506178954E-2</v>
      </c>
      <c r="BW41" s="122">
        <f ca="1">(Dashboard!$C$7*'Equity and Bond Returns'!CI41)+(Dashboard!$C$8*'Equity and Bond Returns'!GG41)</f>
        <v>8.7210488136741343E-2</v>
      </c>
      <c r="BX41" s="122">
        <f ca="1">(Dashboard!$C$7*'Equity and Bond Returns'!CJ41)+(Dashboard!$C$8*'Equity and Bond Returns'!GH41)</f>
        <v>7.1740671358973607E-2</v>
      </c>
      <c r="BY41" s="122">
        <f ca="1">(Dashboard!$C$7*'Equity and Bond Returns'!CK41)+(Dashboard!$C$8*'Equity and Bond Returns'!GI41)</f>
        <v>0.17852494936182448</v>
      </c>
      <c r="BZ41" s="122">
        <f ca="1">(Dashboard!$C$7*'Equity and Bond Returns'!CL41)+(Dashboard!$C$8*'Equity and Bond Returns'!GJ41)</f>
        <v>0.20508149136437656</v>
      </c>
      <c r="CA41" s="122">
        <f ca="1">(Dashboard!$C$7*'Equity and Bond Returns'!CM41)+(Dashboard!$C$8*'Equity and Bond Returns'!GK41)</f>
        <v>1.3074581294002529E-2</v>
      </c>
      <c r="CB41" s="122">
        <f ca="1">(Dashboard!$C$7*'Equity and Bond Returns'!CN41)+(Dashboard!$C$8*'Equity and Bond Returns'!GL41)</f>
        <v>0.28293330486761697</v>
      </c>
      <c r="CC41" s="122">
        <f ca="1">(Dashboard!$C$7*'Equity and Bond Returns'!CO41)+(Dashboard!$C$8*'Equity and Bond Returns'!GM41)</f>
        <v>2.3136995879574112E-2</v>
      </c>
      <c r="CD41" s="122">
        <f ca="1">(Dashboard!$C$7*'Equity and Bond Returns'!CP41)+(Dashboard!$C$8*'Equity and Bond Returns'!GN41)</f>
        <v>2.005679716151483E-2</v>
      </c>
      <c r="CE41" s="122">
        <f ca="1">(Dashboard!$C$7*'Equity and Bond Returns'!CQ41)+(Dashboard!$C$8*'Equity and Bond Returns'!GO41)</f>
        <v>4.1605808098331108E-2</v>
      </c>
      <c r="CF41" s="122">
        <f ca="1">(Dashboard!$C$7*'Equity and Bond Returns'!CR41)+(Dashboard!$C$8*'Equity and Bond Returns'!GP41)</f>
        <v>-5.2719161241211919E-2</v>
      </c>
      <c r="CG41" s="122">
        <f ca="1">(Dashboard!$C$7*'Equity and Bond Returns'!CS41)+(Dashboard!$C$8*'Equity and Bond Returns'!GQ41)</f>
        <v>0.11781341402296583</v>
      </c>
      <c r="CH41" s="122">
        <f ca="1">(Dashboard!$C$7*'Equity and Bond Returns'!CT41)+(Dashboard!$C$8*'Equity and Bond Returns'!GR41)</f>
        <v>-0.34816164382861303</v>
      </c>
      <c r="CI41" s="122">
        <f ca="1">(Dashboard!$C$7*'Equity and Bond Returns'!CU41)+(Dashboard!$C$8*'Equity and Bond Returns'!GS41)</f>
        <v>0.12852624095438958</v>
      </c>
      <c r="CJ41" s="122">
        <f ca="1">(Dashboard!$C$7*'Equity and Bond Returns'!CV41)+(Dashboard!$C$8*'Equity and Bond Returns'!GT41)</f>
        <v>-0.15537532628623033</v>
      </c>
      <c r="CK41" s="122">
        <f ca="1">(Dashboard!$C$7*'Equity and Bond Returns'!CW41)+(Dashboard!$C$8*'Equity and Bond Returns'!GU41)</f>
        <v>1.1669334474372593E-2</v>
      </c>
      <c r="CL41" s="122">
        <f ca="1">(Dashboard!$C$7*'Equity and Bond Returns'!CX41)+(Dashboard!$C$8*'Equity and Bond Returns'!GV41)</f>
        <v>5.5489401803269563E-2</v>
      </c>
      <c r="CM41" s="122">
        <f ca="1">(Dashboard!$C$7*'Equity and Bond Returns'!CY41)+(Dashboard!$C$8*'Equity and Bond Returns'!GW41)</f>
        <v>-6.7838856611652093E-2</v>
      </c>
      <c r="CN41" s="122">
        <f ca="1">(Dashboard!$C$7*'Equity and Bond Returns'!CZ41)+(Dashboard!$C$8*'Equity and Bond Returns'!GX41)</f>
        <v>0.26500317820395802</v>
      </c>
      <c r="CO41" s="122">
        <f ca="1">(Dashboard!$C$7*'Equity and Bond Returns'!DA41)+(Dashboard!$C$8*'Equity and Bond Returns'!GY41)</f>
        <v>0.1050644953198117</v>
      </c>
      <c r="CP41" s="122">
        <f ca="1">(Dashboard!$C$7*'Equity and Bond Returns'!DB41)+(Dashboard!$C$8*'Equity and Bond Returns'!GZ41)</f>
        <v>8.0007239243378075E-2</v>
      </c>
      <c r="CQ41" s="122">
        <f ca="1">(Dashboard!$C$7*'Equity and Bond Returns'!DC41)+(Dashboard!$C$8*'Equity and Bond Returns'!HA41)</f>
        <v>5.2992105275697435E-3</v>
      </c>
      <c r="CR41" s="122">
        <f ca="1">(Dashboard!$C$7*'Equity and Bond Returns'!DD41)+(Dashboard!$C$8*'Equity and Bond Returns'!HB41)</f>
        <v>0.25277047472369812</v>
      </c>
      <c r="CS41" s="122">
        <f ca="1">(Dashboard!$C$7*'Equity and Bond Returns'!DE41)+(Dashboard!$C$8*'Equity and Bond Returns'!HC41)</f>
        <v>-0.28009988844726913</v>
      </c>
      <c r="CT41" s="122">
        <f ca="1">(Dashboard!$C$7*'Equity and Bond Returns'!DF41)+(Dashboard!$C$8*'Equity and Bond Returns'!HD41)</f>
        <v>0.19678677764113461</v>
      </c>
      <c r="CU41" s="122">
        <f ca="1">(Dashboard!$C$7*'Equity and Bond Returns'!DG41)+(Dashboard!$C$8*'Equity and Bond Returns'!HE41)</f>
        <v>0.12747555254133633</v>
      </c>
      <c r="CV41" s="122">
        <f ca="1">(Dashboard!$C$7*'Equity and Bond Returns'!DH41)+(Dashboard!$C$8*'Equity and Bond Returns'!HF41)</f>
        <v>-2.6598150993125243E-2</v>
      </c>
      <c r="CW41" s="122">
        <f ca="1">(Dashboard!$C$7*'Equity and Bond Returns'!DI41)+(Dashboard!$C$8*'Equity and Bond Returns'!HG41)</f>
        <v>-7.39987134940342E-3</v>
      </c>
      <c r="CY41" s="147">
        <f t="shared" si="5"/>
        <v>90</v>
      </c>
      <c r="CZ41" s="148">
        <v>40</v>
      </c>
      <c r="DA41" s="126">
        <f ca="1">MAX(DA40*(1+B41)-(Dashboard!$C$11)/(1-Dashboard!$C$17)*((1+Dashboard!$C$12)^$CZ41),0)</f>
        <v>52043528.605490066</v>
      </c>
      <c r="DB41" s="126">
        <f ca="1">MAX(DB40*(1+C41)-(Dashboard!$C$11)/(1-Dashboard!$C$17)*((1+Dashboard!$C$12)^$CZ41),0)</f>
        <v>0</v>
      </c>
      <c r="DC41" s="126">
        <f ca="1">MAX(DC40*(1+D41)-(Dashboard!$C$11)/(1-Dashboard!$C$17)*((1+Dashboard!$C$12)^$CZ41),0)</f>
        <v>10744638.248114184</v>
      </c>
      <c r="DD41" s="126">
        <f ca="1">MAX(DD40*(1+E41)-(Dashboard!$C$11)/(1-Dashboard!$C$17)*((1+Dashboard!$C$12)^$CZ41),0)</f>
        <v>1902133.3689604364</v>
      </c>
      <c r="DE41" s="126">
        <f ca="1">MAX(DE40*(1+F41)-(Dashboard!$C$11)/(1-Dashboard!$C$17)*((1+Dashboard!$C$12)^$CZ41),0)</f>
        <v>14161759.428629855</v>
      </c>
      <c r="DF41" s="126">
        <f ca="1">MAX(DF40*(1+G41)-(Dashboard!$C$11)/(1-Dashboard!$C$17)*((1+Dashboard!$C$12)^$CZ41),0)</f>
        <v>27454913.687200006</v>
      </c>
      <c r="DG41" s="126">
        <f ca="1">MAX(DG40*(1+H41)-(Dashboard!$C$11)/(1-Dashboard!$C$17)*((1+Dashboard!$C$12)^$CZ41),0)</f>
        <v>1433156.3245785306</v>
      </c>
      <c r="DH41" s="126">
        <f ca="1">MAX(DH40*(1+I41)-(Dashboard!$C$11)/(1-Dashboard!$C$17)*((1+Dashboard!$C$12)^$CZ41),0)</f>
        <v>39845206.85905084</v>
      </c>
      <c r="DI41" s="126">
        <f ca="1">MAX(DI40*(1+J41)-(Dashboard!$C$11)/(1-Dashboard!$C$17)*((1+Dashboard!$C$12)^$CZ41),0)</f>
        <v>8667450.9305266347</v>
      </c>
      <c r="DJ41" s="126">
        <f ca="1">MAX(DJ40*(1+K41)-(Dashboard!$C$11)/(1-Dashboard!$C$17)*((1+Dashboard!$C$12)^$CZ41),0)</f>
        <v>8448328.0580906253</v>
      </c>
      <c r="DK41" s="126">
        <f ca="1">MAX(DK40*(1+L41)-(Dashboard!$C$11)/(1-Dashboard!$C$17)*((1+Dashboard!$C$12)^$CZ41),0)</f>
        <v>19589967.763833925</v>
      </c>
      <c r="DL41" s="126">
        <f ca="1">MAX(DL40*(1+M41)-(Dashboard!$C$11)/(1-Dashboard!$C$17)*((1+Dashboard!$C$12)^$CZ41),0)</f>
        <v>527606.1941981772</v>
      </c>
      <c r="DM41" s="126">
        <f ca="1">MAX(DM40*(1+N41)-(Dashboard!$C$11)/(1-Dashboard!$C$17)*((1+Dashboard!$C$12)^$CZ41),0)</f>
        <v>14631912.027073981</v>
      </c>
      <c r="DN41" s="126">
        <f ca="1">MAX(DN40*(1+O41)-(Dashboard!$C$11)/(1-Dashboard!$C$17)*((1+Dashboard!$C$12)^$CZ41),0)</f>
        <v>79745067.387432113</v>
      </c>
      <c r="DO41" s="126">
        <f ca="1">MAX(DO40*(1+P41)-(Dashboard!$C$11)/(1-Dashboard!$C$17)*((1+Dashboard!$C$12)^$CZ41),0)</f>
        <v>5047995.0783937955</v>
      </c>
      <c r="DP41" s="126">
        <f ca="1">MAX(DP40*(1+Q41)-(Dashboard!$C$11)/(1-Dashboard!$C$17)*((1+Dashboard!$C$12)^$CZ41),0)</f>
        <v>8325623.9447934981</v>
      </c>
      <c r="DQ41" s="126">
        <f ca="1">MAX(DQ40*(1+R41)-(Dashboard!$C$11)/(1-Dashboard!$C$17)*((1+Dashboard!$C$12)^$CZ41),0)</f>
        <v>10041611.913551044</v>
      </c>
      <c r="DR41" s="126">
        <f ca="1">MAX(DR40*(1+S41)-(Dashboard!$C$11)/(1-Dashboard!$C$17)*((1+Dashboard!$C$12)^$CZ41),0)</f>
        <v>27195409.369001538</v>
      </c>
      <c r="DS41" s="126">
        <f ca="1">MAX(DS40*(1+T41)-(Dashboard!$C$11)/(1-Dashboard!$C$17)*((1+Dashboard!$C$12)^$CZ41),0)</f>
        <v>606490.13101087953</v>
      </c>
      <c r="DT41" s="126">
        <f ca="1">MAX(DT40*(1+U41)-(Dashboard!$C$11)/(1-Dashboard!$C$17)*((1+Dashboard!$C$12)^$CZ41),0)</f>
        <v>3415225.3455327572</v>
      </c>
      <c r="DU41" s="126">
        <f ca="1">MAX(DU40*(1+V41)-(Dashboard!$C$11)/(1-Dashboard!$C$17)*((1+Dashboard!$C$12)^$CZ41),0)</f>
        <v>7094630.1706026364</v>
      </c>
      <c r="DV41" s="126">
        <f ca="1">MAX(DV40*(1+W41)-(Dashboard!$C$11)/(1-Dashboard!$C$17)*((1+Dashboard!$C$12)^$CZ41),0)</f>
        <v>69799003.348707825</v>
      </c>
      <c r="DW41" s="126">
        <f ca="1">MAX(DW40*(1+X41)-(Dashboard!$C$11)/(1-Dashboard!$C$17)*((1+Dashboard!$C$12)^$CZ41),0)</f>
        <v>4848946.7469889848</v>
      </c>
      <c r="DX41" s="126">
        <f ca="1">MAX(DX40*(1+Y41)-(Dashboard!$C$11)/(1-Dashboard!$C$17)*((1+Dashboard!$C$12)^$CZ41),0)</f>
        <v>5054081.2357917018</v>
      </c>
      <c r="DY41" s="126">
        <f ca="1">MAX(DY40*(1+Z41)-(Dashboard!$C$11)/(1-Dashboard!$C$17)*((1+Dashboard!$C$12)^$CZ41),0)</f>
        <v>15194912.506635256</v>
      </c>
      <c r="DZ41" s="126">
        <f ca="1">MAX(DZ40*(1+AA41)-(Dashboard!$C$11)/(1-Dashboard!$C$17)*((1+Dashboard!$C$12)^$CZ41),0)</f>
        <v>1932255.2281578225</v>
      </c>
      <c r="EA41" s="126">
        <f ca="1">MAX(EA40*(1+AB41)-(Dashboard!$C$11)/(1-Dashboard!$C$17)*((1+Dashboard!$C$12)^$CZ41),0)</f>
        <v>11525180.628445458</v>
      </c>
      <c r="EB41" s="126">
        <f ca="1">MAX(EB40*(1+AC41)-(Dashboard!$C$11)/(1-Dashboard!$C$17)*((1+Dashboard!$C$12)^$CZ41),0)</f>
        <v>12721064.984645294</v>
      </c>
      <c r="EC41" s="126">
        <f ca="1">MAX(EC40*(1+AD41)-(Dashboard!$C$11)/(1-Dashboard!$C$17)*((1+Dashboard!$C$12)^$CZ41),0)</f>
        <v>24142435.738959279</v>
      </c>
      <c r="ED41" s="126">
        <f ca="1">MAX(ED40*(1+AE41)-(Dashboard!$C$11)/(1-Dashboard!$C$17)*((1+Dashboard!$C$12)^$CZ41),0)</f>
        <v>14620569.819152659</v>
      </c>
      <c r="EE41" s="126">
        <f ca="1">MAX(EE40*(1+AF41)-(Dashboard!$C$11)/(1-Dashboard!$C$17)*((1+Dashboard!$C$12)^$CZ41),0)</f>
        <v>26959336.903156959</v>
      </c>
      <c r="EF41" s="126">
        <f ca="1">MAX(EF40*(1+AG41)-(Dashboard!$C$11)/(1-Dashboard!$C$17)*((1+Dashboard!$C$12)^$CZ41),0)</f>
        <v>3191997.3185902364</v>
      </c>
      <c r="EG41" s="126">
        <f ca="1">MAX(EG40*(1+AH41)-(Dashboard!$C$11)/(1-Dashboard!$C$17)*((1+Dashboard!$C$12)^$CZ41),0)</f>
        <v>15232512.864551878</v>
      </c>
      <c r="EH41" s="126">
        <f ca="1">MAX(EH40*(1+AI41)-(Dashboard!$C$11)/(1-Dashboard!$C$17)*((1+Dashboard!$C$12)^$CZ41),0)</f>
        <v>38708140.389263183</v>
      </c>
      <c r="EI41" s="126">
        <f ca="1">MAX(EI40*(1+AJ41)-(Dashboard!$C$11)/(1-Dashboard!$C$17)*((1+Dashboard!$C$12)^$CZ41),0)</f>
        <v>0</v>
      </c>
      <c r="EJ41" s="126">
        <f ca="1">MAX(EJ40*(1+AK41)-(Dashboard!$C$11)/(1-Dashboard!$C$17)*((1+Dashboard!$C$12)^$CZ41),0)</f>
        <v>20837990.748698886</v>
      </c>
      <c r="EK41" s="126">
        <f ca="1">MAX(EK40*(1+AL41)-(Dashboard!$C$11)/(1-Dashboard!$C$17)*((1+Dashboard!$C$12)^$CZ41),0)</f>
        <v>5882770.6480520368</v>
      </c>
      <c r="EL41" s="126">
        <f ca="1">MAX(EL40*(1+AM41)-(Dashboard!$C$11)/(1-Dashboard!$C$17)*((1+Dashboard!$C$12)^$CZ41),0)</f>
        <v>2109389.102470167</v>
      </c>
      <c r="EM41" s="126">
        <f ca="1">MAX(EM40*(1+AN41)-(Dashboard!$C$11)/(1-Dashboard!$C$17)*((1+Dashboard!$C$12)^$CZ41),0)</f>
        <v>39312585.976884946</v>
      </c>
      <c r="EN41" s="126">
        <f ca="1">MAX(EN40*(1+AO41)-(Dashboard!$C$11)/(1-Dashboard!$C$17)*((1+Dashboard!$C$12)^$CZ41),0)</f>
        <v>2855437.750920922</v>
      </c>
      <c r="EO41" s="126">
        <f ca="1">MAX(EO40*(1+AP41)-(Dashboard!$C$11)/(1-Dashboard!$C$17)*((1+Dashboard!$C$12)^$CZ41),0)</f>
        <v>0</v>
      </c>
      <c r="EP41" s="126">
        <f ca="1">MAX(EP40*(1+AQ41)-(Dashboard!$C$11)/(1-Dashboard!$C$17)*((1+Dashboard!$C$12)^$CZ41),0)</f>
        <v>10458592.351730274</v>
      </c>
      <c r="EQ41" s="126">
        <f ca="1">MAX(EQ40*(1+AR41)-(Dashboard!$C$11)/(1-Dashboard!$C$17)*((1+Dashboard!$C$12)^$CZ41),0)</f>
        <v>5613300.4072818458</v>
      </c>
      <c r="ER41" s="126">
        <f ca="1">MAX(ER40*(1+AS41)-(Dashboard!$C$11)/(1-Dashboard!$C$17)*((1+Dashboard!$C$12)^$CZ41),0)</f>
        <v>3474336.0192427244</v>
      </c>
      <c r="ES41" s="126">
        <f ca="1">MAX(ES40*(1+AT41)-(Dashboard!$C$11)/(1-Dashboard!$C$17)*((1+Dashboard!$C$12)^$CZ41),0)</f>
        <v>26330015.583465677</v>
      </c>
      <c r="ET41" s="126">
        <f ca="1">MAX(ET40*(1+AU41)-(Dashboard!$C$11)/(1-Dashboard!$C$17)*((1+Dashboard!$C$12)^$CZ41),0)</f>
        <v>9449860.90430413</v>
      </c>
      <c r="EU41" s="126">
        <f ca="1">MAX(EU40*(1+AV41)-(Dashboard!$C$11)/(1-Dashboard!$C$17)*((1+Dashboard!$C$12)^$CZ41),0)</f>
        <v>7914498.6536151003</v>
      </c>
      <c r="EV41" s="126">
        <f ca="1">MAX(EV40*(1+AW41)-(Dashboard!$C$11)/(1-Dashboard!$C$17)*((1+Dashboard!$C$12)^$CZ41),0)</f>
        <v>67857222.080051959</v>
      </c>
      <c r="EW41" s="126">
        <f ca="1">MAX(EW40*(1+AX41)-(Dashboard!$C$11)/(1-Dashboard!$C$17)*((1+Dashboard!$C$12)^$CZ41),0)</f>
        <v>2934985.9006475136</v>
      </c>
      <c r="EX41" s="126">
        <f ca="1">MAX(EX40*(1+AY41)-(Dashboard!$C$11)/(1-Dashboard!$C$17)*((1+Dashboard!$C$12)^$CZ41),0)</f>
        <v>8304774.7704821657</v>
      </c>
      <c r="EY41" s="126">
        <f ca="1">MAX(EY40*(1+AZ41)-(Dashboard!$C$11)/(1-Dashboard!$C$17)*((1+Dashboard!$C$12)^$CZ41),0)</f>
        <v>16684661.854037978</v>
      </c>
      <c r="EZ41" s="126">
        <f ca="1">MAX(EZ40*(1+BA41)-(Dashboard!$C$11)/(1-Dashboard!$C$17)*((1+Dashboard!$C$12)^$CZ41),0)</f>
        <v>8807360.2164777722</v>
      </c>
      <c r="FA41" s="126">
        <f ca="1">MAX(FA40*(1+BB41)-(Dashboard!$C$11)/(1-Dashboard!$C$17)*((1+Dashboard!$C$12)^$CZ41),0)</f>
        <v>36416423.429283224</v>
      </c>
      <c r="FB41" s="126">
        <f ca="1">MAX(FB40*(1+BC41)-(Dashboard!$C$11)/(1-Dashboard!$C$17)*((1+Dashboard!$C$12)^$CZ41),0)</f>
        <v>690093.5917926078</v>
      </c>
      <c r="FC41" s="126">
        <f ca="1">MAX(FC40*(1+BD41)-(Dashboard!$C$11)/(1-Dashboard!$C$17)*((1+Dashboard!$C$12)^$CZ41),0)</f>
        <v>6273596.5998784509</v>
      </c>
      <c r="FD41" s="126">
        <f ca="1">MAX(FD40*(1+BE41)-(Dashboard!$C$11)/(1-Dashboard!$C$17)*((1+Dashboard!$C$12)^$CZ41),0)</f>
        <v>37530882.546836652</v>
      </c>
      <c r="FE41" s="126">
        <f ca="1">MAX(FE40*(1+BF41)-(Dashboard!$C$11)/(1-Dashboard!$C$17)*((1+Dashboard!$C$12)^$CZ41),0)</f>
        <v>49261199.021721445</v>
      </c>
      <c r="FF41" s="126">
        <f ca="1">MAX(FF40*(1+BG41)-(Dashboard!$C$11)/(1-Dashboard!$C$17)*((1+Dashboard!$C$12)^$CZ41),0)</f>
        <v>9934286.070944244</v>
      </c>
      <c r="FG41" s="126">
        <f ca="1">MAX(FG40*(1+BH41)-(Dashboard!$C$11)/(1-Dashboard!$C$17)*((1+Dashboard!$C$12)^$CZ41),0)</f>
        <v>5951159.6697400268</v>
      </c>
      <c r="FH41" s="126">
        <f ca="1">MAX(FH40*(1+BI41)-(Dashboard!$C$11)/(1-Dashboard!$C$17)*((1+Dashboard!$C$12)^$CZ41),0)</f>
        <v>4616259.7396777775</v>
      </c>
      <c r="FI41" s="126">
        <f ca="1">MAX(FI40*(1+BJ41)-(Dashboard!$C$11)/(1-Dashboard!$C$17)*((1+Dashboard!$C$12)^$CZ41),0)</f>
        <v>21779410.511429336</v>
      </c>
      <c r="FJ41" s="126">
        <f ca="1">MAX(FJ40*(1+BK41)-(Dashboard!$C$11)/(1-Dashboard!$C$17)*((1+Dashboard!$C$12)^$CZ41),0)</f>
        <v>7718973.8373354822</v>
      </c>
      <c r="FK41" s="126">
        <f ca="1">MAX(FK40*(1+BL41)-(Dashboard!$C$11)/(1-Dashboard!$C$17)*((1+Dashboard!$C$12)^$CZ41),0)</f>
        <v>6403649.2700698832</v>
      </c>
      <c r="FL41" s="126">
        <f ca="1">MAX(FL40*(1+BM41)-(Dashboard!$C$11)/(1-Dashboard!$C$17)*((1+Dashboard!$C$12)^$CZ41),0)</f>
        <v>6159453.3676404431</v>
      </c>
      <c r="FM41" s="126">
        <f ca="1">MAX(FM40*(1+BN41)-(Dashboard!$C$11)/(1-Dashboard!$C$17)*((1+Dashboard!$C$12)^$CZ41),0)</f>
        <v>8460818.2351049986</v>
      </c>
      <c r="FN41" s="126">
        <f ca="1">MAX(FN40*(1+BO41)-(Dashboard!$C$11)/(1-Dashboard!$C$17)*((1+Dashboard!$C$12)^$CZ41),0)</f>
        <v>0</v>
      </c>
      <c r="FO41" s="126">
        <f ca="1">MAX(FO40*(1+BP41)-(Dashboard!$C$11)/(1-Dashboard!$C$17)*((1+Dashboard!$C$12)^$CZ41),0)</f>
        <v>10495693.027596746</v>
      </c>
      <c r="FP41" s="126">
        <f ca="1">MAX(FP40*(1+BQ41)-(Dashboard!$C$11)/(1-Dashboard!$C$17)*((1+Dashboard!$C$12)^$CZ41),0)</f>
        <v>6019559.6784565542</v>
      </c>
      <c r="FQ41" s="126">
        <f ca="1">MAX(FQ40*(1+BR41)-(Dashboard!$C$11)/(1-Dashboard!$C$17)*((1+Dashboard!$C$12)^$CZ41),0)</f>
        <v>4900504.0903196521</v>
      </c>
      <c r="FR41" s="126">
        <f ca="1">MAX(FR40*(1+BS41)-(Dashboard!$C$11)/(1-Dashboard!$C$17)*((1+Dashboard!$C$12)^$CZ41),0)</f>
        <v>22182437.344943952</v>
      </c>
      <c r="FS41" s="126">
        <f ca="1">MAX(FS40*(1+BT41)-(Dashboard!$C$11)/(1-Dashboard!$C$17)*((1+Dashboard!$C$12)^$CZ41),0)</f>
        <v>21646158.526064314</v>
      </c>
      <c r="FT41" s="126">
        <f ca="1">MAX(FT40*(1+BU41)-(Dashboard!$C$11)/(1-Dashboard!$C$17)*((1+Dashboard!$C$12)^$CZ41),0)</f>
        <v>1452446.8649083767</v>
      </c>
      <c r="FU41" s="126">
        <f ca="1">MAX(FU40*(1+BV41)-(Dashboard!$C$11)/(1-Dashboard!$C$17)*((1+Dashboard!$C$12)^$CZ41),0)</f>
        <v>1838340.5932394706</v>
      </c>
      <c r="FV41" s="126">
        <f ca="1">MAX(FV40*(1+BW41)-(Dashboard!$C$11)/(1-Dashboard!$C$17)*((1+Dashboard!$C$12)^$CZ41),0)</f>
        <v>6872370.1305783326</v>
      </c>
      <c r="FW41" s="126">
        <f ca="1">MAX(FW40*(1+BX41)-(Dashboard!$C$11)/(1-Dashboard!$C$17)*((1+Dashboard!$C$12)^$CZ41),0)</f>
        <v>6166941.149859285</v>
      </c>
      <c r="FX41" s="126">
        <f ca="1">MAX(FX40*(1+BY41)-(Dashboard!$C$11)/(1-Dashboard!$C$17)*((1+Dashboard!$C$12)^$CZ41),0)</f>
        <v>2291363.6254204842</v>
      </c>
      <c r="FY41" s="126">
        <f ca="1">MAX(FY40*(1+BZ41)-(Dashboard!$C$11)/(1-Dashboard!$C$17)*((1+Dashboard!$C$12)^$CZ41),0)</f>
        <v>3536311.424332873</v>
      </c>
      <c r="FZ41" s="126">
        <f ca="1">MAX(FZ40*(1+CA41)-(Dashboard!$C$11)/(1-Dashboard!$C$17)*((1+Dashboard!$C$12)^$CZ41),0)</f>
        <v>43246262.189185798</v>
      </c>
      <c r="GA41" s="126">
        <f ca="1">MAX(GA40*(1+CB41)-(Dashboard!$C$11)/(1-Dashboard!$C$17)*((1+Dashboard!$C$12)^$CZ41),0)</f>
        <v>32455237.652836531</v>
      </c>
      <c r="GB41" s="126">
        <f ca="1">MAX(GB40*(1+CC41)-(Dashboard!$C$11)/(1-Dashboard!$C$17)*((1+Dashboard!$C$12)^$CZ41),0)</f>
        <v>5138853.3427474508</v>
      </c>
      <c r="GC41" s="126">
        <f ca="1">MAX(GC40*(1+CD41)-(Dashboard!$C$11)/(1-Dashboard!$C$17)*((1+Dashboard!$C$12)^$CZ41),0)</f>
        <v>16496621.195388006</v>
      </c>
      <c r="GD41" s="126">
        <f ca="1">MAX(GD40*(1+CE41)-(Dashboard!$C$11)/(1-Dashboard!$C$17)*((1+Dashboard!$C$12)^$CZ41),0)</f>
        <v>93854101.101249307</v>
      </c>
      <c r="GE41" s="126">
        <f ca="1">MAX(GE40*(1+CF41)-(Dashboard!$C$11)/(1-Dashboard!$C$17)*((1+Dashboard!$C$12)^$CZ41),0)</f>
        <v>9296872.6541850213</v>
      </c>
      <c r="GF41" s="126">
        <f ca="1">MAX(GF40*(1+CG41)-(Dashboard!$C$11)/(1-Dashboard!$C$17)*((1+Dashboard!$C$12)^$CZ41),0)</f>
        <v>12168746.575554037</v>
      </c>
      <c r="GG41" s="126">
        <f ca="1">MAX(GG40*(1+CH41)-(Dashboard!$C$11)/(1-Dashboard!$C$17)*((1+Dashboard!$C$12)^$CZ41),0)</f>
        <v>1087250.6364156264</v>
      </c>
      <c r="GH41" s="126">
        <f ca="1">MAX(GH40*(1+CI41)-(Dashboard!$C$11)/(1-Dashboard!$C$17)*((1+Dashboard!$C$12)^$CZ41),0)</f>
        <v>3948235.5456751054</v>
      </c>
      <c r="GI41" s="126">
        <f ca="1">MAX(GI40*(1+CJ41)-(Dashboard!$C$11)/(1-Dashboard!$C$17)*((1+Dashboard!$C$12)^$CZ41),0)</f>
        <v>20769726.671850909</v>
      </c>
      <c r="GJ41" s="126">
        <f ca="1">MAX(GJ40*(1+CK41)-(Dashboard!$C$11)/(1-Dashboard!$C$17)*((1+Dashboard!$C$12)^$CZ41),0)</f>
        <v>70712259.296776667</v>
      </c>
      <c r="GK41" s="126">
        <f ca="1">MAX(GK40*(1+CL41)-(Dashboard!$C$11)/(1-Dashboard!$C$17)*((1+Dashboard!$C$12)^$CZ41),0)</f>
        <v>7563399.6123441532</v>
      </c>
      <c r="GL41" s="126">
        <f ca="1">MAX(GL40*(1+CM41)-(Dashboard!$C$11)/(1-Dashboard!$C$17)*((1+Dashboard!$C$12)^$CZ41),0)</f>
        <v>16556559.961778644</v>
      </c>
      <c r="GM41" s="126">
        <f ca="1">MAX(GM40*(1+CN41)-(Dashboard!$C$11)/(1-Dashboard!$C$17)*((1+Dashboard!$C$12)^$CZ41),0)</f>
        <v>2977494.3081917861</v>
      </c>
      <c r="GN41" s="126">
        <f ca="1">MAX(GN40*(1+CO41)-(Dashboard!$C$11)/(1-Dashboard!$C$17)*((1+Dashboard!$C$12)^$CZ41),0)</f>
        <v>0</v>
      </c>
      <c r="GO41" s="126">
        <f ca="1">MAX(GO40*(1+CP41)-(Dashboard!$C$11)/(1-Dashboard!$C$17)*((1+Dashboard!$C$12)^$CZ41),0)</f>
        <v>22917087.450698026</v>
      </c>
      <c r="GP41" s="126">
        <f ca="1">MAX(GP40*(1+CQ41)-(Dashboard!$C$11)/(1-Dashboard!$C$17)*((1+Dashboard!$C$12)^$CZ41),0)</f>
        <v>15599770.458216308</v>
      </c>
      <c r="GQ41" s="126">
        <f ca="1">MAX(GQ40*(1+CR41)-(Dashboard!$C$11)/(1-Dashboard!$C$17)*((1+Dashboard!$C$12)^$CZ41),0)</f>
        <v>1387180.0535496275</v>
      </c>
      <c r="GR41" s="126">
        <f ca="1">MAX(GR40*(1+CS41)-(Dashboard!$C$11)/(1-Dashboard!$C$17)*((1+Dashboard!$C$12)^$CZ41),0)</f>
        <v>2720638.7914158907</v>
      </c>
      <c r="GS41" s="126">
        <f ca="1">MAX(GS40*(1+CT41)-(Dashboard!$C$11)/(1-Dashboard!$C$17)*((1+Dashboard!$C$12)^$CZ41),0)</f>
        <v>17327406.32225896</v>
      </c>
      <c r="GT41" s="126">
        <f ca="1">MAX(GT40*(1+CU41)-(Dashboard!$C$11)/(1-Dashboard!$C$17)*((1+Dashboard!$C$12)^$CZ41),0)</f>
        <v>60919300.959267832</v>
      </c>
      <c r="GU41" s="126">
        <f ca="1">MAX(GU40*(1+CV41)-(Dashboard!$C$11)/(1-Dashboard!$C$17)*((1+Dashboard!$C$12)^$CZ41),0)</f>
        <v>7716139.6861107349</v>
      </c>
      <c r="GV41" s="126">
        <f ca="1">MAX(GV40*(1+CW41)-(Dashboard!$C$11)/(1-Dashboard!$C$17)*((1+Dashboard!$C$12)^$CZ41),0)</f>
        <v>3742473.4209680706</v>
      </c>
      <c r="GW41" s="115">
        <f t="shared" si="4"/>
        <v>90</v>
      </c>
      <c r="GX41" s="130">
        <f t="shared" ca="1" si="2"/>
        <v>95</v>
      </c>
      <c r="HC41" s="130">
        <f t="shared" si="7"/>
        <v>90</v>
      </c>
      <c r="HD41" s="137">
        <f t="shared" ca="1" si="6"/>
        <v>3489829.8705152618</v>
      </c>
      <c r="HE41" s="137">
        <f t="shared" ca="1" si="6"/>
        <v>8386976.0014420617</v>
      </c>
      <c r="HF41" s="137">
        <f t="shared" ca="1" si="6"/>
        <v>20474786.944846664</v>
      </c>
    </row>
    <row r="42" spans="1:214" ht="16">
      <c r="A42" s="145">
        <f t="shared" si="3"/>
        <v>91</v>
      </c>
      <c r="B42" s="122">
        <f ca="1">(Dashboard!$C$7*'Equity and Bond Returns'!N42)+(Dashboard!$C$8*'Equity and Bond Returns'!DL42)</f>
        <v>5.0906878398859025E-2</v>
      </c>
      <c r="C42" s="122">
        <f ca="1">(Dashboard!$C$7*'Equity and Bond Returns'!O42)+(Dashboard!$C$8*'Equity and Bond Returns'!DM42)</f>
        <v>-4.3137082905355062E-2</v>
      </c>
      <c r="D42" s="122">
        <f ca="1">(Dashboard!$C$7*'Equity and Bond Returns'!P42)+(Dashboard!$C$8*'Equity and Bond Returns'!DN42)</f>
        <v>0.19801864463066735</v>
      </c>
      <c r="E42" s="122">
        <f ca="1">(Dashboard!$C$7*'Equity and Bond Returns'!Q42)+(Dashboard!$C$8*'Equity and Bond Returns'!DO42)</f>
        <v>-2.9270607984998649E-2</v>
      </c>
      <c r="F42" s="122">
        <f ca="1">(Dashboard!$C$7*'Equity and Bond Returns'!R42)+(Dashboard!$C$8*'Equity and Bond Returns'!DP42)</f>
        <v>-0.22749171669645696</v>
      </c>
      <c r="G42" s="122">
        <f ca="1">(Dashboard!$C$7*'Equity and Bond Returns'!S42)+(Dashboard!$C$8*'Equity and Bond Returns'!DQ42)</f>
        <v>-0.11639286635258844</v>
      </c>
      <c r="H42" s="122">
        <f ca="1">(Dashboard!$C$7*'Equity and Bond Returns'!T42)+(Dashboard!$C$8*'Equity and Bond Returns'!DR42)</f>
        <v>0.17212914526587872</v>
      </c>
      <c r="I42" s="122">
        <f ca="1">(Dashboard!$C$7*'Equity and Bond Returns'!U42)+(Dashboard!$C$8*'Equity and Bond Returns'!DS42)</f>
        <v>0.20517371621789779</v>
      </c>
      <c r="J42" s="122">
        <f ca="1">(Dashboard!$C$7*'Equity and Bond Returns'!V42)+(Dashboard!$C$8*'Equity and Bond Returns'!DT42)</f>
        <v>0.3010943270740018</v>
      </c>
      <c r="K42" s="122">
        <f ca="1">(Dashboard!$C$7*'Equity and Bond Returns'!W42)+(Dashboard!$C$8*'Equity and Bond Returns'!DU42)</f>
        <v>0.15104513468071867</v>
      </c>
      <c r="L42" s="122">
        <f ca="1">(Dashboard!$C$7*'Equity and Bond Returns'!X42)+(Dashboard!$C$8*'Equity and Bond Returns'!DV42)</f>
        <v>-3.0551024075432046E-3</v>
      </c>
      <c r="M42" s="122">
        <f ca="1">(Dashboard!$C$7*'Equity and Bond Returns'!Y42)+(Dashboard!$C$8*'Equity and Bond Returns'!DW42)</f>
        <v>0.16138056917325841</v>
      </c>
      <c r="N42" s="122">
        <f ca="1">(Dashboard!$C$7*'Equity and Bond Returns'!Z42)+(Dashboard!$C$8*'Equity and Bond Returns'!DX42)</f>
        <v>0.23627548570692944</v>
      </c>
      <c r="O42" s="122">
        <f ca="1">(Dashboard!$C$7*'Equity and Bond Returns'!AA42)+(Dashboard!$C$8*'Equity and Bond Returns'!DY42)</f>
        <v>0.20962778754837827</v>
      </c>
      <c r="P42" s="122">
        <f ca="1">(Dashboard!$C$7*'Equity and Bond Returns'!AB42)+(Dashboard!$C$8*'Equity and Bond Returns'!DZ42)</f>
        <v>0.19900346109044262</v>
      </c>
      <c r="Q42" s="122">
        <f ca="1">(Dashboard!$C$7*'Equity and Bond Returns'!AC42)+(Dashboard!$C$8*'Equity and Bond Returns'!EA42)</f>
        <v>3.3805064434946838E-2</v>
      </c>
      <c r="R42" s="122">
        <f ca="1">(Dashboard!$C$7*'Equity and Bond Returns'!AD42)+(Dashboard!$C$8*'Equity and Bond Returns'!EB42)</f>
        <v>-5.4282387642091222E-2</v>
      </c>
      <c r="S42" s="122">
        <f ca="1">(Dashboard!$C$7*'Equity and Bond Returns'!AE42)+(Dashboard!$C$8*'Equity and Bond Returns'!EC42)</f>
        <v>0.15790625407904657</v>
      </c>
      <c r="T42" s="122">
        <f ca="1">(Dashboard!$C$7*'Equity and Bond Returns'!AF42)+(Dashboard!$C$8*'Equity and Bond Returns'!ED42)</f>
        <v>-8.2289687073972287E-2</v>
      </c>
      <c r="U42" s="122">
        <f ca="1">(Dashboard!$C$7*'Equity and Bond Returns'!AG42)+(Dashboard!$C$8*'Equity and Bond Returns'!EE42)</f>
        <v>0.16696178600145797</v>
      </c>
      <c r="V42" s="122">
        <f ca="1">(Dashboard!$C$7*'Equity and Bond Returns'!AH42)+(Dashboard!$C$8*'Equity and Bond Returns'!EF42)</f>
        <v>0.29917245469147447</v>
      </c>
      <c r="W42" s="122">
        <f ca="1">(Dashboard!$C$7*'Equity and Bond Returns'!AI42)+(Dashboard!$C$8*'Equity and Bond Returns'!EG42)</f>
        <v>5.7860987424136659E-2</v>
      </c>
      <c r="X42" s="122">
        <f ca="1">(Dashboard!$C$7*'Equity and Bond Returns'!AJ42)+(Dashboard!$C$8*'Equity and Bond Returns'!EH42)</f>
        <v>-0.13201608034808396</v>
      </c>
      <c r="Y42" s="122">
        <f ca="1">(Dashboard!$C$7*'Equity and Bond Returns'!AK42)+(Dashboard!$C$8*'Equity and Bond Returns'!EI42)</f>
        <v>-6.6980056292253398E-2</v>
      </c>
      <c r="Z42" s="122">
        <f ca="1">(Dashboard!$C$7*'Equity and Bond Returns'!AL42)+(Dashboard!$C$8*'Equity and Bond Returns'!EJ42)</f>
        <v>0.34368410737484423</v>
      </c>
      <c r="AA42" s="122">
        <f ca="1">(Dashboard!$C$7*'Equity and Bond Returns'!AM42)+(Dashboard!$C$8*'Equity and Bond Returns'!EK42)</f>
        <v>0.22577682810154884</v>
      </c>
      <c r="AB42" s="122">
        <f ca="1">(Dashboard!$C$7*'Equity and Bond Returns'!AN42)+(Dashboard!$C$8*'Equity and Bond Returns'!EL42)</f>
        <v>0.136053324927353</v>
      </c>
      <c r="AC42" s="122">
        <f ca="1">(Dashboard!$C$7*'Equity and Bond Returns'!AO42)+(Dashboard!$C$8*'Equity and Bond Returns'!EM42)</f>
        <v>0.20254275638993663</v>
      </c>
      <c r="AD42" s="122">
        <f ca="1">(Dashboard!$C$7*'Equity and Bond Returns'!AP42)+(Dashboard!$C$8*'Equity and Bond Returns'!EN42)</f>
        <v>4.3981212829002109E-2</v>
      </c>
      <c r="AE42" s="122">
        <f ca="1">(Dashboard!$C$7*'Equity and Bond Returns'!AQ42)+(Dashboard!$C$8*'Equity and Bond Returns'!EO42)</f>
        <v>0.34403578148662345</v>
      </c>
      <c r="AF42" s="122">
        <f ca="1">(Dashboard!$C$7*'Equity and Bond Returns'!AR42)+(Dashboard!$C$8*'Equity and Bond Returns'!EP42)</f>
        <v>-0.18561881099003533</v>
      </c>
      <c r="AG42" s="122">
        <f ca="1">(Dashboard!$C$7*'Equity and Bond Returns'!AS42)+(Dashboard!$C$8*'Equity and Bond Returns'!EQ42)</f>
        <v>6.1749525523347185E-2</v>
      </c>
      <c r="AH42" s="122">
        <f ca="1">(Dashboard!$C$7*'Equity and Bond Returns'!AT42)+(Dashboard!$C$8*'Equity and Bond Returns'!ER42)</f>
        <v>7.8637283989760692E-2</v>
      </c>
      <c r="AI42" s="122">
        <f ca="1">(Dashboard!$C$7*'Equity and Bond Returns'!AU42)+(Dashboard!$C$8*'Equity and Bond Returns'!ES42)</f>
        <v>-4.5957799242903191E-2</v>
      </c>
      <c r="AJ42" s="122">
        <f ca="1">(Dashboard!$C$7*'Equity and Bond Returns'!AV42)+(Dashboard!$C$8*'Equity and Bond Returns'!ET42)</f>
        <v>0.27911078846818888</v>
      </c>
      <c r="AK42" s="122">
        <f ca="1">(Dashboard!$C$7*'Equity and Bond Returns'!AW42)+(Dashboard!$C$8*'Equity and Bond Returns'!EU42)</f>
        <v>7.0269343529098832E-2</v>
      </c>
      <c r="AL42" s="122">
        <f ca="1">(Dashboard!$C$7*'Equity and Bond Returns'!AX42)+(Dashboard!$C$8*'Equity and Bond Returns'!EV42)</f>
        <v>-7.0975124912644863E-2</v>
      </c>
      <c r="AM42" s="122">
        <f ca="1">(Dashboard!$C$7*'Equity and Bond Returns'!AY42)+(Dashboard!$C$8*'Equity and Bond Returns'!EW42)</f>
        <v>0.37027678703371691</v>
      </c>
      <c r="AN42" s="122">
        <f ca="1">(Dashboard!$C$7*'Equity and Bond Returns'!AZ42)+(Dashboard!$C$8*'Equity and Bond Returns'!EX42)</f>
        <v>-8.4477372834886155E-2</v>
      </c>
      <c r="AO42" s="122">
        <f ca="1">(Dashboard!$C$7*'Equity and Bond Returns'!BA42)+(Dashboard!$C$8*'Equity and Bond Returns'!EY42)</f>
        <v>5.870695418726873E-3</v>
      </c>
      <c r="AP42" s="122">
        <f ca="1">(Dashboard!$C$7*'Equity and Bond Returns'!BB42)+(Dashboard!$C$8*'Equity and Bond Returns'!EZ42)</f>
        <v>0.13280841476460417</v>
      </c>
      <c r="AQ42" s="122">
        <f ca="1">(Dashboard!$C$7*'Equity and Bond Returns'!BC42)+(Dashboard!$C$8*'Equity and Bond Returns'!FA42)</f>
        <v>0.10621646385196629</v>
      </c>
      <c r="AR42" s="122">
        <f ca="1">(Dashboard!$C$7*'Equity and Bond Returns'!BD42)+(Dashboard!$C$8*'Equity and Bond Returns'!FB42)</f>
        <v>0.16433776288386875</v>
      </c>
      <c r="AS42" s="122">
        <f ca="1">(Dashboard!$C$7*'Equity and Bond Returns'!BE42)+(Dashboard!$C$8*'Equity and Bond Returns'!FC42)</f>
        <v>0.1547097331327498</v>
      </c>
      <c r="AT42" s="122">
        <f ca="1">(Dashboard!$C$7*'Equity and Bond Returns'!BF42)+(Dashboard!$C$8*'Equity and Bond Returns'!FD42)</f>
        <v>0.14317427550255363</v>
      </c>
      <c r="AU42" s="122">
        <f ca="1">(Dashboard!$C$7*'Equity and Bond Returns'!BG42)+(Dashboard!$C$8*'Equity and Bond Returns'!FE42)</f>
        <v>0.15649222966322679</v>
      </c>
      <c r="AV42" s="122">
        <f ca="1">(Dashboard!$C$7*'Equity and Bond Returns'!BH42)+(Dashboard!$C$8*'Equity and Bond Returns'!FF42)</f>
        <v>0.15586261925941575</v>
      </c>
      <c r="AW42" s="122">
        <f ca="1">(Dashboard!$C$7*'Equity and Bond Returns'!BI42)+(Dashboard!$C$8*'Equity and Bond Returns'!FG42)</f>
        <v>-2.1001594540471697E-2</v>
      </c>
      <c r="AX42" s="122">
        <f ca="1">(Dashboard!$C$7*'Equity and Bond Returns'!BJ42)+(Dashboard!$C$8*'Equity and Bond Returns'!FH42)</f>
        <v>-2.4926746084607137E-2</v>
      </c>
      <c r="AY42" s="122">
        <f ca="1">(Dashboard!$C$7*'Equity and Bond Returns'!BK42)+(Dashboard!$C$8*'Equity and Bond Returns'!FI42)</f>
        <v>-9.3885898872313175E-2</v>
      </c>
      <c r="AZ42" s="122">
        <f ca="1">(Dashboard!$C$7*'Equity and Bond Returns'!BL42)+(Dashboard!$C$8*'Equity and Bond Returns'!FJ42)</f>
        <v>4.9791137030125464E-2</v>
      </c>
      <c r="BA42" s="122">
        <f ca="1">(Dashboard!$C$7*'Equity and Bond Returns'!BM42)+(Dashboard!$C$8*'Equity and Bond Returns'!FK42)</f>
        <v>-0.15637050057951454</v>
      </c>
      <c r="BB42" s="122">
        <f ca="1">(Dashboard!$C$7*'Equity and Bond Returns'!BN42)+(Dashboard!$C$8*'Equity and Bond Returns'!FL42)</f>
        <v>0.28161397286089618</v>
      </c>
      <c r="BC42" s="122">
        <f ca="1">(Dashboard!$C$7*'Equity and Bond Returns'!BO42)+(Dashboard!$C$8*'Equity and Bond Returns'!FM42)</f>
        <v>0.10545953316992654</v>
      </c>
      <c r="BD42" s="122">
        <f ca="1">(Dashboard!$C$7*'Equity and Bond Returns'!BP42)+(Dashboard!$C$8*'Equity and Bond Returns'!FN42)</f>
        <v>-5.3790773319703569E-2</v>
      </c>
      <c r="BE42" s="122">
        <f ca="1">(Dashboard!$C$7*'Equity and Bond Returns'!BQ42)+(Dashboard!$C$8*'Equity and Bond Returns'!FO42)</f>
        <v>2.7042552103996306E-2</v>
      </c>
      <c r="BF42" s="122">
        <f ca="1">(Dashboard!$C$7*'Equity and Bond Returns'!BR42)+(Dashboard!$C$8*'Equity and Bond Returns'!FP42)</f>
        <v>-5.46946190961776E-2</v>
      </c>
      <c r="BG42" s="122">
        <f ca="1">(Dashboard!$C$7*'Equity and Bond Returns'!BS42)+(Dashboard!$C$8*'Equity and Bond Returns'!FQ42)</f>
        <v>-7.5953950713053872E-2</v>
      </c>
      <c r="BH42" s="122">
        <f ca="1">(Dashboard!$C$7*'Equity and Bond Returns'!BT42)+(Dashboard!$C$8*'Equity and Bond Returns'!FR42)</f>
        <v>2.2507910746817347E-2</v>
      </c>
      <c r="BI42" s="122">
        <f ca="1">(Dashboard!$C$7*'Equity and Bond Returns'!BU42)+(Dashboard!$C$8*'Equity and Bond Returns'!FS42)</f>
        <v>0.15919312681414846</v>
      </c>
      <c r="BJ42" s="122">
        <f ca="1">(Dashboard!$C$7*'Equity and Bond Returns'!BV42)+(Dashboard!$C$8*'Equity and Bond Returns'!FT42)</f>
        <v>0.21693464424174683</v>
      </c>
      <c r="BK42" s="122">
        <f ca="1">(Dashboard!$C$7*'Equity and Bond Returns'!BW42)+(Dashboard!$C$8*'Equity and Bond Returns'!FU42)</f>
        <v>2.6502768638400464E-3</v>
      </c>
      <c r="BL42" s="122">
        <f ca="1">(Dashboard!$C$7*'Equity and Bond Returns'!BX42)+(Dashboard!$C$8*'Equity and Bond Returns'!FV42)</f>
        <v>0.10767317577970063</v>
      </c>
      <c r="BM42" s="122">
        <f ca="1">(Dashboard!$C$7*'Equity and Bond Returns'!BY42)+(Dashboard!$C$8*'Equity and Bond Returns'!FW42)</f>
        <v>-0.13179620818210969</v>
      </c>
      <c r="BN42" s="122">
        <f ca="1">(Dashboard!$C$7*'Equity and Bond Returns'!BZ42)+(Dashboard!$C$8*'Equity and Bond Returns'!FX42)</f>
        <v>0.16729212047186154</v>
      </c>
      <c r="BO42" s="122">
        <f ca="1">(Dashboard!$C$7*'Equity and Bond Returns'!CA42)+(Dashboard!$C$8*'Equity and Bond Returns'!FY42)</f>
        <v>-9.8991841883937726E-2</v>
      </c>
      <c r="BP42" s="122">
        <f ca="1">(Dashboard!$C$7*'Equity and Bond Returns'!CB42)+(Dashboard!$C$8*'Equity and Bond Returns'!FZ42)</f>
        <v>0.15488193761764685</v>
      </c>
      <c r="BQ42" s="122">
        <f ca="1">(Dashboard!$C$7*'Equity and Bond Returns'!CC42)+(Dashboard!$C$8*'Equity and Bond Returns'!GA42)</f>
        <v>-0.12476587383967461</v>
      </c>
      <c r="BR42" s="122">
        <f ca="1">(Dashboard!$C$7*'Equity and Bond Returns'!CD42)+(Dashboard!$C$8*'Equity and Bond Returns'!GB42)</f>
        <v>0.19183657520972192</v>
      </c>
      <c r="BS42" s="122">
        <f ca="1">(Dashboard!$C$7*'Equity and Bond Returns'!CE42)+(Dashboard!$C$8*'Equity and Bond Returns'!GC42)</f>
        <v>0.26495388942186132</v>
      </c>
      <c r="BT42" s="122">
        <f ca="1">(Dashboard!$C$7*'Equity and Bond Returns'!CF42)+(Dashboard!$C$8*'Equity and Bond Returns'!GD42)</f>
        <v>0.20948618512797626</v>
      </c>
      <c r="BU42" s="122">
        <f ca="1">(Dashboard!$C$7*'Equity and Bond Returns'!CG42)+(Dashboard!$C$8*'Equity and Bond Returns'!GE42)</f>
        <v>0.19381545638744474</v>
      </c>
      <c r="BV42" s="122">
        <f ca="1">(Dashboard!$C$7*'Equity and Bond Returns'!CH42)+(Dashboard!$C$8*'Equity and Bond Returns'!GF42)</f>
        <v>-2.1144264065641467E-2</v>
      </c>
      <c r="BW42" s="122">
        <f ca="1">(Dashboard!$C$7*'Equity and Bond Returns'!CI42)+(Dashboard!$C$8*'Equity and Bond Returns'!GG42)</f>
        <v>0.2512407994743957</v>
      </c>
      <c r="BX42" s="122">
        <f ca="1">(Dashboard!$C$7*'Equity and Bond Returns'!CJ42)+(Dashboard!$C$8*'Equity and Bond Returns'!GH42)</f>
        <v>0.18387045860942774</v>
      </c>
      <c r="BY42" s="122">
        <f ca="1">(Dashboard!$C$7*'Equity and Bond Returns'!CK42)+(Dashboard!$C$8*'Equity and Bond Returns'!GI42)</f>
        <v>-6.273743813300961E-2</v>
      </c>
      <c r="BZ42" s="122">
        <f ca="1">(Dashboard!$C$7*'Equity and Bond Returns'!CL42)+(Dashboard!$C$8*'Equity and Bond Returns'!GJ42)</f>
        <v>0.16806001402008322</v>
      </c>
      <c r="CA42" s="122">
        <f ca="1">(Dashboard!$C$7*'Equity and Bond Returns'!CM42)+(Dashboard!$C$8*'Equity and Bond Returns'!GK42)</f>
        <v>-5.1419925449032212E-3</v>
      </c>
      <c r="CB42" s="122">
        <f ca="1">(Dashboard!$C$7*'Equity and Bond Returns'!CN42)+(Dashboard!$C$8*'Equity and Bond Returns'!GL42)</f>
        <v>0.10065501946475483</v>
      </c>
      <c r="CC42" s="122">
        <f ca="1">(Dashboard!$C$7*'Equity and Bond Returns'!CO42)+(Dashboard!$C$8*'Equity and Bond Returns'!GM42)</f>
        <v>0.31923563096852436</v>
      </c>
      <c r="CD42" s="122">
        <f ca="1">(Dashboard!$C$7*'Equity and Bond Returns'!CP42)+(Dashboard!$C$8*'Equity and Bond Returns'!GN42)</f>
        <v>-0.10378655183073496</v>
      </c>
      <c r="CE42" s="122">
        <f ca="1">(Dashboard!$C$7*'Equity and Bond Returns'!CQ42)+(Dashboard!$C$8*'Equity and Bond Returns'!GO42)</f>
        <v>-6.894383854352934E-2</v>
      </c>
      <c r="CF42" s="122">
        <f ca="1">(Dashboard!$C$7*'Equity and Bond Returns'!CR42)+(Dashboard!$C$8*'Equity and Bond Returns'!GP42)</f>
        <v>-0.12849059753922626</v>
      </c>
      <c r="CG42" s="122">
        <f ca="1">(Dashboard!$C$7*'Equity and Bond Returns'!CS42)+(Dashboard!$C$8*'Equity and Bond Returns'!GQ42)</f>
        <v>-9.5136647401484198E-2</v>
      </c>
      <c r="CH42" s="122">
        <f ca="1">(Dashboard!$C$7*'Equity and Bond Returns'!CT42)+(Dashboard!$C$8*'Equity and Bond Returns'!GR42)</f>
        <v>4.8156840415892327E-4</v>
      </c>
      <c r="CI42" s="122">
        <f ca="1">(Dashboard!$C$7*'Equity and Bond Returns'!CU42)+(Dashboard!$C$8*'Equity and Bond Returns'!GS42)</f>
        <v>-5.6204825061527228E-2</v>
      </c>
      <c r="CJ42" s="122">
        <f ca="1">(Dashboard!$C$7*'Equity and Bond Returns'!CV42)+(Dashboard!$C$8*'Equity and Bond Returns'!GT42)</f>
        <v>0.11251100533280479</v>
      </c>
      <c r="CK42" s="122">
        <f ca="1">(Dashboard!$C$7*'Equity and Bond Returns'!CW42)+(Dashboard!$C$8*'Equity and Bond Returns'!GU42)</f>
        <v>8.7667779055669789E-3</v>
      </c>
      <c r="CL42" s="122">
        <f ca="1">(Dashboard!$C$7*'Equity and Bond Returns'!CX42)+(Dashboard!$C$8*'Equity and Bond Returns'!GV42)</f>
        <v>0.25810313327813161</v>
      </c>
      <c r="CM42" s="122">
        <f ca="1">(Dashboard!$C$7*'Equity and Bond Returns'!CY42)+(Dashboard!$C$8*'Equity and Bond Returns'!GW42)</f>
        <v>0.12469090543643757</v>
      </c>
      <c r="CN42" s="122">
        <f ca="1">(Dashboard!$C$7*'Equity and Bond Returns'!CZ42)+(Dashboard!$C$8*'Equity and Bond Returns'!GX42)</f>
        <v>0.18476619888208504</v>
      </c>
      <c r="CO42" s="122">
        <f ca="1">(Dashboard!$C$7*'Equity and Bond Returns'!DA42)+(Dashboard!$C$8*'Equity and Bond Returns'!GY42)</f>
        <v>7.181366439105491E-2</v>
      </c>
      <c r="CP42" s="122">
        <f ca="1">(Dashboard!$C$7*'Equity and Bond Returns'!DB42)+(Dashboard!$C$8*'Equity and Bond Returns'!GZ42)</f>
        <v>0.11429057757999174</v>
      </c>
      <c r="CQ42" s="122">
        <f ca="1">(Dashboard!$C$7*'Equity and Bond Returns'!DC42)+(Dashboard!$C$8*'Equity and Bond Returns'!HA42)</f>
        <v>0.50252039374779311</v>
      </c>
      <c r="CR42" s="122">
        <f ca="1">(Dashboard!$C$7*'Equity and Bond Returns'!DD42)+(Dashboard!$C$8*'Equity and Bond Returns'!HB42)</f>
        <v>0.29312200755269169</v>
      </c>
      <c r="CS42" s="122">
        <f ca="1">(Dashboard!$C$7*'Equity and Bond Returns'!DE42)+(Dashboard!$C$8*'Equity and Bond Returns'!HC42)</f>
        <v>4.0158769589199235E-2</v>
      </c>
      <c r="CT42" s="122">
        <f ca="1">(Dashboard!$C$7*'Equity and Bond Returns'!DF42)+(Dashboard!$C$8*'Equity and Bond Returns'!HD42)</f>
        <v>9.9838096539917265E-2</v>
      </c>
      <c r="CU42" s="122">
        <f ca="1">(Dashboard!$C$7*'Equity and Bond Returns'!DG42)+(Dashboard!$C$8*'Equity and Bond Returns'!HE42)</f>
        <v>0.27642612929832083</v>
      </c>
      <c r="CV42" s="122">
        <f ca="1">(Dashboard!$C$7*'Equity and Bond Returns'!DH42)+(Dashboard!$C$8*'Equity and Bond Returns'!HF42)</f>
        <v>3.2821502554878777E-2</v>
      </c>
      <c r="CW42" s="122">
        <f ca="1">(Dashboard!$C$7*'Equity and Bond Returns'!DI42)+(Dashboard!$C$8*'Equity and Bond Returns'!HG42)</f>
        <v>-7.8341122917895606E-2</v>
      </c>
      <c r="CY42" s="147">
        <f t="shared" si="5"/>
        <v>91</v>
      </c>
      <c r="CZ42" s="148">
        <v>41</v>
      </c>
      <c r="DA42" s="126">
        <f ca="1">MAX(DA41*(1+B42)-(Dashboard!$C$11)/(1-Dashboard!$C$17)*((1+Dashboard!$C$12)^$CZ42),0)</f>
        <v>54623604.272313513</v>
      </c>
      <c r="DB42" s="126">
        <f ca="1">MAX(DB41*(1+C42)-(Dashboard!$C$11)/(1-Dashboard!$C$17)*((1+Dashboard!$C$12)^$CZ42),0)</f>
        <v>0</v>
      </c>
      <c r="DC42" s="126">
        <f ca="1">MAX(DC41*(1+D42)-(Dashboard!$C$11)/(1-Dashboard!$C$17)*((1+Dashboard!$C$12)^$CZ42),0)</f>
        <v>12802979.035708802</v>
      </c>
      <c r="DD42" s="126">
        <f ca="1">MAX(DD41*(1+E42)-(Dashboard!$C$11)/(1-Dashboard!$C$17)*((1+Dashboard!$C$12)^$CZ42),0)</f>
        <v>1777158.8534386302</v>
      </c>
      <c r="DE42" s="126">
        <f ca="1">MAX(DE41*(1+F42)-(Dashboard!$C$11)/(1-Dashboard!$C$17)*((1+Dashboard!$C$12)^$CZ42),0)</f>
        <v>10870778.549424833</v>
      </c>
      <c r="DF42" s="126">
        <f ca="1">MAX(DF41*(1+G42)-(Dashboard!$C$11)/(1-Dashboard!$C$17)*((1+Dashboard!$C$12)^$CZ42),0)</f>
        <v>24190059.672340106</v>
      </c>
      <c r="DG42" s="126">
        <f ca="1">MAX(DG41*(1+H42)-(Dashboard!$C$11)/(1-Dashboard!$C$17)*((1+Dashboard!$C$12)^$CZ42),0)</f>
        <v>1610546.3824168409</v>
      </c>
      <c r="DH42" s="126">
        <f ca="1">MAX(DH41*(1+I42)-(Dashboard!$C$11)/(1-Dashboard!$C$17)*((1+Dashboard!$C$12)^$CZ42),0)</f>
        <v>47951098.108449385</v>
      </c>
      <c r="DI42" s="126">
        <f ca="1">MAX(DI41*(1+J42)-(Dashboard!$C$11)/(1-Dashboard!$C$17)*((1+Dashboard!$C$12)^$CZ42),0)</f>
        <v>11207873.320556702</v>
      </c>
      <c r="DJ42" s="126">
        <f ca="1">MAX(DJ41*(1+K42)-(Dashboard!$C$11)/(1-Dashboard!$C$17)*((1+Dashboard!$C$12)^$CZ42),0)</f>
        <v>9655108.9921080377</v>
      </c>
      <c r="DK42" s="126">
        <f ca="1">MAX(DK41*(1+L42)-(Dashboard!$C$11)/(1-Dashboard!$C$17)*((1+Dashboard!$C$12)^$CZ42),0)</f>
        <v>19460820.490811162</v>
      </c>
      <c r="DL42" s="126">
        <f ca="1">MAX(DL41*(1+M42)-(Dashboard!$C$11)/(1-Dashboard!$C$17)*((1+Dashboard!$C$12)^$CZ42),0)</f>
        <v>543453.66677343543</v>
      </c>
      <c r="DM42" s="126">
        <f ca="1">MAX(DM41*(1+N42)-(Dashboard!$C$11)/(1-Dashboard!$C$17)*((1+Dashboard!$C$12)^$CZ42),0)</f>
        <v>18019776.232748166</v>
      </c>
      <c r="DN42" s="126">
        <f ca="1">MAX(DN41*(1+O42)-(Dashboard!$C$11)/(1-Dashboard!$C$17)*((1+Dashboard!$C$12)^$CZ42),0)</f>
        <v>96392551.516412064</v>
      </c>
      <c r="DO42" s="126">
        <f ca="1">MAX(DO41*(1+P42)-(Dashboard!$C$11)/(1-Dashboard!$C$17)*((1+Dashboard!$C$12)^$CZ42),0)</f>
        <v>5983265.6552179009</v>
      </c>
      <c r="DP42" s="126">
        <f ca="1">MAX(DP41*(1+Q42)-(Dashboard!$C$11)/(1-Dashboard!$C$17)*((1+Dashboard!$C$12)^$CZ42),0)</f>
        <v>8537774.2833645977</v>
      </c>
      <c r="DQ42" s="126">
        <f ca="1">MAX(DQ41*(1+R42)-(Dashboard!$C$11)/(1-Dashboard!$C$17)*((1+Dashboard!$C$12)^$CZ42),0)</f>
        <v>9427231.3277644441</v>
      </c>
      <c r="DR42" s="126">
        <f ca="1">MAX(DR41*(1+S42)-(Dashboard!$C$11)/(1-Dashboard!$C$17)*((1+Dashboard!$C$12)^$CZ42),0)</f>
        <v>31420436.675262999</v>
      </c>
      <c r="DS42" s="126">
        <f ca="1">MAX(DS41*(1+T42)-(Dashboard!$C$11)/(1-Dashboard!$C$17)*((1+Dashboard!$C$12)^$CZ42),0)</f>
        <v>487284.33257276146</v>
      </c>
      <c r="DT42" s="126">
        <f ca="1">MAX(DT41*(1+U42)-(Dashboard!$C$11)/(1-Dashboard!$C$17)*((1+Dashboard!$C$12)^$CZ42),0)</f>
        <v>3916139.553476573</v>
      </c>
      <c r="DU42" s="126">
        <f ca="1">MAX(DU41*(1+V42)-(Dashboard!$C$11)/(1-Dashboard!$C$17)*((1+Dashboard!$C$12)^$CZ42),0)</f>
        <v>9147850.1785262413</v>
      </c>
      <c r="DV42" s="126">
        <f ca="1">MAX(DV41*(1+W42)-(Dashboard!$C$11)/(1-Dashboard!$C$17)*((1+Dashboard!$C$12)^$CZ42),0)</f>
        <v>73768344.688340902</v>
      </c>
      <c r="DW42" s="126">
        <f ca="1">MAX(DW41*(1+X42)-(Dashboard!$C$11)/(1-Dashboard!$C$17)*((1+Dashboard!$C$12)^$CZ42),0)</f>
        <v>4139509.8882911261</v>
      </c>
      <c r="DX42" s="126">
        <f ca="1">MAX(DX41*(1+Y42)-(Dashboard!$C$11)/(1-Dashboard!$C$17)*((1+Dashboard!$C$12)^$CZ42),0)</f>
        <v>4646260.6747689722</v>
      </c>
      <c r="DY42" s="126">
        <f ca="1">MAX(DY41*(1+Z42)-(Dashboard!$C$11)/(1-Dashboard!$C$17)*((1+Dashboard!$C$12)^$CZ42),0)</f>
        <v>20347864.532773271</v>
      </c>
      <c r="DZ42" s="126">
        <f ca="1">MAX(DZ41*(1+AA42)-(Dashboard!$C$11)/(1-Dashboard!$C$17)*((1+Dashboard!$C$12)^$CZ42),0)</f>
        <v>2299215.7693101503</v>
      </c>
      <c r="EA42" s="126">
        <f ca="1">MAX(EA41*(1+AB42)-(Dashboard!$C$11)/(1-Dashboard!$C$17)*((1+Dashboard!$C$12)^$CZ42),0)</f>
        <v>13023921.857990002</v>
      </c>
      <c r="EB42" s="126">
        <f ca="1">MAX(EB41*(1+AC42)-(Dashboard!$C$11)/(1-Dashboard!$C$17)*((1+Dashboard!$C$12)^$CZ42),0)</f>
        <v>15228326.635507079</v>
      </c>
      <c r="EC42" s="126">
        <f ca="1">MAX(EC41*(1+AD42)-(Dashboard!$C$11)/(1-Dashboard!$C$17)*((1+Dashboard!$C$12)^$CZ42),0)</f>
        <v>25134951.428061172</v>
      </c>
      <c r="ED42" s="126">
        <f ca="1">MAX(ED41*(1+AE42)-(Dashboard!$C$11)/(1-Dashboard!$C$17)*((1+Dashboard!$C$12)^$CZ42),0)</f>
        <v>19581271.067320805</v>
      </c>
      <c r="EE42" s="126">
        <f ca="1">MAX(EE41*(1+AF42)-(Dashboard!$C$11)/(1-Dashboard!$C$17)*((1+Dashboard!$C$12)^$CZ42),0)</f>
        <v>21885878.926769402</v>
      </c>
      <c r="EF42" s="126">
        <f ca="1">MAX(EF41*(1+AG42)-(Dashboard!$C$11)/(1-Dashboard!$C$17)*((1+Dashboard!$C$12)^$CZ42),0)</f>
        <v>3319803.7231411994</v>
      </c>
      <c r="EG42" s="126">
        <f ca="1">MAX(EG41*(1+AH42)-(Dashboard!$C$11)/(1-Dashboard!$C$17)*((1+Dashboard!$C$12)^$CZ42),0)</f>
        <v>16361058.389215546</v>
      </c>
      <c r="EH42" s="126">
        <f ca="1">MAX(EH41*(1+AI42)-(Dashboard!$C$11)/(1-Dashboard!$C$17)*((1+Dashboard!$C$12)^$CZ42),0)</f>
        <v>36859901.52884353</v>
      </c>
      <c r="EI42" s="126">
        <f ca="1">MAX(EI41*(1+AJ42)-(Dashboard!$C$11)/(1-Dashboard!$C$17)*((1+Dashboard!$C$12)^$CZ42),0)</f>
        <v>0</v>
      </c>
      <c r="EJ42" s="126">
        <f ca="1">MAX(EJ41*(1+AK42)-(Dashboard!$C$11)/(1-Dashboard!$C$17)*((1+Dashboard!$C$12)^$CZ42),0)</f>
        <v>22232964.763731614</v>
      </c>
      <c r="EK42" s="126">
        <f ca="1">MAX(EK41*(1+AL42)-(Dashboard!$C$11)/(1-Dashboard!$C$17)*((1+Dashboard!$C$12)^$CZ42),0)</f>
        <v>5395942.3511303226</v>
      </c>
      <c r="EL42" s="126">
        <f ca="1">MAX(EL41*(1+AM42)-(Dashboard!$C$11)/(1-Dashboard!$C$17)*((1+Dashboard!$C$12)^$CZ42),0)</f>
        <v>2821149.0065929764</v>
      </c>
      <c r="EM42" s="126">
        <f ca="1">MAX(EM41*(1+AN42)-(Dashboard!$C$11)/(1-Dashboard!$C$17)*((1+Dashboard!$C$12)^$CZ42),0)</f>
        <v>35922264.078868337</v>
      </c>
      <c r="EN42" s="126">
        <f ca="1">MAX(EN41*(1+AO42)-(Dashboard!$C$11)/(1-Dashboard!$C$17)*((1+Dashboard!$C$12)^$CZ42),0)</f>
        <v>2802903.240899933</v>
      </c>
      <c r="EO42" s="126">
        <f ca="1">MAX(EO41*(1+AP42)-(Dashboard!$C$11)/(1-Dashboard!$C$17)*((1+Dashboard!$C$12)^$CZ42),0)</f>
        <v>0</v>
      </c>
      <c r="EP42" s="126">
        <f ca="1">MAX(EP41*(1+AQ42)-(Dashboard!$C$11)/(1-Dashboard!$C$17)*((1+Dashboard!$C$12)^$CZ42),0)</f>
        <v>11500169.132856503</v>
      </c>
      <c r="EQ42" s="126">
        <f ca="1">MAX(EQ41*(1+AR42)-(Dashboard!$C$11)/(1-Dashboard!$C$17)*((1+Dashboard!$C$12)^$CZ42),0)</f>
        <v>6466479.7232658733</v>
      </c>
      <c r="ER42" s="126">
        <f ca="1">MAX(ER41*(1+AS42)-(Dashboard!$C$11)/(1-Dashboard!$C$17)*((1+Dashboard!$C$12)^$CZ42),0)</f>
        <v>3942551.7022494865</v>
      </c>
      <c r="ES42" s="126">
        <f ca="1">MAX(ES41*(1+AT42)-(Dashboard!$C$11)/(1-Dashboard!$C$17)*((1+Dashboard!$C$12)^$CZ42),0)</f>
        <v>30030498.573255539</v>
      </c>
      <c r="ET42" s="126">
        <f ca="1">MAX(ET41*(1+AU42)-(Dashboard!$C$11)/(1-Dashboard!$C$17)*((1+Dashboard!$C$12)^$CZ42),0)</f>
        <v>10859392.79188226</v>
      </c>
      <c r="EU42" s="126">
        <f ca="1">MAX(EU41*(1+AV42)-(Dashboard!$C$11)/(1-Dashboard!$C$17)*((1+Dashboard!$C$12)^$CZ42),0)</f>
        <v>9078775.2285488881</v>
      </c>
      <c r="EV42" s="126">
        <f ca="1">MAX(EV41*(1+AW42)-(Dashboard!$C$11)/(1-Dashboard!$C$17)*((1+Dashboard!$C$12)^$CZ42),0)</f>
        <v>66362814.299940184</v>
      </c>
      <c r="EW42" s="126">
        <f ca="1">MAX(EW41*(1+AX42)-(Dashboard!$C$11)/(1-Dashboard!$C$17)*((1+Dashboard!$C$12)^$CZ42),0)</f>
        <v>2792528.3369963909</v>
      </c>
      <c r="EX42" s="126">
        <f ca="1">MAX(EX41*(1+AY42)-(Dashboard!$C$11)/(1-Dashboard!$C$17)*((1+Dashboard!$C$12)^$CZ42),0)</f>
        <v>7455775.61087956</v>
      </c>
      <c r="EY42" s="126">
        <f ca="1">MAX(EY41*(1+AZ42)-(Dashboard!$C$11)/(1-Dashboard!$C$17)*((1+Dashboard!$C$12)^$CZ42),0)</f>
        <v>17446112.223369908</v>
      </c>
      <c r="EZ42" s="126">
        <f ca="1">MAX(EZ41*(1+BA42)-(Dashboard!$C$11)/(1-Dashboard!$C$17)*((1+Dashboard!$C$12)^$CZ42),0)</f>
        <v>7360850.9752992615</v>
      </c>
      <c r="FA42" s="126">
        <f ca="1">MAX(FA41*(1+BB42)-(Dashboard!$C$11)/(1-Dashboard!$C$17)*((1+Dashboard!$C$12)^$CZ42),0)</f>
        <v>46602499.193244509</v>
      </c>
      <c r="FB42" s="126">
        <f ca="1">MAX(FB41*(1+BC42)-(Dashboard!$C$11)/(1-Dashboard!$C$17)*((1+Dashboard!$C$12)^$CZ42),0)</f>
        <v>693572.62448283378</v>
      </c>
      <c r="FC42" s="126">
        <f ca="1">MAX(FC41*(1+BD42)-(Dashboard!$C$11)/(1-Dashboard!$C$17)*((1+Dashboard!$C$12)^$CZ42),0)</f>
        <v>5866837.0719313454</v>
      </c>
      <c r="FD42" s="126">
        <f ca="1">MAX(FD41*(1+BE42)-(Dashboard!$C$11)/(1-Dashboard!$C$17)*((1+Dashboard!$C$12)^$CZ42),0)</f>
        <v>38476515.478274666</v>
      </c>
      <c r="FE42" s="126">
        <f ca="1">MAX(FE41*(1+BF42)-(Dashboard!$C$11)/(1-Dashboard!$C$17)*((1+Dashboard!$C$12)^$CZ42),0)</f>
        <v>46497578.58966361</v>
      </c>
      <c r="FF42" s="126">
        <f ca="1">MAX(FF41*(1+BG42)-(Dashboard!$C$11)/(1-Dashboard!$C$17)*((1+Dashboard!$C$12)^$CZ42),0)</f>
        <v>9110439.8809985872</v>
      </c>
      <c r="FG42" s="126">
        <f ca="1">MAX(FG41*(1+BH42)-(Dashboard!$C$11)/(1-Dashboard!$C$17)*((1+Dashboard!$C$12)^$CZ42),0)</f>
        <v>6015809.9250828139</v>
      </c>
      <c r="FH42" s="126">
        <f ca="1">MAX(FH41*(1+BI42)-(Dashboard!$C$11)/(1-Dashboard!$C$17)*((1+Dashboard!$C$12)^$CZ42),0)</f>
        <v>5281838.6464795694</v>
      </c>
      <c r="FI42" s="126">
        <f ca="1">MAX(FI41*(1+BJ42)-(Dashboard!$C$11)/(1-Dashboard!$C$17)*((1+Dashboard!$C$12)^$CZ42),0)</f>
        <v>26434821.26717744</v>
      </c>
      <c r="FJ42" s="126">
        <f ca="1">MAX(FJ41*(1+BK42)-(Dashboard!$C$11)/(1-Dashboard!$C$17)*((1+Dashboard!$C$12)^$CZ42),0)</f>
        <v>7670133.3397653792</v>
      </c>
      <c r="FK42" s="126">
        <f ca="1">MAX(FK41*(1+BL42)-(Dashboard!$C$11)/(1-Dashboard!$C$17)*((1+Dashboard!$C$12)^$CZ42),0)</f>
        <v>7023852.6082138894</v>
      </c>
      <c r="FL42" s="126">
        <f ca="1">MAX(FL41*(1+BM42)-(Dashboard!$C$11)/(1-Dashboard!$C$17)*((1+Dashboard!$C$12)^$CZ42),0)</f>
        <v>5278362.8539671265</v>
      </c>
      <c r="FM42" s="126">
        <f ca="1">MAX(FM41*(1+BN42)-(Dashboard!$C$11)/(1-Dashboard!$C$17)*((1+Dashboard!$C$12)^$CZ42),0)</f>
        <v>9806948.5432389267</v>
      </c>
      <c r="FN42" s="126">
        <f ca="1">MAX(FN41*(1+BO42)-(Dashboard!$C$11)/(1-Dashboard!$C$17)*((1+Dashboard!$C$12)^$CZ42),0)</f>
        <v>0</v>
      </c>
      <c r="FO42" s="126">
        <f ca="1">MAX(FO41*(1+BP42)-(Dashboard!$C$11)/(1-Dashboard!$C$17)*((1+Dashboard!$C$12)^$CZ42),0)</f>
        <v>12051988.385007177</v>
      </c>
      <c r="FP42" s="126">
        <f ca="1">MAX(FP41*(1+BQ42)-(Dashboard!$C$11)/(1-Dashboard!$C$17)*((1+Dashboard!$C$12)^$CZ42),0)</f>
        <v>5199226.139700071</v>
      </c>
      <c r="FQ42" s="126">
        <f ca="1">MAX(FQ41*(1+BR42)-(Dashboard!$C$11)/(1-Dashboard!$C$17)*((1+Dashboard!$C$12)^$CZ42),0)</f>
        <v>5771302.0964640286</v>
      </c>
      <c r="FR42" s="126">
        <f ca="1">MAX(FR41*(1+BS42)-(Dashboard!$C$11)/(1-Dashboard!$C$17)*((1+Dashboard!$C$12)^$CZ42),0)</f>
        <v>27990462.480999816</v>
      </c>
      <c r="FS42" s="126">
        <f ca="1">MAX(FS41*(1+BT42)-(Dashboard!$C$11)/(1-Dashboard!$C$17)*((1+Dashboard!$C$12)^$CZ42),0)</f>
        <v>26111431.783021167</v>
      </c>
      <c r="FT42" s="126">
        <f ca="1">MAX(FT41*(1+BU42)-(Dashboard!$C$11)/(1-Dashboard!$C$17)*((1+Dashboard!$C$12)^$CZ42),0)</f>
        <v>1664655.6015653268</v>
      </c>
      <c r="FU42" s="126">
        <f ca="1">MAX(FU41*(1+BV42)-(Dashboard!$C$11)/(1-Dashboard!$C$17)*((1+Dashboard!$C$12)^$CZ42),0)</f>
        <v>1730172.3189496468</v>
      </c>
      <c r="FV42" s="126">
        <f ca="1">MAX(FV41*(1+BW42)-(Dashboard!$C$11)/(1-Dashboard!$C$17)*((1+Dashboard!$C$12)^$CZ42),0)</f>
        <v>8529691.9811250102</v>
      </c>
      <c r="FW42" s="126">
        <f ca="1">MAX(FW41*(1+BX42)-(Dashboard!$C$11)/(1-Dashboard!$C$17)*((1+Dashboard!$C$12)^$CZ42),0)</f>
        <v>7231561.5319574829</v>
      </c>
      <c r="FX42" s="126">
        <f ca="1">MAX(FX41*(1+BY42)-(Dashboard!$C$11)/(1-Dashboard!$C$17)*((1+Dashboard!$C$12)^$CZ42),0)</f>
        <v>2078311.4263866579</v>
      </c>
      <c r="FY42" s="126">
        <f ca="1">MAX(FY41*(1+BZ42)-(Dashboard!$C$11)/(1-Dashboard!$C$17)*((1+Dashboard!$C$12)^$CZ42),0)</f>
        <v>4061326.0565418559</v>
      </c>
      <c r="FZ42" s="126">
        <f ca="1">MAX(FZ41*(1+CA42)-(Dashboard!$C$11)/(1-Dashboard!$C$17)*((1+Dashboard!$C$12)^$CZ42),0)</f>
        <v>42954592.316070288</v>
      </c>
      <c r="GA42" s="126">
        <f ca="1">MAX(GA41*(1+CB42)-(Dashboard!$C$11)/(1-Dashboard!$C$17)*((1+Dashboard!$C$12)^$CZ42),0)</f>
        <v>35652722.315172255</v>
      </c>
      <c r="GB42" s="126">
        <f ca="1">MAX(GB41*(1+CC42)-(Dashboard!$C$11)/(1-Dashboard!$C$17)*((1+Dashboard!$C$12)^$CZ42),0)</f>
        <v>6710060.5167303644</v>
      </c>
      <c r="GC42" s="126">
        <f ca="1">MAX(GC41*(1+CD42)-(Dashboard!$C$11)/(1-Dashboard!$C$17)*((1+Dashboard!$C$12)^$CZ42),0)</f>
        <v>14715195.849317089</v>
      </c>
      <c r="GD42" s="126">
        <f ca="1">MAX(GD41*(1+CE42)-(Dashboard!$C$11)/(1-Dashboard!$C$17)*((1+Dashboard!$C$12)^$CZ42),0)</f>
        <v>87314141.192932919</v>
      </c>
      <c r="GE42" s="126">
        <f ca="1">MAX(GE41*(1+CF42)-(Dashboard!$C$11)/(1-Dashboard!$C$17)*((1+Dashboard!$C$12)^$CZ42),0)</f>
        <v>8033014.016258915</v>
      </c>
      <c r="GF42" s="126">
        <f ca="1">MAX(GF41*(1+CG42)-(Dashboard!$C$11)/(1-Dashboard!$C$17)*((1+Dashboard!$C$12)^$CZ42),0)</f>
        <v>10941754.907933755</v>
      </c>
      <c r="GG42" s="126">
        <f ca="1">MAX(GG41*(1+CH42)-(Dashboard!$C$11)/(1-Dashboard!$C$17)*((1+Dashboard!$C$12)^$CZ42),0)</f>
        <v>1018476.3066257457</v>
      </c>
      <c r="GH42" s="126">
        <f ca="1">MAX(GH41*(1+CI42)-(Dashboard!$C$11)/(1-Dashboard!$C$17)*((1+Dashboard!$C$12)^$CZ42),0)</f>
        <v>3657027.7421849524</v>
      </c>
      <c r="GI42" s="126">
        <f ca="1">MAX(GI41*(1+CJ42)-(Dashboard!$C$11)/(1-Dashboard!$C$17)*((1+Dashboard!$C$12)^$CZ42),0)</f>
        <v>23037251.584844645</v>
      </c>
      <c r="GJ42" s="126">
        <f ca="1">MAX(GJ41*(1+CK42)-(Dashboard!$C$11)/(1-Dashboard!$C$17)*((1+Dashboard!$C$12)^$CZ42),0)</f>
        <v>71262880.053888589</v>
      </c>
      <c r="GK42" s="126">
        <f ca="1">MAX(GK41*(1+CL42)-(Dashboard!$C$11)/(1-Dashboard!$C$17)*((1+Dashboard!$C$12)^$CZ42),0)</f>
        <v>9446238.8351810053</v>
      </c>
      <c r="GL42" s="126">
        <f ca="1">MAX(GL41*(1+CM42)-(Dashboard!$C$11)/(1-Dashboard!$C$17)*((1+Dashboard!$C$12)^$CZ42),0)</f>
        <v>18551714.498981714</v>
      </c>
      <c r="GM42" s="126">
        <f ca="1">MAX(GM41*(1+CN42)-(Dashboard!$C$11)/(1-Dashboard!$C$17)*((1+Dashboard!$C$12)^$CZ42),0)</f>
        <v>3458336.6983656455</v>
      </c>
      <c r="GN42" s="126">
        <f ca="1">MAX(GN41*(1+CO42)-(Dashboard!$C$11)/(1-Dashboard!$C$17)*((1+Dashboard!$C$12)^$CZ42),0)</f>
        <v>0</v>
      </c>
      <c r="GO42" s="126">
        <f ca="1">MAX(GO41*(1+CP42)-(Dashboard!$C$11)/(1-Dashboard!$C$17)*((1+Dashboard!$C$12)^$CZ42),0)</f>
        <v>25466996.696545705</v>
      </c>
      <c r="GP42" s="126">
        <f ca="1">MAX(GP41*(1+CQ42)-(Dashboard!$C$11)/(1-Dashboard!$C$17)*((1+Dashboard!$C$12)^$CZ42),0)</f>
        <v>23369675.335910577</v>
      </c>
      <c r="GQ42" s="126">
        <f ca="1">MAX(GQ41*(1+CR42)-(Dashboard!$C$11)/(1-Dashboard!$C$17)*((1+Dashboard!$C$12)^$CZ42),0)</f>
        <v>1724495.1403393645</v>
      </c>
      <c r="GR42" s="126">
        <f ca="1">MAX(GR41*(1+CS42)-(Dashboard!$C$11)/(1-Dashboard!$C$17)*((1+Dashboard!$C$12)^$CZ42),0)</f>
        <v>2760598.3824320189</v>
      </c>
      <c r="GS42" s="126">
        <f ca="1">MAX(GS41*(1+CT42)-(Dashboard!$C$11)/(1-Dashboard!$C$17)*((1+Dashboard!$C$12)^$CZ42),0)</f>
        <v>18988043.672103245</v>
      </c>
      <c r="GT42" s="126">
        <f ca="1">MAX(GT41*(1+CU42)-(Dashboard!$C$11)/(1-Dashboard!$C$17)*((1+Dashboard!$C$12)^$CZ42),0)</f>
        <v>77689689.607653946</v>
      </c>
      <c r="GU42" s="126">
        <f ca="1">MAX(GU41*(1+CV42)-(Dashboard!$C$11)/(1-Dashboard!$C$17)*((1+Dashboard!$C$12)^$CZ42),0)</f>
        <v>7900097.0691884402</v>
      </c>
      <c r="GV42" s="126">
        <f ca="1">MAX(GV41*(1+CW42)-(Dashboard!$C$11)/(1-Dashboard!$C$17)*((1+Dashboard!$C$12)^$CZ42),0)</f>
        <v>3379985.9353352734</v>
      </c>
      <c r="GW42" s="115">
        <f t="shared" si="4"/>
        <v>91</v>
      </c>
      <c r="GX42" s="130">
        <f t="shared" ca="1" si="2"/>
        <v>95</v>
      </c>
      <c r="HC42" s="130">
        <f t="shared" si="7"/>
        <v>91</v>
      </c>
      <c r="HD42" s="137">
        <f t="shared" ref="HD42:HF51" ca="1" si="8">PERCENTILE($CY42:$GV42,HD$1)</f>
        <v>3721805.6950078574</v>
      </c>
      <c r="HE42" s="137">
        <f t="shared" ca="1" si="8"/>
        <v>9094607.5547737367</v>
      </c>
      <c r="HF42" s="137">
        <f t="shared" ca="1" si="8"/>
        <v>22146193.304491062</v>
      </c>
    </row>
    <row r="43" spans="1:214" ht="16">
      <c r="A43" s="145">
        <f t="shared" si="3"/>
        <v>92</v>
      </c>
      <c r="B43" s="122">
        <f ca="1">(Dashboard!$C$7*'Equity and Bond Returns'!N43)+(Dashboard!$C$8*'Equity and Bond Returns'!DL43)</f>
        <v>8.050444502835738E-2</v>
      </c>
      <c r="C43" s="122">
        <f ca="1">(Dashboard!$C$7*'Equity and Bond Returns'!O43)+(Dashboard!$C$8*'Equity and Bond Returns'!DM43)</f>
        <v>0.12020560075701497</v>
      </c>
      <c r="D43" s="122">
        <f ca="1">(Dashboard!$C$7*'Equity and Bond Returns'!P43)+(Dashboard!$C$8*'Equity and Bond Returns'!DN43)</f>
        <v>0.29339828060741796</v>
      </c>
      <c r="E43" s="122">
        <f ca="1">(Dashboard!$C$7*'Equity and Bond Returns'!Q43)+(Dashboard!$C$8*'Equity and Bond Returns'!DO43)</f>
        <v>0.11124435522112472</v>
      </c>
      <c r="F43" s="122">
        <f ca="1">(Dashboard!$C$7*'Equity and Bond Returns'!R43)+(Dashboard!$C$8*'Equity and Bond Returns'!DP43)</f>
        <v>0.19081254781109866</v>
      </c>
      <c r="G43" s="122">
        <f ca="1">(Dashboard!$C$7*'Equity and Bond Returns'!S43)+(Dashboard!$C$8*'Equity and Bond Returns'!DQ43)</f>
        <v>6.337541982173274E-2</v>
      </c>
      <c r="H43" s="122">
        <f ca="1">(Dashboard!$C$7*'Equity and Bond Returns'!T43)+(Dashboard!$C$8*'Equity and Bond Returns'!DR43)</f>
        <v>0.24640758139495145</v>
      </c>
      <c r="I43" s="122">
        <f ca="1">(Dashboard!$C$7*'Equity and Bond Returns'!U43)+(Dashboard!$C$8*'Equity and Bond Returns'!DS43)</f>
        <v>-0.11081709441374793</v>
      </c>
      <c r="J43" s="122">
        <f ca="1">(Dashboard!$C$7*'Equity and Bond Returns'!V43)+(Dashboard!$C$8*'Equity and Bond Returns'!DT43)</f>
        <v>-0.12695322847958612</v>
      </c>
      <c r="K43" s="122">
        <f ca="1">(Dashboard!$C$7*'Equity and Bond Returns'!W43)+(Dashboard!$C$8*'Equity and Bond Returns'!DU43)</f>
        <v>2.8777504644267642E-2</v>
      </c>
      <c r="L43" s="122">
        <f ca="1">(Dashboard!$C$7*'Equity and Bond Returns'!X43)+(Dashboard!$C$8*'Equity and Bond Returns'!DV43)</f>
        <v>-4.1612558524834253E-2</v>
      </c>
      <c r="M43" s="122">
        <f ca="1">(Dashboard!$C$7*'Equity and Bond Returns'!Y43)+(Dashboard!$C$8*'Equity and Bond Returns'!DW43)</f>
        <v>0.18219187053370814</v>
      </c>
      <c r="N43" s="122">
        <f ca="1">(Dashboard!$C$7*'Equity and Bond Returns'!Z43)+(Dashboard!$C$8*'Equity and Bond Returns'!DX43)</f>
        <v>5.3880989621099232E-2</v>
      </c>
      <c r="O43" s="122">
        <f ca="1">(Dashboard!$C$7*'Equity and Bond Returns'!AA43)+(Dashboard!$C$8*'Equity and Bond Returns'!DY43)</f>
        <v>2.2061413955769674E-2</v>
      </c>
      <c r="P43" s="122">
        <f ca="1">(Dashboard!$C$7*'Equity and Bond Returns'!AB43)+(Dashboard!$C$8*'Equity and Bond Returns'!DZ43)</f>
        <v>3.1695320361720097E-2</v>
      </c>
      <c r="Q43" s="122">
        <f ca="1">(Dashboard!$C$7*'Equity and Bond Returns'!AC43)+(Dashboard!$C$8*'Equity and Bond Returns'!EA43)</f>
        <v>-4.3075031867127855E-2</v>
      </c>
      <c r="R43" s="122">
        <f ca="1">(Dashboard!$C$7*'Equity and Bond Returns'!AD43)+(Dashboard!$C$8*'Equity and Bond Returns'!EB43)</f>
        <v>1.060241154984895E-2</v>
      </c>
      <c r="S43" s="122">
        <f ca="1">(Dashboard!$C$7*'Equity and Bond Returns'!AE43)+(Dashboard!$C$8*'Equity and Bond Returns'!EC43)</f>
        <v>0.17249344353795584</v>
      </c>
      <c r="T43" s="122">
        <f ca="1">(Dashboard!$C$7*'Equity and Bond Returns'!AF43)+(Dashboard!$C$8*'Equity and Bond Returns'!ED43)</f>
        <v>0.10514896272454766</v>
      </c>
      <c r="U43" s="122">
        <f ca="1">(Dashboard!$C$7*'Equity and Bond Returns'!AG43)+(Dashboard!$C$8*'Equity and Bond Returns'!EE43)</f>
        <v>0.18296505483180286</v>
      </c>
      <c r="V43" s="122">
        <f ca="1">(Dashboard!$C$7*'Equity and Bond Returns'!AH43)+(Dashboard!$C$8*'Equity and Bond Returns'!EF43)</f>
        <v>0.2776035192359449</v>
      </c>
      <c r="W43" s="122">
        <f ca="1">(Dashboard!$C$7*'Equity and Bond Returns'!AI43)+(Dashboard!$C$8*'Equity and Bond Returns'!EG43)</f>
        <v>0.15747370225640661</v>
      </c>
      <c r="X43" s="122">
        <f ca="1">(Dashboard!$C$7*'Equity and Bond Returns'!AJ43)+(Dashboard!$C$8*'Equity and Bond Returns'!EH43)</f>
        <v>0.15053982835768168</v>
      </c>
      <c r="Y43" s="122">
        <f ca="1">(Dashboard!$C$7*'Equity and Bond Returns'!AK43)+(Dashboard!$C$8*'Equity and Bond Returns'!EI43)</f>
        <v>9.446956873804821E-2</v>
      </c>
      <c r="Z43" s="122">
        <f ca="1">(Dashboard!$C$7*'Equity and Bond Returns'!AL43)+(Dashboard!$C$8*'Equity and Bond Returns'!EJ43)</f>
        <v>0.17392938849074002</v>
      </c>
      <c r="AA43" s="122">
        <f ca="1">(Dashboard!$C$7*'Equity and Bond Returns'!AM43)+(Dashboard!$C$8*'Equity and Bond Returns'!EK43)</f>
        <v>-0.17157624494789525</v>
      </c>
      <c r="AB43" s="122">
        <f ca="1">(Dashboard!$C$7*'Equity and Bond Returns'!AN43)+(Dashboard!$C$8*'Equity and Bond Returns'!EL43)</f>
        <v>-0.19215162450499979</v>
      </c>
      <c r="AC43" s="122">
        <f ca="1">(Dashboard!$C$7*'Equity and Bond Returns'!AO43)+(Dashboard!$C$8*'Equity and Bond Returns'!EM43)</f>
        <v>0.1708622350879494</v>
      </c>
      <c r="AD43" s="122">
        <f ca="1">(Dashboard!$C$7*'Equity and Bond Returns'!AP43)+(Dashboard!$C$8*'Equity and Bond Returns'!EN43)</f>
        <v>0.12022332574535909</v>
      </c>
      <c r="AE43" s="122">
        <f ca="1">(Dashboard!$C$7*'Equity and Bond Returns'!AQ43)+(Dashboard!$C$8*'Equity and Bond Returns'!EO43)</f>
        <v>-6.6889143209061058E-2</v>
      </c>
      <c r="AF43" s="122">
        <f ca="1">(Dashboard!$C$7*'Equity and Bond Returns'!AR43)+(Dashboard!$C$8*'Equity and Bond Returns'!EP43)</f>
        <v>0.11759891367490746</v>
      </c>
      <c r="AG43" s="122">
        <f ca="1">(Dashboard!$C$7*'Equity and Bond Returns'!AS43)+(Dashboard!$C$8*'Equity and Bond Returns'!EQ43)</f>
        <v>0.27176519077067607</v>
      </c>
      <c r="AH43" s="122">
        <f ca="1">(Dashboard!$C$7*'Equity and Bond Returns'!AT43)+(Dashboard!$C$8*'Equity and Bond Returns'!ER43)</f>
        <v>-0.10039841959649247</v>
      </c>
      <c r="AI43" s="122">
        <f ca="1">(Dashboard!$C$7*'Equity and Bond Returns'!AU43)+(Dashboard!$C$8*'Equity and Bond Returns'!ES43)</f>
        <v>0.11096439624090793</v>
      </c>
      <c r="AJ43" s="122">
        <f ca="1">(Dashboard!$C$7*'Equity and Bond Returns'!AV43)+(Dashboard!$C$8*'Equity and Bond Returns'!ET43)</f>
        <v>0.17947238150044692</v>
      </c>
      <c r="AK43" s="122">
        <f ca="1">(Dashboard!$C$7*'Equity and Bond Returns'!AW43)+(Dashboard!$C$8*'Equity and Bond Returns'!EU43)</f>
        <v>0.17611434327838454</v>
      </c>
      <c r="AL43" s="122">
        <f ca="1">(Dashboard!$C$7*'Equity and Bond Returns'!AX43)+(Dashboard!$C$8*'Equity and Bond Returns'!EV43)</f>
        <v>0.12947758136433607</v>
      </c>
      <c r="AM43" s="122">
        <f ca="1">(Dashboard!$C$7*'Equity and Bond Returns'!AY43)+(Dashboard!$C$8*'Equity and Bond Returns'!EW43)</f>
        <v>6.4404144157173104E-2</v>
      </c>
      <c r="AN43" s="122">
        <f ca="1">(Dashboard!$C$7*'Equity and Bond Returns'!AZ43)+(Dashboard!$C$8*'Equity and Bond Returns'!EX43)</f>
        <v>0.15709835560601734</v>
      </c>
      <c r="AO43" s="122">
        <f ca="1">(Dashboard!$C$7*'Equity and Bond Returns'!BA43)+(Dashboard!$C$8*'Equity and Bond Returns'!EY43)</f>
        <v>-8.1779796320394726E-2</v>
      </c>
      <c r="AP43" s="122">
        <f ca="1">(Dashboard!$C$7*'Equity and Bond Returns'!BB43)+(Dashboard!$C$8*'Equity and Bond Returns'!EZ43)</f>
        <v>-1.4622221803599691E-3</v>
      </c>
      <c r="AQ43" s="122">
        <f ca="1">(Dashboard!$C$7*'Equity and Bond Returns'!BC43)+(Dashboard!$C$8*'Equity and Bond Returns'!FA43)</f>
        <v>-8.2025473391783482E-2</v>
      </c>
      <c r="AR43" s="122">
        <f ca="1">(Dashboard!$C$7*'Equity and Bond Returns'!BD43)+(Dashboard!$C$8*'Equity and Bond Returns'!FB43)</f>
        <v>3.63777135502657E-2</v>
      </c>
      <c r="AS43" s="122">
        <f ca="1">(Dashboard!$C$7*'Equity and Bond Returns'!BE43)+(Dashboard!$C$8*'Equity and Bond Returns'!FC43)</f>
        <v>0.19035704942378623</v>
      </c>
      <c r="AT43" s="122">
        <f ca="1">(Dashboard!$C$7*'Equity and Bond Returns'!BF43)+(Dashboard!$C$8*'Equity and Bond Returns'!FD43)</f>
        <v>-9.9212808527015833E-2</v>
      </c>
      <c r="AU43" s="122">
        <f ca="1">(Dashboard!$C$7*'Equity and Bond Returns'!BG43)+(Dashboard!$C$8*'Equity and Bond Returns'!FE43)</f>
        <v>-3.8808083354538898E-2</v>
      </c>
      <c r="AV43" s="122">
        <f ca="1">(Dashboard!$C$7*'Equity and Bond Returns'!BH43)+(Dashboard!$C$8*'Equity and Bond Returns'!FF43)</f>
        <v>6.3863619458031123E-2</v>
      </c>
      <c r="AW43" s="122">
        <f ca="1">(Dashboard!$C$7*'Equity and Bond Returns'!BI43)+(Dashboard!$C$8*'Equity and Bond Returns'!FG43)</f>
        <v>6.2780086118754394E-2</v>
      </c>
      <c r="AX43" s="122">
        <f ca="1">(Dashboard!$C$7*'Equity and Bond Returns'!BJ43)+(Dashboard!$C$8*'Equity and Bond Returns'!FH43)</f>
        <v>0.38493533941689878</v>
      </c>
      <c r="AY43" s="122">
        <f ca="1">(Dashboard!$C$7*'Equity and Bond Returns'!BK43)+(Dashboard!$C$8*'Equity and Bond Returns'!FI43)</f>
        <v>0.27101038437187852</v>
      </c>
      <c r="AZ43" s="122">
        <f ca="1">(Dashboard!$C$7*'Equity and Bond Returns'!BL43)+(Dashboard!$C$8*'Equity and Bond Returns'!FJ43)</f>
        <v>0.17627230884670908</v>
      </c>
      <c r="BA43" s="122">
        <f ca="1">(Dashboard!$C$7*'Equity and Bond Returns'!BM43)+(Dashboard!$C$8*'Equity and Bond Returns'!FK43)</f>
        <v>1.1922812810241058E-2</v>
      </c>
      <c r="BB43" s="122">
        <f ca="1">(Dashboard!$C$7*'Equity and Bond Returns'!BN43)+(Dashboard!$C$8*'Equity and Bond Returns'!FL43)</f>
        <v>-3.6723763786875085E-2</v>
      </c>
      <c r="BC43" s="122">
        <f ca="1">(Dashboard!$C$7*'Equity and Bond Returns'!BO43)+(Dashboard!$C$8*'Equity and Bond Returns'!FM43)</f>
        <v>0.12564876626343718</v>
      </c>
      <c r="BD43" s="122">
        <f ca="1">(Dashboard!$C$7*'Equity and Bond Returns'!BP43)+(Dashboard!$C$8*'Equity and Bond Returns'!FN43)</f>
        <v>8.5715423816750597E-2</v>
      </c>
      <c r="BE43" s="122">
        <f ca="1">(Dashboard!$C$7*'Equity and Bond Returns'!BQ43)+(Dashboard!$C$8*'Equity and Bond Returns'!FO43)</f>
        <v>2.9470666466143484E-2</v>
      </c>
      <c r="BF43" s="122">
        <f ca="1">(Dashboard!$C$7*'Equity and Bond Returns'!BR43)+(Dashboard!$C$8*'Equity and Bond Returns'!FP43)</f>
        <v>8.7229592122688951E-2</v>
      </c>
      <c r="BG43" s="122">
        <f ca="1">(Dashboard!$C$7*'Equity and Bond Returns'!BS43)+(Dashboard!$C$8*'Equity and Bond Returns'!FQ43)</f>
        <v>0.12357155250896487</v>
      </c>
      <c r="BH43" s="122">
        <f ca="1">(Dashboard!$C$7*'Equity and Bond Returns'!BT43)+(Dashboard!$C$8*'Equity and Bond Returns'!FR43)</f>
        <v>1.518729831393879E-2</v>
      </c>
      <c r="BI43" s="122">
        <f ca="1">(Dashboard!$C$7*'Equity and Bond Returns'!BU43)+(Dashboard!$C$8*'Equity and Bond Returns'!FS43)</f>
        <v>0.13389838008218519</v>
      </c>
      <c r="BJ43" s="122">
        <f ca="1">(Dashboard!$C$7*'Equity and Bond Returns'!BV43)+(Dashboard!$C$8*'Equity and Bond Returns'!FT43)</f>
        <v>9.5009789731911626E-2</v>
      </c>
      <c r="BK43" s="122">
        <f ca="1">(Dashboard!$C$7*'Equity and Bond Returns'!BW43)+(Dashboard!$C$8*'Equity and Bond Returns'!FU43)</f>
        <v>-4.0218317457781073E-2</v>
      </c>
      <c r="BL43" s="122">
        <f ca="1">(Dashboard!$C$7*'Equity and Bond Returns'!BX43)+(Dashboard!$C$8*'Equity and Bond Returns'!FV43)</f>
        <v>0.32882338873961914</v>
      </c>
      <c r="BM43" s="122">
        <f ca="1">(Dashboard!$C$7*'Equity and Bond Returns'!BY43)+(Dashboard!$C$8*'Equity and Bond Returns'!FW43)</f>
        <v>-7.2584787356956976E-2</v>
      </c>
      <c r="BN43" s="122">
        <f ca="1">(Dashboard!$C$7*'Equity and Bond Returns'!BZ43)+(Dashboard!$C$8*'Equity and Bond Returns'!FX43)</f>
        <v>0.35462215498007305</v>
      </c>
      <c r="BO43" s="122">
        <f ca="1">(Dashboard!$C$7*'Equity and Bond Returns'!CA43)+(Dashboard!$C$8*'Equity and Bond Returns'!FY43)</f>
        <v>0.20846202916871415</v>
      </c>
      <c r="BP43" s="122">
        <f ca="1">(Dashboard!$C$7*'Equity and Bond Returns'!CB43)+(Dashboard!$C$8*'Equity and Bond Returns'!FZ43)</f>
        <v>4.3548064981703917E-2</v>
      </c>
      <c r="BQ43" s="122">
        <f ca="1">(Dashboard!$C$7*'Equity and Bond Returns'!CC43)+(Dashboard!$C$8*'Equity and Bond Returns'!GA43)</f>
        <v>0.17606803594519266</v>
      </c>
      <c r="BR43" s="122">
        <f ca="1">(Dashboard!$C$7*'Equity and Bond Returns'!CD43)+(Dashboard!$C$8*'Equity and Bond Returns'!GB43)</f>
        <v>0.23312455628007969</v>
      </c>
      <c r="BS43" s="122">
        <f ca="1">(Dashboard!$C$7*'Equity and Bond Returns'!CE43)+(Dashboard!$C$8*'Equity and Bond Returns'!GC43)</f>
        <v>-0.12779505481975584</v>
      </c>
      <c r="BT43" s="122">
        <f ca="1">(Dashboard!$C$7*'Equity and Bond Returns'!CF43)+(Dashboard!$C$8*'Equity and Bond Returns'!GD43)</f>
        <v>-0.10065163545213364</v>
      </c>
      <c r="BU43" s="122">
        <f ca="1">(Dashboard!$C$7*'Equity and Bond Returns'!CG43)+(Dashboard!$C$8*'Equity and Bond Returns'!GE43)</f>
        <v>0.12104339456198329</v>
      </c>
      <c r="BV43" s="122">
        <f ca="1">(Dashboard!$C$7*'Equity and Bond Returns'!CH43)+(Dashboard!$C$8*'Equity and Bond Returns'!GF43)</f>
        <v>0.11484808925056943</v>
      </c>
      <c r="BW43" s="122">
        <f ca="1">(Dashboard!$C$7*'Equity and Bond Returns'!CI43)+(Dashboard!$C$8*'Equity and Bond Returns'!GG43)</f>
        <v>0.10869602036557516</v>
      </c>
      <c r="BX43" s="122">
        <f ca="1">(Dashboard!$C$7*'Equity and Bond Returns'!CJ43)+(Dashboard!$C$8*'Equity and Bond Returns'!GH43)</f>
        <v>-3.871254326969744E-2</v>
      </c>
      <c r="BY43" s="122">
        <f ca="1">(Dashboard!$C$7*'Equity and Bond Returns'!CK43)+(Dashboard!$C$8*'Equity and Bond Returns'!GI43)</f>
        <v>0.28937206431877682</v>
      </c>
      <c r="BZ43" s="122">
        <f ca="1">(Dashboard!$C$7*'Equity and Bond Returns'!CL43)+(Dashboard!$C$8*'Equity and Bond Returns'!GJ43)</f>
        <v>4.091925171137397E-2</v>
      </c>
      <c r="CA43" s="122">
        <f ca="1">(Dashboard!$C$7*'Equity and Bond Returns'!CM43)+(Dashboard!$C$8*'Equity and Bond Returns'!GK43)</f>
        <v>0.22511897096119551</v>
      </c>
      <c r="CB43" s="122">
        <f ca="1">(Dashboard!$C$7*'Equity and Bond Returns'!CN43)+(Dashboard!$C$8*'Equity and Bond Returns'!GL43)</f>
        <v>0.18387444439654166</v>
      </c>
      <c r="CC43" s="122">
        <f ca="1">(Dashboard!$C$7*'Equity and Bond Returns'!CO43)+(Dashboard!$C$8*'Equity and Bond Returns'!GM43)</f>
        <v>-0.17168514890267719</v>
      </c>
      <c r="CD43" s="122">
        <f ca="1">(Dashboard!$C$7*'Equity and Bond Returns'!CP43)+(Dashboard!$C$8*'Equity and Bond Returns'!GN43)</f>
        <v>-7.0920616264796895E-3</v>
      </c>
      <c r="CE43" s="122">
        <f ca="1">(Dashboard!$C$7*'Equity and Bond Returns'!CQ43)+(Dashboard!$C$8*'Equity and Bond Returns'!GO43)</f>
        <v>0.29694836608173347</v>
      </c>
      <c r="CF43" s="122">
        <f ca="1">(Dashboard!$C$7*'Equity and Bond Returns'!CR43)+(Dashboard!$C$8*'Equity and Bond Returns'!GP43)</f>
        <v>4.4360478797960096E-2</v>
      </c>
      <c r="CG43" s="122">
        <f ca="1">(Dashboard!$C$7*'Equity and Bond Returns'!CS43)+(Dashboard!$C$8*'Equity and Bond Returns'!GQ43)</f>
        <v>0.11546081506171577</v>
      </c>
      <c r="CH43" s="122">
        <f ca="1">(Dashboard!$C$7*'Equity and Bond Returns'!CT43)+(Dashboard!$C$8*'Equity and Bond Returns'!GR43)</f>
        <v>5.6296659000403794E-2</v>
      </c>
      <c r="CI43" s="122">
        <f ca="1">(Dashboard!$C$7*'Equity and Bond Returns'!CU43)+(Dashboard!$C$8*'Equity and Bond Returns'!GS43)</f>
        <v>-7.4290374451407223E-2</v>
      </c>
      <c r="CJ43" s="122">
        <f ca="1">(Dashboard!$C$7*'Equity and Bond Returns'!CV43)+(Dashboard!$C$8*'Equity and Bond Returns'!GT43)</f>
        <v>4.0317064930705082E-2</v>
      </c>
      <c r="CK43" s="122">
        <f ca="1">(Dashboard!$C$7*'Equity and Bond Returns'!CW43)+(Dashboard!$C$8*'Equity and Bond Returns'!GU43)</f>
        <v>-2.7478776940621473E-2</v>
      </c>
      <c r="CL43" s="122">
        <f ca="1">(Dashboard!$C$7*'Equity and Bond Returns'!CX43)+(Dashboard!$C$8*'Equity and Bond Returns'!GV43)</f>
        <v>0.18973917592413619</v>
      </c>
      <c r="CM43" s="122">
        <f ca="1">(Dashboard!$C$7*'Equity and Bond Returns'!CY43)+(Dashboard!$C$8*'Equity and Bond Returns'!GW43)</f>
        <v>-9.2926751046919914E-2</v>
      </c>
      <c r="CN43" s="122">
        <f ca="1">(Dashboard!$C$7*'Equity and Bond Returns'!CZ43)+(Dashboard!$C$8*'Equity and Bond Returns'!GX43)</f>
        <v>0.14239154741767135</v>
      </c>
      <c r="CO43" s="122">
        <f ca="1">(Dashboard!$C$7*'Equity and Bond Returns'!DA43)+(Dashboard!$C$8*'Equity and Bond Returns'!GY43)</f>
        <v>0.15610645208545823</v>
      </c>
      <c r="CP43" s="122">
        <f ca="1">(Dashboard!$C$7*'Equity and Bond Returns'!DB43)+(Dashboard!$C$8*'Equity and Bond Returns'!GZ43)</f>
        <v>2.1119821895052016E-5</v>
      </c>
      <c r="CQ43" s="122">
        <f ca="1">(Dashboard!$C$7*'Equity and Bond Returns'!DC43)+(Dashboard!$C$8*'Equity and Bond Returns'!HA43)</f>
        <v>0.15633850314847017</v>
      </c>
      <c r="CR43" s="122">
        <f ca="1">(Dashboard!$C$7*'Equity and Bond Returns'!DD43)+(Dashboard!$C$8*'Equity and Bond Returns'!HB43)</f>
        <v>5.085874591641986E-2</v>
      </c>
      <c r="CS43" s="122">
        <f ca="1">(Dashboard!$C$7*'Equity and Bond Returns'!DE43)+(Dashboard!$C$8*'Equity and Bond Returns'!HC43)</f>
        <v>-0.10410073054304544</v>
      </c>
      <c r="CT43" s="122">
        <f ca="1">(Dashboard!$C$7*'Equity and Bond Returns'!DF43)+(Dashboard!$C$8*'Equity and Bond Returns'!HD43)</f>
        <v>-4.8184007663121621E-2</v>
      </c>
      <c r="CU43" s="122">
        <f ca="1">(Dashboard!$C$7*'Equity and Bond Returns'!DG43)+(Dashboard!$C$8*'Equity and Bond Returns'!HE43)</f>
        <v>0.10835446649813729</v>
      </c>
      <c r="CV43" s="122">
        <f ca="1">(Dashboard!$C$7*'Equity and Bond Returns'!DH43)+(Dashboard!$C$8*'Equity and Bond Returns'!HF43)</f>
        <v>-0.22687001920913588</v>
      </c>
      <c r="CW43" s="122">
        <f ca="1">(Dashboard!$C$7*'Equity and Bond Returns'!DI43)+(Dashboard!$C$8*'Equity and Bond Returns'!HG43)</f>
        <v>0.16562524714969151</v>
      </c>
      <c r="CY43" s="147">
        <f t="shared" si="5"/>
        <v>92</v>
      </c>
      <c r="CZ43" s="148">
        <v>42</v>
      </c>
      <c r="DA43" s="126">
        <f ca="1">MAX(DA42*(1+B43)-(Dashboard!$C$11)/(1-Dashboard!$C$17)*((1+Dashboard!$C$12)^$CZ43),0)</f>
        <v>58949670.36690063</v>
      </c>
      <c r="DB43" s="126">
        <f ca="1">MAX(DB42*(1+C43)-(Dashboard!$C$11)/(1-Dashboard!$C$17)*((1+Dashboard!$C$12)^$CZ43),0)</f>
        <v>0</v>
      </c>
      <c r="DC43" s="126">
        <f ca="1">MAX(DC42*(1+D43)-(Dashboard!$C$11)/(1-Dashboard!$C$17)*((1+Dashboard!$C$12)^$CZ43),0)</f>
        <v>16487974.218634488</v>
      </c>
      <c r="DD43" s="126">
        <f ca="1">MAX(DD42*(1+E43)-(Dashboard!$C$11)/(1-Dashboard!$C$17)*((1+Dashboard!$C$12)^$CZ43),0)</f>
        <v>1903480.8914108302</v>
      </c>
      <c r="DE43" s="126">
        <f ca="1">MAX(DE42*(1+F43)-(Dashboard!$C$11)/(1-Dashboard!$C$17)*((1+Dashboard!$C$12)^$CZ43),0)</f>
        <v>12873682.64832673</v>
      </c>
      <c r="DF43" s="126">
        <f ca="1">MAX(DF42*(1+G43)-(Dashboard!$C$11)/(1-Dashboard!$C$17)*((1+Dashboard!$C$12)^$CZ43),0)</f>
        <v>25651738.006783333</v>
      </c>
      <c r="DG43" s="126">
        <f ca="1">MAX(DG42*(1+H43)-(Dashboard!$C$11)/(1-Dashboard!$C$17)*((1+Dashboard!$C$12)^$CZ43),0)</f>
        <v>1936020.3684284694</v>
      </c>
      <c r="DH43" s="126">
        <f ca="1">MAX(DH42*(1+I43)-(Dashboard!$C$11)/(1-Dashboard!$C$17)*((1+Dashboard!$C$12)^$CZ43),0)</f>
        <v>42565919.889318369</v>
      </c>
      <c r="DI43" s="126">
        <f ca="1">MAX(DI42*(1+J43)-(Dashboard!$C$11)/(1-Dashboard!$C$17)*((1+Dashboard!$C$12)^$CZ43),0)</f>
        <v>9713620.7653177157</v>
      </c>
      <c r="DJ43" s="126">
        <f ca="1">MAX(DJ42*(1+K43)-(Dashboard!$C$11)/(1-Dashboard!$C$17)*((1+Dashboard!$C$12)^$CZ43),0)</f>
        <v>9861582.0831652414</v>
      </c>
      <c r="DK43" s="126">
        <f ca="1">MAX(DK42*(1+L43)-(Dashboard!$C$11)/(1-Dashboard!$C$17)*((1+Dashboard!$C$12)^$CZ43),0)</f>
        <v>18579629.106391896</v>
      </c>
      <c r="DL43" s="126">
        <f ca="1">MAX(DL42*(1+M43)-(Dashboard!$C$11)/(1-Dashboard!$C$17)*((1+Dashboard!$C$12)^$CZ43),0)</f>
        <v>571089.65406719642</v>
      </c>
      <c r="DM43" s="126">
        <f ca="1">MAX(DM42*(1+N43)-(Dashboard!$C$11)/(1-Dashboard!$C$17)*((1+Dashboard!$C$12)^$CZ43),0)</f>
        <v>18919322.756115306</v>
      </c>
      <c r="DN43" s="126">
        <f ca="1">MAX(DN42*(1+O43)-(Dashboard!$C$11)/(1-Dashboard!$C$17)*((1+Dashboard!$C$12)^$CZ43),0)</f>
        <v>98447730.644864395</v>
      </c>
      <c r="DO43" s="126">
        <f ca="1">MAX(DO42*(1+P43)-(Dashboard!$C$11)/(1-Dashboard!$C$17)*((1+Dashboard!$C$12)^$CZ43),0)</f>
        <v>6101530.3241652157</v>
      </c>
      <c r="DP43" s="126">
        <f ca="1">MAX(DP42*(1+Q43)-(Dashboard!$C$11)/(1-Dashboard!$C$17)*((1+Dashboard!$C$12)^$CZ43),0)</f>
        <v>8098632.5312302299</v>
      </c>
      <c r="DQ43" s="126">
        <f ca="1">MAX(DQ42*(1+R43)-(Dashboard!$C$11)/(1-Dashboard!$C$17)*((1+Dashboard!$C$12)^$CZ43),0)</f>
        <v>9455805.8612729367</v>
      </c>
      <c r="DR43" s="126">
        <f ca="1">MAX(DR42*(1+S43)-(Dashboard!$C$11)/(1-Dashboard!$C$17)*((1+Dashboard!$C$12)^$CZ43),0)</f>
        <v>36768879.142041303</v>
      </c>
      <c r="DS43" s="126">
        <f ca="1">MAX(DS42*(1+T43)-(Dashboard!$C$11)/(1-Dashboard!$C$17)*((1+Dashboard!$C$12)^$CZ43),0)</f>
        <v>467144.92189061712</v>
      </c>
      <c r="DT43" s="126">
        <f ca="1">MAX(DT42*(1+U43)-(Dashboard!$C$11)/(1-Dashboard!$C$17)*((1+Dashboard!$C$12)^$CZ43),0)</f>
        <v>4561279.3888033126</v>
      </c>
      <c r="DU43" s="126">
        <f ca="1">MAX(DU42*(1+V43)-(Dashboard!$C$11)/(1-Dashboard!$C$17)*((1+Dashboard!$C$12)^$CZ43),0)</f>
        <v>11615948.728724198</v>
      </c>
      <c r="DV43" s="126">
        <f ca="1">MAX(DV42*(1+W43)-(Dashboard!$C$11)/(1-Dashboard!$C$17)*((1+Dashboard!$C$12)^$CZ43),0)</f>
        <v>85313542.182936579</v>
      </c>
      <c r="DW43" s="126">
        <f ca="1">MAX(DW42*(1+X43)-(Dashboard!$C$11)/(1-Dashboard!$C$17)*((1+Dashboard!$C$12)^$CZ43),0)</f>
        <v>4691294.143555305</v>
      </c>
      <c r="DX43" s="126">
        <f ca="1">MAX(DX42*(1+Y43)-(Dashboard!$C$11)/(1-Dashboard!$C$17)*((1+Dashboard!$C$12)^$CZ43),0)</f>
        <v>5013814.0641548559</v>
      </c>
      <c r="DY43" s="126">
        <f ca="1">MAX(DY42*(1+Z43)-(Dashboard!$C$11)/(1-Dashboard!$C$17)*((1+Dashboard!$C$12)^$CZ43),0)</f>
        <v>23815579.31524685</v>
      </c>
      <c r="DZ43" s="126">
        <f ca="1">MAX(DZ42*(1+AA43)-(Dashboard!$C$11)/(1-Dashboard!$C$17)*((1+Dashboard!$C$12)^$CZ43),0)</f>
        <v>1833348.1084828349</v>
      </c>
      <c r="EA43" s="126">
        <f ca="1">MAX(EA42*(1+AB43)-(Dashboard!$C$11)/(1-Dashboard!$C$17)*((1+Dashboard!$C$12)^$CZ43),0)</f>
        <v>10449977.262746954</v>
      </c>
      <c r="EB43" s="126">
        <f ca="1">MAX(EB42*(1+AC43)-(Dashboard!$C$11)/(1-Dashboard!$C$17)*((1+Dashboard!$C$12)^$CZ43),0)</f>
        <v>17758895.708295077</v>
      </c>
      <c r="EC43" s="126">
        <f ca="1">MAX(EC42*(1+AD43)-(Dashboard!$C$11)/(1-Dashboard!$C$17)*((1+Dashboard!$C$12)^$CZ43),0)</f>
        <v>28085382.028386656</v>
      </c>
      <c r="ED43" s="126">
        <f ca="1">MAX(ED42*(1+AE43)-(Dashboard!$C$11)/(1-Dashboard!$C$17)*((1+Dashboard!$C$12)^$CZ43),0)</f>
        <v>18200119.769879244</v>
      </c>
      <c r="EE43" s="126">
        <f ca="1">MAX(EE42*(1+AF43)-(Dashboard!$C$11)/(1-Dashboard!$C$17)*((1+Dashboard!$C$12)^$CZ43),0)</f>
        <v>24388257.660573937</v>
      </c>
      <c r="EF43" s="126">
        <f ca="1">MAX(EF42*(1+AG43)-(Dashboard!$C$11)/(1-Dashboard!$C$17)*((1+Dashboard!$C$12)^$CZ43),0)</f>
        <v>4150633.9624777744</v>
      </c>
      <c r="EG43" s="126">
        <f ca="1">MAX(EG42*(1+AH43)-(Dashboard!$C$11)/(1-Dashboard!$C$17)*((1+Dashboard!$C$12)^$CZ43),0)</f>
        <v>14647057.131208276</v>
      </c>
      <c r="EH43" s="126">
        <f ca="1">MAX(EH42*(1+AI43)-(Dashboard!$C$11)/(1-Dashboard!$C$17)*((1+Dashboard!$C$12)^$CZ43),0)</f>
        <v>40878661.394686878</v>
      </c>
      <c r="EI43" s="126">
        <f ca="1">MAX(EI42*(1+AJ43)-(Dashboard!$C$11)/(1-Dashboard!$C$17)*((1+Dashboard!$C$12)^$CZ43),0)</f>
        <v>0</v>
      </c>
      <c r="EJ43" s="126">
        <f ca="1">MAX(EJ42*(1+AK43)-(Dashboard!$C$11)/(1-Dashboard!$C$17)*((1+Dashboard!$C$12)^$CZ43),0)</f>
        <v>26077131.899423577</v>
      </c>
      <c r="EK43" s="126">
        <f ca="1">MAX(EK42*(1+AL43)-(Dashboard!$C$11)/(1-Dashboard!$C$17)*((1+Dashboard!$C$12)^$CZ43),0)</f>
        <v>6023219.0631319722</v>
      </c>
      <c r="EL43" s="126">
        <f ca="1">MAX(EL42*(1+AM43)-(Dashboard!$C$11)/(1-Dashboard!$C$17)*((1+Dashboard!$C$12)^$CZ43),0)</f>
        <v>2931465.8410983621</v>
      </c>
      <c r="EM43" s="126">
        <f ca="1">MAX(EM42*(1+AN43)-(Dashboard!$C$11)/(1-Dashboard!$C$17)*((1+Dashboard!$C$12)^$CZ43),0)</f>
        <v>41494215.842499562</v>
      </c>
      <c r="EN43" s="126">
        <f ca="1">MAX(EN42*(1+AO43)-(Dashboard!$C$11)/(1-Dashboard!$C$17)*((1+Dashboard!$C$12)^$CZ43),0)</f>
        <v>2502305.5319492687</v>
      </c>
      <c r="EO43" s="126">
        <f ca="1">MAX(EO42*(1+AP43)-(Dashboard!$C$11)/(1-Dashboard!$C$17)*((1+Dashboard!$C$12)^$CZ43),0)</f>
        <v>0</v>
      </c>
      <c r="EP43" s="126">
        <f ca="1">MAX(EP42*(1+AQ43)-(Dashboard!$C$11)/(1-Dashboard!$C$17)*((1+Dashboard!$C$12)^$CZ43),0)</f>
        <v>10485485.462844279</v>
      </c>
      <c r="EQ43" s="126">
        <f ca="1">MAX(EQ42*(1+AR43)-(Dashboard!$C$11)/(1-Dashboard!$C$17)*((1+Dashboard!$C$12)^$CZ43),0)</f>
        <v>6630338.6175133465</v>
      </c>
      <c r="ER43" s="126">
        <f ca="1">MAX(ER42*(1+AS43)-(Dashboard!$C$11)/(1-Dashboard!$C$17)*((1+Dashboard!$C$12)^$CZ43),0)</f>
        <v>4621667.3586863307</v>
      </c>
      <c r="ES43" s="126">
        <f ca="1">MAX(ES42*(1+AT43)-(Dashboard!$C$11)/(1-Dashboard!$C$17)*((1+Dashboard!$C$12)^$CZ43),0)</f>
        <v>26979711.615532219</v>
      </c>
      <c r="ET43" s="126">
        <f ca="1">MAX(ET42*(1+AU43)-(Dashboard!$C$11)/(1-Dashboard!$C$17)*((1+Dashboard!$C$12)^$CZ43),0)</f>
        <v>10366583.718431119</v>
      </c>
      <c r="EU43" s="126">
        <f ca="1">MAX(EU42*(1+AV43)-(Dashboard!$C$11)/(1-Dashboard!$C$17)*((1+Dashboard!$C$12)^$CZ43),0)</f>
        <v>9587201.8220858388</v>
      </c>
      <c r="EV43" s="126">
        <f ca="1">MAX(EV42*(1+AW43)-(Dashboard!$C$11)/(1-Dashboard!$C$17)*((1+Dashboard!$C$12)^$CZ43),0)</f>
        <v>70457700.643969238</v>
      </c>
      <c r="EW43" s="126">
        <f ca="1">MAX(EW42*(1+AX43)-(Dashboard!$C$11)/(1-Dashboard!$C$17)*((1+Dashboard!$C$12)^$CZ43),0)</f>
        <v>3796094.3274253113</v>
      </c>
      <c r="EX43" s="126">
        <f ca="1">MAX(EX42*(1+AY43)-(Dashboard!$C$11)/(1-Dashboard!$C$17)*((1+Dashboard!$C$12)^$CZ43),0)</f>
        <v>9404991.3721704129</v>
      </c>
      <c r="EY43" s="126">
        <f ca="1">MAX(EY42*(1+AZ43)-(Dashboard!$C$11)/(1-Dashboard!$C$17)*((1+Dashboard!$C$12)^$CZ43),0)</f>
        <v>20450001.852578022</v>
      </c>
      <c r="EZ43" s="126">
        <f ca="1">MAX(EZ42*(1+BA43)-(Dashboard!$C$11)/(1-Dashboard!$C$17)*((1+Dashboard!$C$12)^$CZ43),0)</f>
        <v>7377236.170797742</v>
      </c>
      <c r="FA43" s="126">
        <f ca="1">MAX(FA42*(1+BB43)-(Dashboard!$C$11)/(1-Dashboard!$C$17)*((1+Dashboard!$C$12)^$CZ43),0)</f>
        <v>44819703.168189667</v>
      </c>
      <c r="FB43" s="126">
        <f ca="1">MAX(FB42*(1+BC43)-(Dashboard!$C$11)/(1-Dashboard!$C$17)*((1+Dashboard!$C$12)^$CZ43),0)</f>
        <v>709342.31625910231</v>
      </c>
      <c r="FC43" s="126">
        <f ca="1">MAX(FC42*(1+BD43)-(Dashboard!$C$11)/(1-Dashboard!$C$17)*((1+Dashboard!$C$12)^$CZ43),0)</f>
        <v>6298338.6452116705</v>
      </c>
      <c r="FD43" s="126">
        <f ca="1">MAX(FD42*(1+BE43)-(Dashboard!$C$11)/(1-Dashboard!$C$17)*((1+Dashboard!$C$12)^$CZ43),0)</f>
        <v>39539067.179910213</v>
      </c>
      <c r="FE43" s="126">
        <f ca="1">MAX(FE42*(1+BF43)-(Dashboard!$C$11)/(1-Dashboard!$C$17)*((1+Dashboard!$C$12)^$CZ43),0)</f>
        <v>50482166.551928543</v>
      </c>
      <c r="FF43" s="126">
        <f ca="1">MAX(FF42*(1+BG43)-(Dashboard!$C$11)/(1-Dashboard!$C$17)*((1+Dashboard!$C$12)^$CZ43),0)</f>
        <v>10164854.228329077</v>
      </c>
      <c r="FG43" s="126">
        <f ca="1">MAX(FG42*(1+BH43)-(Dashboard!$C$11)/(1-Dashboard!$C$17)*((1+Dashboard!$C$12)^$CZ43),0)</f>
        <v>6035796.9722109064</v>
      </c>
      <c r="FH43" s="126">
        <f ca="1">MAX(FH42*(1+BI43)-(Dashboard!$C$11)/(1-Dashboard!$C$17)*((1+Dashboard!$C$12)^$CZ43),0)</f>
        <v>5917691.4322945718</v>
      </c>
      <c r="FI43" s="126">
        <f ca="1">MAX(FI42*(1+BJ43)-(Dashboard!$C$11)/(1-Dashboard!$C$17)*((1+Dashboard!$C$12)^$CZ43),0)</f>
        <v>28875011.224568538</v>
      </c>
      <c r="FJ43" s="126">
        <f ca="1">MAX(FJ42*(1+BK43)-(Dashboard!$C$11)/(1-Dashboard!$C$17)*((1+Dashboard!$C$12)^$CZ43),0)</f>
        <v>7290276.6293590916</v>
      </c>
      <c r="FK43" s="126">
        <f ca="1">MAX(FK42*(1+BL43)-(Dashboard!$C$11)/(1-Dashboard!$C$17)*((1+Dashboard!$C$12)^$CZ43),0)</f>
        <v>9262082.7720502969</v>
      </c>
      <c r="FL43" s="126">
        <f ca="1">MAX(FL42*(1+BM43)-(Dashboard!$C$11)/(1-Dashboard!$C$17)*((1+Dashboard!$C$12)^$CZ43),0)</f>
        <v>4823857.155814969</v>
      </c>
      <c r="FM43" s="126">
        <f ca="1">MAX(FM42*(1+BN43)-(Dashboard!$C$11)/(1-Dashboard!$C$17)*((1+Dashboard!$C$12)^$CZ43),0)</f>
        <v>13213332.916616907</v>
      </c>
      <c r="FN43" s="126">
        <f ca="1">MAX(FN42*(1+BO43)-(Dashboard!$C$11)/(1-Dashboard!$C$17)*((1+Dashboard!$C$12)^$CZ43),0)</f>
        <v>0</v>
      </c>
      <c r="FO43" s="126">
        <f ca="1">MAX(FO42*(1+BP43)-(Dashboard!$C$11)/(1-Dashboard!$C$17)*((1+Dashboard!$C$12)^$CZ43),0)</f>
        <v>12505452.305552116</v>
      </c>
      <c r="FP43" s="126">
        <f ca="1">MAX(FP42*(1+BQ43)-(Dashboard!$C$11)/(1-Dashboard!$C$17)*((1+Dashboard!$C$12)^$CZ43),0)</f>
        <v>6043266.8217478748</v>
      </c>
      <c r="FQ43" s="126">
        <f ca="1">MAX(FQ42*(1+BR43)-(Dashboard!$C$11)/(1-Dashboard!$C$17)*((1+Dashboard!$C$12)^$CZ43),0)</f>
        <v>7045357.4840564048</v>
      </c>
      <c r="FR43" s="126">
        <f ca="1">MAX(FR42*(1+BS43)-(Dashboard!$C$11)/(1-Dashboard!$C$17)*((1+Dashboard!$C$12)^$CZ43),0)</f>
        <v>24342042.941006031</v>
      </c>
      <c r="FS43" s="126">
        <f ca="1">MAX(FS42*(1+BT43)-(Dashboard!$C$11)/(1-Dashboard!$C$17)*((1+Dashboard!$C$12)^$CZ43),0)</f>
        <v>23411896.617259171</v>
      </c>
      <c r="FT43" s="126">
        <f ca="1">MAX(FT42*(1+BU43)-(Dashboard!$C$11)/(1-Dashboard!$C$17)*((1+Dashboard!$C$12)^$CZ43),0)</f>
        <v>1794774.3135513207</v>
      </c>
      <c r="FU43" s="126">
        <f ca="1">MAX(FU42*(1+BV43)-(Dashboard!$C$11)/(1-Dashboard!$C$17)*((1+Dashboard!$C$12)^$CZ43),0)</f>
        <v>1857502.451051147</v>
      </c>
      <c r="FV43" s="126">
        <f ca="1">MAX(FV42*(1+BW43)-(Dashboard!$C$11)/(1-Dashboard!$C$17)*((1+Dashboard!$C$12)^$CZ43),0)</f>
        <v>9385458.7016133629</v>
      </c>
      <c r="FW43" s="126">
        <f ca="1">MAX(FW42*(1+BX43)-(Dashboard!$C$11)/(1-Dashboard!$C$17)*((1+Dashboard!$C$12)^$CZ43),0)</f>
        <v>6880232.5404400062</v>
      </c>
      <c r="FX43" s="126">
        <f ca="1">MAX(FX42*(1+BY43)-(Dashboard!$C$11)/(1-Dashboard!$C$17)*((1+Dashboard!$C$12)^$CZ43),0)</f>
        <v>2608339.841333373</v>
      </c>
      <c r="FY43" s="126">
        <f ca="1">MAX(FY42*(1+BZ43)-(Dashboard!$C$11)/(1-Dashboard!$C$17)*((1+Dashboard!$C$12)^$CZ43),0)</f>
        <v>4156135.62692736</v>
      </c>
      <c r="FZ43" s="126">
        <f ca="1">MAX(FZ42*(1+CA43)-(Dashboard!$C$11)/(1-Dashboard!$C$17)*((1+Dashboard!$C$12)^$CZ43),0)</f>
        <v>52553109.083517618</v>
      </c>
      <c r="GA43" s="126">
        <f ca="1">MAX(GA42*(1+CB43)-(Dashboard!$C$11)/(1-Dashboard!$C$17)*((1+Dashboard!$C$12)^$CZ43),0)</f>
        <v>42136969.969294645</v>
      </c>
      <c r="GB43" s="126">
        <f ca="1">MAX(GB42*(1+CC43)-(Dashboard!$C$11)/(1-Dashboard!$C$17)*((1+Dashboard!$C$12)^$CZ43),0)</f>
        <v>5486665.9249654431</v>
      </c>
      <c r="GC43" s="126">
        <f ca="1">MAX(GC42*(1+CD43)-(Dashboard!$C$11)/(1-Dashboard!$C$17)*((1+Dashboard!$C$12)^$CZ43),0)</f>
        <v>14539457.92070392</v>
      </c>
      <c r="GD43" s="126">
        <f ca="1">MAX(GD42*(1+CE43)-(Dashboard!$C$11)/(1-Dashboard!$C$17)*((1+Dashboard!$C$12)^$CZ43),0)</f>
        <v>113170555.90320003</v>
      </c>
      <c r="GE43" s="126">
        <f ca="1">MAX(GE42*(1+CF43)-(Dashboard!$C$11)/(1-Dashboard!$C$17)*((1+Dashboard!$C$12)^$CZ43),0)</f>
        <v>8317985.5114067914</v>
      </c>
      <c r="GF43" s="126">
        <f ca="1">MAX(GF42*(1+CG43)-(Dashboard!$C$11)/(1-Dashboard!$C$17)*((1+Dashboard!$C$12)^$CZ43),0)</f>
        <v>12133721.99500522</v>
      </c>
      <c r="GG43" s="126">
        <f ca="1">MAX(GG42*(1+CH43)-(Dashboard!$C$11)/(1-Dashboard!$C$17)*((1+Dashboard!$C$12)^$CZ43),0)</f>
        <v>1004436.2671557522</v>
      </c>
      <c r="GH43" s="126">
        <f ca="1">MAX(GH42*(1+CI43)-(Dashboard!$C$11)/(1-Dashboard!$C$17)*((1+Dashboard!$C$12)^$CZ43),0)</f>
        <v>3313968.9290347546</v>
      </c>
      <c r="GI43" s="126">
        <f ca="1">MAX(GI42*(1+CJ43)-(Dashboard!$C$11)/(1-Dashboard!$C$17)*((1+Dashboard!$C$12)^$CZ43),0)</f>
        <v>23894669.100011725</v>
      </c>
      <c r="GJ43" s="126">
        <f ca="1">MAX(GJ42*(1+CK43)-(Dashboard!$C$11)/(1-Dashboard!$C$17)*((1+Dashboard!$C$12)^$CZ43),0)</f>
        <v>69233286.415937424</v>
      </c>
      <c r="GK43" s="126">
        <f ca="1">MAX(GK42*(1+CL43)-(Dashboard!$C$11)/(1-Dashboard!$C$17)*((1+Dashboard!$C$12)^$CZ43),0)</f>
        <v>11167183.554546727</v>
      </c>
      <c r="GL43" s="126">
        <f ca="1">MAX(GL42*(1+CM43)-(Dashboard!$C$11)/(1-Dashboard!$C$17)*((1+Dashboard!$C$12)^$CZ43),0)</f>
        <v>16756387.091437209</v>
      </c>
      <c r="GM43" s="126">
        <f ca="1">MAX(GM42*(1+CN43)-(Dashboard!$C$11)/(1-Dashboard!$C$17)*((1+Dashboard!$C$12)^$CZ43),0)</f>
        <v>3879397.7595331566</v>
      </c>
      <c r="GN43" s="126">
        <f ca="1">MAX(GN42*(1+CO43)-(Dashboard!$C$11)/(1-Dashboard!$C$17)*((1+Dashboard!$C$12)^$CZ43),0)</f>
        <v>0</v>
      </c>
      <c r="GO43" s="126">
        <f ca="1">MAX(GO42*(1+CP43)-(Dashboard!$C$11)/(1-Dashboard!$C$17)*((1+Dashboard!$C$12)^$CZ43),0)</f>
        <v>25396157.702176046</v>
      </c>
      <c r="GP43" s="126">
        <f ca="1">MAX(GP42*(1+CQ43)-(Dashboard!$C$11)/(1-Dashboard!$C$17)*((1+Dashboard!$C$12)^$CZ43),0)</f>
        <v>26951878.544188462</v>
      </c>
      <c r="GQ43" s="126">
        <f ca="1">MAX(GQ42*(1+CR43)-(Dashboard!$C$11)/(1-Dashboard!$C$17)*((1+Dashboard!$C$12)^$CZ43),0)</f>
        <v>1740823.9477118913</v>
      </c>
      <c r="GR43" s="126">
        <f ca="1">MAX(GR42*(1+CS43)-(Dashboard!$C$11)/(1-Dashboard!$C$17)*((1+Dashboard!$C$12)^$CZ43),0)</f>
        <v>2401841.2212808025</v>
      </c>
      <c r="GS43" s="126">
        <f ca="1">MAX(GS42*(1+CT43)-(Dashboard!$C$11)/(1-Dashboard!$C$17)*((1+Dashboard!$C$12)^$CZ43),0)</f>
        <v>18001746.77749484</v>
      </c>
      <c r="GT43" s="126">
        <f ca="1">MAX(GT42*(1+CU43)-(Dashboard!$C$11)/(1-Dashboard!$C$17)*((1+Dashboard!$C$12)^$CZ43),0)</f>
        <v>86036337.624693081</v>
      </c>
      <c r="GU43" s="126">
        <f ca="1">MAX(GU42*(1+CV43)-(Dashboard!$C$11)/(1-Dashboard!$C$17)*((1+Dashboard!$C$12)^$CZ43),0)</f>
        <v>6036425.0425435277</v>
      </c>
      <c r="GV43" s="126">
        <f ca="1">MAX(GV42*(1+CW43)-(Dashboard!$C$11)/(1-Dashboard!$C$17)*((1+Dashboard!$C$12)^$CZ43),0)</f>
        <v>3868420.0884335656</v>
      </c>
      <c r="GW43" s="115">
        <f t="shared" si="4"/>
        <v>92</v>
      </c>
      <c r="GX43" s="130">
        <f t="shared" ca="1" si="2"/>
        <v>95</v>
      </c>
      <c r="HC43" s="130">
        <f t="shared" si="7"/>
        <v>92</v>
      </c>
      <c r="HD43" s="137">
        <f t="shared" ca="1" si="8"/>
        <v>4152009.3785901708</v>
      </c>
      <c r="HE43" s="137">
        <f t="shared" ca="1" si="8"/>
        <v>9521503.8416793868</v>
      </c>
      <c r="HF43" s="137">
        <f t="shared" ca="1" si="8"/>
        <v>23874896.653820507</v>
      </c>
    </row>
    <row r="44" spans="1:214" ht="16">
      <c r="A44" s="145">
        <f t="shared" si="3"/>
        <v>93</v>
      </c>
      <c r="B44" s="122">
        <f ca="1">(Dashboard!$C$7*'Equity and Bond Returns'!N44)+(Dashboard!$C$8*'Equity and Bond Returns'!DL44)</f>
        <v>-5.7646689154413747E-2</v>
      </c>
      <c r="C44" s="122">
        <f ca="1">(Dashboard!$C$7*'Equity and Bond Returns'!O44)+(Dashboard!$C$8*'Equity and Bond Returns'!DM44)</f>
        <v>0.38955682835139771</v>
      </c>
      <c r="D44" s="122">
        <f ca="1">(Dashboard!$C$7*'Equity and Bond Returns'!P44)+(Dashboard!$C$8*'Equity and Bond Returns'!DN44)</f>
        <v>0.12959618821287994</v>
      </c>
      <c r="E44" s="122">
        <f ca="1">(Dashboard!$C$7*'Equity and Bond Returns'!Q44)+(Dashboard!$C$8*'Equity and Bond Returns'!DO44)</f>
        <v>-0.11635196519422572</v>
      </c>
      <c r="F44" s="122">
        <f ca="1">(Dashboard!$C$7*'Equity and Bond Returns'!R44)+(Dashboard!$C$8*'Equity and Bond Returns'!DP44)</f>
        <v>0.11296952947110887</v>
      </c>
      <c r="G44" s="122">
        <f ca="1">(Dashboard!$C$7*'Equity and Bond Returns'!S44)+(Dashboard!$C$8*'Equity and Bond Returns'!DQ44)</f>
        <v>-0.19547786481956686</v>
      </c>
      <c r="H44" s="122">
        <f ca="1">(Dashboard!$C$7*'Equity and Bond Returns'!T44)+(Dashboard!$C$8*'Equity and Bond Returns'!DR44)</f>
        <v>-3.9317751367281183E-2</v>
      </c>
      <c r="I44" s="122">
        <f ca="1">(Dashboard!$C$7*'Equity and Bond Returns'!U44)+(Dashboard!$C$8*'Equity and Bond Returns'!DS44)</f>
        <v>-0.17669494550805573</v>
      </c>
      <c r="J44" s="122">
        <f ca="1">(Dashboard!$C$7*'Equity and Bond Returns'!V44)+(Dashboard!$C$8*'Equity and Bond Returns'!DT44)</f>
        <v>8.2799579610317101E-2</v>
      </c>
      <c r="K44" s="122">
        <f ca="1">(Dashboard!$C$7*'Equity and Bond Returns'!W44)+(Dashboard!$C$8*'Equity and Bond Returns'!DU44)</f>
        <v>-0.22135925354165473</v>
      </c>
      <c r="L44" s="122">
        <f ca="1">(Dashboard!$C$7*'Equity and Bond Returns'!X44)+(Dashboard!$C$8*'Equity and Bond Returns'!DV44)</f>
        <v>-2.6674526995428764E-2</v>
      </c>
      <c r="M44" s="122">
        <f ca="1">(Dashboard!$C$7*'Equity and Bond Returns'!Y44)+(Dashboard!$C$8*'Equity and Bond Returns'!DW44)</f>
        <v>0.21458507010020603</v>
      </c>
      <c r="N44" s="122">
        <f ca="1">(Dashboard!$C$7*'Equity and Bond Returns'!Z44)+(Dashboard!$C$8*'Equity and Bond Returns'!DX44)</f>
        <v>0.38175452368250612</v>
      </c>
      <c r="O44" s="122">
        <f ca="1">(Dashboard!$C$7*'Equity and Bond Returns'!AA44)+(Dashboard!$C$8*'Equity and Bond Returns'!DY44)</f>
        <v>0.35297962494104201</v>
      </c>
      <c r="P44" s="122">
        <f ca="1">(Dashboard!$C$7*'Equity and Bond Returns'!AB44)+(Dashboard!$C$8*'Equity and Bond Returns'!DZ44)</f>
        <v>8.3473036114406068E-2</v>
      </c>
      <c r="Q44" s="122">
        <f ca="1">(Dashboard!$C$7*'Equity and Bond Returns'!AC44)+(Dashboard!$C$8*'Equity and Bond Returns'!EA44)</f>
        <v>-0.28005831020617372</v>
      </c>
      <c r="R44" s="122">
        <f ca="1">(Dashboard!$C$7*'Equity and Bond Returns'!AD44)+(Dashboard!$C$8*'Equity and Bond Returns'!EB44)</f>
        <v>0.26083007923111218</v>
      </c>
      <c r="S44" s="122">
        <f ca="1">(Dashboard!$C$7*'Equity and Bond Returns'!AE44)+(Dashboard!$C$8*'Equity and Bond Returns'!EC44)</f>
        <v>4.6826269435084063E-2</v>
      </c>
      <c r="T44" s="122">
        <f ca="1">(Dashboard!$C$7*'Equity and Bond Returns'!AF44)+(Dashboard!$C$8*'Equity and Bond Returns'!ED44)</f>
        <v>0.13598872275150095</v>
      </c>
      <c r="U44" s="122">
        <f ca="1">(Dashboard!$C$7*'Equity and Bond Returns'!AG44)+(Dashboard!$C$8*'Equity and Bond Returns'!EE44)</f>
        <v>0.32318064201186747</v>
      </c>
      <c r="V44" s="122">
        <f ca="1">(Dashboard!$C$7*'Equity and Bond Returns'!AH44)+(Dashboard!$C$8*'Equity and Bond Returns'!EF44)</f>
        <v>-8.9266788670464059E-2</v>
      </c>
      <c r="W44" s="122">
        <f ca="1">(Dashboard!$C$7*'Equity and Bond Returns'!AI44)+(Dashboard!$C$8*'Equity and Bond Returns'!EG44)</f>
        <v>0.31664359839080203</v>
      </c>
      <c r="X44" s="122">
        <f ca="1">(Dashboard!$C$7*'Equity and Bond Returns'!AJ44)+(Dashboard!$C$8*'Equity and Bond Returns'!EH44)</f>
        <v>0.27725546973971765</v>
      </c>
      <c r="Y44" s="122">
        <f ca="1">(Dashboard!$C$7*'Equity and Bond Returns'!AK44)+(Dashboard!$C$8*'Equity and Bond Returns'!EI44)</f>
        <v>0.28341989769687309</v>
      </c>
      <c r="Z44" s="122">
        <f ca="1">(Dashboard!$C$7*'Equity and Bond Returns'!AL44)+(Dashboard!$C$8*'Equity and Bond Returns'!EJ44)</f>
        <v>-7.1489177240376969E-2</v>
      </c>
      <c r="AA44" s="122">
        <f ca="1">(Dashboard!$C$7*'Equity and Bond Returns'!AM44)+(Dashboard!$C$8*'Equity and Bond Returns'!EK44)</f>
        <v>3.2094401308447554E-2</v>
      </c>
      <c r="AB44" s="122">
        <f ca="1">(Dashboard!$C$7*'Equity and Bond Returns'!AN44)+(Dashboard!$C$8*'Equity and Bond Returns'!EL44)</f>
        <v>0.17356492783757466</v>
      </c>
      <c r="AC44" s="122">
        <f ca="1">(Dashboard!$C$7*'Equity and Bond Returns'!AO44)+(Dashboard!$C$8*'Equity and Bond Returns'!EM44)</f>
        <v>0.13881353805066632</v>
      </c>
      <c r="AD44" s="122">
        <f ca="1">(Dashboard!$C$7*'Equity and Bond Returns'!AP44)+(Dashboard!$C$8*'Equity and Bond Returns'!EN44)</f>
        <v>0.14361067790361548</v>
      </c>
      <c r="AE44" s="122">
        <f ca="1">(Dashboard!$C$7*'Equity and Bond Returns'!AQ44)+(Dashboard!$C$8*'Equity and Bond Returns'!EO44)</f>
        <v>0.17808566314317895</v>
      </c>
      <c r="AF44" s="122">
        <f ca="1">(Dashboard!$C$7*'Equity and Bond Returns'!AR44)+(Dashboard!$C$8*'Equity and Bond Returns'!EP44)</f>
        <v>-0.21675275916519807</v>
      </c>
      <c r="AG44" s="122">
        <f ca="1">(Dashboard!$C$7*'Equity and Bond Returns'!AS44)+(Dashboard!$C$8*'Equity and Bond Returns'!EQ44)</f>
        <v>-7.2159936193579161E-2</v>
      </c>
      <c r="AH44" s="122">
        <f ca="1">(Dashboard!$C$7*'Equity and Bond Returns'!AT44)+(Dashboard!$C$8*'Equity and Bond Returns'!ER44)</f>
        <v>0.27893092217004528</v>
      </c>
      <c r="AI44" s="122">
        <f ca="1">(Dashboard!$C$7*'Equity and Bond Returns'!AU44)+(Dashboard!$C$8*'Equity and Bond Returns'!ES44)</f>
        <v>0.30593902064527412</v>
      </c>
      <c r="AJ44" s="122">
        <f ca="1">(Dashboard!$C$7*'Equity and Bond Returns'!AV44)+(Dashboard!$C$8*'Equity and Bond Returns'!ET44)</f>
        <v>4.3866338043139101E-2</v>
      </c>
      <c r="AK44" s="122">
        <f ca="1">(Dashboard!$C$7*'Equity and Bond Returns'!AW44)+(Dashboard!$C$8*'Equity and Bond Returns'!EU44)</f>
        <v>2.2869675342679568E-2</v>
      </c>
      <c r="AL44" s="122">
        <f ca="1">(Dashboard!$C$7*'Equity and Bond Returns'!AX44)+(Dashboard!$C$8*'Equity and Bond Returns'!EV44)</f>
        <v>0.18967425509592664</v>
      </c>
      <c r="AM44" s="122">
        <f ca="1">(Dashboard!$C$7*'Equity and Bond Returns'!AY44)+(Dashboard!$C$8*'Equity and Bond Returns'!EW44)</f>
        <v>-1.7105628467162202E-2</v>
      </c>
      <c r="AN44" s="122">
        <f ca="1">(Dashboard!$C$7*'Equity and Bond Returns'!AZ44)+(Dashboard!$C$8*'Equity and Bond Returns'!EX44)</f>
        <v>0.39644034537771944</v>
      </c>
      <c r="AO44" s="122">
        <f ca="1">(Dashboard!$C$7*'Equity and Bond Returns'!BA44)+(Dashboard!$C$8*'Equity and Bond Returns'!EY44)</f>
        <v>-0.22227666927664208</v>
      </c>
      <c r="AP44" s="122">
        <f ca="1">(Dashboard!$C$7*'Equity and Bond Returns'!BB44)+(Dashboard!$C$8*'Equity and Bond Returns'!EZ44)</f>
        <v>4.2177539444317985E-2</v>
      </c>
      <c r="AQ44" s="122">
        <f ca="1">(Dashboard!$C$7*'Equity and Bond Returns'!BC44)+(Dashboard!$C$8*'Equity and Bond Returns'!FA44)</f>
        <v>-0.25533328272462774</v>
      </c>
      <c r="AR44" s="122">
        <f ca="1">(Dashboard!$C$7*'Equity and Bond Returns'!BD44)+(Dashboard!$C$8*'Equity and Bond Returns'!FB44)</f>
        <v>2.851608168020784E-2</v>
      </c>
      <c r="AS44" s="122">
        <f ca="1">(Dashboard!$C$7*'Equity and Bond Returns'!BE44)+(Dashboard!$C$8*'Equity and Bond Returns'!FC44)</f>
        <v>-4.6676684361297495E-2</v>
      </c>
      <c r="AT44" s="122">
        <f ca="1">(Dashboard!$C$7*'Equity and Bond Returns'!BF44)+(Dashboard!$C$8*'Equity and Bond Returns'!FD44)</f>
        <v>0.14117130544305803</v>
      </c>
      <c r="AU44" s="122">
        <f ca="1">(Dashboard!$C$7*'Equity and Bond Returns'!BG44)+(Dashboard!$C$8*'Equity and Bond Returns'!FE44)</f>
        <v>-6.9093604751600618E-2</v>
      </c>
      <c r="AV44" s="122">
        <f ca="1">(Dashboard!$C$7*'Equity and Bond Returns'!BH44)+(Dashboard!$C$8*'Equity and Bond Returns'!FF44)</f>
        <v>0.107396510793331</v>
      </c>
      <c r="AW44" s="122">
        <f ca="1">(Dashboard!$C$7*'Equity and Bond Returns'!BI44)+(Dashboard!$C$8*'Equity and Bond Returns'!FG44)</f>
        <v>0.17979650985008105</v>
      </c>
      <c r="AX44" s="122">
        <f ca="1">(Dashboard!$C$7*'Equity and Bond Returns'!BJ44)+(Dashboard!$C$8*'Equity and Bond Returns'!FH44)</f>
        <v>5.2650754503231055E-2</v>
      </c>
      <c r="AY44" s="122">
        <f ca="1">(Dashboard!$C$7*'Equity and Bond Returns'!BK44)+(Dashboard!$C$8*'Equity and Bond Returns'!FI44)</f>
        <v>9.3855345876767221E-2</v>
      </c>
      <c r="AZ44" s="122">
        <f ca="1">(Dashboard!$C$7*'Equity and Bond Returns'!BL44)+(Dashboard!$C$8*'Equity and Bond Returns'!FJ44)</f>
        <v>0.12639421099410719</v>
      </c>
      <c r="BA44" s="122">
        <f ca="1">(Dashboard!$C$7*'Equity and Bond Returns'!BM44)+(Dashboard!$C$8*'Equity and Bond Returns'!FK44)</f>
        <v>0.13466854938385267</v>
      </c>
      <c r="BB44" s="122">
        <f ca="1">(Dashboard!$C$7*'Equity and Bond Returns'!BN44)+(Dashboard!$C$8*'Equity and Bond Returns'!FL44)</f>
        <v>-4.2592247047896478E-2</v>
      </c>
      <c r="BC44" s="122">
        <f ca="1">(Dashboard!$C$7*'Equity and Bond Returns'!BO44)+(Dashboard!$C$8*'Equity and Bond Returns'!FM44)</f>
        <v>0.28800083347480937</v>
      </c>
      <c r="BD44" s="122">
        <f ca="1">(Dashboard!$C$7*'Equity and Bond Returns'!BP44)+(Dashboard!$C$8*'Equity and Bond Returns'!FN44)</f>
        <v>0.19904469116498441</v>
      </c>
      <c r="BE44" s="122">
        <f ca="1">(Dashboard!$C$7*'Equity and Bond Returns'!BQ44)+(Dashboard!$C$8*'Equity and Bond Returns'!FO44)</f>
        <v>0.13953213041617432</v>
      </c>
      <c r="BF44" s="122">
        <f ca="1">(Dashboard!$C$7*'Equity and Bond Returns'!BR44)+(Dashboard!$C$8*'Equity and Bond Returns'!FP44)</f>
        <v>0.11468778572450075</v>
      </c>
      <c r="BG44" s="122">
        <f ca="1">(Dashboard!$C$7*'Equity and Bond Returns'!BS44)+(Dashboard!$C$8*'Equity and Bond Returns'!FQ44)</f>
        <v>-0.15189579681167564</v>
      </c>
      <c r="BH44" s="122">
        <f ca="1">(Dashboard!$C$7*'Equity and Bond Returns'!BT44)+(Dashboard!$C$8*'Equity and Bond Returns'!FR44)</f>
        <v>0.16075388174606503</v>
      </c>
      <c r="BI44" s="122">
        <f ca="1">(Dashboard!$C$7*'Equity and Bond Returns'!BU44)+(Dashboard!$C$8*'Equity and Bond Returns'!FS44)</f>
        <v>-0.10005275883883984</v>
      </c>
      <c r="BJ44" s="122">
        <f ca="1">(Dashboard!$C$7*'Equity and Bond Returns'!BV44)+(Dashboard!$C$8*'Equity and Bond Returns'!FT44)</f>
        <v>0.1754484524126757</v>
      </c>
      <c r="BK44" s="122">
        <f ca="1">(Dashboard!$C$7*'Equity and Bond Returns'!BW44)+(Dashboard!$C$8*'Equity and Bond Returns'!FU44)</f>
        <v>-5.5368886901338205E-2</v>
      </c>
      <c r="BL44" s="122">
        <f ca="1">(Dashboard!$C$7*'Equity and Bond Returns'!BX44)+(Dashboard!$C$8*'Equity and Bond Returns'!FV44)</f>
        <v>0.22253819740332764</v>
      </c>
      <c r="BM44" s="122">
        <f ca="1">(Dashboard!$C$7*'Equity and Bond Returns'!BY44)+(Dashboard!$C$8*'Equity and Bond Returns'!FW44)</f>
        <v>-8.9981064513911607E-2</v>
      </c>
      <c r="BN44" s="122">
        <f ca="1">(Dashboard!$C$7*'Equity and Bond Returns'!BZ44)+(Dashboard!$C$8*'Equity and Bond Returns'!FX44)</f>
        <v>3.4497028761019469E-3</v>
      </c>
      <c r="BO44" s="122">
        <f ca="1">(Dashboard!$C$7*'Equity and Bond Returns'!CA44)+(Dashboard!$C$8*'Equity and Bond Returns'!FY44)</f>
        <v>0.23292748603692648</v>
      </c>
      <c r="BP44" s="122">
        <f ca="1">(Dashboard!$C$7*'Equity and Bond Returns'!CB44)+(Dashboard!$C$8*'Equity and Bond Returns'!FZ44)</f>
        <v>-0.10800766330247684</v>
      </c>
      <c r="BQ44" s="122">
        <f ca="1">(Dashboard!$C$7*'Equity and Bond Returns'!CC44)+(Dashboard!$C$8*'Equity and Bond Returns'!GA44)</f>
        <v>0.26086329051158663</v>
      </c>
      <c r="BR44" s="122">
        <f ca="1">(Dashboard!$C$7*'Equity and Bond Returns'!CD44)+(Dashboard!$C$8*'Equity and Bond Returns'!GB44)</f>
        <v>-5.9349664973159744E-2</v>
      </c>
      <c r="BS44" s="122">
        <f ca="1">(Dashboard!$C$7*'Equity and Bond Returns'!CE44)+(Dashboard!$C$8*'Equity and Bond Returns'!GC44)</f>
        <v>-8.3672340775524046E-2</v>
      </c>
      <c r="BT44" s="122">
        <f ca="1">(Dashboard!$C$7*'Equity and Bond Returns'!CF44)+(Dashboard!$C$8*'Equity and Bond Returns'!GD44)</f>
        <v>-1.5939798449521009E-2</v>
      </c>
      <c r="BU44" s="122">
        <f ca="1">(Dashboard!$C$7*'Equity and Bond Returns'!CG44)+(Dashboard!$C$8*'Equity and Bond Returns'!GE44)</f>
        <v>-7.71669771310112E-2</v>
      </c>
      <c r="BV44" s="122">
        <f ca="1">(Dashboard!$C$7*'Equity and Bond Returns'!CH44)+(Dashboard!$C$8*'Equity and Bond Returns'!GF44)</f>
        <v>0.10607629330641688</v>
      </c>
      <c r="BW44" s="122">
        <f ca="1">(Dashboard!$C$7*'Equity and Bond Returns'!CI44)+(Dashboard!$C$8*'Equity and Bond Returns'!GG44)</f>
        <v>-0.17010290291003738</v>
      </c>
      <c r="BX44" s="122">
        <f ca="1">(Dashboard!$C$7*'Equity and Bond Returns'!CJ44)+(Dashboard!$C$8*'Equity and Bond Returns'!GH44)</f>
        <v>-3.3189037298645259E-2</v>
      </c>
      <c r="BY44" s="122">
        <f ca="1">(Dashboard!$C$7*'Equity and Bond Returns'!CK44)+(Dashboard!$C$8*'Equity and Bond Returns'!GI44)</f>
        <v>3.5408641651572762E-3</v>
      </c>
      <c r="BZ44" s="122">
        <f ca="1">(Dashboard!$C$7*'Equity and Bond Returns'!CL44)+(Dashboard!$C$8*'Equity and Bond Returns'!GJ44)</f>
        <v>1.3088357402778325E-2</v>
      </c>
      <c r="CA44" s="122">
        <f ca="1">(Dashboard!$C$7*'Equity and Bond Returns'!CM44)+(Dashboard!$C$8*'Equity and Bond Returns'!GK44)</f>
        <v>3.5825994620470134E-2</v>
      </c>
      <c r="CB44" s="122">
        <f ca="1">(Dashboard!$C$7*'Equity and Bond Returns'!CN44)+(Dashboard!$C$8*'Equity and Bond Returns'!GL44)</f>
        <v>0.20955884377919534</v>
      </c>
      <c r="CC44" s="122">
        <f ca="1">(Dashboard!$C$7*'Equity and Bond Returns'!CO44)+(Dashboard!$C$8*'Equity and Bond Returns'!GM44)</f>
        <v>5.5053408805716471E-2</v>
      </c>
      <c r="CD44" s="122">
        <f ca="1">(Dashboard!$C$7*'Equity and Bond Returns'!CP44)+(Dashboard!$C$8*'Equity and Bond Returns'!GN44)</f>
        <v>0.18234612618394816</v>
      </c>
      <c r="CE44" s="122">
        <f ca="1">(Dashboard!$C$7*'Equity and Bond Returns'!CQ44)+(Dashboard!$C$8*'Equity and Bond Returns'!GO44)</f>
        <v>0.15783114870253842</v>
      </c>
      <c r="CF44" s="122">
        <f ca="1">(Dashboard!$C$7*'Equity and Bond Returns'!CR44)+(Dashboard!$C$8*'Equity and Bond Returns'!GP44)</f>
        <v>3.0397390639608793E-2</v>
      </c>
      <c r="CG44" s="122">
        <f ca="1">(Dashboard!$C$7*'Equity and Bond Returns'!CS44)+(Dashboard!$C$8*'Equity and Bond Returns'!GQ44)</f>
        <v>-8.2335345810447297E-2</v>
      </c>
      <c r="CH44" s="122">
        <f ca="1">(Dashboard!$C$7*'Equity and Bond Returns'!CT44)+(Dashboard!$C$8*'Equity and Bond Returns'!GR44)</f>
        <v>2.3498160481930357E-2</v>
      </c>
      <c r="CI44" s="122">
        <f ca="1">(Dashboard!$C$7*'Equity and Bond Returns'!CU44)+(Dashboard!$C$8*'Equity and Bond Returns'!GS44)</f>
        <v>0.19136092304873215</v>
      </c>
      <c r="CJ44" s="122">
        <f ca="1">(Dashboard!$C$7*'Equity and Bond Returns'!CV44)+(Dashboard!$C$8*'Equity and Bond Returns'!GT44)</f>
        <v>0.26684705173239626</v>
      </c>
      <c r="CK44" s="122">
        <f ca="1">(Dashboard!$C$7*'Equity and Bond Returns'!CW44)+(Dashboard!$C$8*'Equity and Bond Returns'!GU44)</f>
        <v>-0.10492918791157846</v>
      </c>
      <c r="CL44" s="122">
        <f ca="1">(Dashboard!$C$7*'Equity and Bond Returns'!CX44)+(Dashboard!$C$8*'Equity and Bond Returns'!GV44)</f>
        <v>0.39979691189970457</v>
      </c>
      <c r="CM44" s="122">
        <f ca="1">(Dashboard!$C$7*'Equity and Bond Returns'!CY44)+(Dashboard!$C$8*'Equity and Bond Returns'!GW44)</f>
        <v>7.525788355477582E-2</v>
      </c>
      <c r="CN44" s="122">
        <f ca="1">(Dashboard!$C$7*'Equity and Bond Returns'!CZ44)+(Dashboard!$C$8*'Equity and Bond Returns'!GX44)</f>
        <v>0.24705059108568722</v>
      </c>
      <c r="CO44" s="122">
        <f ca="1">(Dashboard!$C$7*'Equity and Bond Returns'!DA44)+(Dashboard!$C$8*'Equity and Bond Returns'!GY44)</f>
        <v>0.10075045631868282</v>
      </c>
      <c r="CP44" s="122">
        <f ca="1">(Dashboard!$C$7*'Equity and Bond Returns'!DB44)+(Dashboard!$C$8*'Equity and Bond Returns'!GZ44)</f>
        <v>0.1754256149672315</v>
      </c>
      <c r="CQ44" s="122">
        <f ca="1">(Dashboard!$C$7*'Equity and Bond Returns'!DC44)+(Dashboard!$C$8*'Equity and Bond Returns'!HA44)</f>
        <v>-5.5825334589931816E-2</v>
      </c>
      <c r="CR44" s="122">
        <f ca="1">(Dashboard!$C$7*'Equity and Bond Returns'!DD44)+(Dashboard!$C$8*'Equity and Bond Returns'!HB44)</f>
        <v>7.0143548521245297E-2</v>
      </c>
      <c r="CS44" s="122">
        <f ca="1">(Dashboard!$C$7*'Equity and Bond Returns'!DE44)+(Dashboard!$C$8*'Equity and Bond Returns'!HC44)</f>
        <v>0.23345569308610309</v>
      </c>
      <c r="CT44" s="122">
        <f ca="1">(Dashboard!$C$7*'Equity and Bond Returns'!DF44)+(Dashboard!$C$8*'Equity and Bond Returns'!HD44)</f>
        <v>3.6658066410206872E-2</v>
      </c>
      <c r="CU44" s="122">
        <f ca="1">(Dashboard!$C$7*'Equity and Bond Returns'!DG44)+(Dashboard!$C$8*'Equity and Bond Returns'!HE44)</f>
        <v>0.11903527208833424</v>
      </c>
      <c r="CV44" s="122">
        <f ca="1">(Dashboard!$C$7*'Equity and Bond Returns'!DH44)+(Dashboard!$C$8*'Equity and Bond Returns'!HF44)</f>
        <v>0.29881951837536352</v>
      </c>
      <c r="CW44" s="122">
        <f ca="1">(Dashboard!$C$7*'Equity and Bond Returns'!DI44)+(Dashboard!$C$8*'Equity and Bond Returns'!HG44)</f>
        <v>-1.9118817277714369E-2</v>
      </c>
      <c r="CY44" s="147">
        <f t="shared" si="5"/>
        <v>93</v>
      </c>
      <c r="CZ44" s="148">
        <v>43</v>
      </c>
      <c r="DA44" s="126">
        <f ca="1">MAX(DA43*(1+B44)-(Dashboard!$C$11)/(1-Dashboard!$C$17)*((1+Dashboard!$C$12)^$CZ44),0)</f>
        <v>55477898.885116532</v>
      </c>
      <c r="DB44" s="126">
        <f ca="1">MAX(DB43*(1+C44)-(Dashboard!$C$11)/(1-Dashboard!$C$17)*((1+Dashboard!$C$12)^$CZ44),0)</f>
        <v>0</v>
      </c>
      <c r="DC44" s="126">
        <f ca="1">MAX(DC43*(1+D44)-(Dashboard!$C$11)/(1-Dashboard!$C$17)*((1+Dashboard!$C$12)^$CZ44),0)</f>
        <v>18551234.670333538</v>
      </c>
      <c r="DD44" s="126">
        <f ca="1">MAX(DD43*(1+E44)-(Dashboard!$C$11)/(1-Dashboard!$C$17)*((1+Dashboard!$C$12)^$CZ44),0)</f>
        <v>1608488.990597307</v>
      </c>
      <c r="DE44" s="126">
        <f ca="1">MAX(DE43*(1+F44)-(Dashboard!$C$11)/(1-Dashboard!$C$17)*((1+Dashboard!$C$12)^$CZ44),0)</f>
        <v>14254498.361280363</v>
      </c>
      <c r="DF44" s="126">
        <f ca="1">MAX(DF43*(1+G44)-(Dashboard!$C$11)/(1-Dashboard!$C$17)*((1+Dashboard!$C$12)^$CZ44),0)</f>
        <v>20563872.873918179</v>
      </c>
      <c r="DG44" s="126">
        <f ca="1">MAX(DG43*(1+H44)-(Dashboard!$C$11)/(1-Dashboard!$C$17)*((1+Dashboard!$C$12)^$CZ44),0)</f>
        <v>1786382.2425523901</v>
      </c>
      <c r="DH44" s="126">
        <f ca="1">MAX(DH43*(1+I44)-(Dashboard!$C$11)/(1-Dashboard!$C$17)*((1+Dashboard!$C$12)^$CZ44),0)</f>
        <v>34971218.835586771</v>
      </c>
      <c r="DI44" s="126">
        <f ca="1">MAX(DI43*(1+J44)-(Dashboard!$C$11)/(1-Dashboard!$C$17)*((1+Dashboard!$C$12)^$CZ44),0)</f>
        <v>10444386.322791854</v>
      </c>
      <c r="DJ44" s="126">
        <f ca="1">MAX(DJ43*(1+K44)-(Dashboard!$C$11)/(1-Dashboard!$C$17)*((1+Dashboard!$C$12)^$CZ44),0)</f>
        <v>7605111.4761078097</v>
      </c>
      <c r="DK44" s="126">
        <f ca="1">MAX(DK43*(1+L44)-(Dashboard!$C$11)/(1-Dashboard!$C$17)*((1+Dashboard!$C$12)^$CZ44),0)</f>
        <v>18010508.129840177</v>
      </c>
      <c r="DL44" s="126">
        <f ca="1">MAX(DL43*(1+M44)-(Dashboard!$C$11)/(1-Dashboard!$C$17)*((1+Dashboard!$C$12)^$CZ44),0)</f>
        <v>620118.80913049169</v>
      </c>
      <c r="DM44" s="126">
        <f ca="1">MAX(DM43*(1+N44)-(Dashboard!$C$11)/(1-Dashboard!$C$17)*((1+Dashboard!$C$12)^$CZ44),0)</f>
        <v>26068341.644883487</v>
      </c>
      <c r="DN44" s="126">
        <f ca="1">MAX(DN43*(1+O44)-(Dashboard!$C$11)/(1-Dashboard!$C$17)*((1+Dashboard!$C$12)^$CZ44),0)</f>
        <v>133124255.52579714</v>
      </c>
      <c r="DO44" s="126">
        <f ca="1">MAX(DO43*(1+P44)-(Dashboard!$C$11)/(1-Dashboard!$C$17)*((1+Dashboard!$C$12)^$CZ44),0)</f>
        <v>6537325.4268791862</v>
      </c>
      <c r="DP44" s="126">
        <f ca="1">MAX(DP43*(1+Q44)-(Dashboard!$C$11)/(1-Dashboard!$C$17)*((1+Dashboard!$C$12)^$CZ44),0)</f>
        <v>5757025.0311649274</v>
      </c>
      <c r="DQ44" s="126">
        <f ca="1">MAX(DQ43*(1+R44)-(Dashboard!$C$11)/(1-Dashboard!$C$17)*((1+Dashboard!$C$12)^$CZ44),0)</f>
        <v>11848646.294874556</v>
      </c>
      <c r="DR44" s="126">
        <f ca="1">MAX(DR43*(1+S44)-(Dashboard!$C$11)/(1-Dashboard!$C$17)*((1+Dashboard!$C$12)^$CZ44),0)</f>
        <v>38417110.425184354</v>
      </c>
      <c r="DS44" s="126">
        <f ca="1">MAX(DS43*(1+T44)-(Dashboard!$C$11)/(1-Dashboard!$C$17)*((1+Dashboard!$C$12)^$CZ44),0)</f>
        <v>457153.20477015525</v>
      </c>
      <c r="DT44" s="126">
        <f ca="1">MAX(DT43*(1+U44)-(Dashboard!$C$11)/(1-Dashboard!$C$17)*((1+Dashboard!$C$12)^$CZ44),0)</f>
        <v>5961878.4316840488</v>
      </c>
      <c r="DU44" s="126">
        <f ca="1">MAX(DU43*(1+V44)-(Dashboard!$C$11)/(1-Dashboard!$C$17)*((1+Dashboard!$C$12)^$CZ44),0)</f>
        <v>10505512.129962012</v>
      </c>
      <c r="DV44" s="126">
        <f ca="1">MAX(DV43*(1+W44)-(Dashboard!$C$11)/(1-Dashboard!$C$17)*((1+Dashboard!$C$12)^$CZ44),0)</f>
        <v>112254011.01281889</v>
      </c>
      <c r="DW44" s="126">
        <f ca="1">MAX(DW43*(1+X44)-(Dashboard!$C$11)/(1-Dashboard!$C$17)*((1+Dashboard!$C$12)^$CZ44),0)</f>
        <v>5918462.9466257002</v>
      </c>
      <c r="DX44" s="126">
        <f ca="1">MAX(DX43*(1+Y44)-(Dashboard!$C$11)/(1-Dashboard!$C$17)*((1+Dashboard!$C$12)^$CZ44),0)</f>
        <v>6361310.5749005526</v>
      </c>
      <c r="DY44" s="126">
        <f ca="1">MAX(DY43*(1+Z44)-(Dashboard!$C$11)/(1-Dashboard!$C$17)*((1+Dashboard!$C$12)^$CZ44),0)</f>
        <v>22039504.986108698</v>
      </c>
      <c r="DZ44" s="126">
        <f ca="1">MAX(DZ43*(1+AA44)-(Dashboard!$C$11)/(1-Dashboard!$C$17)*((1+Dashboard!$C$12)^$CZ44),0)</f>
        <v>1818670.1600263498</v>
      </c>
      <c r="EA44" s="126">
        <f ca="1">MAX(EA43*(1+AB44)-(Dashboard!$C$11)/(1-Dashboard!$C$17)*((1+Dashboard!$C$12)^$CZ44),0)</f>
        <v>12190208.653871709</v>
      </c>
      <c r="EB44" s="126">
        <f ca="1">MAX(EB43*(1+AC44)-(Dashboard!$C$11)/(1-Dashboard!$C$17)*((1+Dashboard!$C$12)^$CZ44),0)</f>
        <v>20150552.695048094</v>
      </c>
      <c r="EC44" s="126">
        <f ca="1">MAX(EC43*(1+AD44)-(Dashboard!$C$11)/(1-Dashboard!$C$17)*((1+Dashboard!$C$12)^$CZ44),0)</f>
        <v>32045224.622277066</v>
      </c>
      <c r="ED44" s="126">
        <f ca="1">MAX(ED43*(1+AE44)-(Dashboard!$C$11)/(1-Dashboard!$C$17)*((1+Dashboard!$C$12)^$CZ44),0)</f>
        <v>21367782.009995252</v>
      </c>
      <c r="EE44" s="126">
        <f ca="1">MAX(EE43*(1+AF44)-(Dashboard!$C$11)/(1-Dashboard!$C$17)*((1+Dashboard!$C$12)^$CZ44),0)</f>
        <v>19028517.36302454</v>
      </c>
      <c r="EF44" s="126">
        <f ca="1">MAX(EF43*(1+AG44)-(Dashboard!$C$11)/(1-Dashboard!$C$17)*((1+Dashboard!$C$12)^$CZ44),0)</f>
        <v>3777606.3221942587</v>
      </c>
      <c r="EG44" s="126">
        <f ca="1">MAX(EG43*(1+AH44)-(Dashboard!$C$11)/(1-Dashboard!$C$17)*((1+Dashboard!$C$12)^$CZ44),0)</f>
        <v>18659056.125505324</v>
      </c>
      <c r="EH44" s="126">
        <f ca="1">MAX(EH43*(1+AI44)-(Dashboard!$C$11)/(1-Dashboard!$C$17)*((1+Dashboard!$C$12)^$CZ44),0)</f>
        <v>53311520.868678935</v>
      </c>
      <c r="EI44" s="126">
        <f ca="1">MAX(EI43*(1+AJ44)-(Dashboard!$C$11)/(1-Dashboard!$C$17)*((1+Dashboard!$C$12)^$CZ44),0)</f>
        <v>0</v>
      </c>
      <c r="EJ44" s="126">
        <f ca="1">MAX(EJ43*(1+AK44)-(Dashboard!$C$11)/(1-Dashboard!$C$17)*((1+Dashboard!$C$12)^$CZ44),0)</f>
        <v>26599989.28144341</v>
      </c>
      <c r="EK44" s="126">
        <f ca="1">MAX(EK43*(1+AL44)-(Dashboard!$C$11)/(1-Dashboard!$C$17)*((1+Dashboard!$C$12)^$CZ44),0)</f>
        <v>7092150.4938228987</v>
      </c>
      <c r="EL44" s="126">
        <f ca="1">MAX(EL43*(1+AM44)-(Dashboard!$C$11)/(1-Dashboard!$C$17)*((1+Dashboard!$C$12)^$CZ44),0)</f>
        <v>2807803.1171681397</v>
      </c>
      <c r="EM44" s="126">
        <f ca="1">MAX(EM43*(1+AN44)-(Dashboard!$C$11)/(1-Dashboard!$C$17)*((1+Dashboard!$C$12)^$CZ44),0)</f>
        <v>57870678.943889506</v>
      </c>
      <c r="EN44" s="126">
        <f ca="1">MAX(EN43*(1+AO44)-(Dashboard!$C$11)/(1-Dashboard!$C$17)*((1+Dashboard!$C$12)^$CZ44),0)</f>
        <v>1872583.2344068529</v>
      </c>
      <c r="EO44" s="126">
        <f ca="1">MAX(EO43*(1+AP44)-(Dashboard!$C$11)/(1-Dashboard!$C$17)*((1+Dashboard!$C$12)^$CZ44),0)</f>
        <v>0</v>
      </c>
      <c r="EP44" s="126">
        <f ca="1">MAX(EP43*(1+AQ44)-(Dashboard!$C$11)/(1-Dashboard!$C$17)*((1+Dashboard!$C$12)^$CZ44),0)</f>
        <v>7734673.8802666701</v>
      </c>
      <c r="EQ44" s="126">
        <f ca="1">MAX(EQ43*(1+AR44)-(Dashboard!$C$11)/(1-Dashboard!$C$17)*((1+Dashboard!$C$12)^$CZ44),0)</f>
        <v>6745891.736709578</v>
      </c>
      <c r="ER44" s="126">
        <f ca="1">MAX(ER43*(1+AS44)-(Dashboard!$C$11)/(1-Dashboard!$C$17)*((1+Dashboard!$C$12)^$CZ44),0)</f>
        <v>4332425.0917738006</v>
      </c>
      <c r="ES44" s="126">
        <f ca="1">MAX(ES43*(1+AT44)-(Dashboard!$C$11)/(1-Dashboard!$C$17)*((1+Dashboard!$C$12)^$CZ44),0)</f>
        <v>30714954.566385925</v>
      </c>
      <c r="ET44" s="126">
        <f ca="1">MAX(ET43*(1+AU44)-(Dashboard!$C$11)/(1-Dashboard!$C$17)*((1+Dashboard!$C$12)^$CZ44),0)</f>
        <v>9576800.9219772443</v>
      </c>
      <c r="EU44" s="126">
        <f ca="1">MAX(EU43*(1+AV44)-(Dashboard!$C$11)/(1-Dashboard!$C$17)*((1+Dashboard!$C$12)^$CZ44),0)</f>
        <v>10543315.687661108</v>
      </c>
      <c r="EV44" s="126">
        <f ca="1">MAX(EV43*(1+AW44)-(Dashboard!$C$11)/(1-Dashboard!$C$17)*((1+Dashboard!$C$12)^$CZ44),0)</f>
        <v>83052231.15342851</v>
      </c>
      <c r="EW44" s="126">
        <f ca="1">MAX(EW43*(1+AX44)-(Dashboard!$C$11)/(1-Dashboard!$C$17)*((1+Dashboard!$C$12)^$CZ44),0)</f>
        <v>3922443.399541473</v>
      </c>
      <c r="EX44" s="126">
        <f ca="1">MAX(EX43*(1+AY44)-(Dashboard!$C$11)/(1-Dashboard!$C$17)*((1+Dashboard!$C$12)^$CZ44),0)</f>
        <v>10214181.931985263</v>
      </c>
      <c r="EY44" s="126">
        <f ca="1">MAX(EY43*(1+AZ44)-(Dashboard!$C$11)/(1-Dashboard!$C$17)*((1+Dashboard!$C$12)^$CZ44),0)</f>
        <v>22961245.543174434</v>
      </c>
      <c r="EZ44" s="126">
        <f ca="1">MAX(EZ43*(1+BA44)-(Dashboard!$C$11)/(1-Dashboard!$C$17)*((1+Dashboard!$C$12)^$CZ44),0)</f>
        <v>8297199.7059929445</v>
      </c>
      <c r="FA44" s="126">
        <f ca="1">MAX(FA43*(1+BB44)-(Dashboard!$C$11)/(1-Dashboard!$C$17)*((1+Dashboard!$C$12)^$CZ44),0)</f>
        <v>42837213.139848523</v>
      </c>
      <c r="FB44" s="126">
        <f ca="1">MAX(FB43*(1+BC44)-(Dashboard!$C$11)/(1-Dashboard!$C$17)*((1+Dashboard!$C$12)^$CZ44),0)</f>
        <v>840115.33617245918</v>
      </c>
      <c r="FC44" s="126">
        <f ca="1">MAX(FC43*(1+BD44)-(Dashboard!$C$11)/(1-Dashboard!$C$17)*((1+Dashboard!$C$12)^$CZ44),0)</f>
        <v>7478471.3573120963</v>
      </c>
      <c r="FD44" s="126">
        <f ca="1">MAX(FD43*(1+BE44)-(Dashboard!$C$11)/(1-Dashboard!$C$17)*((1+Dashboard!$C$12)^$CZ44),0)</f>
        <v>44982519.299803101</v>
      </c>
      <c r="FE44" s="126">
        <f ca="1">MAX(FE43*(1+BF44)-(Dashboard!$C$11)/(1-Dashboard!$C$17)*((1+Dashboard!$C$12)^$CZ44),0)</f>
        <v>56198336.293956466</v>
      </c>
      <c r="FF44" s="126">
        <f ca="1">MAX(FF43*(1+BG44)-(Dashboard!$C$11)/(1-Dashboard!$C$17)*((1+Dashboard!$C$12)^$CZ44),0)</f>
        <v>8547337.4374542851</v>
      </c>
      <c r="FG44" s="126">
        <f ca="1">MAX(FG43*(1+BH44)-(Dashboard!$C$11)/(1-Dashboard!$C$17)*((1+Dashboard!$C$12)^$CZ44),0)</f>
        <v>6932556.6065367386</v>
      </c>
      <c r="FH44" s="126">
        <f ca="1">MAX(FH43*(1+BI44)-(Dashboard!$C$11)/(1-Dashboard!$C$17)*((1+Dashboard!$C$12)^$CZ44),0)</f>
        <v>5252091.9201483186</v>
      </c>
      <c r="FI44" s="126">
        <f ca="1">MAX(FI43*(1+BJ44)-(Dashboard!$C$11)/(1-Dashboard!$C$17)*((1+Dashboard!$C$12)^$CZ44),0)</f>
        <v>33867569.098929502</v>
      </c>
      <c r="FJ44" s="126">
        <f ca="1">MAX(FJ43*(1+BK44)-(Dashboard!$C$11)/(1-Dashboard!$C$17)*((1+Dashboard!$C$12)^$CZ44),0)</f>
        <v>6813103.9688004218</v>
      </c>
      <c r="FK44" s="126">
        <f ca="1">MAX(FK43*(1+BL44)-(Dashboard!$C$11)/(1-Dashboard!$C$17)*((1+Dashboard!$C$12)^$CZ44),0)</f>
        <v>11249731.81795457</v>
      </c>
      <c r="FL44" s="126">
        <f ca="1">MAX(FL43*(1+BM44)-(Dashboard!$C$11)/(1-Dashboard!$C$17)*((1+Dashboard!$C$12)^$CZ44),0)</f>
        <v>4316283.1954834722</v>
      </c>
      <c r="FM44" s="126">
        <f ca="1">MAX(FM43*(1+BN44)-(Dashboard!$C$11)/(1-Dashboard!$C$17)*((1+Dashboard!$C$12)^$CZ44),0)</f>
        <v>13185396.830794038</v>
      </c>
      <c r="FN44" s="126">
        <f ca="1">MAX(FN43*(1+BO44)-(Dashboard!$C$11)/(1-Dashboard!$C$17)*((1+Dashboard!$C$12)^$CZ44),0)</f>
        <v>0</v>
      </c>
      <c r="FO44" s="126">
        <f ca="1">MAX(FO43*(1+BP44)-(Dashboard!$C$11)/(1-Dashboard!$C$17)*((1+Dashboard!$C$12)^$CZ44),0)</f>
        <v>11081249.465100644</v>
      </c>
      <c r="FP44" s="126">
        <f ca="1">MAX(FP43*(1+BQ44)-(Dashboard!$C$11)/(1-Dashboard!$C$17)*((1+Dashboard!$C$12)^$CZ44),0)</f>
        <v>7546215.1319203079</v>
      </c>
      <c r="FQ44" s="126">
        <f ca="1">MAX(FQ43*(1+BR44)-(Dashboard!$C$11)/(1-Dashboard!$C$17)*((1+Dashboard!$C$12)^$CZ44),0)</f>
        <v>6553699.7193732969</v>
      </c>
      <c r="FR44" s="126">
        <f ca="1">MAX(FR43*(1+BS44)-(Dashboard!$C$11)/(1-Dashboard!$C$17)*((1+Dashboard!$C$12)^$CZ44),0)</f>
        <v>22231769.070485521</v>
      </c>
      <c r="FS44" s="126">
        <f ca="1">MAX(FS43*(1+BT44)-(Dashboard!$C$11)/(1-Dashboard!$C$17)*((1+Dashboard!$C$12)^$CZ44),0)</f>
        <v>22965197.545470823</v>
      </c>
      <c r="FT44" s="126">
        <f ca="1">MAX(FT43*(1+BU44)-(Dashboard!$C$11)/(1-Dashboard!$C$17)*((1+Dashboard!$C$12)^$CZ44),0)</f>
        <v>1582758.846753963</v>
      </c>
      <c r="FU44" s="126">
        <f ca="1">MAX(FU43*(1+BV44)-(Dashboard!$C$11)/(1-Dashboard!$C$17)*((1+Dashboard!$C$12)^$CZ44),0)</f>
        <v>1981021.2674780199</v>
      </c>
      <c r="FV44" s="126">
        <f ca="1">MAX(FV43*(1+BW44)-(Dashboard!$C$11)/(1-Dashboard!$C$17)*((1+Dashboard!$C$12)^$CZ44),0)</f>
        <v>7715446.7729384433</v>
      </c>
      <c r="FW44" s="126">
        <f ca="1">MAX(FW43*(1+BX44)-(Dashboard!$C$11)/(1-Dashboard!$C$17)*((1+Dashboard!$C$12)^$CZ44),0)</f>
        <v>6578366.0876437724</v>
      </c>
      <c r="FX44" s="126">
        <f ca="1">MAX(FX43*(1+BY44)-(Dashboard!$C$11)/(1-Dashboard!$C$17)*((1+Dashboard!$C$12)^$CZ44),0)</f>
        <v>2544057.460019886</v>
      </c>
      <c r="FY44" s="126">
        <f ca="1">MAX(FY43*(1+BZ44)-(Dashboard!$C$11)/(1-Dashboard!$C$17)*((1+Dashboard!$C$12)^$CZ44),0)</f>
        <v>4137014.4570387886</v>
      </c>
      <c r="FZ44" s="126">
        <f ca="1">MAX(FZ43*(1+CA44)-(Dashboard!$C$11)/(1-Dashboard!$C$17)*((1+Dashboard!$C$12)^$CZ44),0)</f>
        <v>54362358.328444488</v>
      </c>
      <c r="GA44" s="126">
        <f ca="1">MAX(GA43*(1+CB44)-(Dashboard!$C$11)/(1-Dashboard!$C$17)*((1+Dashboard!$C$12)^$CZ44),0)</f>
        <v>50893626.518030487</v>
      </c>
      <c r="GB44" s="126">
        <f ca="1">MAX(GB43*(1+CC44)-(Dashboard!$C$11)/(1-Dashboard!$C$17)*((1+Dashboard!$C$12)^$CZ44),0)</f>
        <v>5715207.4287247434</v>
      </c>
      <c r="GC44" s="126">
        <f ca="1">MAX(GC43*(1+CD44)-(Dashboard!$C$11)/(1-Dashboard!$C$17)*((1+Dashboard!$C$12)^$CZ44),0)</f>
        <v>17117153.590970583</v>
      </c>
      <c r="GD44" s="126">
        <f ca="1">MAX(GD43*(1+CE44)-(Dashboard!$C$11)/(1-Dashboard!$C$17)*((1+Dashboard!$C$12)^$CZ44),0)</f>
        <v>130958876.58231871</v>
      </c>
      <c r="GE44" s="126">
        <f ca="1">MAX(GE43*(1+CF44)-(Dashboard!$C$11)/(1-Dashboard!$C$17)*((1+Dashboard!$C$12)^$CZ44),0)</f>
        <v>8497312.4079434145</v>
      </c>
      <c r="GF44" s="126">
        <f ca="1">MAX(GF43*(1+CG44)-(Dashboard!$C$11)/(1-Dashboard!$C$17)*((1+Dashboard!$C$12)^$CZ44),0)</f>
        <v>11061169.640190419</v>
      </c>
      <c r="GG44" s="126">
        <f ca="1">MAX(GG43*(1+CH44)-(Dashboard!$C$11)/(1-Dashboard!$C$17)*((1+Dashboard!$C$12)^$CZ44),0)</f>
        <v>954520.51336703263</v>
      </c>
      <c r="GH44" s="126">
        <f ca="1">MAX(GH43*(1+CI44)-(Dashboard!$C$11)/(1-Dashboard!$C$17)*((1+Dashboard!$C$12)^$CZ44),0)</f>
        <v>3874614.9238614468</v>
      </c>
      <c r="GI44" s="126">
        <f ca="1">MAX(GI43*(1+CJ44)-(Dashboard!$C$11)/(1-Dashboard!$C$17)*((1+Dashboard!$C$12)^$CZ44),0)</f>
        <v>30197372.943082828</v>
      </c>
      <c r="GJ44" s="126">
        <f ca="1">MAX(GJ43*(1+CK44)-(Dashboard!$C$11)/(1-Dashboard!$C$17)*((1+Dashboard!$C$12)^$CZ44),0)</f>
        <v>61895175.737475172</v>
      </c>
      <c r="GK44" s="126">
        <f ca="1">MAX(GK43*(1+CL44)-(Dashboard!$C$11)/(1-Dashboard!$C$17)*((1+Dashboard!$C$12)^$CZ44),0)</f>
        <v>15558270.895883458</v>
      </c>
      <c r="GL44" s="126">
        <f ca="1">MAX(GL43*(1+CM44)-(Dashboard!$C$11)/(1-Dashboard!$C$17)*((1+Dashboard!$C$12)^$CZ44),0)</f>
        <v>17943919.161575124</v>
      </c>
      <c r="GM44" s="126">
        <f ca="1">MAX(GM43*(1+CN44)-(Dashboard!$C$11)/(1-Dashboard!$C$17)*((1+Dashboard!$C$12)^$CZ44),0)</f>
        <v>4764287.1106940974</v>
      </c>
      <c r="GN44" s="126">
        <f ca="1">MAX(GN43*(1+CO44)-(Dashboard!$C$11)/(1-Dashboard!$C$17)*((1+Dashboard!$C$12)^$CZ44),0)</f>
        <v>0</v>
      </c>
      <c r="GO44" s="126">
        <f ca="1">MAX(GO43*(1+CP44)-(Dashboard!$C$11)/(1-Dashboard!$C$17)*((1+Dashboard!$C$12)^$CZ44),0)</f>
        <v>29777776.126496855</v>
      </c>
      <c r="GP44" s="126">
        <f ca="1">MAX(GP43*(1+CQ44)-(Dashboard!$C$11)/(1-Dashboard!$C$17)*((1+Dashboard!$C$12)^$CZ44),0)</f>
        <v>25373762.748243723</v>
      </c>
      <c r="GQ44" s="126">
        <f ca="1">MAX(GQ43*(1+CR44)-(Dashboard!$C$11)/(1-Dashboard!$C$17)*((1+Dashboard!$C$12)^$CZ44),0)</f>
        <v>1789413.3583669497</v>
      </c>
      <c r="GR44" s="126">
        <f ca="1">MAX(GR43*(1+CS44)-(Dashboard!$C$11)/(1-Dashboard!$C$17)*((1+Dashboard!$C$12)^$CZ44),0)</f>
        <v>2889046.5698894681</v>
      </c>
      <c r="GS44" s="126">
        <f ca="1">MAX(GS43*(1+CT44)-(Dashboard!$C$11)/(1-Dashboard!$C$17)*((1+Dashboard!$C$12)^$CZ44),0)</f>
        <v>18588137.847975761</v>
      </c>
      <c r="GT44" s="126">
        <f ca="1">MAX(GT43*(1+CU44)-(Dashboard!$C$11)/(1-Dashboard!$C$17)*((1+Dashboard!$C$12)^$CZ44),0)</f>
        <v>96204178.324944004</v>
      </c>
      <c r="GU44" s="126">
        <f ca="1">MAX(GU43*(1+CV44)-(Dashboard!$C$11)/(1-Dashboard!$C$17)*((1+Dashboard!$C$12)^$CZ44),0)</f>
        <v>7766708.5080771502</v>
      </c>
      <c r="GV44" s="126">
        <f ca="1">MAX(GV43*(1+CW44)-(Dashboard!$C$11)/(1-Dashboard!$C$17)*((1+Dashboard!$C$12)^$CZ44),0)</f>
        <v>3720942.3132211482</v>
      </c>
      <c r="GW44" s="115">
        <f t="shared" si="4"/>
        <v>93</v>
      </c>
      <c r="GX44" s="130">
        <f ca="1">COUNTIF(DA44:GV44,"&gt;0")</f>
        <v>95</v>
      </c>
      <c r="HC44" s="130">
        <f t="shared" si="7"/>
        <v>93</v>
      </c>
      <c r="HD44" s="137">
        <f t="shared" ca="1" si="8"/>
        <v>4181831.6416499596</v>
      </c>
      <c r="HE44" s="137">
        <f t="shared" ca="1" si="8"/>
        <v>9062069.1797157638</v>
      </c>
      <c r="HF44" s="137">
        <f t="shared" ca="1" si="8"/>
        <v>22778876.425002206</v>
      </c>
    </row>
    <row r="45" spans="1:214" ht="16">
      <c r="A45" s="145">
        <f t="shared" si="3"/>
        <v>94</v>
      </c>
      <c r="B45" s="122">
        <f ca="1">(Dashboard!$C$7*'Equity and Bond Returns'!N45)+(Dashboard!$C$8*'Equity and Bond Returns'!DL45)</f>
        <v>0.2158149704818953</v>
      </c>
      <c r="C45" s="122">
        <f ca="1">(Dashboard!$C$7*'Equity and Bond Returns'!O45)+(Dashboard!$C$8*'Equity and Bond Returns'!DM45)</f>
        <v>0.2192153198222252</v>
      </c>
      <c r="D45" s="122">
        <f ca="1">(Dashboard!$C$7*'Equity and Bond Returns'!P45)+(Dashboard!$C$8*'Equity and Bond Returns'!DN45)</f>
        <v>4.8930322994531622E-2</v>
      </c>
      <c r="E45" s="122">
        <f ca="1">(Dashboard!$C$7*'Equity and Bond Returns'!Q45)+(Dashboard!$C$8*'Equity and Bond Returns'!DO45)</f>
        <v>6.3706548768653185E-2</v>
      </c>
      <c r="F45" s="122">
        <f ca="1">(Dashboard!$C$7*'Equity and Bond Returns'!R45)+(Dashboard!$C$8*'Equity and Bond Returns'!DP45)</f>
        <v>2.3285015170529347E-2</v>
      </c>
      <c r="G45" s="122">
        <f ca="1">(Dashboard!$C$7*'Equity and Bond Returns'!S45)+(Dashboard!$C$8*'Equity and Bond Returns'!DQ45)</f>
        <v>0.15330403121910888</v>
      </c>
      <c r="H45" s="122">
        <f ca="1">(Dashboard!$C$7*'Equity and Bond Returns'!T45)+(Dashboard!$C$8*'Equity and Bond Returns'!DR45)</f>
        <v>0.2874467102550281</v>
      </c>
      <c r="I45" s="122">
        <f ca="1">(Dashboard!$C$7*'Equity and Bond Returns'!U45)+(Dashboard!$C$8*'Equity and Bond Returns'!DS45)</f>
        <v>0.18713151268680689</v>
      </c>
      <c r="J45" s="122">
        <f ca="1">(Dashboard!$C$7*'Equity and Bond Returns'!V45)+(Dashboard!$C$8*'Equity and Bond Returns'!DT45)</f>
        <v>8.1801349274830584E-2</v>
      </c>
      <c r="K45" s="122">
        <f ca="1">(Dashboard!$C$7*'Equity and Bond Returns'!W45)+(Dashboard!$C$8*'Equity and Bond Returns'!DU45)</f>
        <v>6.8474972564646436E-2</v>
      </c>
      <c r="L45" s="122">
        <f ca="1">(Dashboard!$C$7*'Equity and Bond Returns'!X45)+(Dashboard!$C$8*'Equity and Bond Returns'!DV45)</f>
        <v>0.21760634667215678</v>
      </c>
      <c r="M45" s="122">
        <f ca="1">(Dashboard!$C$7*'Equity and Bond Returns'!Y45)+(Dashboard!$C$8*'Equity and Bond Returns'!DW45)</f>
        <v>0.13666449730902125</v>
      </c>
      <c r="N45" s="122">
        <f ca="1">(Dashboard!$C$7*'Equity and Bond Returns'!Z45)+(Dashboard!$C$8*'Equity and Bond Returns'!DX45)</f>
        <v>0.1154504860812285</v>
      </c>
      <c r="O45" s="122">
        <f ca="1">(Dashboard!$C$7*'Equity and Bond Returns'!AA45)+(Dashboard!$C$8*'Equity and Bond Returns'!DY45)</f>
        <v>-1.4788545879504747E-3</v>
      </c>
      <c r="P45" s="122">
        <f ca="1">(Dashboard!$C$7*'Equity and Bond Returns'!AB45)+(Dashboard!$C$8*'Equity and Bond Returns'!DZ45)</f>
        <v>-0.12428473804540215</v>
      </c>
      <c r="Q45" s="122">
        <f ca="1">(Dashboard!$C$7*'Equity and Bond Returns'!AC45)+(Dashboard!$C$8*'Equity and Bond Returns'!EA45)</f>
        <v>-7.2066157142503487E-2</v>
      </c>
      <c r="R45" s="122">
        <f ca="1">(Dashboard!$C$7*'Equity and Bond Returns'!AD45)+(Dashboard!$C$8*'Equity and Bond Returns'!EB45)</f>
        <v>0.20283053311485105</v>
      </c>
      <c r="S45" s="122">
        <f ca="1">(Dashboard!$C$7*'Equity and Bond Returns'!AE45)+(Dashboard!$C$8*'Equity and Bond Returns'!EC45)</f>
        <v>5.5618457840861134E-2</v>
      </c>
      <c r="T45" s="122">
        <f ca="1">(Dashboard!$C$7*'Equity and Bond Returns'!AF45)+(Dashboard!$C$8*'Equity and Bond Returns'!ED45)</f>
        <v>0.26926416742515441</v>
      </c>
      <c r="U45" s="122">
        <f ca="1">(Dashboard!$C$7*'Equity and Bond Returns'!AG45)+(Dashboard!$C$8*'Equity and Bond Returns'!EE45)</f>
        <v>7.9908453038633906E-2</v>
      </c>
      <c r="V45" s="122">
        <f ca="1">(Dashboard!$C$7*'Equity and Bond Returns'!AH45)+(Dashboard!$C$8*'Equity and Bond Returns'!EF45)</f>
        <v>0.11143685377691979</v>
      </c>
      <c r="W45" s="122">
        <f ca="1">(Dashboard!$C$7*'Equity and Bond Returns'!AI45)+(Dashboard!$C$8*'Equity and Bond Returns'!EG45)</f>
        <v>-9.6532165234740924E-2</v>
      </c>
      <c r="X45" s="122">
        <f ca="1">(Dashboard!$C$7*'Equity and Bond Returns'!AJ45)+(Dashboard!$C$8*'Equity and Bond Returns'!EH45)</f>
        <v>4.441402219241905E-2</v>
      </c>
      <c r="Y45" s="122">
        <f ca="1">(Dashboard!$C$7*'Equity and Bond Returns'!AK45)+(Dashboard!$C$8*'Equity and Bond Returns'!EI45)</f>
        <v>6.3148568713710093E-2</v>
      </c>
      <c r="Z45" s="122">
        <f ca="1">(Dashboard!$C$7*'Equity and Bond Returns'!AL45)+(Dashboard!$C$8*'Equity and Bond Returns'!EJ45)</f>
        <v>-1.000921425709439E-2</v>
      </c>
      <c r="AA45" s="122">
        <f ca="1">(Dashboard!$C$7*'Equity and Bond Returns'!AM45)+(Dashboard!$C$8*'Equity and Bond Returns'!EK45)</f>
        <v>0.31319999682904337</v>
      </c>
      <c r="AB45" s="122">
        <f ca="1">(Dashboard!$C$7*'Equity and Bond Returns'!AN45)+(Dashboard!$C$8*'Equity and Bond Returns'!EL45)</f>
        <v>0.24528459081430035</v>
      </c>
      <c r="AC45" s="122">
        <f ca="1">(Dashboard!$C$7*'Equity and Bond Returns'!AO45)+(Dashboard!$C$8*'Equity and Bond Returns'!EM45)</f>
        <v>0.36123825873435156</v>
      </c>
      <c r="AD45" s="122">
        <f ca="1">(Dashboard!$C$7*'Equity and Bond Returns'!AP45)+(Dashboard!$C$8*'Equity and Bond Returns'!EN45)</f>
        <v>0.1512240007234513</v>
      </c>
      <c r="AE45" s="122">
        <f ca="1">(Dashboard!$C$7*'Equity and Bond Returns'!AQ45)+(Dashboard!$C$8*'Equity and Bond Returns'!EO45)</f>
        <v>-9.9103024140221818E-2</v>
      </c>
      <c r="AF45" s="122">
        <f ca="1">(Dashboard!$C$7*'Equity and Bond Returns'!AR45)+(Dashboard!$C$8*'Equity and Bond Returns'!EP45)</f>
        <v>0.11100825548032013</v>
      </c>
      <c r="AG45" s="122">
        <f ca="1">(Dashboard!$C$7*'Equity and Bond Returns'!AS45)+(Dashboard!$C$8*'Equity and Bond Returns'!EQ45)</f>
        <v>0.22696431175542886</v>
      </c>
      <c r="AH45" s="122">
        <f ca="1">(Dashboard!$C$7*'Equity and Bond Returns'!AT45)+(Dashboard!$C$8*'Equity and Bond Returns'!ER45)</f>
        <v>0.28589028609128675</v>
      </c>
      <c r="AI45" s="122">
        <f ca="1">(Dashboard!$C$7*'Equity and Bond Returns'!AU45)+(Dashboard!$C$8*'Equity and Bond Returns'!ES45)</f>
        <v>-1.3678660735391892E-3</v>
      </c>
      <c r="AJ45" s="122">
        <f ca="1">(Dashboard!$C$7*'Equity and Bond Returns'!AV45)+(Dashboard!$C$8*'Equity and Bond Returns'!ET45)</f>
        <v>9.1228251189837978E-3</v>
      </c>
      <c r="AK45" s="122">
        <f ca="1">(Dashboard!$C$7*'Equity and Bond Returns'!AW45)+(Dashboard!$C$8*'Equity and Bond Returns'!EU45)</f>
        <v>0.29654451270906718</v>
      </c>
      <c r="AL45" s="122">
        <f ca="1">(Dashboard!$C$7*'Equity and Bond Returns'!AX45)+(Dashboard!$C$8*'Equity and Bond Returns'!EV45)</f>
        <v>-3.5711420852874862E-2</v>
      </c>
      <c r="AM45" s="122">
        <f ca="1">(Dashboard!$C$7*'Equity and Bond Returns'!AY45)+(Dashboard!$C$8*'Equity and Bond Returns'!EW45)</f>
        <v>0.10781221265839261</v>
      </c>
      <c r="AN45" s="122">
        <f ca="1">(Dashboard!$C$7*'Equity and Bond Returns'!AZ45)+(Dashboard!$C$8*'Equity and Bond Returns'!EX45)</f>
        <v>0.17397593462576214</v>
      </c>
      <c r="AO45" s="122">
        <f ca="1">(Dashboard!$C$7*'Equity and Bond Returns'!BA45)+(Dashboard!$C$8*'Equity and Bond Returns'!EY45)</f>
        <v>0.33083492363793648</v>
      </c>
      <c r="AP45" s="122">
        <f ca="1">(Dashboard!$C$7*'Equity and Bond Returns'!BB45)+(Dashboard!$C$8*'Equity and Bond Returns'!EZ45)</f>
        <v>0.21822834242832634</v>
      </c>
      <c r="AQ45" s="122">
        <f ca="1">(Dashboard!$C$7*'Equity and Bond Returns'!BC45)+(Dashboard!$C$8*'Equity and Bond Returns'!FA45)</f>
        <v>0.26000237052146979</v>
      </c>
      <c r="AR45" s="122">
        <f ca="1">(Dashboard!$C$7*'Equity and Bond Returns'!BD45)+(Dashboard!$C$8*'Equity and Bond Returns'!FB45)</f>
        <v>1.176184563357939E-2</v>
      </c>
      <c r="AS45" s="122">
        <f ca="1">(Dashboard!$C$7*'Equity and Bond Returns'!BE45)+(Dashboard!$C$8*'Equity and Bond Returns'!FC45)</f>
        <v>0.21704531644580899</v>
      </c>
      <c r="AT45" s="122">
        <f ca="1">(Dashboard!$C$7*'Equity and Bond Returns'!BF45)+(Dashboard!$C$8*'Equity and Bond Returns'!FD45)</f>
        <v>0.16612683677877482</v>
      </c>
      <c r="AU45" s="122">
        <f ca="1">(Dashboard!$C$7*'Equity and Bond Returns'!BG45)+(Dashboard!$C$8*'Equity and Bond Returns'!FE45)</f>
        <v>0.11637123009500699</v>
      </c>
      <c r="AV45" s="122">
        <f ca="1">(Dashboard!$C$7*'Equity and Bond Returns'!BH45)+(Dashboard!$C$8*'Equity and Bond Returns'!FF45)</f>
        <v>7.8798590394233078E-2</v>
      </c>
      <c r="AW45" s="122">
        <f ca="1">(Dashboard!$C$7*'Equity and Bond Returns'!BI45)+(Dashboard!$C$8*'Equity and Bond Returns'!FG45)</f>
        <v>-6.1540429826123726E-2</v>
      </c>
      <c r="AX45" s="122">
        <f ca="1">(Dashboard!$C$7*'Equity and Bond Returns'!BJ45)+(Dashboard!$C$8*'Equity and Bond Returns'!FH45)</f>
        <v>-5.6675760953651408E-3</v>
      </c>
      <c r="AY45" s="122">
        <f ca="1">(Dashboard!$C$7*'Equity and Bond Returns'!BK45)+(Dashboard!$C$8*'Equity and Bond Returns'!FI45)</f>
        <v>-0.10418689312631334</v>
      </c>
      <c r="AZ45" s="122">
        <f ca="1">(Dashboard!$C$7*'Equity and Bond Returns'!BL45)+(Dashboard!$C$8*'Equity and Bond Returns'!FJ45)</f>
        <v>0.12647380427109584</v>
      </c>
      <c r="BA45" s="122">
        <f ca="1">(Dashboard!$C$7*'Equity and Bond Returns'!BM45)+(Dashboard!$C$8*'Equity and Bond Returns'!FK45)</f>
        <v>0.10424297768302225</v>
      </c>
      <c r="BB45" s="122">
        <f ca="1">(Dashboard!$C$7*'Equity and Bond Returns'!BN45)+(Dashboard!$C$8*'Equity and Bond Returns'!FL45)</f>
        <v>4.8722607819404733E-2</v>
      </c>
      <c r="BC45" s="122">
        <f ca="1">(Dashboard!$C$7*'Equity and Bond Returns'!BO45)+(Dashboard!$C$8*'Equity and Bond Returns'!FM45)</f>
        <v>1.3572379249617451E-2</v>
      </c>
      <c r="BD45" s="122">
        <f ca="1">(Dashboard!$C$7*'Equity and Bond Returns'!BP45)+(Dashboard!$C$8*'Equity and Bond Returns'!FN45)</f>
        <v>0.27720562327029269</v>
      </c>
      <c r="BE45" s="122">
        <f ca="1">(Dashboard!$C$7*'Equity and Bond Returns'!BQ45)+(Dashboard!$C$8*'Equity and Bond Returns'!FO45)</f>
        <v>0.22900546718963316</v>
      </c>
      <c r="BF45" s="122">
        <f ca="1">(Dashboard!$C$7*'Equity and Bond Returns'!BR45)+(Dashboard!$C$8*'Equity and Bond Returns'!FP45)</f>
        <v>0.13779445909788349</v>
      </c>
      <c r="BG45" s="122">
        <f ca="1">(Dashboard!$C$7*'Equity and Bond Returns'!BS45)+(Dashboard!$C$8*'Equity and Bond Returns'!FQ45)</f>
        <v>-0.2291850555319096</v>
      </c>
      <c r="BH45" s="122">
        <f ca="1">(Dashboard!$C$7*'Equity and Bond Returns'!BT45)+(Dashboard!$C$8*'Equity and Bond Returns'!FR45)</f>
        <v>2.7641004538594926E-2</v>
      </c>
      <c r="BI45" s="122">
        <f ca="1">(Dashboard!$C$7*'Equity and Bond Returns'!BU45)+(Dashboard!$C$8*'Equity and Bond Returns'!FS45)</f>
        <v>0.21347317240795288</v>
      </c>
      <c r="BJ45" s="122">
        <f ca="1">(Dashboard!$C$7*'Equity and Bond Returns'!BV45)+(Dashboard!$C$8*'Equity and Bond Returns'!FT45)</f>
        <v>-3.1915636552378716E-2</v>
      </c>
      <c r="BK45" s="122">
        <f ca="1">(Dashboard!$C$7*'Equity and Bond Returns'!BW45)+(Dashboard!$C$8*'Equity and Bond Returns'!FU45)</f>
        <v>0.370755957188588</v>
      </c>
      <c r="BL45" s="122">
        <f ca="1">(Dashboard!$C$7*'Equity and Bond Returns'!BX45)+(Dashboard!$C$8*'Equity and Bond Returns'!FV45)</f>
        <v>0.11868018400905628</v>
      </c>
      <c r="BM45" s="122">
        <f ca="1">(Dashboard!$C$7*'Equity and Bond Returns'!BY45)+(Dashboard!$C$8*'Equity and Bond Returns'!FW45)</f>
        <v>7.4091399833231444E-2</v>
      </c>
      <c r="BN45" s="122">
        <f ca="1">(Dashboard!$C$7*'Equity and Bond Returns'!BZ45)+(Dashboard!$C$8*'Equity and Bond Returns'!FX45)</f>
        <v>7.6869284146128564E-2</v>
      </c>
      <c r="BO45" s="122">
        <f ca="1">(Dashboard!$C$7*'Equity and Bond Returns'!CA45)+(Dashboard!$C$8*'Equity and Bond Returns'!FY45)</f>
        <v>3.5799490230656414E-2</v>
      </c>
      <c r="BP45" s="122">
        <f ca="1">(Dashboard!$C$7*'Equity and Bond Returns'!CB45)+(Dashboard!$C$8*'Equity and Bond Returns'!FZ45)</f>
        <v>0.29940941848008867</v>
      </c>
      <c r="BQ45" s="122">
        <f ca="1">(Dashboard!$C$7*'Equity and Bond Returns'!CC45)+(Dashboard!$C$8*'Equity and Bond Returns'!GA45)</f>
        <v>0.13617400431658189</v>
      </c>
      <c r="BR45" s="122">
        <f ca="1">(Dashboard!$C$7*'Equity and Bond Returns'!CD45)+(Dashboard!$C$8*'Equity and Bond Returns'!GB45)</f>
        <v>0.12244603906584055</v>
      </c>
      <c r="BS45" s="122">
        <f ca="1">(Dashboard!$C$7*'Equity and Bond Returns'!CE45)+(Dashboard!$C$8*'Equity and Bond Returns'!GC45)</f>
        <v>0.15923439130020564</v>
      </c>
      <c r="BT45" s="122">
        <f ca="1">(Dashboard!$C$7*'Equity and Bond Returns'!CF45)+(Dashboard!$C$8*'Equity and Bond Returns'!GD45)</f>
        <v>-7.8739605551538111E-2</v>
      </c>
      <c r="BU45" s="122">
        <f ca="1">(Dashboard!$C$7*'Equity and Bond Returns'!CG45)+(Dashboard!$C$8*'Equity and Bond Returns'!GE45)</f>
        <v>-5.2764239047748199E-4</v>
      </c>
      <c r="BV45" s="122">
        <f ca="1">(Dashboard!$C$7*'Equity and Bond Returns'!CH45)+(Dashboard!$C$8*'Equity and Bond Returns'!GF45)</f>
        <v>0.12809346921064346</v>
      </c>
      <c r="BW45" s="122">
        <f ca="1">(Dashboard!$C$7*'Equity and Bond Returns'!CI45)+(Dashboard!$C$8*'Equity and Bond Returns'!GG45)</f>
        <v>0.19633444297545832</v>
      </c>
      <c r="BX45" s="122">
        <f ca="1">(Dashboard!$C$7*'Equity and Bond Returns'!CJ45)+(Dashboard!$C$8*'Equity and Bond Returns'!GH45)</f>
        <v>0.14662206737713276</v>
      </c>
      <c r="BY45" s="122">
        <f ca="1">(Dashboard!$C$7*'Equity and Bond Returns'!CK45)+(Dashboard!$C$8*'Equity and Bond Returns'!GI45)</f>
        <v>-1.6232114406478287E-2</v>
      </c>
      <c r="BZ45" s="122">
        <f ca="1">(Dashboard!$C$7*'Equity and Bond Returns'!CL45)+(Dashboard!$C$8*'Equity and Bond Returns'!GJ45)</f>
        <v>0.2079085986267909</v>
      </c>
      <c r="CA45" s="122">
        <f ca="1">(Dashboard!$C$7*'Equity and Bond Returns'!CM45)+(Dashboard!$C$8*'Equity and Bond Returns'!GK45)</f>
        <v>4.2916667867345382E-2</v>
      </c>
      <c r="CB45" s="122">
        <f ca="1">(Dashboard!$C$7*'Equity and Bond Returns'!CN45)+(Dashboard!$C$8*'Equity and Bond Returns'!GL45)</f>
        <v>0.20306652902541072</v>
      </c>
      <c r="CC45" s="122">
        <f ca="1">(Dashboard!$C$7*'Equity and Bond Returns'!CO45)+(Dashboard!$C$8*'Equity and Bond Returns'!GM45)</f>
        <v>0.11168988543607175</v>
      </c>
      <c r="CD45" s="122">
        <f ca="1">(Dashboard!$C$7*'Equity and Bond Returns'!CP45)+(Dashboard!$C$8*'Equity and Bond Returns'!GN45)</f>
        <v>4.6115602243539701E-2</v>
      </c>
      <c r="CE45" s="122">
        <f ca="1">(Dashboard!$C$7*'Equity and Bond Returns'!CQ45)+(Dashboard!$C$8*'Equity and Bond Returns'!GO45)</f>
        <v>0.11697067313392016</v>
      </c>
      <c r="CF45" s="122">
        <f ca="1">(Dashboard!$C$7*'Equity and Bond Returns'!CR45)+(Dashboard!$C$8*'Equity and Bond Returns'!GP45)</f>
        <v>-4.6554673971100156E-2</v>
      </c>
      <c r="CG45" s="122">
        <f ca="1">(Dashboard!$C$7*'Equity and Bond Returns'!CS45)+(Dashboard!$C$8*'Equity and Bond Returns'!GQ45)</f>
        <v>0.11660575511333268</v>
      </c>
      <c r="CH45" s="122">
        <f ca="1">(Dashboard!$C$7*'Equity and Bond Returns'!CT45)+(Dashboard!$C$8*'Equity and Bond Returns'!GR45)</f>
        <v>7.3618525541173319E-2</v>
      </c>
      <c r="CI45" s="122">
        <f ca="1">(Dashboard!$C$7*'Equity and Bond Returns'!CU45)+(Dashboard!$C$8*'Equity and Bond Returns'!GS45)</f>
        <v>0.16505688492167864</v>
      </c>
      <c r="CJ45" s="122">
        <f ca="1">(Dashboard!$C$7*'Equity and Bond Returns'!CV45)+(Dashboard!$C$8*'Equity and Bond Returns'!GT45)</f>
        <v>0.25170159785124191</v>
      </c>
      <c r="CK45" s="122">
        <f ca="1">(Dashboard!$C$7*'Equity and Bond Returns'!CW45)+(Dashboard!$C$8*'Equity and Bond Returns'!GU45)</f>
        <v>4.2363035964039369E-2</v>
      </c>
      <c r="CL45" s="122">
        <f ca="1">(Dashboard!$C$7*'Equity and Bond Returns'!CX45)+(Dashboard!$C$8*'Equity and Bond Returns'!GV45)</f>
        <v>-7.2519373901101331E-2</v>
      </c>
      <c r="CM45" s="122">
        <f ca="1">(Dashboard!$C$7*'Equity and Bond Returns'!CY45)+(Dashboard!$C$8*'Equity and Bond Returns'!GW45)</f>
        <v>0.10169071046749421</v>
      </c>
      <c r="CN45" s="122">
        <f ca="1">(Dashboard!$C$7*'Equity and Bond Returns'!CZ45)+(Dashboard!$C$8*'Equity and Bond Returns'!GX45)</f>
        <v>4.1091896560683482E-2</v>
      </c>
      <c r="CO45" s="122">
        <f ca="1">(Dashboard!$C$7*'Equity and Bond Returns'!DA45)+(Dashboard!$C$8*'Equity and Bond Returns'!GY45)</f>
        <v>-6.1133168472986998E-2</v>
      </c>
      <c r="CP45" s="122">
        <f ca="1">(Dashboard!$C$7*'Equity and Bond Returns'!DB45)+(Dashboard!$C$8*'Equity and Bond Returns'!GZ45)</f>
        <v>0.17446867325077986</v>
      </c>
      <c r="CQ45" s="122">
        <f ca="1">(Dashboard!$C$7*'Equity and Bond Returns'!DC45)+(Dashboard!$C$8*'Equity and Bond Returns'!HA45)</f>
        <v>0.11409823420309757</v>
      </c>
      <c r="CR45" s="122">
        <f ca="1">(Dashboard!$C$7*'Equity and Bond Returns'!DD45)+(Dashboard!$C$8*'Equity and Bond Returns'!HB45)</f>
        <v>-9.266485977272329E-2</v>
      </c>
      <c r="CS45" s="122">
        <f ca="1">(Dashboard!$C$7*'Equity and Bond Returns'!DE45)+(Dashboard!$C$8*'Equity and Bond Returns'!HC45)</f>
        <v>0.14392569622699752</v>
      </c>
      <c r="CT45" s="122">
        <f ca="1">(Dashboard!$C$7*'Equity and Bond Returns'!DF45)+(Dashboard!$C$8*'Equity and Bond Returns'!HD45)</f>
        <v>0.13438167727124986</v>
      </c>
      <c r="CU45" s="122">
        <f ca="1">(Dashboard!$C$7*'Equity and Bond Returns'!DG45)+(Dashboard!$C$8*'Equity and Bond Returns'!HE45)</f>
        <v>5.2870256813152057E-2</v>
      </c>
      <c r="CV45" s="122">
        <f ca="1">(Dashboard!$C$7*'Equity and Bond Returns'!DH45)+(Dashboard!$C$8*'Equity and Bond Returns'!HF45)</f>
        <v>0.24994483152157029</v>
      </c>
      <c r="CW45" s="122">
        <f ca="1">(Dashboard!$C$7*'Equity and Bond Returns'!DI45)+(Dashboard!$C$8*'Equity and Bond Returns'!HG45)</f>
        <v>0.34757196555756781</v>
      </c>
      <c r="CY45" s="147">
        <f t="shared" si="5"/>
        <v>94</v>
      </c>
      <c r="CZ45" s="148">
        <v>44</v>
      </c>
      <c r="DA45" s="126">
        <f ca="1">MAX(DA44*(1+B45)-(Dashboard!$C$11)/(1-Dashboard!$C$17)*((1+Dashboard!$C$12)^$CZ45),0)</f>
        <v>67375136.292265669</v>
      </c>
      <c r="DB45" s="126">
        <f ca="1">MAX(DB44*(1+C45)-(Dashboard!$C$11)/(1-Dashboard!$C$17)*((1+Dashboard!$C$12)^$CZ45),0)</f>
        <v>0</v>
      </c>
      <c r="DC45" s="126">
        <f ca="1">MAX(DC44*(1+D45)-(Dashboard!$C$11)/(1-Dashboard!$C$17)*((1+Dashboard!$C$12)^$CZ45),0)</f>
        <v>19383228.871560451</v>
      </c>
      <c r="DD45" s="126">
        <f ca="1">MAX(DD44*(1+E45)-(Dashboard!$C$11)/(1-Dashboard!$C$17)*((1+Dashboard!$C$12)^$CZ45),0)</f>
        <v>1635236.5697807733</v>
      </c>
      <c r="DE45" s="126">
        <f ca="1">MAX(DE44*(1+F45)-(Dashboard!$C$11)/(1-Dashboard!$C$17)*((1+Dashboard!$C$12)^$CZ45),0)</f>
        <v>14510690.868731197</v>
      </c>
      <c r="DF45" s="126">
        <f ca="1">MAX(DF44*(1+G45)-(Dashboard!$C$11)/(1-Dashboard!$C$17)*((1+Dashboard!$C$12)^$CZ45),0)</f>
        <v>23640673.779827256</v>
      </c>
      <c r="DG45" s="126">
        <f ca="1">MAX(DG44*(1+H45)-(Dashboard!$C$11)/(1-Dashboard!$C$17)*((1+Dashboard!$C$12)^$CZ45),0)</f>
        <v>2224148.2382922117</v>
      </c>
      <c r="DH45" s="126">
        <f ca="1">MAX(DH44*(1+I45)-(Dashboard!$C$11)/(1-Dashboard!$C$17)*((1+Dashboard!$C$12)^$CZ45),0)</f>
        <v>41439712.213651612</v>
      </c>
      <c r="DI45" s="126">
        <f ca="1">MAX(DI44*(1+J45)-(Dashboard!$C$11)/(1-Dashboard!$C$17)*((1+Dashboard!$C$12)^$CZ45),0)</f>
        <v>11223027.513203951</v>
      </c>
      <c r="DJ45" s="126">
        <f ca="1">MAX(DJ44*(1+K45)-(Dashboard!$C$11)/(1-Dashboard!$C$17)*((1+Dashboard!$C$12)^$CZ45),0)</f>
        <v>8050147.5726455078</v>
      </c>
      <c r="DK45" s="126">
        <f ca="1">MAX(DK44*(1+L45)-(Dashboard!$C$11)/(1-Dashboard!$C$17)*((1+Dashboard!$C$12)^$CZ45),0)</f>
        <v>21853985.302544013</v>
      </c>
      <c r="DL45" s="126">
        <f ca="1">MAX(DL44*(1+M45)-(Dashboard!$C$11)/(1-Dashboard!$C$17)*((1+Dashboard!$C$12)^$CZ45),0)</f>
        <v>629143.33131231624</v>
      </c>
      <c r="DM45" s="126">
        <f ca="1">MAX(DM44*(1+N45)-(Dashboard!$C$11)/(1-Dashboard!$C$17)*((1+Dashboard!$C$12)^$CZ45),0)</f>
        <v>29002220.655976951</v>
      </c>
      <c r="DN45" s="126">
        <f ca="1">MAX(DN44*(1+O45)-(Dashboard!$C$11)/(1-Dashboard!$C$17)*((1+Dashboard!$C$12)^$CZ45),0)</f>
        <v>132851660.40660547</v>
      </c>
      <c r="DO45" s="126">
        <f ca="1">MAX(DO44*(1+P45)-(Dashboard!$C$11)/(1-Dashboard!$C$17)*((1+Dashboard!$C$12)^$CZ45),0)</f>
        <v>5649111.9455420962</v>
      </c>
      <c r="DP45" s="126">
        <f ca="1">MAX(DP44*(1+Q45)-(Dashboard!$C$11)/(1-Dashboard!$C$17)*((1+Dashboard!$C$12)^$CZ45),0)</f>
        <v>5266414.6574558066</v>
      </c>
      <c r="DQ45" s="126">
        <f ca="1">MAX(DQ44*(1+R45)-(Dashboard!$C$11)/(1-Dashboard!$C$17)*((1+Dashboard!$C$12)^$CZ45),0)</f>
        <v>14176189.836413402</v>
      </c>
      <c r="DR45" s="126">
        <f ca="1">MAX(DR44*(1+S45)-(Dashboard!$C$11)/(1-Dashboard!$C$17)*((1+Dashboard!$C$12)^$CZ45),0)</f>
        <v>40478087.158595316</v>
      </c>
      <c r="DS45" s="126">
        <f ca="1">MAX(DS44*(1+T45)-(Dashboard!$C$11)/(1-Dashboard!$C$17)*((1+Dashboard!$C$12)^$CZ45),0)</f>
        <v>504524.47869846923</v>
      </c>
      <c r="DT45" s="126">
        <f ca="1">MAX(DT44*(1+U45)-(Dashboard!$C$11)/(1-Dashboard!$C$17)*((1+Dashboard!$C$12)^$CZ45),0)</f>
        <v>6362559.2112244545</v>
      </c>
      <c r="DU45" s="126">
        <f ca="1">MAX(DU44*(1+V45)-(Dashboard!$C$11)/(1-Dashboard!$C$17)*((1+Dashboard!$C$12)^$CZ45),0)</f>
        <v>11600489.645900382</v>
      </c>
      <c r="DV45" s="126">
        <f ca="1">MAX(DV44*(1+W45)-(Dashboard!$C$11)/(1-Dashboard!$C$17)*((1+Dashboard!$C$12)^$CZ45),0)</f>
        <v>101342164.57032716</v>
      </c>
      <c r="DW45" s="126">
        <f ca="1">MAX(DW44*(1+X45)-(Dashboard!$C$11)/(1-Dashboard!$C$17)*((1+Dashboard!$C$12)^$CZ45),0)</f>
        <v>6105601.9881422808</v>
      </c>
      <c r="DX45" s="126">
        <f ca="1">MAX(DX44*(1+Y45)-(Dashboard!$C$11)/(1-Dashboard!$C$17)*((1+Dashboard!$C$12)^$CZ45),0)</f>
        <v>6687294.5297090476</v>
      </c>
      <c r="DY45" s="126">
        <f ca="1">MAX(DY44*(1+Z45)-(Dashboard!$C$11)/(1-Dashboard!$C$17)*((1+Dashboard!$C$12)^$CZ45),0)</f>
        <v>21743183.155442569</v>
      </c>
      <c r="DZ45" s="126">
        <f ca="1">MAX(DZ44*(1+AA45)-(Dashboard!$C$11)/(1-Dashboard!$C$17)*((1+Dashboard!$C$12)^$CZ45),0)</f>
        <v>2312553.9452398154</v>
      </c>
      <c r="EA45" s="126">
        <f ca="1">MAX(EA44*(1+AB45)-(Dashboard!$C$11)/(1-Dashboard!$C$17)*((1+Dashboard!$C$12)^$CZ45),0)</f>
        <v>15104555.292337712</v>
      </c>
      <c r="EB45" s="126">
        <f ca="1">MAX(EB44*(1+AC45)-(Dashboard!$C$11)/(1-Dashboard!$C$17)*((1+Dashboard!$C$12)^$CZ45),0)</f>
        <v>27353979.560002197</v>
      </c>
      <c r="EC45" s="126">
        <f ca="1">MAX(EC44*(1+AD45)-(Dashboard!$C$11)/(1-Dashboard!$C$17)*((1+Dashboard!$C$12)^$CZ45),0)</f>
        <v>36815507.990599588</v>
      </c>
      <c r="ED45" s="126">
        <f ca="1">MAX(ED44*(1+AE45)-(Dashboard!$C$11)/(1-Dashboard!$C$17)*((1+Dashboard!$C$12)^$CZ45),0)</f>
        <v>19174446.490495831</v>
      </c>
      <c r="EE45" s="126">
        <f ca="1">MAX(EE44*(1+AF45)-(Dashboard!$C$11)/(1-Dashboard!$C$17)*((1+Dashboard!$C$12)^$CZ45),0)</f>
        <v>21065116.176731013</v>
      </c>
      <c r="EF45" s="126">
        <f ca="1">MAX(EF44*(1+AG45)-(Dashboard!$C$11)/(1-Dashboard!$C$17)*((1+Dashboard!$C$12)^$CZ45),0)</f>
        <v>4559264.4380541723</v>
      </c>
      <c r="EG45" s="126">
        <f ca="1">MAX(EG44*(1+AH45)-(Dashboard!$C$11)/(1-Dashboard!$C$17)*((1+Dashboard!$C$12)^$CZ45),0)</f>
        <v>23917775.316279557</v>
      </c>
      <c r="EH45" s="126">
        <f ca="1">MAX(EH44*(1+AI45)-(Dashboard!$C$11)/(1-Dashboard!$C$17)*((1+Dashboard!$C$12)^$CZ45),0)</f>
        <v>53162874.144814029</v>
      </c>
      <c r="EI45" s="126">
        <f ca="1">MAX(EI44*(1+AJ45)-(Dashboard!$C$11)/(1-Dashboard!$C$17)*((1+Dashboard!$C$12)^$CZ45),0)</f>
        <v>0</v>
      </c>
      <c r="EJ45" s="126">
        <f ca="1">MAX(EJ44*(1+AK45)-(Dashboard!$C$11)/(1-Dashboard!$C$17)*((1+Dashboard!$C$12)^$CZ45),0)</f>
        <v>34412346.437835589</v>
      </c>
      <c r="EK45" s="126">
        <f ca="1">MAX(EK44*(1+AL45)-(Dashboard!$C$11)/(1-Dashboard!$C$17)*((1+Dashboard!$C$12)^$CZ45),0)</f>
        <v>6763156.0196462022</v>
      </c>
      <c r="EL45" s="126">
        <f ca="1">MAX(EL44*(1+AM45)-(Dashboard!$C$11)/(1-Dashboard!$C$17)*((1+Dashboard!$C$12)^$CZ45),0)</f>
        <v>3034794.8807993061</v>
      </c>
      <c r="EM45" s="126">
        <f ca="1">MAX(EM44*(1+AN45)-(Dashboard!$C$11)/(1-Dashboard!$C$17)*((1+Dashboard!$C$12)^$CZ45),0)</f>
        <v>67863060.697440237</v>
      </c>
      <c r="EN45" s="126">
        <f ca="1">MAX(EN44*(1+AO45)-(Dashboard!$C$11)/(1-Dashboard!$C$17)*((1+Dashboard!$C$12)^$CZ45),0)</f>
        <v>2416375.4626276609</v>
      </c>
      <c r="EO45" s="126">
        <f ca="1">MAX(EO44*(1+AP45)-(Dashboard!$C$11)/(1-Dashboard!$C$17)*((1+Dashboard!$C$12)^$CZ45),0)</f>
        <v>0</v>
      </c>
      <c r="EP45" s="126">
        <f ca="1">MAX(EP44*(1+AQ45)-(Dashboard!$C$11)/(1-Dashboard!$C$17)*((1+Dashboard!$C$12)^$CZ45),0)</f>
        <v>9669983.7212066352</v>
      </c>
      <c r="EQ45" s="126">
        <f ca="1">MAX(EQ44*(1+AR45)-(Dashboard!$C$11)/(1-Dashboard!$C$17)*((1+Dashboard!$C$12)^$CZ45),0)</f>
        <v>6749512.1708377311</v>
      </c>
      <c r="ER45" s="126">
        <f ca="1">MAX(ER44*(1+AS45)-(Dashboard!$C$11)/(1-Dashboard!$C$17)*((1+Dashboard!$C$12)^$CZ45),0)</f>
        <v>5197033.9636557456</v>
      </c>
      <c r="ES45" s="126">
        <f ca="1">MAX(ES44*(1+AT45)-(Dashboard!$C$11)/(1-Dashboard!$C$17)*((1+Dashboard!$C$12)^$CZ45),0)</f>
        <v>35741809.107163541</v>
      </c>
      <c r="ET45" s="126">
        <f ca="1">MAX(ET44*(1+AU45)-(Dashboard!$C$11)/(1-Dashboard!$C$17)*((1+Dashboard!$C$12)^$CZ45),0)</f>
        <v>10615541.32250287</v>
      </c>
      <c r="EU45" s="126">
        <f ca="1">MAX(EU44*(1+AV45)-(Dashboard!$C$11)/(1-Dashboard!$C$17)*((1+Dashboard!$C$12)^$CZ45),0)</f>
        <v>11298390.398790343</v>
      </c>
      <c r="EV45" s="126">
        <f ca="1">MAX(EV44*(1+AW45)-(Dashboard!$C$11)/(1-Dashboard!$C$17)*((1+Dashboard!$C$12)^$CZ45),0)</f>
        <v>77865437.447088078</v>
      </c>
      <c r="EW45" s="126">
        <f ca="1">MAX(EW44*(1+AX45)-(Dashboard!$C$11)/(1-Dashboard!$C$17)*((1+Dashboard!$C$12)^$CZ45),0)</f>
        <v>3824488.9499549461</v>
      </c>
      <c r="EX45" s="126">
        <f ca="1">MAX(EX44*(1+AY45)-(Dashboard!$C$11)/(1-Dashboard!$C$17)*((1+Dashboard!$C$12)^$CZ45),0)</f>
        <v>9074274.3475249298</v>
      </c>
      <c r="EY45" s="126">
        <f ca="1">MAX(EY44*(1+AZ45)-(Dashboard!$C$11)/(1-Dashboard!$C$17)*((1+Dashboard!$C$12)^$CZ45),0)</f>
        <v>25789517.914682586</v>
      </c>
      <c r="EZ45" s="126">
        <f ca="1">MAX(EZ44*(1+BA45)-(Dashboard!$C$11)/(1-Dashboard!$C$17)*((1+Dashboard!$C$12)^$CZ45),0)</f>
        <v>9086400.8066364825</v>
      </c>
      <c r="FA45" s="126">
        <f ca="1">MAX(FA44*(1+BB45)-(Dashboard!$C$11)/(1-Dashboard!$C$17)*((1+Dashboard!$C$12)^$CZ45),0)</f>
        <v>44848630.172597751</v>
      </c>
      <c r="FB45" s="126">
        <f ca="1">MAX(FB44*(1+BC45)-(Dashboard!$C$11)/(1-Dashboard!$C$17)*((1+Dashboard!$C$12)^$CZ45),0)</f>
        <v>775793.99698854866</v>
      </c>
      <c r="FC45" s="126">
        <f ca="1">MAX(FC44*(1+BD45)-(Dashboard!$C$11)/(1-Dashboard!$C$17)*((1+Dashboard!$C$12)^$CZ45),0)</f>
        <v>9475821.9678849634</v>
      </c>
      <c r="FD45" s="126">
        <f ca="1">MAX(FD44*(1+BE45)-(Dashboard!$C$11)/(1-Dashboard!$C$17)*((1+Dashboard!$C$12)^$CZ45),0)</f>
        <v>55208038.444281332</v>
      </c>
      <c r="FE45" s="126">
        <f ca="1">MAX(FE44*(1+BF45)-(Dashboard!$C$11)/(1-Dashboard!$C$17)*((1+Dashboard!$C$12)^$CZ45),0)</f>
        <v>63866431.942643285</v>
      </c>
      <c r="FF45" s="126">
        <f ca="1">MAX(FF44*(1+BG45)-(Dashboard!$C$11)/(1-Dashboard!$C$17)*((1+Dashboard!$C$12)^$CZ45),0)</f>
        <v>6512691.7290614918</v>
      </c>
      <c r="FG45" s="126">
        <f ca="1">MAX(FG44*(1+BH45)-(Dashboard!$C$11)/(1-Dashboard!$C$17)*((1+Dashboard!$C$12)^$CZ45),0)</f>
        <v>7048455.7320222231</v>
      </c>
      <c r="FH45" s="126">
        <f ca="1">MAX(FH44*(1+BI45)-(Dashboard!$C$11)/(1-Dashboard!$C$17)*((1+Dashboard!$C$12)^$CZ45),0)</f>
        <v>6297548.9409806933</v>
      </c>
      <c r="FI45" s="126">
        <f ca="1">MAX(FI44*(1+BJ45)-(Dashboard!$C$11)/(1-Dashboard!$C$17)*((1+Dashboard!$C$12)^$CZ45),0)</f>
        <v>32710940.369515631</v>
      </c>
      <c r="FJ45" s="126">
        <f ca="1">MAX(FJ44*(1+BK45)-(Dashboard!$C$11)/(1-Dashboard!$C$17)*((1+Dashboard!$C$12)^$CZ45),0)</f>
        <v>9263379.1490385253</v>
      </c>
      <c r="FK45" s="126">
        <f ca="1">MAX(FK44*(1+BL45)-(Dashboard!$C$11)/(1-Dashboard!$C$17)*((1+Dashboard!$C$12)^$CZ45),0)</f>
        <v>12509128.35702209</v>
      </c>
      <c r="FL45" s="126">
        <f ca="1">MAX(FL44*(1+BM45)-(Dashboard!$C$11)/(1-Dashboard!$C$17)*((1+Dashboard!$C$12)^$CZ45),0)</f>
        <v>4560358.9563736338</v>
      </c>
      <c r="FM45" s="126">
        <f ca="1">MAX(FM44*(1+BN45)-(Dashboard!$C$11)/(1-Dashboard!$C$17)*((1+Dashboard!$C$12)^$CZ45),0)</f>
        <v>14123225.143219944</v>
      </c>
      <c r="FN45" s="126">
        <f ca="1">MAX(FN44*(1+BO45)-(Dashboard!$C$11)/(1-Dashboard!$C$17)*((1+Dashboard!$C$12)^$CZ45),0)</f>
        <v>0</v>
      </c>
      <c r="FO45" s="126">
        <f ca="1">MAX(FO44*(1+BP45)-(Dashboard!$C$11)/(1-Dashboard!$C$17)*((1+Dashboard!$C$12)^$CZ45),0)</f>
        <v>14323356.220339358</v>
      </c>
      <c r="FP45" s="126">
        <f ca="1">MAX(FP44*(1+BQ45)-(Dashboard!$C$11)/(1-Dashboard!$C$17)*((1+Dashboard!$C$12)^$CZ45),0)</f>
        <v>8498089.7607284151</v>
      </c>
      <c r="FQ45" s="126">
        <f ca="1">MAX(FQ44*(1+BR45)-(Dashboard!$C$11)/(1-Dashboard!$C$17)*((1+Dashboard!$C$12)^$CZ45),0)</f>
        <v>7280450.5880976049</v>
      </c>
      <c r="FR45" s="126">
        <f ca="1">MAX(FR44*(1+BS45)-(Dashboard!$C$11)/(1-Dashboard!$C$17)*((1+Dashboard!$C$12)^$CZ45),0)</f>
        <v>25696107.582811158</v>
      </c>
      <c r="FS45" s="126">
        <f ca="1">MAX(FS44*(1+BT45)-(Dashboard!$C$11)/(1-Dashboard!$C$17)*((1+Dashboard!$C$12)^$CZ45),0)</f>
        <v>21081203.246187434</v>
      </c>
      <c r="FT45" s="126">
        <f ca="1">MAX(FT44*(1+BU45)-(Dashboard!$C$11)/(1-Dashboard!$C$17)*((1+Dashboard!$C$12)^$CZ45),0)</f>
        <v>1506200.0129526493</v>
      </c>
      <c r="FU45" s="126">
        <f ca="1">MAX(FU44*(1+BV45)-(Dashboard!$C$11)/(1-Dashboard!$C$17)*((1+Dashboard!$C$12)^$CZ45),0)</f>
        <v>2159053.4510694826</v>
      </c>
      <c r="FV45" s="126">
        <f ca="1">MAX(FV44*(1+BW45)-(Dashboard!$C$11)/(1-Dashboard!$C$17)*((1+Dashboard!$C$12)^$CZ45),0)</f>
        <v>9154531.014270246</v>
      </c>
      <c r="FW45" s="126">
        <f ca="1">MAX(FW44*(1+BX45)-(Dashboard!$C$11)/(1-Dashboard!$C$17)*((1+Dashboard!$C$12)^$CZ45),0)</f>
        <v>7467176.0202378603</v>
      </c>
      <c r="FX45" s="126">
        <f ca="1">MAX(FX44*(1+BY45)-(Dashboard!$C$11)/(1-Dashboard!$C$17)*((1+Dashboard!$C$12)^$CZ45),0)</f>
        <v>2427038.3251323258</v>
      </c>
      <c r="FY45" s="126">
        <f ca="1">MAX(FY44*(1+BZ45)-(Dashboard!$C$11)/(1-Dashboard!$C$17)*((1+Dashboard!$C$12)^$CZ45),0)</f>
        <v>4921411.6321606347</v>
      </c>
      <c r="FZ45" s="126">
        <f ca="1">MAX(FZ44*(1+CA45)-(Dashboard!$C$11)/(1-Dashboard!$C$17)*((1+Dashboard!$C$12)^$CZ45),0)</f>
        <v>56619685.902172096</v>
      </c>
      <c r="GA45" s="126">
        <f ca="1">MAX(GA44*(1+CB45)-(Dashboard!$C$11)/(1-Dashboard!$C$17)*((1+Dashboard!$C$12)^$CZ45),0)</f>
        <v>61152694.901422679</v>
      </c>
      <c r="GB45" s="126">
        <f ca="1">MAX(GB44*(1+CC45)-(Dashboard!$C$11)/(1-Dashboard!$C$17)*((1+Dashboard!$C$12)^$CZ45),0)</f>
        <v>6277814.5885425331</v>
      </c>
      <c r="GC45" s="126">
        <f ca="1">MAX(GC44*(1+CD45)-(Dashboard!$C$11)/(1-Dashboard!$C$17)*((1+Dashboard!$C$12)^$CZ45),0)</f>
        <v>17830797.734373495</v>
      </c>
      <c r="GD45" s="126">
        <f ca="1">MAX(GD44*(1+CE45)-(Dashboard!$C$11)/(1-Dashboard!$C$17)*((1+Dashboard!$C$12)^$CZ45),0)</f>
        <v>146201500.82587463</v>
      </c>
      <c r="GE45" s="126">
        <f ca="1">MAX(GE44*(1+CF45)-(Dashboard!$C$11)/(1-Dashboard!$C$17)*((1+Dashboard!$C$12)^$CZ45),0)</f>
        <v>8025999.0960211623</v>
      </c>
      <c r="GF45" s="126">
        <f ca="1">MAX(GF44*(1+CG45)-(Dashboard!$C$11)/(1-Dashboard!$C$17)*((1+Dashboard!$C$12)^$CZ45),0)</f>
        <v>12275241.975381628</v>
      </c>
      <c r="GG45" s="126">
        <f ca="1">MAX(GG44*(1+CH45)-(Dashboard!$C$11)/(1-Dashboard!$C$17)*((1+Dashboard!$C$12)^$CZ45),0)</f>
        <v>949067.2030200545</v>
      </c>
      <c r="GH45" s="126">
        <f ca="1">MAX(GH44*(1+CI45)-(Dashboard!$C$11)/(1-Dashboard!$C$17)*((1+Dashboard!$C$12)^$CZ45),0)</f>
        <v>4438423.0903252019</v>
      </c>
      <c r="GI45" s="126">
        <f ca="1">MAX(GI44*(1+CJ45)-(Dashboard!$C$11)/(1-Dashboard!$C$17)*((1+Dashboard!$C$12)^$CZ45),0)</f>
        <v>37722376.260626778</v>
      </c>
      <c r="GJ45" s="126">
        <f ca="1">MAX(GJ44*(1+CK45)-(Dashboard!$C$11)/(1-Dashboard!$C$17)*((1+Dashboard!$C$12)^$CZ45),0)</f>
        <v>64441519.590102509</v>
      </c>
      <c r="GK45" s="126">
        <f ca="1">MAX(GK44*(1+CL45)-(Dashboard!$C$11)/(1-Dashboard!$C$17)*((1+Dashboard!$C$12)^$CZ45),0)</f>
        <v>14354271.1283904</v>
      </c>
      <c r="GL45" s="126">
        <f ca="1">MAX(GL44*(1+CM45)-(Dashboard!$C$11)/(1-Dashboard!$C$17)*((1+Dashboard!$C$12)^$CZ45),0)</f>
        <v>19692925.346547116</v>
      </c>
      <c r="GM45" s="126">
        <f ca="1">MAX(GM44*(1+CN45)-(Dashboard!$C$11)/(1-Dashboard!$C$17)*((1+Dashboard!$C$12)^$CZ45),0)</f>
        <v>4884337.0006922735</v>
      </c>
      <c r="GN45" s="126">
        <f ca="1">MAX(GN44*(1+CO45)-(Dashboard!$C$11)/(1-Dashboard!$C$17)*((1+Dashboard!$C$12)^$CZ45),0)</f>
        <v>0</v>
      </c>
      <c r="GO45" s="126">
        <f ca="1">MAX(GO44*(1+CP45)-(Dashboard!$C$11)/(1-Dashboard!$C$17)*((1+Dashboard!$C$12)^$CZ45),0)</f>
        <v>34897341.516505644</v>
      </c>
      <c r="GP45" s="126">
        <f ca="1">MAX(GP44*(1+CQ45)-(Dashboard!$C$11)/(1-Dashboard!$C$17)*((1+Dashboard!$C$12)^$CZ45),0)</f>
        <v>28193140.569766805</v>
      </c>
      <c r="GQ45" s="126">
        <f ca="1">MAX(GQ44*(1+CR45)-(Dashboard!$C$11)/(1-Dashboard!$C$17)*((1+Dashboard!$C$12)^$CZ45),0)</f>
        <v>1547873.9172985754</v>
      </c>
      <c r="GR45" s="126">
        <f ca="1">MAX(GR44*(1+CS45)-(Dashboard!$C$11)/(1-Dashboard!$C$17)*((1+Dashboard!$C$12)^$CZ45),0)</f>
        <v>3229130.9057531659</v>
      </c>
      <c r="GS45" s="126">
        <f ca="1">MAX(GS44*(1+CT45)-(Dashboard!$C$11)/(1-Dashboard!$C$17)*((1+Dashboard!$C$12)^$CZ45),0)</f>
        <v>21010319.286196079</v>
      </c>
      <c r="GT45" s="126">
        <f ca="1">MAX(GT44*(1+CU45)-(Dashboard!$C$11)/(1-Dashboard!$C$17)*((1+Dashboard!$C$12)^$CZ45),0)</f>
        <v>101214794.23634221</v>
      </c>
      <c r="GU45" s="126">
        <f ca="1">MAX(GU44*(1+CV45)-(Dashboard!$C$11)/(1-Dashboard!$C$17)*((1+Dashboard!$C$12)^$CZ45),0)</f>
        <v>9632233.4544657748</v>
      </c>
      <c r="GV45" s="126">
        <f ca="1">MAX(GV44*(1+CW45)-(Dashboard!$C$11)/(1-Dashboard!$C$17)*((1+Dashboard!$C$12)^$CZ45),0)</f>
        <v>4938513.8436138825</v>
      </c>
      <c r="GW45" s="115">
        <f t="shared" si="4"/>
        <v>94</v>
      </c>
      <c r="GX45" s="130">
        <f t="shared" ca="1" si="2"/>
        <v>95</v>
      </c>
      <c r="HC45" s="130">
        <f t="shared" si="7"/>
        <v>94</v>
      </c>
      <c r="HD45" s="137">
        <f t="shared" ca="1" si="8"/>
        <v>4893605.6585593633</v>
      </c>
      <c r="HE45" s="137">
        <f t="shared" ca="1" si="8"/>
        <v>9651108.587836206</v>
      </c>
      <c r="HF45" s="137">
        <f t="shared" ca="1" si="8"/>
        <v>25766165.331714727</v>
      </c>
    </row>
    <row r="46" spans="1:214" ht="16">
      <c r="A46" s="145">
        <f t="shared" si="3"/>
        <v>95</v>
      </c>
      <c r="B46" s="122">
        <f ca="1">(Dashboard!$C$7*'Equity and Bond Returns'!N46)+(Dashboard!$C$8*'Equity and Bond Returns'!DL46)</f>
        <v>-0.10103982083362878</v>
      </c>
      <c r="C46" s="122">
        <f ca="1">(Dashboard!$C$7*'Equity and Bond Returns'!O46)+(Dashboard!$C$8*'Equity and Bond Returns'!DM46)</f>
        <v>0.17853834302575669</v>
      </c>
      <c r="D46" s="122">
        <f ca="1">(Dashboard!$C$7*'Equity and Bond Returns'!P46)+(Dashboard!$C$8*'Equity and Bond Returns'!DN46)</f>
        <v>1.8335845017844674E-2</v>
      </c>
      <c r="E46" s="122">
        <f ca="1">(Dashboard!$C$7*'Equity and Bond Returns'!Q46)+(Dashboard!$C$8*'Equity and Bond Returns'!DO46)</f>
        <v>4.2978860969631119E-2</v>
      </c>
      <c r="F46" s="122">
        <f ca="1">(Dashboard!$C$7*'Equity and Bond Returns'!R46)+(Dashboard!$C$8*'Equity and Bond Returns'!DP46)</f>
        <v>0.33913901051905554</v>
      </c>
      <c r="G46" s="122">
        <f ca="1">(Dashboard!$C$7*'Equity and Bond Returns'!S46)+(Dashboard!$C$8*'Equity and Bond Returns'!DQ46)</f>
        <v>4.9151692332411352E-2</v>
      </c>
      <c r="H46" s="122">
        <f ca="1">(Dashboard!$C$7*'Equity and Bond Returns'!T46)+(Dashboard!$C$8*'Equity and Bond Returns'!DR46)</f>
        <v>7.4425020705897113E-2</v>
      </c>
      <c r="I46" s="122">
        <f ca="1">(Dashboard!$C$7*'Equity and Bond Returns'!U46)+(Dashboard!$C$8*'Equity and Bond Returns'!DS46)</f>
        <v>0.17865651168719263</v>
      </c>
      <c r="J46" s="122">
        <f ca="1">(Dashboard!$C$7*'Equity and Bond Returns'!V46)+(Dashboard!$C$8*'Equity and Bond Returns'!DT46)</f>
        <v>-0.14714879734283587</v>
      </c>
      <c r="K46" s="122">
        <f ca="1">(Dashboard!$C$7*'Equity and Bond Returns'!W46)+(Dashboard!$C$8*'Equity and Bond Returns'!DU46)</f>
        <v>3.9155943666295712E-2</v>
      </c>
      <c r="L46" s="122">
        <f ca="1">(Dashboard!$C$7*'Equity and Bond Returns'!X46)+(Dashboard!$C$8*'Equity and Bond Returns'!DV46)</f>
        <v>-0.27495761770533722</v>
      </c>
      <c r="M46" s="122">
        <f ca="1">(Dashboard!$C$7*'Equity and Bond Returns'!Y46)+(Dashboard!$C$8*'Equity and Bond Returns'!DW46)</f>
        <v>0.14820823766667823</v>
      </c>
      <c r="N46" s="122">
        <f ca="1">(Dashboard!$C$7*'Equity and Bond Returns'!Z46)+(Dashboard!$C$8*'Equity and Bond Returns'!DX46)</f>
        <v>0.19565445737385689</v>
      </c>
      <c r="O46" s="122">
        <f ca="1">(Dashboard!$C$7*'Equity and Bond Returns'!AA46)+(Dashboard!$C$8*'Equity and Bond Returns'!DY46)</f>
        <v>-2.2617969406729353E-3</v>
      </c>
      <c r="P46" s="122">
        <f ca="1">(Dashboard!$C$7*'Equity and Bond Returns'!AB46)+(Dashboard!$C$8*'Equity and Bond Returns'!DZ46)</f>
        <v>0.18406912835136338</v>
      </c>
      <c r="Q46" s="122">
        <f ca="1">(Dashboard!$C$7*'Equity and Bond Returns'!AC46)+(Dashboard!$C$8*'Equity and Bond Returns'!EA46)</f>
        <v>0.30872342219764481</v>
      </c>
      <c r="R46" s="122">
        <f ca="1">(Dashboard!$C$7*'Equity and Bond Returns'!AD46)+(Dashboard!$C$8*'Equity and Bond Returns'!EB46)</f>
        <v>0.16955714023262075</v>
      </c>
      <c r="S46" s="122">
        <f ca="1">(Dashboard!$C$7*'Equity and Bond Returns'!AE46)+(Dashboard!$C$8*'Equity and Bond Returns'!EC46)</f>
        <v>0.18488759366022819</v>
      </c>
      <c r="T46" s="122">
        <f ca="1">(Dashboard!$C$7*'Equity and Bond Returns'!AF46)+(Dashboard!$C$8*'Equity and Bond Returns'!ED46)</f>
        <v>0.14484166160052106</v>
      </c>
      <c r="U46" s="122">
        <f ca="1">(Dashboard!$C$7*'Equity and Bond Returns'!AG46)+(Dashboard!$C$8*'Equity and Bond Returns'!EE46)</f>
        <v>-8.4236576468223176E-2</v>
      </c>
      <c r="V46" s="122">
        <f ca="1">(Dashboard!$C$7*'Equity and Bond Returns'!AH46)+(Dashboard!$C$8*'Equity and Bond Returns'!EF46)</f>
        <v>-4.2368012013933372E-2</v>
      </c>
      <c r="W46" s="122">
        <f ca="1">(Dashboard!$C$7*'Equity and Bond Returns'!AI46)+(Dashboard!$C$8*'Equity and Bond Returns'!EG46)</f>
        <v>-7.9078580405599966E-3</v>
      </c>
      <c r="X46" s="122">
        <f ca="1">(Dashboard!$C$7*'Equity and Bond Returns'!AJ46)+(Dashboard!$C$8*'Equity and Bond Returns'!EH46)</f>
        <v>0.15726499708418176</v>
      </c>
      <c r="Y46" s="122">
        <f ca="1">(Dashboard!$C$7*'Equity and Bond Returns'!AK46)+(Dashboard!$C$8*'Equity and Bond Returns'!EI46)</f>
        <v>9.9720364252894114E-3</v>
      </c>
      <c r="Z46" s="122">
        <f ca="1">(Dashboard!$C$7*'Equity and Bond Returns'!AL46)+(Dashboard!$C$8*'Equity and Bond Returns'!EJ46)</f>
        <v>0.17786984023816449</v>
      </c>
      <c r="AA46" s="122">
        <f ca="1">(Dashboard!$C$7*'Equity and Bond Returns'!AM46)+(Dashboard!$C$8*'Equity and Bond Returns'!EK46)</f>
        <v>-7.7268058500081935E-2</v>
      </c>
      <c r="AB46" s="122">
        <f ca="1">(Dashboard!$C$7*'Equity and Bond Returns'!AN46)+(Dashboard!$C$8*'Equity and Bond Returns'!EL46)</f>
        <v>6.6841249654968168E-2</v>
      </c>
      <c r="AC46" s="122">
        <f ca="1">(Dashboard!$C$7*'Equity and Bond Returns'!AO46)+(Dashboard!$C$8*'Equity and Bond Returns'!EM46)</f>
        <v>-0.32364536014235268</v>
      </c>
      <c r="AD46" s="122">
        <f ca="1">(Dashboard!$C$7*'Equity and Bond Returns'!AP46)+(Dashboard!$C$8*'Equity and Bond Returns'!EN46)</f>
        <v>4.7406232317458809E-2</v>
      </c>
      <c r="AE46" s="122">
        <f ca="1">(Dashboard!$C$7*'Equity and Bond Returns'!AQ46)+(Dashboard!$C$8*'Equity and Bond Returns'!EO46)</f>
        <v>1.7472870333054197E-2</v>
      </c>
      <c r="AF46" s="122">
        <f ca="1">(Dashboard!$C$7*'Equity and Bond Returns'!AR46)+(Dashboard!$C$8*'Equity and Bond Returns'!EP46)</f>
        <v>0.24889459856241333</v>
      </c>
      <c r="AG46" s="122">
        <f ca="1">(Dashboard!$C$7*'Equity and Bond Returns'!AS46)+(Dashboard!$C$8*'Equity and Bond Returns'!EQ46)</f>
        <v>8.3662512719489518E-2</v>
      </c>
      <c r="AH46" s="122">
        <f ca="1">(Dashboard!$C$7*'Equity and Bond Returns'!AT46)+(Dashboard!$C$8*'Equity and Bond Returns'!ER46)</f>
        <v>0.20017454354888237</v>
      </c>
      <c r="AI46" s="122">
        <f ca="1">(Dashboard!$C$7*'Equity and Bond Returns'!AU46)+(Dashboard!$C$8*'Equity and Bond Returns'!ES46)</f>
        <v>0.10691883873105187</v>
      </c>
      <c r="AJ46" s="122">
        <f ca="1">(Dashboard!$C$7*'Equity and Bond Returns'!AV46)+(Dashboard!$C$8*'Equity and Bond Returns'!ET46)</f>
        <v>0.13363924824242598</v>
      </c>
      <c r="AK46" s="122">
        <f ca="1">(Dashboard!$C$7*'Equity and Bond Returns'!AW46)+(Dashboard!$C$8*'Equity and Bond Returns'!EU46)</f>
        <v>0.21351502502776257</v>
      </c>
      <c r="AL46" s="122">
        <f ca="1">(Dashboard!$C$7*'Equity and Bond Returns'!AX46)+(Dashboard!$C$8*'Equity and Bond Returns'!EV46)</f>
        <v>-4.6022494155223845E-2</v>
      </c>
      <c r="AM46" s="122">
        <f ca="1">(Dashboard!$C$7*'Equity and Bond Returns'!AY46)+(Dashboard!$C$8*'Equity and Bond Returns'!EW46)</f>
        <v>0.22222167704845239</v>
      </c>
      <c r="AN46" s="122">
        <f ca="1">(Dashboard!$C$7*'Equity and Bond Returns'!AZ46)+(Dashboard!$C$8*'Equity and Bond Returns'!EX46)</f>
        <v>0.11035144803174286</v>
      </c>
      <c r="AO46" s="122">
        <f ca="1">(Dashboard!$C$7*'Equity and Bond Returns'!BA46)+(Dashboard!$C$8*'Equity and Bond Returns'!EY46)</f>
        <v>0.22988603584854475</v>
      </c>
      <c r="AP46" s="122">
        <f ca="1">(Dashboard!$C$7*'Equity and Bond Returns'!BB46)+(Dashboard!$C$8*'Equity and Bond Returns'!EZ46)</f>
        <v>-9.9488264815395869E-2</v>
      </c>
      <c r="AQ46" s="122">
        <f ca="1">(Dashboard!$C$7*'Equity and Bond Returns'!BC46)+(Dashboard!$C$8*'Equity and Bond Returns'!FA46)</f>
        <v>0.10619052748206133</v>
      </c>
      <c r="AR46" s="122">
        <f ca="1">(Dashboard!$C$7*'Equity and Bond Returns'!BD46)+(Dashboard!$C$8*'Equity and Bond Returns'!FB46)</f>
        <v>0.24891530430027983</v>
      </c>
      <c r="AS46" s="122">
        <f ca="1">(Dashboard!$C$7*'Equity and Bond Returns'!BE46)+(Dashboard!$C$8*'Equity and Bond Returns'!FC46)</f>
        <v>0.19342492087776975</v>
      </c>
      <c r="AT46" s="122">
        <f ca="1">(Dashboard!$C$7*'Equity and Bond Returns'!BF46)+(Dashboard!$C$8*'Equity and Bond Returns'!FD46)</f>
        <v>0.1887025281470727</v>
      </c>
      <c r="AU46" s="122">
        <f ca="1">(Dashboard!$C$7*'Equity and Bond Returns'!BG46)+(Dashboard!$C$8*'Equity and Bond Returns'!FE46)</f>
        <v>0.23327901458238862</v>
      </c>
      <c r="AV46" s="122">
        <f ca="1">(Dashboard!$C$7*'Equity and Bond Returns'!BH46)+(Dashboard!$C$8*'Equity and Bond Returns'!FF46)</f>
        <v>-1.4514911668035285E-2</v>
      </c>
      <c r="AW46" s="122">
        <f ca="1">(Dashboard!$C$7*'Equity and Bond Returns'!BI46)+(Dashboard!$C$8*'Equity and Bond Returns'!FG46)</f>
        <v>-0.10170009164811845</v>
      </c>
      <c r="AX46" s="122">
        <f ca="1">(Dashboard!$C$7*'Equity and Bond Returns'!BJ46)+(Dashboard!$C$8*'Equity and Bond Returns'!FH46)</f>
        <v>0.13554902876540836</v>
      </c>
      <c r="AY46" s="122">
        <f ca="1">(Dashboard!$C$7*'Equity and Bond Returns'!BK46)+(Dashboard!$C$8*'Equity and Bond Returns'!FI46)</f>
        <v>-0.12073764125974121</v>
      </c>
      <c r="AZ46" s="122">
        <f ca="1">(Dashboard!$C$7*'Equity and Bond Returns'!BL46)+(Dashboard!$C$8*'Equity and Bond Returns'!FJ46)</f>
        <v>-0.13153669488040712</v>
      </c>
      <c r="BA46" s="122">
        <f ca="1">(Dashboard!$C$7*'Equity and Bond Returns'!BM46)+(Dashboard!$C$8*'Equity and Bond Returns'!FK46)</f>
        <v>-1.5200777739432361E-2</v>
      </c>
      <c r="BB46" s="122">
        <f ca="1">(Dashboard!$C$7*'Equity and Bond Returns'!BN46)+(Dashboard!$C$8*'Equity and Bond Returns'!FL46)</f>
        <v>-1.0741854112600291E-2</v>
      </c>
      <c r="BC46" s="122">
        <f ca="1">(Dashboard!$C$7*'Equity and Bond Returns'!BO46)+(Dashboard!$C$8*'Equity and Bond Returns'!FM46)</f>
        <v>4.456160112634136E-2</v>
      </c>
      <c r="BD46" s="122">
        <f ca="1">(Dashboard!$C$7*'Equity and Bond Returns'!BP46)+(Dashboard!$C$8*'Equity and Bond Returns'!FN46)</f>
        <v>5.3906864879423144E-2</v>
      </c>
      <c r="BE46" s="122">
        <f ca="1">(Dashboard!$C$7*'Equity and Bond Returns'!BQ46)+(Dashboard!$C$8*'Equity and Bond Returns'!FO46)</f>
        <v>0.29663623682364748</v>
      </c>
      <c r="BF46" s="122">
        <f ca="1">(Dashboard!$C$7*'Equity and Bond Returns'!BR46)+(Dashboard!$C$8*'Equity and Bond Returns'!FP46)</f>
        <v>-2.8203700843450481E-2</v>
      </c>
      <c r="BG46" s="122">
        <f ca="1">(Dashboard!$C$7*'Equity and Bond Returns'!BS46)+(Dashboard!$C$8*'Equity and Bond Returns'!FQ46)</f>
        <v>-0.19063579197925648</v>
      </c>
      <c r="BH46" s="122">
        <f ca="1">(Dashboard!$C$7*'Equity and Bond Returns'!BT46)+(Dashboard!$C$8*'Equity and Bond Returns'!FR46)</f>
        <v>0.26904815037019369</v>
      </c>
      <c r="BI46" s="122">
        <f ca="1">(Dashboard!$C$7*'Equity and Bond Returns'!BU46)+(Dashboard!$C$8*'Equity and Bond Returns'!FS46)</f>
        <v>-8.6377070380362353E-2</v>
      </c>
      <c r="BJ46" s="122">
        <f ca="1">(Dashboard!$C$7*'Equity and Bond Returns'!BV46)+(Dashboard!$C$8*'Equity and Bond Returns'!FT46)</f>
        <v>1.6246874819471933E-2</v>
      </c>
      <c r="BK46" s="122">
        <f ca="1">(Dashboard!$C$7*'Equity and Bond Returns'!BW46)+(Dashboard!$C$8*'Equity and Bond Returns'!FU46)</f>
        <v>2.0167411758204769E-3</v>
      </c>
      <c r="BL46" s="122">
        <f ca="1">(Dashboard!$C$7*'Equity and Bond Returns'!BX46)+(Dashboard!$C$8*'Equity and Bond Returns'!FV46)</f>
        <v>3.2324600373752448E-2</v>
      </c>
      <c r="BM46" s="122">
        <f ca="1">(Dashboard!$C$7*'Equity and Bond Returns'!BY46)+(Dashboard!$C$8*'Equity and Bond Returns'!FW46)</f>
        <v>0.14174463987278774</v>
      </c>
      <c r="BN46" s="122">
        <f ca="1">(Dashboard!$C$7*'Equity and Bond Returns'!BZ46)+(Dashboard!$C$8*'Equity and Bond Returns'!FX46)</f>
        <v>-5.8144509260427836E-2</v>
      </c>
      <c r="BO46" s="122">
        <f ca="1">(Dashboard!$C$7*'Equity and Bond Returns'!CA46)+(Dashboard!$C$8*'Equity and Bond Returns'!FY46)</f>
        <v>0.12051369059010206</v>
      </c>
      <c r="BP46" s="122">
        <f ca="1">(Dashboard!$C$7*'Equity and Bond Returns'!CB46)+(Dashboard!$C$8*'Equity and Bond Returns'!FZ46)</f>
        <v>0.13464112472467527</v>
      </c>
      <c r="BQ46" s="122">
        <f ca="1">(Dashboard!$C$7*'Equity and Bond Returns'!CC46)+(Dashboard!$C$8*'Equity and Bond Returns'!GA46)</f>
        <v>-0.10381353528158602</v>
      </c>
      <c r="BR46" s="122">
        <f ca="1">(Dashboard!$C$7*'Equity and Bond Returns'!CD46)+(Dashboard!$C$8*'Equity and Bond Returns'!GB46)</f>
        <v>-0.12242653093894447</v>
      </c>
      <c r="BS46" s="122">
        <f ca="1">(Dashboard!$C$7*'Equity and Bond Returns'!CE46)+(Dashboard!$C$8*'Equity and Bond Returns'!GC46)</f>
        <v>0.38762306337522334</v>
      </c>
      <c r="BT46" s="122">
        <f ca="1">(Dashboard!$C$7*'Equity and Bond Returns'!CF46)+(Dashboard!$C$8*'Equity and Bond Returns'!GD46)</f>
        <v>0.20697458986878131</v>
      </c>
      <c r="BU46" s="122">
        <f ca="1">(Dashboard!$C$7*'Equity and Bond Returns'!CG46)+(Dashboard!$C$8*'Equity and Bond Returns'!GE46)</f>
        <v>0.17719898293395903</v>
      </c>
      <c r="BV46" s="122">
        <f ca="1">(Dashboard!$C$7*'Equity and Bond Returns'!CH46)+(Dashboard!$C$8*'Equity and Bond Returns'!GF46)</f>
        <v>-0.17849413328846375</v>
      </c>
      <c r="BW46" s="122">
        <f ca="1">(Dashboard!$C$7*'Equity and Bond Returns'!CI46)+(Dashboard!$C$8*'Equity and Bond Returns'!GG46)</f>
        <v>0.19890481218456338</v>
      </c>
      <c r="BX46" s="122">
        <f ca="1">(Dashboard!$C$7*'Equity and Bond Returns'!CJ46)+(Dashboard!$C$8*'Equity and Bond Returns'!GH46)</f>
        <v>0.31066227502071636</v>
      </c>
      <c r="BY46" s="122">
        <f ca="1">(Dashboard!$C$7*'Equity and Bond Returns'!CK46)+(Dashboard!$C$8*'Equity and Bond Returns'!GI46)</f>
        <v>-5.1439378936858841E-2</v>
      </c>
      <c r="BZ46" s="122">
        <f ca="1">(Dashboard!$C$7*'Equity and Bond Returns'!CL46)+(Dashboard!$C$8*'Equity and Bond Returns'!GJ46)</f>
        <v>-1.0100545720069474E-2</v>
      </c>
      <c r="CA46" s="122">
        <f ca="1">(Dashboard!$C$7*'Equity and Bond Returns'!CM46)+(Dashboard!$C$8*'Equity and Bond Returns'!GK46)</f>
        <v>0.35762719721139952</v>
      </c>
      <c r="CB46" s="122">
        <f ca="1">(Dashboard!$C$7*'Equity and Bond Returns'!CN46)+(Dashboard!$C$8*'Equity and Bond Returns'!GL46)</f>
        <v>0.29432226421218749</v>
      </c>
      <c r="CC46" s="122">
        <f ca="1">(Dashboard!$C$7*'Equity and Bond Returns'!CO46)+(Dashboard!$C$8*'Equity and Bond Returns'!GM46)</f>
        <v>-6.0420470834767689E-3</v>
      </c>
      <c r="CD46" s="122">
        <f ca="1">(Dashboard!$C$7*'Equity and Bond Returns'!CP46)+(Dashboard!$C$8*'Equity and Bond Returns'!GN46)</f>
        <v>8.0645932984116694E-2</v>
      </c>
      <c r="CE46" s="122">
        <f ca="1">(Dashboard!$C$7*'Equity and Bond Returns'!CQ46)+(Dashboard!$C$8*'Equity and Bond Returns'!GO46)</f>
        <v>0.24224981790575434</v>
      </c>
      <c r="CF46" s="122">
        <f ca="1">(Dashboard!$C$7*'Equity and Bond Returns'!CR46)+(Dashboard!$C$8*'Equity and Bond Returns'!GP46)</f>
        <v>1.4529320644104645E-3</v>
      </c>
      <c r="CG46" s="122">
        <f ca="1">(Dashboard!$C$7*'Equity and Bond Returns'!CS46)+(Dashboard!$C$8*'Equity and Bond Returns'!GQ46)</f>
        <v>0.12249448418152739</v>
      </c>
      <c r="CH46" s="122">
        <f ca="1">(Dashboard!$C$7*'Equity and Bond Returns'!CT46)+(Dashboard!$C$8*'Equity and Bond Returns'!GR46)</f>
        <v>0.14442531083199742</v>
      </c>
      <c r="CI46" s="122">
        <f ca="1">(Dashboard!$C$7*'Equity and Bond Returns'!CU46)+(Dashboard!$C$8*'Equity and Bond Returns'!GS46)</f>
        <v>-5.493634628566E-2</v>
      </c>
      <c r="CJ46" s="122">
        <f ca="1">(Dashboard!$C$7*'Equity and Bond Returns'!CV46)+(Dashboard!$C$8*'Equity and Bond Returns'!GT46)</f>
        <v>0.22304510887242399</v>
      </c>
      <c r="CK46" s="122">
        <f ca="1">(Dashboard!$C$7*'Equity and Bond Returns'!CW46)+(Dashboard!$C$8*'Equity and Bond Returns'!GU46)</f>
        <v>0.19146192415423979</v>
      </c>
      <c r="CL46" s="122">
        <f ca="1">(Dashboard!$C$7*'Equity and Bond Returns'!CX46)+(Dashboard!$C$8*'Equity and Bond Returns'!GV46)</f>
        <v>4.3858538182702141E-2</v>
      </c>
      <c r="CM46" s="122">
        <f ca="1">(Dashboard!$C$7*'Equity and Bond Returns'!CY46)+(Dashboard!$C$8*'Equity and Bond Returns'!GW46)</f>
        <v>-0.21914123658872464</v>
      </c>
      <c r="CN46" s="122">
        <f ca="1">(Dashboard!$C$7*'Equity and Bond Returns'!CZ46)+(Dashboard!$C$8*'Equity and Bond Returns'!GX46)</f>
        <v>0.20728244068540286</v>
      </c>
      <c r="CO46" s="122">
        <f ca="1">(Dashboard!$C$7*'Equity and Bond Returns'!DA46)+(Dashboard!$C$8*'Equity and Bond Returns'!GY46)</f>
        <v>0.33606882496273882</v>
      </c>
      <c r="CP46" s="122">
        <f ca="1">(Dashboard!$C$7*'Equity and Bond Returns'!DB46)+(Dashboard!$C$8*'Equity and Bond Returns'!GZ46)</f>
        <v>-0.13430831865847434</v>
      </c>
      <c r="CQ46" s="122">
        <f ca="1">(Dashboard!$C$7*'Equity and Bond Returns'!DC46)+(Dashboard!$C$8*'Equity and Bond Returns'!HA46)</f>
        <v>0.11906648747394075</v>
      </c>
      <c r="CR46" s="122">
        <f ca="1">(Dashboard!$C$7*'Equity and Bond Returns'!DD46)+(Dashboard!$C$8*'Equity and Bond Returns'!HB46)</f>
        <v>0.32450286252731009</v>
      </c>
      <c r="CS46" s="122">
        <f ca="1">(Dashboard!$C$7*'Equity and Bond Returns'!DE46)+(Dashboard!$C$8*'Equity and Bond Returns'!HC46)</f>
        <v>-1.0229632464046954E-2</v>
      </c>
      <c r="CT46" s="122">
        <f ca="1">(Dashboard!$C$7*'Equity and Bond Returns'!DF46)+(Dashboard!$C$8*'Equity and Bond Returns'!HD46)</f>
        <v>-6.6076825736069197E-2</v>
      </c>
      <c r="CU46" s="122">
        <f ca="1">(Dashboard!$C$7*'Equity and Bond Returns'!DG46)+(Dashboard!$C$8*'Equity and Bond Returns'!HE46)</f>
        <v>0.18416762808531284</v>
      </c>
      <c r="CV46" s="122">
        <f ca="1">(Dashboard!$C$7*'Equity and Bond Returns'!DH46)+(Dashboard!$C$8*'Equity and Bond Returns'!HF46)</f>
        <v>-7.5398881532285841E-2</v>
      </c>
      <c r="CW46" s="122">
        <f ca="1">(Dashboard!$C$7*'Equity and Bond Returns'!DI46)+(Dashboard!$C$8*'Equity and Bond Returns'!HG46)</f>
        <v>5.9985611634191256E-2</v>
      </c>
      <c r="CY46" s="147">
        <f t="shared" si="5"/>
        <v>95</v>
      </c>
      <c r="CZ46" s="148">
        <v>45</v>
      </c>
      <c r="DA46" s="126">
        <f ca="1">MAX(DA45*(1+B46)-(Dashboard!$C$11)/(1-Dashboard!$C$17)*((1+Dashboard!$C$12)^$CZ46),0)</f>
        <v>60489569.178419769</v>
      </c>
      <c r="DB46" s="126">
        <f ca="1">MAX(DB45*(1+C46)-(Dashboard!$C$11)/(1-Dashboard!$C$17)*((1+Dashboard!$C$12)^$CZ46),0)</f>
        <v>0</v>
      </c>
      <c r="DC46" s="126">
        <f ca="1">MAX(DC45*(1+D46)-(Dashboard!$C$11)/(1-Dashboard!$C$17)*((1+Dashboard!$C$12)^$CZ46),0)</f>
        <v>19660641.337860737</v>
      </c>
      <c r="DD46" s="126">
        <f ca="1">MAX(DD45*(1+E46)-(Dashboard!$C$11)/(1-Dashboard!$C$17)*((1+Dashboard!$C$12)^$CZ46),0)</f>
        <v>1627521.7607317786</v>
      </c>
      <c r="DE46" s="126">
        <f ca="1">MAX(DE45*(1+F46)-(Dashboard!$C$11)/(1-Dashboard!$C$17)*((1+Dashboard!$C$12)^$CZ46),0)</f>
        <v>19353836.797666531</v>
      </c>
      <c r="DF46" s="126">
        <f ca="1">MAX(DF45*(1+G46)-(Dashboard!$C$11)/(1-Dashboard!$C$17)*((1+Dashboard!$C$12)^$CZ46),0)</f>
        <v>24724657.489750173</v>
      </c>
      <c r="DG46" s="126">
        <f ca="1">MAX(DG45*(1+H46)-(Dashboard!$C$11)/(1-Dashboard!$C$17)*((1+Dashboard!$C$12)^$CZ46),0)</f>
        <v>2311685.1027460354</v>
      </c>
      <c r="DH46" s="126">
        <f ca="1">MAX(DH45*(1+I46)-(Dashboard!$C$11)/(1-Dashboard!$C$17)*((1+Dashboard!$C$12)^$CZ46),0)</f>
        <v>48765191.228829697</v>
      </c>
      <c r="DI46" s="126">
        <f ca="1">MAX(DI45*(1+J46)-(Dashboard!$C$11)/(1-Dashboard!$C$17)*((1+Dashboard!$C$12)^$CZ46),0)</f>
        <v>9493577.0978563726</v>
      </c>
      <c r="DJ46" s="126">
        <f ca="1">MAX(DJ45*(1+K46)-(Dashboard!$C$11)/(1-Dashboard!$C$17)*((1+Dashboard!$C$12)^$CZ46),0)</f>
        <v>8287363.2832713248</v>
      </c>
      <c r="DK46" s="126">
        <f ca="1">MAX(DK45*(1+L46)-(Dashboard!$C$11)/(1-Dashboard!$C$17)*((1+Dashboard!$C$12)^$CZ46),0)</f>
        <v>15767070.152154999</v>
      </c>
      <c r="DL46" s="126">
        <f ca="1">MAX(DL45*(1+M46)-(Dashboard!$C$11)/(1-Dashboard!$C$17)*((1+Dashboard!$C$12)^$CZ46),0)</f>
        <v>644392.14145179873</v>
      </c>
      <c r="DM46" s="126">
        <f ca="1">MAX(DM45*(1+N46)-(Dashboard!$C$11)/(1-Dashboard!$C$17)*((1+Dashboard!$C$12)^$CZ46),0)</f>
        <v>34598638.986824922</v>
      </c>
      <c r="DN46" s="126">
        <f ca="1">MAX(DN45*(1+O46)-(Dashboard!$C$11)/(1-Dashboard!$C$17)*((1+Dashboard!$C$12)^$CZ46),0)</f>
        <v>132473181.51330042</v>
      </c>
      <c r="DO46" s="126">
        <f ca="1">MAX(DO45*(1+P46)-(Dashboard!$C$11)/(1-Dashboard!$C$17)*((1+Dashboard!$C$12)^$CZ46),0)</f>
        <v>6610943.6430832455</v>
      </c>
      <c r="DP46" s="126">
        <f ca="1">MAX(DP45*(1+Q46)-(Dashboard!$C$11)/(1-Dashboard!$C$17)*((1+Dashboard!$C$12)^$CZ46),0)</f>
        <v>6814284.798983342</v>
      </c>
      <c r="DQ46" s="126">
        <f ca="1">MAX(DQ45*(1+R46)-(Dashboard!$C$11)/(1-Dashboard!$C$17)*((1+Dashboard!$C$12)^$CZ46),0)</f>
        <v>16501868.630236344</v>
      </c>
      <c r="DR46" s="126">
        <f ca="1">MAX(DR45*(1+S46)-(Dashboard!$C$11)/(1-Dashboard!$C$17)*((1+Dashboard!$C$12)^$CZ46),0)</f>
        <v>47883987.875082925</v>
      </c>
      <c r="DS46" s="126">
        <f ca="1">MAX(DS45*(1+T46)-(Dashboard!$C$11)/(1-Dashboard!$C$17)*((1+Dashboard!$C$12)^$CZ46),0)</f>
        <v>499605.22827723337</v>
      </c>
      <c r="DT46" s="126">
        <f ca="1">MAX(DT45*(1+U46)-(Dashboard!$C$11)/(1-Dashboard!$C$17)*((1+Dashboard!$C$12)^$CZ46),0)</f>
        <v>5748603.5914604897</v>
      </c>
      <c r="DU46" s="126">
        <f ca="1">MAX(DU45*(1+V46)-(Dashboard!$C$11)/(1-Dashboard!$C$17)*((1+Dashboard!$C$12)^$CZ46),0)</f>
        <v>11031004.546981307</v>
      </c>
      <c r="DV46" s="126">
        <f ca="1">MAX(DV45*(1+W46)-(Dashboard!$C$11)/(1-Dashboard!$C$17)*((1+Dashboard!$C$12)^$CZ46),0)</f>
        <v>100462769.70514788</v>
      </c>
      <c r="DW46" s="126">
        <f ca="1">MAX(DW45*(1+X46)-(Dashboard!$C$11)/(1-Dashboard!$C$17)*((1+Dashboard!$C$12)^$CZ46),0)</f>
        <v>6987804.0527705923</v>
      </c>
      <c r="DX46" s="126">
        <f ca="1">MAX(DX45*(1+Y46)-(Dashboard!$C$11)/(1-Dashboard!$C$17)*((1+Dashboard!$C$12)^$CZ46),0)</f>
        <v>6675985.060111885</v>
      </c>
      <c r="DY46" s="126">
        <f ca="1">MAX(DY45*(1+Z46)-(Dashboard!$C$11)/(1-Dashboard!$C$17)*((1+Dashboard!$C$12)^$CZ46),0)</f>
        <v>25532644.255336229</v>
      </c>
      <c r="DZ46" s="126">
        <f ca="1">MAX(DZ45*(1+AA46)-(Dashboard!$C$11)/(1-Dashboard!$C$17)*((1+Dashboard!$C$12)^$CZ46),0)</f>
        <v>2055871.977480371</v>
      </c>
      <c r="EA46" s="126">
        <f ca="1">MAX(EA45*(1+AB46)-(Dashboard!$C$11)/(1-Dashboard!$C$17)*((1+Dashboard!$C$12)^$CZ46),0)</f>
        <v>16036167.229326069</v>
      </c>
      <c r="EB46" s="126">
        <f ca="1">MAX(EB45*(1+AC46)-(Dashboard!$C$11)/(1-Dashboard!$C$17)*((1+Dashboard!$C$12)^$CZ46),0)</f>
        <v>18422995.579744674</v>
      </c>
      <c r="EC46" s="126">
        <f ca="1">MAX(EC45*(1+AD46)-(Dashboard!$C$11)/(1-Dashboard!$C$17)*((1+Dashboard!$C$12)^$CZ46),0)</f>
        <v>38482797.101053156</v>
      </c>
      <c r="ED46" s="126">
        <f ca="1">MAX(ED45*(1+AE46)-(Dashboard!$C$11)/(1-Dashboard!$C$17)*((1+Dashboard!$C$12)^$CZ46),0)</f>
        <v>19431483.693498295</v>
      </c>
      <c r="EE46" s="126">
        <f ca="1">MAX(EE45*(1+AF46)-(Dashboard!$C$11)/(1-Dashboard!$C$17)*((1+Dashboard!$C$12)^$CZ46),0)</f>
        <v>26230114.396975022</v>
      </c>
      <c r="EF46" s="126">
        <f ca="1">MAX(EF45*(1+AG46)-(Dashboard!$C$11)/(1-Dashboard!$C$17)*((1+Dashboard!$C$12)^$CZ46),0)</f>
        <v>4862708.5428603366</v>
      </c>
      <c r="EG46" s="126">
        <f ca="1">MAX(EG45*(1+AH46)-(Dashboard!$C$11)/(1-Dashboard!$C$17)*((1+Dashboard!$C$12)^$CZ46),0)</f>
        <v>28627509.658686485</v>
      </c>
      <c r="EH46" s="126">
        <f ca="1">MAX(EH45*(1+AI46)-(Dashboard!$C$11)/(1-Dashboard!$C$17)*((1+Dashboard!$C$12)^$CZ46),0)</f>
        <v>58768991.497748546</v>
      </c>
      <c r="EI46" s="126">
        <f ca="1">MAX(EI45*(1+AJ46)-(Dashboard!$C$11)/(1-Dashboard!$C$17)*((1+Dashboard!$C$12)^$CZ46),0)</f>
        <v>0</v>
      </c>
      <c r="EJ46" s="126">
        <f ca="1">MAX(EJ45*(1+AK46)-(Dashboard!$C$11)/(1-Dashboard!$C$17)*((1+Dashboard!$C$12)^$CZ46),0)</f>
        <v>41681904.034540035</v>
      </c>
      <c r="EK46" s="126">
        <f ca="1">MAX(EK45*(1+AL46)-(Dashboard!$C$11)/(1-Dashboard!$C$17)*((1+Dashboard!$C$12)^$CZ46),0)</f>
        <v>6373903.2970271092</v>
      </c>
      <c r="EL46" s="126">
        <f ca="1">MAX(EL45*(1+AM46)-(Dashboard!$C$11)/(1-Dashboard!$C$17)*((1+Dashboard!$C$12)^$CZ46),0)</f>
        <v>3631196.6744745271</v>
      </c>
      <c r="EM46" s="126">
        <f ca="1">MAX(EM45*(1+AN46)-(Dashboard!$C$11)/(1-Dashboard!$C$17)*((1+Dashboard!$C$12)^$CZ46),0)</f>
        <v>75273852.299034774</v>
      </c>
      <c r="EN46" s="126">
        <f ca="1">MAX(EN45*(1+AO46)-(Dashboard!$C$11)/(1-Dashboard!$C$17)*((1+Dashboard!$C$12)^$CZ46),0)</f>
        <v>2893871.0246187686</v>
      </c>
      <c r="EO46" s="126">
        <f ca="1">MAX(EO45*(1+AP46)-(Dashboard!$C$11)/(1-Dashboard!$C$17)*((1+Dashboard!$C$12)^$CZ46),0)</f>
        <v>0</v>
      </c>
      <c r="EP46" s="126">
        <f ca="1">MAX(EP45*(1+AQ46)-(Dashboard!$C$11)/(1-Dashboard!$C$17)*((1+Dashboard!$C$12)^$CZ46),0)</f>
        <v>10618848.979070455</v>
      </c>
      <c r="EQ46" s="126">
        <f ca="1">MAX(EQ45*(1+AR46)-(Dashboard!$C$11)/(1-Dashboard!$C$17)*((1+Dashboard!$C$12)^$CZ46),0)</f>
        <v>8351573.6324861888</v>
      </c>
      <c r="ER46" s="126">
        <f ca="1">MAX(ER45*(1+AS46)-(Dashboard!$C$11)/(1-Dashboard!$C$17)*((1+Dashboard!$C$12)^$CZ46),0)</f>
        <v>6124274.4326408822</v>
      </c>
      <c r="ES46" s="126">
        <f ca="1">MAX(ES45*(1+AT46)-(Dashboard!$C$11)/(1-Dashboard!$C$17)*((1+Dashboard!$C$12)^$CZ46),0)</f>
        <v>42408383.432001308</v>
      </c>
      <c r="ET46" s="126">
        <f ca="1">MAX(ET45*(1+AU46)-(Dashboard!$C$11)/(1-Dashboard!$C$17)*((1+Dashboard!$C$12)^$CZ46),0)</f>
        <v>13013928.927240908</v>
      </c>
      <c r="EU46" s="126">
        <f ca="1">MAX(EU45*(1+AV46)-(Dashboard!$C$11)/(1-Dashboard!$C$17)*((1+Dashboard!$C$12)^$CZ46),0)</f>
        <v>11056399.845926864</v>
      </c>
      <c r="EV46" s="126">
        <f ca="1">MAX(EV45*(1+AW46)-(Dashboard!$C$11)/(1-Dashboard!$C$17)*((1+Dashboard!$C$12)^$CZ46),0)</f>
        <v>69868519.908264324</v>
      </c>
      <c r="EW46" s="126">
        <f ca="1">MAX(EW45*(1+AX46)-(Dashboard!$C$11)/(1-Dashboard!$C$17)*((1+Dashboard!$C$12)^$CZ46),0)</f>
        <v>4264899.2984113172</v>
      </c>
      <c r="EX46" s="126">
        <f ca="1">MAX(EX45*(1+AY46)-(Dashboard!$C$11)/(1-Dashboard!$C$17)*((1+Dashboard!$C$12)^$CZ46),0)</f>
        <v>7900672.4524269337</v>
      </c>
      <c r="EY46" s="126">
        <f ca="1">MAX(EY45*(1+AZ46)-(Dashboard!$C$11)/(1-Dashboard!$C$17)*((1+Dashboard!$C$12)^$CZ46),0)</f>
        <v>22319254.551392134</v>
      </c>
      <c r="EZ46" s="126">
        <f ca="1">MAX(EZ45*(1+BA46)-(Dashboard!$C$11)/(1-Dashboard!$C$17)*((1+Dashboard!$C$12)^$CZ46),0)</f>
        <v>8870285.0332893431</v>
      </c>
      <c r="FA46" s="126">
        <f ca="1">MAX(FA45*(1+BB46)-(Dashboard!$C$11)/(1-Dashboard!$C$17)*((1+Dashboard!$C$12)^$CZ46),0)</f>
        <v>44288877.315899685</v>
      </c>
      <c r="FB46" s="126">
        <f ca="1">MAX(FB45*(1+BC46)-(Dashboard!$C$11)/(1-Dashboard!$C$17)*((1+Dashboard!$C$12)^$CZ46),0)</f>
        <v>732369.20540450362</v>
      </c>
      <c r="FC46" s="126">
        <f ca="1">MAX(FC45*(1+BD46)-(Dashboard!$C$11)/(1-Dashboard!$C$17)*((1+Dashboard!$C$12)^$CZ46),0)</f>
        <v>9908638.4080951493</v>
      </c>
      <c r="FD46" s="126">
        <f ca="1">MAX(FD45*(1+BE46)-(Dashboard!$C$11)/(1-Dashboard!$C$17)*((1+Dashboard!$C$12)^$CZ46),0)</f>
        <v>71506747.796574146</v>
      </c>
      <c r="FE46" s="126">
        <f ca="1">MAX(FE45*(1+BF46)-(Dashboard!$C$11)/(1-Dashboard!$C$17)*((1+Dashboard!$C$12)^$CZ46),0)</f>
        <v>61987166.787960328</v>
      </c>
      <c r="FF46" s="126">
        <f ca="1">MAX(FF45*(1+BG46)-(Dashboard!$C$11)/(1-Dashboard!$C$17)*((1+Dashboard!$C$12)^$CZ46),0)</f>
        <v>5193144.169141042</v>
      </c>
      <c r="FG46" s="126">
        <f ca="1">MAX(FG45*(1+BH46)-(Dashboard!$C$11)/(1-Dashboard!$C$17)*((1+Dashboard!$C$12)^$CZ46),0)</f>
        <v>8866834.2954549342</v>
      </c>
      <c r="FH46" s="126">
        <f ca="1">MAX(FH45*(1+BI46)-(Dashboard!$C$11)/(1-Dashboard!$C$17)*((1+Dashboard!$C$12)^$CZ46),0)</f>
        <v>5675589.6986477682</v>
      </c>
      <c r="FI46" s="126">
        <f ca="1">MAX(FI45*(1+BJ46)-(Dashboard!$C$11)/(1-Dashboard!$C$17)*((1+Dashboard!$C$12)^$CZ46),0)</f>
        <v>33164395.508692306</v>
      </c>
      <c r="FJ46" s="126">
        <f ca="1">MAX(FJ45*(1+BK46)-(Dashboard!$C$11)/(1-Dashboard!$C$17)*((1+Dashboard!$C$12)^$CZ46),0)</f>
        <v>9204065.5729615688</v>
      </c>
      <c r="FK46" s="126">
        <f ca="1">MAX(FK45*(1+BL46)-(Dashboard!$C$11)/(1-Dashboard!$C$17)*((1+Dashboard!$C$12)^$CZ46),0)</f>
        <v>12835485.517952746</v>
      </c>
      <c r="FL46" s="126">
        <f ca="1">MAX(FL45*(1+BM46)-(Dashboard!$C$11)/(1-Dashboard!$C$17)*((1+Dashboard!$C$12)^$CZ46),0)</f>
        <v>5128769.9801013982</v>
      </c>
      <c r="FM46" s="126">
        <f ca="1">MAX(FM45*(1+BN46)-(Dashboard!$C$11)/(1-Dashboard!$C$17)*((1+Dashboard!$C$12)^$CZ46),0)</f>
        <v>13224041.733858826</v>
      </c>
      <c r="FN46" s="126">
        <f ca="1">MAX(FN45*(1+BO46)-(Dashboard!$C$11)/(1-Dashboard!$C$17)*((1+Dashboard!$C$12)^$CZ46),0)</f>
        <v>0</v>
      </c>
      <c r="FO46" s="126">
        <f ca="1">MAX(FO45*(1+BP46)-(Dashboard!$C$11)/(1-Dashboard!$C$17)*((1+Dashboard!$C$12)^$CZ46),0)</f>
        <v>16173873.597443964</v>
      </c>
      <c r="FP46" s="126">
        <f ca="1">MAX(FP45*(1+BQ46)-(Dashboard!$C$11)/(1-Dashboard!$C$17)*((1+Dashboard!$C$12)^$CZ46),0)</f>
        <v>7537877.6052928921</v>
      </c>
      <c r="FQ46" s="126">
        <f ca="1">MAX(FQ45*(1+BR46)-(Dashboard!$C$11)/(1-Dashboard!$C$17)*((1+Dashboard!$C$12)^$CZ46),0)</f>
        <v>6311134.8646903578</v>
      </c>
      <c r="FR46" s="126">
        <f ca="1">MAX(FR45*(1+BS46)-(Dashboard!$C$11)/(1-Dashboard!$C$17)*((1+Dashboard!$C$12)^$CZ46),0)</f>
        <v>35578516.106645666</v>
      </c>
      <c r="FS46" s="126">
        <f ca="1">MAX(FS45*(1+BT46)-(Dashboard!$C$11)/(1-Dashboard!$C$17)*((1+Dashboard!$C$12)^$CZ46),0)</f>
        <v>25366481.227773443</v>
      </c>
      <c r="FT46" s="126">
        <f ca="1">MAX(FT45*(1+BU46)-(Dashboard!$C$11)/(1-Dashboard!$C$17)*((1+Dashboard!$C$12)^$CZ46),0)</f>
        <v>1695101.7091089159</v>
      </c>
      <c r="FU46" s="126">
        <f ca="1">MAX(FU45*(1+BV46)-(Dashboard!$C$11)/(1-Dashboard!$C$17)*((1+Dashboard!$C$12)^$CZ46),0)</f>
        <v>1695679.6623633099</v>
      </c>
      <c r="FV46" s="126">
        <f ca="1">MAX(FV45*(1+BW46)-(Dashboard!$C$11)/(1-Dashboard!$C$17)*((1+Dashboard!$C$12)^$CZ46),0)</f>
        <v>10897415.872067371</v>
      </c>
      <c r="FW46" s="126">
        <f ca="1">MAX(FW45*(1+BX46)-(Dashboard!$C$11)/(1-Dashboard!$C$17)*((1+Dashboard!$C$12)^$CZ46),0)</f>
        <v>9708950.4964310341</v>
      </c>
      <c r="FX46" s="126">
        <f ca="1">MAX(FX45*(1+BY46)-(Dashboard!$C$11)/(1-Dashboard!$C$17)*((1+Dashboard!$C$12)^$CZ46),0)</f>
        <v>2224197.5667975061</v>
      </c>
      <c r="FY46" s="126">
        <f ca="1">MAX(FY45*(1+BZ46)-(Dashboard!$C$11)/(1-Dashboard!$C$17)*((1+Dashboard!$C$12)^$CZ46),0)</f>
        <v>4793707.2747286558</v>
      </c>
      <c r="FZ46" s="126">
        <f ca="1">MAX(FZ45*(1+CA46)-(Dashboard!$C$11)/(1-Dashboard!$C$17)*((1+Dashboard!$C$12)^$CZ46),0)</f>
        <v>76790430.064121634</v>
      </c>
      <c r="GA46" s="126">
        <f ca="1">MAX(GA45*(1+CB46)-(Dashboard!$C$11)/(1-Dashboard!$C$17)*((1+Dashboard!$C$12)^$CZ46),0)</f>
        <v>79073299.113252431</v>
      </c>
      <c r="GB46" s="126">
        <f ca="1">MAX(GB45*(1+CC46)-(Dashboard!$C$11)/(1-Dashboard!$C$17)*((1+Dashboard!$C$12)^$CZ46),0)</f>
        <v>6161888.3229831625</v>
      </c>
      <c r="GC46" s="126">
        <f ca="1">MAX(GC45*(1+CD46)-(Dashboard!$C$11)/(1-Dashboard!$C$17)*((1+Dashboard!$C$12)^$CZ46),0)</f>
        <v>19190783.639279064</v>
      </c>
      <c r="GD46" s="126">
        <f ca="1">MAX(GD45*(1+CE46)-(Dashboard!$C$11)/(1-Dashboard!$C$17)*((1+Dashboard!$C$12)^$CZ46),0)</f>
        <v>181540792.36425668</v>
      </c>
      <c r="GE46" s="126">
        <f ca="1">MAX(GE45*(1+CF46)-(Dashboard!$C$11)/(1-Dashboard!$C$17)*((1+Dashboard!$C$12)^$CZ46),0)</f>
        <v>7959664.9132226426</v>
      </c>
      <c r="GF46" s="126">
        <f ca="1">MAX(GF45*(1+CG46)-(Dashboard!$C$11)/(1-Dashboard!$C$17)*((1+Dashboard!$C$12)^$CZ46),0)</f>
        <v>13700895.995125376</v>
      </c>
      <c r="GG46" s="126">
        <f ca="1">MAX(GG45*(1+CH46)-(Dashboard!$C$11)/(1-Dashboard!$C$17)*((1+Dashboard!$C$12)^$CZ46),0)</f>
        <v>1008141.1145826215</v>
      </c>
      <c r="GH46" s="126">
        <f ca="1">MAX(GH45*(1+CI46)-(Dashboard!$C$11)/(1-Dashboard!$C$17)*((1+Dashboard!$C$12)^$CZ46),0)</f>
        <v>4116596.9282387681</v>
      </c>
      <c r="GI46" s="126">
        <f ca="1">MAX(GI45*(1+CJ46)-(Dashboard!$C$11)/(1-Dashboard!$C$17)*((1+Dashboard!$C$12)^$CZ46),0)</f>
        <v>46058172.36637076</v>
      </c>
      <c r="GJ46" s="126">
        <f ca="1">MAX(GJ45*(1+CK46)-(Dashboard!$C$11)/(1-Dashboard!$C$17)*((1+Dashboard!$C$12)^$CZ46),0)</f>
        <v>76701621.512012616</v>
      </c>
      <c r="GK46" s="126">
        <f ca="1">MAX(GK45*(1+CL46)-(Dashboard!$C$11)/(1-Dashboard!$C$17)*((1+Dashboard!$C$12)^$CZ46),0)</f>
        <v>14905833.06252571</v>
      </c>
      <c r="GL46" s="126">
        <f ca="1">MAX(GL45*(1+CM46)-(Dashboard!$C$11)/(1-Dashboard!$C$17)*((1+Dashboard!$C$12)^$CZ46),0)</f>
        <v>15299397.919821283</v>
      </c>
      <c r="GM46" s="126">
        <f ca="1">MAX(GM45*(1+CN46)-(Dashboard!$C$11)/(1-Dashboard!$C$17)*((1+Dashboard!$C$12)^$CZ46),0)</f>
        <v>5818778.8810917288</v>
      </c>
      <c r="GN46" s="126">
        <f ca="1">MAX(GN45*(1+CO46)-(Dashboard!$C$11)/(1-Dashboard!$C$17)*((1+Dashboard!$C$12)^$CZ46),0)</f>
        <v>0</v>
      </c>
      <c r="GO46" s="126">
        <f ca="1">MAX(GO45*(1+CP46)-(Dashboard!$C$11)/(1-Dashboard!$C$17)*((1+Dashboard!$C$12)^$CZ46),0)</f>
        <v>30132342.83753914</v>
      </c>
      <c r="GP46" s="126">
        <f ca="1">MAX(GP45*(1+CQ46)-(Dashboard!$C$11)/(1-Dashboard!$C$17)*((1+Dashboard!$C$12)^$CZ46),0)</f>
        <v>31472003.374033935</v>
      </c>
      <c r="GQ46" s="126">
        <f ca="1">MAX(GQ45*(1+CR46)-(Dashboard!$C$11)/(1-Dashboard!$C$17)*((1+Dashboard!$C$12)^$CZ46),0)</f>
        <v>1972168.020059265</v>
      </c>
      <c r="GR46" s="126">
        <f ca="1">MAX(GR45*(1+CS46)-(Dashboard!$C$11)/(1-Dashboard!$C$17)*((1+Dashboard!$C$12)^$CZ46),0)</f>
        <v>3118102.6691749571</v>
      </c>
      <c r="GS46" s="126">
        <f ca="1">MAX(GS45*(1+CT46)-(Dashboard!$C$11)/(1-Dashboard!$C$17)*((1+Dashboard!$C$12)^$CZ46),0)</f>
        <v>19544028.665828869</v>
      </c>
      <c r="GT46" s="126">
        <f ca="1">MAX(GT45*(1+CU46)-(Dashboard!$C$11)/(1-Dashboard!$C$17)*((1+Dashboard!$C$12)^$CZ46),0)</f>
        <v>119777287.40375829</v>
      </c>
      <c r="GU46" s="126">
        <f ca="1">MAX(GU45*(1+CV46)-(Dashboard!$C$11)/(1-Dashboard!$C$17)*((1+Dashboard!$C$12)^$CZ46),0)</f>
        <v>8827978.4111071303</v>
      </c>
      <c r="GV46" s="126">
        <f ca="1">MAX(GV45*(1+CW46)-(Dashboard!$C$11)/(1-Dashboard!$C$17)*((1+Dashboard!$C$12)^$CZ46),0)</f>
        <v>5156758.2028529234</v>
      </c>
      <c r="GW46" s="115">
        <f t="shared" si="4"/>
        <v>95</v>
      </c>
      <c r="GX46" s="130">
        <f ca="1">COUNTIF(DA46:GV46,"&gt;0")</f>
        <v>95</v>
      </c>
      <c r="HC46" s="130">
        <f t="shared" si="7"/>
        <v>95</v>
      </c>
      <c r="HD46" s="137">
        <f t="shared" ca="1" si="8"/>
        <v>5135767.0357892793</v>
      </c>
      <c r="HE46" s="137">
        <f t="shared" ca="1" si="8"/>
        <v>10263743.693582803</v>
      </c>
      <c r="HF46" s="137">
        <f t="shared" ca="1" si="8"/>
        <v>28028160.843258619</v>
      </c>
    </row>
    <row r="47" spans="1:214" ht="16">
      <c r="A47" s="145">
        <f t="shared" si="3"/>
        <v>96</v>
      </c>
      <c r="B47" s="122">
        <f ca="1">(Dashboard!$C$7*'Equity and Bond Returns'!N47)+(Dashboard!$C$8*'Equity and Bond Returns'!DL47)</f>
        <v>-8.8082734080689173E-2</v>
      </c>
      <c r="C47" s="122">
        <f ca="1">(Dashboard!$C$7*'Equity and Bond Returns'!O47)+(Dashboard!$C$8*'Equity and Bond Returns'!DM47)</f>
        <v>-4.296590468934039E-2</v>
      </c>
      <c r="D47" s="122">
        <f ca="1">(Dashboard!$C$7*'Equity and Bond Returns'!P47)+(Dashboard!$C$8*'Equity and Bond Returns'!DN47)</f>
        <v>0.13631182011460818</v>
      </c>
      <c r="E47" s="122">
        <f ca="1">(Dashboard!$C$7*'Equity and Bond Returns'!Q47)+(Dashboard!$C$8*'Equity and Bond Returns'!DO47)</f>
        <v>4.827777644792737E-2</v>
      </c>
      <c r="F47" s="122">
        <f ca="1">(Dashboard!$C$7*'Equity and Bond Returns'!R47)+(Dashboard!$C$8*'Equity and Bond Returns'!DP47)</f>
        <v>9.3623760824464178E-2</v>
      </c>
      <c r="G47" s="122">
        <f ca="1">(Dashboard!$C$7*'Equity and Bond Returns'!S47)+(Dashboard!$C$8*'Equity and Bond Returns'!DQ47)</f>
        <v>0.28140709502323008</v>
      </c>
      <c r="H47" s="122">
        <f ca="1">(Dashboard!$C$7*'Equity and Bond Returns'!T47)+(Dashboard!$C$8*'Equity and Bond Returns'!DR47)</f>
        <v>8.4641475889156798E-2</v>
      </c>
      <c r="I47" s="122">
        <f ca="1">(Dashboard!$C$7*'Equity and Bond Returns'!U47)+(Dashboard!$C$8*'Equity and Bond Returns'!DS47)</f>
        <v>-0.11195930743961675</v>
      </c>
      <c r="J47" s="122">
        <f ca="1">(Dashboard!$C$7*'Equity and Bond Returns'!V47)+(Dashboard!$C$8*'Equity and Bond Returns'!DT47)</f>
        <v>0.22625075892829996</v>
      </c>
      <c r="K47" s="122">
        <f ca="1">(Dashboard!$C$7*'Equity and Bond Returns'!W47)+(Dashboard!$C$8*'Equity and Bond Returns'!DU47)</f>
        <v>0.10903289087716324</v>
      </c>
      <c r="L47" s="122">
        <f ca="1">(Dashboard!$C$7*'Equity and Bond Returns'!X47)+(Dashboard!$C$8*'Equity and Bond Returns'!DV47)</f>
        <v>-4.4159127157165898E-2</v>
      </c>
      <c r="M47" s="122">
        <f ca="1">(Dashboard!$C$7*'Equity and Bond Returns'!Y47)+(Dashboard!$C$8*'Equity and Bond Returns'!DW47)</f>
        <v>0.1571617816625091</v>
      </c>
      <c r="N47" s="122">
        <f ca="1">(Dashboard!$C$7*'Equity and Bond Returns'!Z47)+(Dashboard!$C$8*'Equity and Bond Returns'!DX47)</f>
        <v>-0.16145681691153693</v>
      </c>
      <c r="O47" s="122">
        <f ca="1">(Dashboard!$C$7*'Equity and Bond Returns'!AA47)+(Dashboard!$C$8*'Equity and Bond Returns'!DY47)</f>
        <v>0.14954945059823974</v>
      </c>
      <c r="P47" s="122">
        <f ca="1">(Dashboard!$C$7*'Equity and Bond Returns'!AB47)+(Dashboard!$C$8*'Equity and Bond Returns'!DZ47)</f>
        <v>0.20171805143045166</v>
      </c>
      <c r="Q47" s="122">
        <f ca="1">(Dashboard!$C$7*'Equity and Bond Returns'!AC47)+(Dashboard!$C$8*'Equity and Bond Returns'!EA47)</f>
        <v>0.13884580289116047</v>
      </c>
      <c r="R47" s="122">
        <f ca="1">(Dashboard!$C$7*'Equity and Bond Returns'!AD47)+(Dashboard!$C$8*'Equity and Bond Returns'!EB47)</f>
        <v>-7.5848670673157856E-2</v>
      </c>
      <c r="S47" s="122">
        <f ca="1">(Dashboard!$C$7*'Equity and Bond Returns'!AE47)+(Dashboard!$C$8*'Equity and Bond Returns'!EC47)</f>
        <v>0.25896360802564267</v>
      </c>
      <c r="T47" s="122">
        <f ca="1">(Dashboard!$C$7*'Equity and Bond Returns'!AF47)+(Dashboard!$C$8*'Equity and Bond Returns'!ED47)</f>
        <v>4.2614915720586219E-2</v>
      </c>
      <c r="U47" s="122">
        <f ca="1">(Dashboard!$C$7*'Equity and Bond Returns'!AG47)+(Dashboard!$C$8*'Equity and Bond Returns'!EE47)</f>
        <v>0.15390814672550263</v>
      </c>
      <c r="V47" s="122">
        <f ca="1">(Dashboard!$C$7*'Equity and Bond Returns'!AH47)+(Dashboard!$C$8*'Equity and Bond Returns'!EF47)</f>
        <v>1.0595413112937085E-3</v>
      </c>
      <c r="W47" s="122">
        <f ca="1">(Dashboard!$C$7*'Equity and Bond Returns'!AI47)+(Dashboard!$C$8*'Equity and Bond Returns'!EG47)</f>
        <v>-7.4500743898203062E-2</v>
      </c>
      <c r="X47" s="122">
        <f ca="1">(Dashboard!$C$7*'Equity and Bond Returns'!AJ47)+(Dashboard!$C$8*'Equity and Bond Returns'!EH47)</f>
        <v>-3.789885042332336E-2</v>
      </c>
      <c r="Y47" s="122">
        <f ca="1">(Dashboard!$C$7*'Equity and Bond Returns'!AK47)+(Dashboard!$C$8*'Equity and Bond Returns'!EI47)</f>
        <v>0.21289212013432829</v>
      </c>
      <c r="Z47" s="122">
        <f ca="1">(Dashboard!$C$7*'Equity and Bond Returns'!AL47)+(Dashboard!$C$8*'Equity and Bond Returns'!EJ47)</f>
        <v>2.5886246871976729E-2</v>
      </c>
      <c r="AA47" s="122">
        <f ca="1">(Dashboard!$C$7*'Equity and Bond Returns'!AM47)+(Dashboard!$C$8*'Equity and Bond Returns'!EK47)</f>
        <v>-8.0452998597582648E-2</v>
      </c>
      <c r="AB47" s="122">
        <f ca="1">(Dashboard!$C$7*'Equity and Bond Returns'!AN47)+(Dashboard!$C$8*'Equity and Bond Returns'!EL47)</f>
        <v>0.2387487327518317</v>
      </c>
      <c r="AC47" s="122">
        <f ca="1">(Dashboard!$C$7*'Equity and Bond Returns'!AO47)+(Dashboard!$C$8*'Equity and Bond Returns'!EM47)</f>
        <v>0.27800528963604004</v>
      </c>
      <c r="AD47" s="122">
        <f ca="1">(Dashboard!$C$7*'Equity and Bond Returns'!AP47)+(Dashboard!$C$8*'Equity and Bond Returns'!EN47)</f>
        <v>0.10576612450785344</v>
      </c>
      <c r="AE47" s="122">
        <f ca="1">(Dashboard!$C$7*'Equity and Bond Returns'!AQ47)+(Dashboard!$C$8*'Equity and Bond Returns'!EO47)</f>
        <v>-8.6011172931670626E-2</v>
      </c>
      <c r="AF47" s="122">
        <f ca="1">(Dashboard!$C$7*'Equity and Bond Returns'!AR47)+(Dashboard!$C$8*'Equity and Bond Returns'!EP47)</f>
        <v>2.2089772621399509E-2</v>
      </c>
      <c r="AG47" s="122">
        <f ca="1">(Dashboard!$C$7*'Equity and Bond Returns'!AS47)+(Dashboard!$C$8*'Equity and Bond Returns'!EQ47)</f>
        <v>0.18148619298668281</v>
      </c>
      <c r="AH47" s="122">
        <f ca="1">(Dashboard!$C$7*'Equity and Bond Returns'!AT47)+(Dashboard!$C$8*'Equity and Bond Returns'!ER47)</f>
        <v>0.11742223027967699</v>
      </c>
      <c r="AI47" s="122">
        <f ca="1">(Dashboard!$C$7*'Equity and Bond Returns'!AU47)+(Dashboard!$C$8*'Equity and Bond Returns'!ES47)</f>
        <v>0.11308380894955627</v>
      </c>
      <c r="AJ47" s="122">
        <f ca="1">(Dashboard!$C$7*'Equity and Bond Returns'!AV47)+(Dashboard!$C$8*'Equity and Bond Returns'!ET47)</f>
        <v>0.16455487061371993</v>
      </c>
      <c r="AK47" s="122">
        <f ca="1">(Dashboard!$C$7*'Equity and Bond Returns'!AW47)+(Dashboard!$C$8*'Equity and Bond Returns'!EU47)</f>
        <v>0.32105792259537608</v>
      </c>
      <c r="AL47" s="122">
        <f ca="1">(Dashboard!$C$7*'Equity and Bond Returns'!AX47)+(Dashboard!$C$8*'Equity and Bond Returns'!EV47)</f>
        <v>9.5984030569224998E-3</v>
      </c>
      <c r="AM47" s="122">
        <f ca="1">(Dashboard!$C$7*'Equity and Bond Returns'!AY47)+(Dashboard!$C$8*'Equity and Bond Returns'!EW47)</f>
        <v>0.18996386079211589</v>
      </c>
      <c r="AN47" s="122">
        <f ca="1">(Dashboard!$C$7*'Equity and Bond Returns'!AZ47)+(Dashboard!$C$8*'Equity and Bond Returns'!EX47)</f>
        <v>0.33873110533121548</v>
      </c>
      <c r="AO47" s="122">
        <f ca="1">(Dashboard!$C$7*'Equity and Bond Returns'!BA47)+(Dashboard!$C$8*'Equity and Bond Returns'!EY47)</f>
        <v>0.27288308296406638</v>
      </c>
      <c r="AP47" s="122">
        <f ca="1">(Dashboard!$C$7*'Equity and Bond Returns'!BB47)+(Dashboard!$C$8*'Equity and Bond Returns'!EZ47)</f>
        <v>0.10827677772973408</v>
      </c>
      <c r="AQ47" s="122">
        <f ca="1">(Dashboard!$C$7*'Equity and Bond Returns'!BC47)+(Dashboard!$C$8*'Equity and Bond Returns'!FA47)</f>
        <v>-0.15730611533822619</v>
      </c>
      <c r="AR47" s="122">
        <f ca="1">(Dashboard!$C$7*'Equity and Bond Returns'!BD47)+(Dashboard!$C$8*'Equity and Bond Returns'!FB47)</f>
        <v>0.13797386582003565</v>
      </c>
      <c r="AS47" s="122">
        <f ca="1">(Dashboard!$C$7*'Equity and Bond Returns'!BE47)+(Dashboard!$C$8*'Equity and Bond Returns'!FC47)</f>
        <v>-5.2395735931575746E-2</v>
      </c>
      <c r="AT47" s="122">
        <f ca="1">(Dashboard!$C$7*'Equity and Bond Returns'!BF47)+(Dashboard!$C$8*'Equity and Bond Returns'!FD47)</f>
        <v>0.20819920913028314</v>
      </c>
      <c r="AU47" s="122">
        <f ca="1">(Dashboard!$C$7*'Equity and Bond Returns'!BG47)+(Dashboard!$C$8*'Equity and Bond Returns'!FE47)</f>
        <v>0.25111561186592074</v>
      </c>
      <c r="AV47" s="122">
        <f ca="1">(Dashboard!$C$7*'Equity and Bond Returns'!BH47)+(Dashboard!$C$8*'Equity and Bond Returns'!FF47)</f>
        <v>7.6296363864953365E-2</v>
      </c>
      <c r="AW47" s="122">
        <f ca="1">(Dashboard!$C$7*'Equity and Bond Returns'!BI47)+(Dashboard!$C$8*'Equity and Bond Returns'!FG47)</f>
        <v>6.7433034903901894E-4</v>
      </c>
      <c r="AX47" s="122">
        <f ca="1">(Dashboard!$C$7*'Equity and Bond Returns'!BJ47)+(Dashboard!$C$8*'Equity and Bond Returns'!FH47)</f>
        <v>-0.12756575889460886</v>
      </c>
      <c r="AY47" s="122">
        <f ca="1">(Dashboard!$C$7*'Equity and Bond Returns'!BK47)+(Dashboard!$C$8*'Equity and Bond Returns'!FI47)</f>
        <v>0.30085517681074009</v>
      </c>
      <c r="AZ47" s="122">
        <f ca="1">(Dashboard!$C$7*'Equity and Bond Returns'!BL47)+(Dashboard!$C$8*'Equity and Bond Returns'!FJ47)</f>
        <v>-8.0243260521063287E-2</v>
      </c>
      <c r="BA47" s="122">
        <f ca="1">(Dashboard!$C$7*'Equity and Bond Returns'!BM47)+(Dashboard!$C$8*'Equity and Bond Returns'!FK47)</f>
        <v>0.26868304376703056</v>
      </c>
      <c r="BB47" s="122">
        <f ca="1">(Dashboard!$C$7*'Equity and Bond Returns'!BN47)+(Dashboard!$C$8*'Equity and Bond Returns'!FL47)</f>
        <v>-9.5222755164631398E-3</v>
      </c>
      <c r="BC47" s="122">
        <f ca="1">(Dashboard!$C$7*'Equity and Bond Returns'!BO47)+(Dashboard!$C$8*'Equity and Bond Returns'!FM47)</f>
        <v>8.218330587798614E-2</v>
      </c>
      <c r="BD47" s="122">
        <f ca="1">(Dashboard!$C$7*'Equity and Bond Returns'!BP47)+(Dashboard!$C$8*'Equity and Bond Returns'!FN47)</f>
        <v>0.21942528744748599</v>
      </c>
      <c r="BE47" s="122">
        <f ca="1">(Dashboard!$C$7*'Equity and Bond Returns'!BQ47)+(Dashboard!$C$8*'Equity and Bond Returns'!FO47)</f>
        <v>0.14670443271827197</v>
      </c>
      <c r="BF47" s="122">
        <f ca="1">(Dashboard!$C$7*'Equity and Bond Returns'!BR47)+(Dashboard!$C$8*'Equity and Bond Returns'!FP47)</f>
        <v>-2.3317127152794923E-2</v>
      </c>
      <c r="BG47" s="122">
        <f ca="1">(Dashboard!$C$7*'Equity and Bond Returns'!BS47)+(Dashboard!$C$8*'Equity and Bond Returns'!FQ47)</f>
        <v>-3.402022729157287E-2</v>
      </c>
      <c r="BH47" s="122">
        <f ca="1">(Dashboard!$C$7*'Equity and Bond Returns'!BT47)+(Dashboard!$C$8*'Equity and Bond Returns'!FR47)</f>
        <v>0.17026444842285515</v>
      </c>
      <c r="BI47" s="122">
        <f ca="1">(Dashboard!$C$7*'Equity and Bond Returns'!BU47)+(Dashboard!$C$8*'Equity and Bond Returns'!FS47)</f>
        <v>-0.14080431145350358</v>
      </c>
      <c r="BJ47" s="122">
        <f ca="1">(Dashboard!$C$7*'Equity and Bond Returns'!BV47)+(Dashboard!$C$8*'Equity and Bond Returns'!FT47)</f>
        <v>0.11036553298938068</v>
      </c>
      <c r="BK47" s="122">
        <f ca="1">(Dashboard!$C$7*'Equity and Bond Returns'!BW47)+(Dashboard!$C$8*'Equity and Bond Returns'!FU47)</f>
        <v>0.11572972176358402</v>
      </c>
      <c r="BL47" s="122">
        <f ca="1">(Dashboard!$C$7*'Equity and Bond Returns'!BX47)+(Dashboard!$C$8*'Equity and Bond Returns'!FV47)</f>
        <v>0.20624805073707186</v>
      </c>
      <c r="BM47" s="122">
        <f ca="1">(Dashboard!$C$7*'Equity and Bond Returns'!BY47)+(Dashboard!$C$8*'Equity and Bond Returns'!FW47)</f>
        <v>5.0884121887912845E-2</v>
      </c>
      <c r="BN47" s="122">
        <f ca="1">(Dashboard!$C$7*'Equity and Bond Returns'!BZ47)+(Dashboard!$C$8*'Equity and Bond Returns'!FX47)</f>
        <v>0.15967058125688113</v>
      </c>
      <c r="BO47" s="122">
        <f ca="1">(Dashboard!$C$7*'Equity and Bond Returns'!CA47)+(Dashboard!$C$8*'Equity and Bond Returns'!FY47)</f>
        <v>6.5880739041655423E-2</v>
      </c>
      <c r="BP47" s="122">
        <f ca="1">(Dashboard!$C$7*'Equity and Bond Returns'!CB47)+(Dashboard!$C$8*'Equity and Bond Returns'!FZ47)</f>
        <v>0.12299003361230197</v>
      </c>
      <c r="BQ47" s="122">
        <f ca="1">(Dashboard!$C$7*'Equity and Bond Returns'!CC47)+(Dashboard!$C$8*'Equity and Bond Returns'!GA47)</f>
        <v>5.5861928156849483E-2</v>
      </c>
      <c r="BR47" s="122">
        <f ca="1">(Dashboard!$C$7*'Equity and Bond Returns'!CD47)+(Dashboard!$C$8*'Equity and Bond Returns'!GB47)</f>
        <v>-8.6663506273340421E-3</v>
      </c>
      <c r="BS47" s="122">
        <f ca="1">(Dashboard!$C$7*'Equity and Bond Returns'!CE47)+(Dashboard!$C$8*'Equity and Bond Returns'!GC47)</f>
        <v>9.9695460848378548E-2</v>
      </c>
      <c r="BT47" s="122">
        <f ca="1">(Dashboard!$C$7*'Equity and Bond Returns'!CF47)+(Dashboard!$C$8*'Equity and Bond Returns'!GD47)</f>
        <v>0.1738790192183251</v>
      </c>
      <c r="BU47" s="122">
        <f ca="1">(Dashboard!$C$7*'Equity and Bond Returns'!CG47)+(Dashboard!$C$8*'Equity and Bond Returns'!GE47)</f>
        <v>-0.21255067870662009</v>
      </c>
      <c r="BV47" s="122">
        <f ca="1">(Dashboard!$C$7*'Equity and Bond Returns'!CH47)+(Dashboard!$C$8*'Equity and Bond Returns'!GF47)</f>
        <v>8.6266411554500641E-2</v>
      </c>
      <c r="BW47" s="122">
        <f ca="1">(Dashboard!$C$7*'Equity and Bond Returns'!CI47)+(Dashboard!$C$8*'Equity and Bond Returns'!GG47)</f>
        <v>-0.15382657690392304</v>
      </c>
      <c r="BX47" s="122">
        <f ca="1">(Dashboard!$C$7*'Equity and Bond Returns'!CJ47)+(Dashboard!$C$8*'Equity and Bond Returns'!GH47)</f>
        <v>-0.18931290448046315</v>
      </c>
      <c r="BY47" s="122">
        <f ca="1">(Dashboard!$C$7*'Equity and Bond Returns'!CK47)+(Dashboard!$C$8*'Equity and Bond Returns'!GI47)</f>
        <v>0.21620088254496789</v>
      </c>
      <c r="BZ47" s="122">
        <f ca="1">(Dashboard!$C$7*'Equity and Bond Returns'!CL47)+(Dashboard!$C$8*'Equity and Bond Returns'!GJ47)</f>
        <v>0.27907540450000662</v>
      </c>
      <c r="CA47" s="122">
        <f ca="1">(Dashboard!$C$7*'Equity and Bond Returns'!CM47)+(Dashboard!$C$8*'Equity and Bond Returns'!GK47)</f>
        <v>0.28214635550543521</v>
      </c>
      <c r="CB47" s="122">
        <f ca="1">(Dashboard!$C$7*'Equity and Bond Returns'!CN47)+(Dashboard!$C$8*'Equity and Bond Returns'!GL47)</f>
        <v>-0.15432196360773598</v>
      </c>
      <c r="CC47" s="122">
        <f ca="1">(Dashboard!$C$7*'Equity and Bond Returns'!CO47)+(Dashboard!$C$8*'Equity and Bond Returns'!GM47)</f>
        <v>0.18330955430449467</v>
      </c>
      <c r="CD47" s="122">
        <f ca="1">(Dashboard!$C$7*'Equity and Bond Returns'!CP47)+(Dashboard!$C$8*'Equity and Bond Returns'!GN47)</f>
        <v>-2.1434973764760556E-2</v>
      </c>
      <c r="CE47" s="122">
        <f ca="1">(Dashboard!$C$7*'Equity and Bond Returns'!CQ47)+(Dashboard!$C$8*'Equity and Bond Returns'!GO47)</f>
        <v>6.7062331638756162E-2</v>
      </c>
      <c r="CF47" s="122">
        <f ca="1">(Dashboard!$C$7*'Equity and Bond Returns'!CR47)+(Dashboard!$C$8*'Equity and Bond Returns'!GP47)</f>
        <v>0.22241927003626039</v>
      </c>
      <c r="CG47" s="122">
        <f ca="1">(Dashboard!$C$7*'Equity and Bond Returns'!CS47)+(Dashboard!$C$8*'Equity and Bond Returns'!GQ47)</f>
        <v>-9.1146894053359406E-5</v>
      </c>
      <c r="CH47" s="122">
        <f ca="1">(Dashboard!$C$7*'Equity and Bond Returns'!CT47)+(Dashboard!$C$8*'Equity and Bond Returns'!GR47)</f>
        <v>7.0488332329749423E-2</v>
      </c>
      <c r="CI47" s="122">
        <f ca="1">(Dashboard!$C$7*'Equity and Bond Returns'!CU47)+(Dashboard!$C$8*'Equity and Bond Returns'!GS47)</f>
        <v>0.23267284090270274</v>
      </c>
      <c r="CJ47" s="122">
        <f ca="1">(Dashboard!$C$7*'Equity and Bond Returns'!CV47)+(Dashboard!$C$8*'Equity and Bond Returns'!GT47)</f>
        <v>0.23925935837170748</v>
      </c>
      <c r="CK47" s="122">
        <f ca="1">(Dashboard!$C$7*'Equity and Bond Returns'!CW47)+(Dashboard!$C$8*'Equity and Bond Returns'!GU47)</f>
        <v>-8.4290447732110141E-2</v>
      </c>
      <c r="CL47" s="122">
        <f ca="1">(Dashboard!$C$7*'Equity and Bond Returns'!CX47)+(Dashboard!$C$8*'Equity and Bond Returns'!GV47)</f>
        <v>2.0207737705385462E-3</v>
      </c>
      <c r="CM47" s="122">
        <f ca="1">(Dashboard!$C$7*'Equity and Bond Returns'!CY47)+(Dashboard!$C$8*'Equity and Bond Returns'!GW47)</f>
        <v>0.26817581017285064</v>
      </c>
      <c r="CN47" s="122">
        <f ca="1">(Dashboard!$C$7*'Equity and Bond Returns'!CZ47)+(Dashboard!$C$8*'Equity and Bond Returns'!GX47)</f>
        <v>0.12400608037499354</v>
      </c>
      <c r="CO47" s="122">
        <f ca="1">(Dashboard!$C$7*'Equity and Bond Returns'!DA47)+(Dashboard!$C$8*'Equity and Bond Returns'!GY47)</f>
        <v>-0.16393313519696309</v>
      </c>
      <c r="CP47" s="122">
        <f ca="1">(Dashboard!$C$7*'Equity and Bond Returns'!DB47)+(Dashboard!$C$8*'Equity and Bond Returns'!GZ47)</f>
        <v>0.19739490216782951</v>
      </c>
      <c r="CQ47" s="122">
        <f ca="1">(Dashboard!$C$7*'Equity and Bond Returns'!DC47)+(Dashboard!$C$8*'Equity and Bond Returns'!HA47)</f>
        <v>9.5459736929607214E-2</v>
      </c>
      <c r="CR47" s="122">
        <f ca="1">(Dashboard!$C$7*'Equity and Bond Returns'!DD47)+(Dashboard!$C$8*'Equity and Bond Returns'!HB47)</f>
        <v>0.19848912847042782</v>
      </c>
      <c r="CS47" s="122">
        <f ca="1">(Dashboard!$C$7*'Equity and Bond Returns'!DE47)+(Dashboard!$C$8*'Equity and Bond Returns'!HC47)</f>
        <v>7.9337218319377283E-3</v>
      </c>
      <c r="CT47" s="122">
        <f ca="1">(Dashboard!$C$7*'Equity and Bond Returns'!DF47)+(Dashboard!$C$8*'Equity and Bond Returns'!HD47)</f>
        <v>0.17075030241416375</v>
      </c>
      <c r="CU47" s="122">
        <f ca="1">(Dashboard!$C$7*'Equity and Bond Returns'!DG47)+(Dashboard!$C$8*'Equity and Bond Returns'!HE47)</f>
        <v>0.2185100975560906</v>
      </c>
      <c r="CV47" s="122">
        <f ca="1">(Dashboard!$C$7*'Equity and Bond Returns'!DH47)+(Dashboard!$C$8*'Equity and Bond Returns'!HF47)</f>
        <v>0.10356301525155145</v>
      </c>
      <c r="CW47" s="122">
        <f ca="1">(Dashboard!$C$7*'Equity and Bond Returns'!DI47)+(Dashboard!$C$8*'Equity and Bond Returns'!HG47)</f>
        <v>0.21654504869910332</v>
      </c>
      <c r="CY47" s="147">
        <f t="shared" si="5"/>
        <v>96</v>
      </c>
      <c r="CZ47" s="148">
        <v>46</v>
      </c>
      <c r="DA47" s="126">
        <f ca="1">MAX(DA46*(1+B47)-(Dashboard!$C$11)/(1-Dashboard!$C$17)*((1+Dashboard!$C$12)^$CZ47),0)</f>
        <v>55081147.265160486</v>
      </c>
      <c r="DB47" s="126">
        <f ca="1">MAX(DB46*(1+C47)-(Dashboard!$C$11)/(1-Dashboard!$C$17)*((1+Dashboard!$C$12)^$CZ47),0)</f>
        <v>0</v>
      </c>
      <c r="DC47" s="126">
        <f ca="1">MAX(DC46*(1+D47)-(Dashboard!$C$11)/(1-Dashboard!$C$17)*((1+Dashboard!$C$12)^$CZ47),0)</f>
        <v>22260283.866583962</v>
      </c>
      <c r="DD47" s="126">
        <f ca="1">MAX(DD46*(1+E47)-(Dashboard!$C$11)/(1-Dashboard!$C$17)*((1+Dashboard!$C$12)^$CZ47),0)</f>
        <v>1625759.6157994438</v>
      </c>
      <c r="DE47" s="126">
        <f ca="1">MAX(DE46*(1+F47)-(Dashboard!$C$11)/(1-Dashboard!$C$17)*((1+Dashboard!$C$12)^$CZ47),0)</f>
        <v>21085480.508385897</v>
      </c>
      <c r="DF47" s="126">
        <f ca="1">MAX(DF46*(1+G47)-(Dashboard!$C$11)/(1-Dashboard!$C$17)*((1+Dashboard!$C$12)^$CZ47),0)</f>
        <v>31602016.25272404</v>
      </c>
      <c r="DG47" s="126">
        <f ca="1">MAX(DG46*(1+H47)-(Dashboard!$C$11)/(1-Dashboard!$C$17)*((1+Dashboard!$C$12)^$CZ47),0)</f>
        <v>2427014.2649723561</v>
      </c>
      <c r="DH47" s="126">
        <f ca="1">MAX(DH46*(1+I47)-(Dashboard!$C$11)/(1-Dashboard!$C$17)*((1+Dashboard!$C$12)^$CZ47),0)</f>
        <v>43225138.915028363</v>
      </c>
      <c r="DI47" s="126">
        <f ca="1">MAX(DI46*(1+J47)-(Dashboard!$C$11)/(1-Dashboard!$C$17)*((1+Dashboard!$C$12)^$CZ47),0)</f>
        <v>11561170.844529623</v>
      </c>
      <c r="DJ47" s="126">
        <f ca="1">MAX(DJ46*(1+K47)-(Dashboard!$C$11)/(1-Dashboard!$C$17)*((1+Dashboard!$C$12)^$CZ47),0)</f>
        <v>9110623.1831345744</v>
      </c>
      <c r="DK47" s="126">
        <f ca="1">MAX(DK46*(1+L47)-(Dashboard!$C$11)/(1-Dashboard!$C$17)*((1+Dashboard!$C$12)^$CZ47),0)</f>
        <v>14990474.819748951</v>
      </c>
      <c r="DL47" s="126">
        <f ca="1">MAX(DL46*(1+M47)-(Dashboard!$C$11)/(1-Dashboard!$C$17)*((1+Dashboard!$C$12)^$CZ47),0)</f>
        <v>665330.68183060235</v>
      </c>
      <c r="DM47" s="126">
        <f ca="1">MAX(DM46*(1+N47)-(Dashboard!$C$11)/(1-Dashboard!$C$17)*((1+Dashboard!$C$12)^$CZ47),0)</f>
        <v>28932117.589879688</v>
      </c>
      <c r="DN47" s="126">
        <f ca="1">MAX(DN46*(1+O47)-(Dashboard!$C$11)/(1-Dashboard!$C$17)*((1+Dashboard!$C$12)^$CZ47),0)</f>
        <v>152204137.75095433</v>
      </c>
      <c r="DO47" s="126">
        <f ca="1">MAX(DO46*(1+P47)-(Dashboard!$C$11)/(1-Dashboard!$C$17)*((1+Dashboard!$C$12)^$CZ47),0)</f>
        <v>7864155.0362214493</v>
      </c>
      <c r="DP47" s="126">
        <f ca="1">MAX(DP46*(1+Q47)-(Dashboard!$C$11)/(1-Dashboard!$C$17)*((1+Dashboard!$C$12)^$CZ47),0)</f>
        <v>7680084.366366134</v>
      </c>
      <c r="DQ47" s="126">
        <f ca="1">MAX(DQ46*(1+R47)-(Dashboard!$C$11)/(1-Dashboard!$C$17)*((1+Dashboard!$C$12)^$CZ47),0)</f>
        <v>15169888.554348754</v>
      </c>
      <c r="DR47" s="126">
        <f ca="1">MAX(DR46*(1+S47)-(Dashboard!$C$11)/(1-Dashboard!$C$17)*((1+Dashboard!$C$12)^$CZ47),0)</f>
        <v>60203862.865209445</v>
      </c>
      <c r="DS47" s="126">
        <f ca="1">MAX(DS46*(1+T47)-(Dashboard!$C$11)/(1-Dashboard!$C$17)*((1+Dashboard!$C$12)^$CZ47),0)</f>
        <v>440560.58631275123</v>
      </c>
      <c r="DT47" s="126">
        <f ca="1">MAX(DT46*(1+U47)-(Dashboard!$C$11)/(1-Dashboard!$C$17)*((1+Dashboard!$C$12)^$CZ47),0)</f>
        <v>6553025.239820661</v>
      </c>
      <c r="DU47" s="126">
        <f ca="1">MAX(DU46*(1+V47)-(Dashboard!$C$11)/(1-Dashboard!$C$17)*((1+Dashboard!$C$12)^$CZ47),0)</f>
        <v>10962357.075342821</v>
      </c>
      <c r="DV47" s="126">
        <f ca="1">MAX(DV46*(1+W47)-(Dashboard!$C$11)/(1-Dashboard!$C$17)*((1+Dashboard!$C$12)^$CZ47),0)</f>
        <v>92897883.351379424</v>
      </c>
      <c r="DW47" s="126">
        <f ca="1">MAX(DW46*(1+X47)-(Dashboard!$C$11)/(1-Dashboard!$C$17)*((1+Dashboard!$C$12)^$CZ47),0)</f>
        <v>6642639.035526067</v>
      </c>
      <c r="DX47" s="126">
        <f ca="1">MAX(DX46*(1+Y47)-(Dashboard!$C$11)/(1-Dashboard!$C$17)*((1+Dashboard!$C$12)^$CZ47),0)</f>
        <v>8016914.3968831254</v>
      </c>
      <c r="DY47" s="126">
        <f ca="1">MAX(DY46*(1+Z47)-(Dashboard!$C$11)/(1-Dashboard!$C$17)*((1+Dashboard!$C$12)^$CZ47),0)</f>
        <v>26113253.311163142</v>
      </c>
      <c r="DZ47" s="126">
        <f ca="1">MAX(DZ46*(1+AA47)-(Dashboard!$C$11)/(1-Dashboard!$C$17)*((1+Dashboard!$C$12)^$CZ47),0)</f>
        <v>1810135.6354982527</v>
      </c>
      <c r="EA47" s="126">
        <f ca="1">MAX(EA46*(1+AB47)-(Dashboard!$C$11)/(1-Dashboard!$C$17)*((1+Dashboard!$C$12)^$CZ47),0)</f>
        <v>19784446.55686304</v>
      </c>
      <c r="EB47" s="126">
        <f ca="1">MAX(EB46*(1+AC47)-(Dashboard!$C$11)/(1-Dashboard!$C$17)*((1+Dashboard!$C$12)^$CZ47),0)</f>
        <v>23464350.525194</v>
      </c>
      <c r="EC47" s="126">
        <f ca="1">MAX(EC46*(1+AD47)-(Dashboard!$C$11)/(1-Dashboard!$C$17)*((1+Dashboard!$C$12)^$CZ47),0)</f>
        <v>42472638.133992523</v>
      </c>
      <c r="ED47" s="126">
        <f ca="1">MAX(ED46*(1+AE47)-(Dashboard!$C$11)/(1-Dashboard!$C$17)*((1+Dashboard!$C$12)^$CZ47),0)</f>
        <v>17679823.712556798</v>
      </c>
      <c r="EE47" s="126">
        <f ca="1">MAX(EE46*(1+AF47)-(Dashboard!$C$11)/(1-Dashboard!$C$17)*((1+Dashboard!$C$12)^$CZ47),0)</f>
        <v>26729196.38317642</v>
      </c>
      <c r="EF47" s="126">
        <f ca="1">MAX(EF46*(1+AG47)-(Dashboard!$C$11)/(1-Dashboard!$C$17)*((1+Dashboard!$C$12)^$CZ47),0)</f>
        <v>5664887.7272467986</v>
      </c>
      <c r="EG47" s="126">
        <f ca="1">MAX(EG46*(1+AH47)-(Dashboard!$C$11)/(1-Dashboard!$C$17)*((1+Dashboard!$C$12)^$CZ47),0)</f>
        <v>31908680.413501367</v>
      </c>
      <c r="EH47" s="126">
        <f ca="1">MAX(EH46*(1+AI47)-(Dashboard!$C$11)/(1-Dashboard!$C$17)*((1+Dashboard!$C$12)^$CZ47),0)</f>
        <v>65334477.627776958</v>
      </c>
      <c r="EI47" s="126">
        <f ca="1">MAX(EI46*(1+AJ47)-(Dashboard!$C$11)/(1-Dashboard!$C$17)*((1+Dashboard!$C$12)^$CZ47),0)</f>
        <v>0</v>
      </c>
      <c r="EJ47" s="126">
        <f ca="1">MAX(EJ46*(1+AK47)-(Dashboard!$C$11)/(1-Dashboard!$C$17)*((1+Dashboard!$C$12)^$CZ47),0)</f>
        <v>54983874.277028196</v>
      </c>
      <c r="EK47" s="126">
        <f ca="1">MAX(EK46*(1+AL47)-(Dashboard!$C$11)/(1-Dashboard!$C$17)*((1+Dashboard!$C$12)^$CZ47),0)</f>
        <v>6354747.3132567424</v>
      </c>
      <c r="EL47" s="126">
        <f ca="1">MAX(EL46*(1+AM47)-(Dashboard!$C$11)/(1-Dashboard!$C$17)*((1+Dashboard!$C$12)^$CZ47),0)</f>
        <v>4240657.5373921199</v>
      </c>
      <c r="EM47" s="126">
        <f ca="1">MAX(EM46*(1+AN47)-(Dashboard!$C$11)/(1-Dashboard!$C$17)*((1+Dashboard!$C$12)^$CZ47),0)</f>
        <v>100691112.21416439</v>
      </c>
      <c r="EN47" s="126">
        <f ca="1">MAX(EN46*(1+AO47)-(Dashboard!$C$11)/(1-Dashboard!$C$17)*((1+Dashboard!$C$12)^$CZ47),0)</f>
        <v>3603224.1948560392</v>
      </c>
      <c r="EO47" s="126">
        <f ca="1">MAX(EO46*(1+AP47)-(Dashboard!$C$11)/(1-Dashboard!$C$17)*((1+Dashboard!$C$12)^$CZ47),0)</f>
        <v>0</v>
      </c>
      <c r="EP47" s="126">
        <f ca="1">MAX(EP46*(1+AQ47)-(Dashboard!$C$11)/(1-Dashboard!$C$17)*((1+Dashboard!$C$12)^$CZ47),0)</f>
        <v>8868103.8201485109</v>
      </c>
      <c r="EQ47" s="126">
        <f ca="1">MAX(EQ46*(1+AR47)-(Dashboard!$C$11)/(1-Dashboard!$C$17)*((1+Dashboard!$C$12)^$CZ47),0)</f>
        <v>9423537.2555799037</v>
      </c>
      <c r="ER47" s="126">
        <f ca="1">MAX(ER46*(1+AS47)-(Dashboard!$C$11)/(1-Dashboard!$C$17)*((1+Dashboard!$C$12)^$CZ47),0)</f>
        <v>5723053.290034649</v>
      </c>
      <c r="ES47" s="126">
        <f ca="1">MAX(ES46*(1+AT47)-(Dashboard!$C$11)/(1-Dashboard!$C$17)*((1+Dashboard!$C$12)^$CZ47),0)</f>
        <v>51157440.046376698</v>
      </c>
      <c r="ET47" s="126">
        <f ca="1">MAX(ET46*(1+AU47)-(Dashboard!$C$11)/(1-Dashboard!$C$17)*((1+Dashboard!$C$12)^$CZ47),0)</f>
        <v>16201594.375923533</v>
      </c>
      <c r="EU47" s="126">
        <f ca="1">MAX(EU46*(1+AV47)-(Dashboard!$C$11)/(1-Dashboard!$C$17)*((1+Dashboard!$C$12)^$CZ47),0)</f>
        <v>11819627.674947035</v>
      </c>
      <c r="EV47" s="126">
        <f ca="1">MAX(EV46*(1+AW47)-(Dashboard!$C$11)/(1-Dashboard!$C$17)*((1+Dashboard!$C$12)^$CZ47),0)</f>
        <v>69835299.095019817</v>
      </c>
      <c r="EW47" s="126">
        <f ca="1">MAX(EW46*(1+AX47)-(Dashboard!$C$11)/(1-Dashboard!$C$17)*((1+Dashboard!$C$12)^$CZ47),0)</f>
        <v>3640508.9061393118</v>
      </c>
      <c r="EX47" s="126">
        <f ca="1">MAX(EX46*(1+AY47)-(Dashboard!$C$11)/(1-Dashboard!$C$17)*((1+Dashboard!$C$12)^$CZ47),0)</f>
        <v>10197295.383364502</v>
      </c>
      <c r="EY47" s="126">
        <f ca="1">MAX(EY46*(1+AZ47)-(Dashboard!$C$11)/(1-Dashboard!$C$17)*((1+Dashboard!$C$12)^$CZ47),0)</f>
        <v>20447949.517127771</v>
      </c>
      <c r="EZ47" s="126">
        <f ca="1">MAX(EZ46*(1+BA47)-(Dashboard!$C$11)/(1-Dashboard!$C$17)*((1+Dashboard!$C$12)^$CZ47),0)</f>
        <v>11173244.938453579</v>
      </c>
      <c r="FA47" s="126">
        <f ca="1">MAX(FA46*(1+BB47)-(Dashboard!$C$11)/(1-Dashboard!$C$17)*((1+Dashboard!$C$12)^$CZ47),0)</f>
        <v>43786811.147121772</v>
      </c>
      <c r="FB47" s="126">
        <f ca="1">MAX(FB46*(1+BC47)-(Dashboard!$C$11)/(1-Dashboard!$C$17)*((1+Dashboard!$C$12)^$CZ47),0)</f>
        <v>712222.45116679894</v>
      </c>
      <c r="FC47" s="126">
        <f ca="1">MAX(FC46*(1+BD47)-(Dashboard!$C$11)/(1-Dashboard!$C$17)*((1+Dashboard!$C$12)^$CZ47),0)</f>
        <v>12002508.962343546</v>
      </c>
      <c r="FD47" s="126">
        <f ca="1">MAX(FD46*(1+BE47)-(Dashboard!$C$11)/(1-Dashboard!$C$17)*((1+Dashboard!$C$12)^$CZ47),0)</f>
        <v>81916769.390938029</v>
      </c>
      <c r="FE47" s="126">
        <f ca="1">MAX(FE46*(1+BF47)-(Dashboard!$C$11)/(1-Dashboard!$C$17)*((1+Dashboard!$C$12)^$CZ47),0)</f>
        <v>60461468.861462869</v>
      </c>
      <c r="FF47" s="126">
        <f ca="1">MAX(FF46*(1+BG47)-(Dashboard!$C$11)/(1-Dashboard!$C$17)*((1+Dashboard!$C$12)^$CZ47),0)</f>
        <v>4936136.9474878777</v>
      </c>
      <c r="FG47" s="126">
        <f ca="1">MAX(FG46*(1+BH47)-(Dashboard!$C$11)/(1-Dashboard!$C$17)*((1+Dashboard!$C$12)^$CZ47),0)</f>
        <v>10296205.669366343</v>
      </c>
      <c r="FH47" s="126">
        <f ca="1">MAX(FH46*(1+BI47)-(Dashboard!$C$11)/(1-Dashboard!$C$17)*((1+Dashboard!$C$12)^$CZ47),0)</f>
        <v>4796106.922375991</v>
      </c>
      <c r="FI47" s="126">
        <f ca="1">MAX(FI46*(1+BJ47)-(Dashboard!$C$11)/(1-Dashboard!$C$17)*((1+Dashboard!$C$12)^$CZ47),0)</f>
        <v>36744266.418618672</v>
      </c>
      <c r="FJ47" s="126">
        <f ca="1">MAX(FJ46*(1+BK47)-(Dashboard!$C$11)/(1-Dashboard!$C$17)*((1+Dashboard!$C$12)^$CZ47),0)</f>
        <v>10188914.244153112</v>
      </c>
      <c r="FK47" s="126">
        <f ca="1">MAX(FK46*(1+BL47)-(Dashboard!$C$11)/(1-Dashboard!$C$17)*((1+Dashboard!$C$12)^$CZ47),0)</f>
        <v>15402444.109633334</v>
      </c>
      <c r="FL47" s="126">
        <f ca="1">MAX(FL46*(1+BM47)-(Dashboard!$C$11)/(1-Dashboard!$C$17)*((1+Dashboard!$C$12)^$CZ47),0)</f>
        <v>5309407.6602428658</v>
      </c>
      <c r="FM47" s="126">
        <f ca="1">MAX(FM46*(1+BN47)-(Dashboard!$C$11)/(1-Dashboard!$C$17)*((1+Dashboard!$C$12)^$CZ47),0)</f>
        <v>15255196.887408236</v>
      </c>
      <c r="FN47" s="126">
        <f ca="1">MAX(FN46*(1+BO47)-(Dashboard!$C$11)/(1-Dashboard!$C$17)*((1+Dashboard!$C$12)^$CZ47),0)</f>
        <v>0</v>
      </c>
      <c r="FO47" s="126">
        <f ca="1">MAX(FO46*(1+BP47)-(Dashboard!$C$11)/(1-Dashboard!$C$17)*((1+Dashboard!$C$12)^$CZ47),0)</f>
        <v>18082763.578173641</v>
      </c>
      <c r="FP47" s="126">
        <f ca="1">MAX(FP46*(1+BQ47)-(Dashboard!$C$11)/(1-Dashboard!$C$17)*((1+Dashboard!$C$12)^$CZ47),0)</f>
        <v>7878622.7058738079</v>
      </c>
      <c r="FQ47" s="126">
        <f ca="1">MAX(FQ46*(1+BR47)-(Dashboard!$C$11)/(1-Dashboard!$C$17)*((1+Dashboard!$C$12)^$CZ47),0)</f>
        <v>6176105.0804354791</v>
      </c>
      <c r="FR47" s="126">
        <f ca="1">MAX(FR46*(1+BS47)-(Dashboard!$C$11)/(1-Dashboard!$C$17)*((1+Dashboard!$C$12)^$CZ47),0)</f>
        <v>39045197.389538087</v>
      </c>
      <c r="FS47" s="126">
        <f ca="1">MAX(FS46*(1+BT47)-(Dashboard!$C$11)/(1-Dashboard!$C$17)*((1+Dashboard!$C$12)^$CZ47),0)</f>
        <v>29696844.828017663</v>
      </c>
      <c r="FT47" s="126">
        <f ca="1">MAX(FT46*(1+BU47)-(Dashboard!$C$11)/(1-Dashboard!$C$17)*((1+Dashboard!$C$12)^$CZ47),0)</f>
        <v>1254471.4136999836</v>
      </c>
      <c r="FU47" s="126">
        <f ca="1">MAX(FU46*(1+BV47)-(Dashboard!$C$11)/(1-Dashboard!$C$17)*((1+Dashboard!$C$12)^$CZ47),0)</f>
        <v>1761624.5853202594</v>
      </c>
      <c r="FV47" s="126">
        <f ca="1">MAX(FV46*(1+BW47)-(Dashboard!$C$11)/(1-Dashboard!$C$17)*((1+Dashboard!$C$12)^$CZ47),0)</f>
        <v>9140768.4147076868</v>
      </c>
      <c r="FW47" s="126">
        <f ca="1">MAX(FW46*(1+BX47)-(Dashboard!$C$11)/(1-Dashboard!$C$17)*((1+Dashboard!$C$12)^$CZ47),0)</f>
        <v>7790585.6018335605</v>
      </c>
      <c r="FX47" s="126">
        <f ca="1">MAX(FX46*(1+BY47)-(Dashboard!$C$11)/(1-Dashboard!$C$17)*((1+Dashboard!$C$12)^$CZ47),0)</f>
        <v>2624735.7670324165</v>
      </c>
      <c r="FY47" s="126">
        <f ca="1">MAX(FY46*(1+BZ47)-(Dashboard!$C$11)/(1-Dashboard!$C$17)*((1+Dashboard!$C$12)^$CZ47),0)</f>
        <v>6051177.7948170993</v>
      </c>
      <c r="FZ47" s="126">
        <f ca="1">MAX(FZ46*(1+CA47)-(Dashboard!$C$11)/(1-Dashboard!$C$17)*((1+Dashboard!$C$12)^$CZ47),0)</f>
        <v>98376234.767747477</v>
      </c>
      <c r="GA47" s="126">
        <f ca="1">MAX(GA46*(1+CB47)-(Dashboard!$C$11)/(1-Dashboard!$C$17)*((1+Dashboard!$C$12)^$CZ47),0)</f>
        <v>66790217.048492387</v>
      </c>
      <c r="GB47" s="126">
        <f ca="1">MAX(GB46*(1+CC47)-(Dashboard!$C$11)/(1-Dashboard!$C$17)*((1+Dashboard!$C$12)^$CZ47),0)</f>
        <v>7211086.0484821955</v>
      </c>
      <c r="GC47" s="126">
        <f ca="1">MAX(GC46*(1+CD47)-(Dashboard!$C$11)/(1-Dashboard!$C$17)*((1+Dashboard!$C$12)^$CZ47),0)</f>
        <v>18699094.418784842</v>
      </c>
      <c r="GD47" s="126">
        <f ca="1">MAX(GD46*(1+CE47)-(Dashboard!$C$11)/(1-Dashboard!$C$17)*((1+Dashboard!$C$12)^$CZ47),0)</f>
        <v>193635005.91108996</v>
      </c>
      <c r="GE47" s="126">
        <f ca="1">MAX(GE46*(1+CF47)-(Dashboard!$C$11)/(1-Dashboard!$C$17)*((1+Dashboard!$C$12)^$CZ47),0)</f>
        <v>9649712.4962937757</v>
      </c>
      <c r="GF47" s="126">
        <f ca="1">MAX(GF46*(1+CG47)-(Dashboard!$C$11)/(1-Dashboard!$C$17)*((1+Dashboard!$C$12)^$CZ47),0)</f>
        <v>13619311.924348591</v>
      </c>
      <c r="GG47" s="126">
        <f ca="1">MAX(GG46*(1+CH47)-(Dashboard!$C$11)/(1-Dashboard!$C$17)*((1+Dashboard!$C$12)^$CZ47),0)</f>
        <v>998868.02384152461</v>
      </c>
      <c r="GH47" s="126">
        <f ca="1">MAX(GH46*(1+CI47)-(Dashboard!$C$11)/(1-Dashboard!$C$17)*((1+Dashboard!$C$12)^$CZ47),0)</f>
        <v>4994081.9537223419</v>
      </c>
      <c r="GI47" s="126">
        <f ca="1">MAX(GI46*(1+CJ47)-(Dashboard!$C$11)/(1-Dashboard!$C$17)*((1+Dashboard!$C$12)^$CZ47),0)</f>
        <v>56997685.857861057</v>
      </c>
      <c r="GJ47" s="126">
        <f ca="1">MAX(GJ46*(1+CK47)-(Dashboard!$C$11)/(1-Dashboard!$C$17)*((1+Dashboard!$C$12)^$CZ47),0)</f>
        <v>70156072.216325134</v>
      </c>
      <c r="GK47" s="126">
        <f ca="1">MAX(GK46*(1+CL47)-(Dashboard!$C$11)/(1-Dashboard!$C$17)*((1+Dashboard!$C$12)^$CZ47),0)</f>
        <v>14855619.102345405</v>
      </c>
      <c r="GL47" s="126">
        <f ca="1">MAX(GL46*(1+CM47)-(Dashboard!$C$11)/(1-Dashboard!$C$17)*((1+Dashboard!$C$12)^$CZ47),0)</f>
        <v>19321991.075465102</v>
      </c>
      <c r="GM47" s="126">
        <f ca="1">MAX(GM46*(1+CN47)-(Dashboard!$C$11)/(1-Dashboard!$C$17)*((1+Dashboard!$C$12)^$CZ47),0)</f>
        <v>6460007.5660436247</v>
      </c>
      <c r="GN47" s="126">
        <f ca="1">MAX(GN46*(1+CO47)-(Dashboard!$C$11)/(1-Dashboard!$C$17)*((1+Dashboard!$C$12)^$CZ47),0)</f>
        <v>0</v>
      </c>
      <c r="GO47" s="126">
        <f ca="1">MAX(GO46*(1+CP47)-(Dashboard!$C$11)/(1-Dashboard!$C$17)*((1+Dashboard!$C$12)^$CZ47),0)</f>
        <v>35999978.42738159</v>
      </c>
      <c r="GP47" s="126">
        <f ca="1">MAX(GP46*(1+CQ47)-(Dashboard!$C$11)/(1-Dashboard!$C$17)*((1+Dashboard!$C$12)^$CZ47),0)</f>
        <v>34395977.260105848</v>
      </c>
      <c r="GQ47" s="126">
        <f ca="1">MAX(GQ46*(1+CR47)-(Dashboard!$C$11)/(1-Dashboard!$C$17)*((1+Dashboard!$C$12)^$CZ47),0)</f>
        <v>2283286.6548969969</v>
      </c>
      <c r="GR47" s="126">
        <f ca="1">MAX(GR46*(1+CS47)-(Dashboard!$C$11)/(1-Dashboard!$C$17)*((1+Dashboard!$C$12)^$CZ47),0)</f>
        <v>3062505.5517345332</v>
      </c>
      <c r="GS47" s="126">
        <f ca="1">MAX(GS46*(1+CT47)-(Dashboard!$C$11)/(1-Dashboard!$C$17)*((1+Dashboard!$C$12)^$CZ47),0)</f>
        <v>22800842.194249153</v>
      </c>
      <c r="GT47" s="126">
        <f ca="1">MAX(GT46*(1+CU47)-(Dashboard!$C$11)/(1-Dashboard!$C$17)*((1+Dashboard!$C$12)^$CZ47),0)</f>
        <v>145869498.88269633</v>
      </c>
      <c r="GU47" s="126">
        <f ca="1">MAX(GU46*(1+CV47)-(Dashboard!$C$11)/(1-Dashboard!$C$17)*((1+Dashboard!$C$12)^$CZ47),0)</f>
        <v>9661895.1972759031</v>
      </c>
      <c r="GV47" s="126">
        <f ca="1">MAX(GV46*(1+CW47)-(Dashboard!$C$11)/(1-Dashboard!$C$17)*((1+Dashboard!$C$12)^$CZ47),0)</f>
        <v>6193093.3823581301</v>
      </c>
      <c r="GW47" s="115">
        <f t="shared" si="4"/>
        <v>96</v>
      </c>
      <c r="GX47" s="130">
        <f ca="1">COUNTIF(DA47:GV47,"&gt;0")</f>
        <v>95</v>
      </c>
      <c r="HC47" s="130">
        <f t="shared" si="7"/>
        <v>96</v>
      </c>
      <c r="HD47" s="137">
        <f t="shared" ca="1" si="8"/>
        <v>5398277.6769938488</v>
      </c>
      <c r="HE47" s="137">
        <f t="shared" ca="1" si="8"/>
        <v>11067801.0068982</v>
      </c>
      <c r="HF47" s="137">
        <f t="shared" ca="1" si="8"/>
        <v>31125723.396547444</v>
      </c>
    </row>
    <row r="48" spans="1:214" ht="16">
      <c r="A48" s="145">
        <f t="shared" si="3"/>
        <v>97</v>
      </c>
      <c r="B48" s="122">
        <f ca="1">(Dashboard!$C$7*'Equity and Bond Returns'!N48)+(Dashboard!$C$8*'Equity and Bond Returns'!DL48)</f>
        <v>-0.24309437446583884</v>
      </c>
      <c r="C48" s="122">
        <f ca="1">(Dashboard!$C$7*'Equity and Bond Returns'!O48)+(Dashboard!$C$8*'Equity and Bond Returns'!DM48)</f>
        <v>-0.1373537639444013</v>
      </c>
      <c r="D48" s="122">
        <f ca="1">(Dashboard!$C$7*'Equity and Bond Returns'!P48)+(Dashboard!$C$8*'Equity and Bond Returns'!DN48)</f>
        <v>0.10162086919237941</v>
      </c>
      <c r="E48" s="122">
        <f ca="1">(Dashboard!$C$7*'Equity and Bond Returns'!Q48)+(Dashboard!$C$8*'Equity and Bond Returns'!DO48)</f>
        <v>2.846664933277002E-2</v>
      </c>
      <c r="F48" s="122">
        <f ca="1">(Dashboard!$C$7*'Equity and Bond Returns'!R48)+(Dashboard!$C$8*'Equity and Bond Returns'!DP48)</f>
        <v>0.38698348979308833</v>
      </c>
      <c r="G48" s="122">
        <f ca="1">(Dashboard!$C$7*'Equity and Bond Returns'!S48)+(Dashboard!$C$8*'Equity and Bond Returns'!DQ48)</f>
        <v>-1.6063693228274847E-2</v>
      </c>
      <c r="H48" s="122">
        <f ca="1">(Dashboard!$C$7*'Equity and Bond Returns'!T48)+(Dashboard!$C$8*'Equity and Bond Returns'!DR48)</f>
        <v>0.17124609529337639</v>
      </c>
      <c r="I48" s="122">
        <f ca="1">(Dashboard!$C$7*'Equity and Bond Returns'!U48)+(Dashboard!$C$8*'Equity and Bond Returns'!DS48)</f>
        <v>6.7106426861710533E-2</v>
      </c>
      <c r="J48" s="122">
        <f ca="1">(Dashboard!$C$7*'Equity and Bond Returns'!V48)+(Dashboard!$C$8*'Equity and Bond Returns'!DT48)</f>
        <v>0.2002219987423908</v>
      </c>
      <c r="K48" s="122">
        <f ca="1">(Dashboard!$C$7*'Equity and Bond Returns'!W48)+(Dashboard!$C$8*'Equity and Bond Returns'!DU48)</f>
        <v>0.10143537280392673</v>
      </c>
      <c r="L48" s="122">
        <f ca="1">(Dashboard!$C$7*'Equity and Bond Returns'!X48)+(Dashboard!$C$8*'Equity and Bond Returns'!DV48)</f>
        <v>7.4295578763373657E-2</v>
      </c>
      <c r="M48" s="122">
        <f ca="1">(Dashboard!$C$7*'Equity and Bond Returns'!Y48)+(Dashboard!$C$8*'Equity and Bond Returns'!DW48)</f>
        <v>0.18745308642024675</v>
      </c>
      <c r="N48" s="122">
        <f ca="1">(Dashboard!$C$7*'Equity and Bond Returns'!Z48)+(Dashboard!$C$8*'Equity and Bond Returns'!DX48)</f>
        <v>9.9404887241734907E-2</v>
      </c>
      <c r="O48" s="122">
        <f ca="1">(Dashboard!$C$7*'Equity and Bond Returns'!AA48)+(Dashboard!$C$8*'Equity and Bond Returns'!DY48)</f>
        <v>2.2998733636055414E-2</v>
      </c>
      <c r="P48" s="122">
        <f ca="1">(Dashboard!$C$7*'Equity and Bond Returns'!AB48)+(Dashboard!$C$8*'Equity and Bond Returns'!DZ48)</f>
        <v>-3.605713734622111E-2</v>
      </c>
      <c r="Q48" s="122">
        <f ca="1">(Dashboard!$C$7*'Equity and Bond Returns'!AC48)+(Dashboard!$C$8*'Equity and Bond Returns'!EA48)</f>
        <v>-1.5530712579560898E-2</v>
      </c>
      <c r="R48" s="122">
        <f ca="1">(Dashboard!$C$7*'Equity and Bond Returns'!AD48)+(Dashboard!$C$8*'Equity and Bond Returns'!EB48)</f>
        <v>8.6998469832965525E-4</v>
      </c>
      <c r="S48" s="122">
        <f ca="1">(Dashboard!$C$7*'Equity and Bond Returns'!AE48)+(Dashboard!$C$8*'Equity and Bond Returns'!EC48)</f>
        <v>0.23224204229060796</v>
      </c>
      <c r="T48" s="122">
        <f ca="1">(Dashboard!$C$7*'Equity and Bond Returns'!AF48)+(Dashboard!$C$8*'Equity and Bond Returns'!ED48)</f>
        <v>0.20524285725207417</v>
      </c>
      <c r="U48" s="122">
        <f ca="1">(Dashboard!$C$7*'Equity and Bond Returns'!AG48)+(Dashboard!$C$8*'Equity and Bond Returns'!EE48)</f>
        <v>-0.29360862303759339</v>
      </c>
      <c r="V48" s="122">
        <f ca="1">(Dashboard!$C$7*'Equity and Bond Returns'!AH48)+(Dashboard!$C$8*'Equity and Bond Returns'!EF48)</f>
        <v>6.1361738808891959E-2</v>
      </c>
      <c r="W48" s="122">
        <f ca="1">(Dashboard!$C$7*'Equity and Bond Returns'!AI48)+(Dashboard!$C$8*'Equity and Bond Returns'!EG48)</f>
        <v>9.2266935915095397E-2</v>
      </c>
      <c r="X48" s="122">
        <f ca="1">(Dashboard!$C$7*'Equity and Bond Returns'!AJ48)+(Dashboard!$C$8*'Equity and Bond Returns'!EH48)</f>
        <v>0.10009928972832648</v>
      </c>
      <c r="Y48" s="122">
        <f ca="1">(Dashboard!$C$7*'Equity and Bond Returns'!AK48)+(Dashboard!$C$8*'Equity and Bond Returns'!EI48)</f>
        <v>3.9890849874762206E-2</v>
      </c>
      <c r="Z48" s="122">
        <f ca="1">(Dashboard!$C$7*'Equity and Bond Returns'!AL48)+(Dashboard!$C$8*'Equity and Bond Returns'!EJ48)</f>
        <v>9.1717605689983078E-2</v>
      </c>
      <c r="AA48" s="122">
        <f ca="1">(Dashboard!$C$7*'Equity and Bond Returns'!AM48)+(Dashboard!$C$8*'Equity and Bond Returns'!EK48)</f>
        <v>5.0147263640136601E-2</v>
      </c>
      <c r="AB48" s="122">
        <f ca="1">(Dashboard!$C$7*'Equity and Bond Returns'!AN48)+(Dashboard!$C$8*'Equity and Bond Returns'!EL48)</f>
        <v>-2.5242924263727665E-2</v>
      </c>
      <c r="AC48" s="122">
        <f ca="1">(Dashboard!$C$7*'Equity and Bond Returns'!AO48)+(Dashboard!$C$8*'Equity and Bond Returns'!EM48)</f>
        <v>7.6769778558459498E-2</v>
      </c>
      <c r="AD48" s="122">
        <f ca="1">(Dashboard!$C$7*'Equity and Bond Returns'!AP48)+(Dashboard!$C$8*'Equity and Bond Returns'!EN48)</f>
        <v>3.2869911463647809E-3</v>
      </c>
      <c r="AE48" s="122">
        <f ca="1">(Dashboard!$C$7*'Equity and Bond Returns'!AQ48)+(Dashboard!$C$8*'Equity and Bond Returns'!EO48)</f>
        <v>7.5824659349134627E-2</v>
      </c>
      <c r="AF48" s="122">
        <f ca="1">(Dashboard!$C$7*'Equity and Bond Returns'!AR48)+(Dashboard!$C$8*'Equity and Bond Returns'!EP48)</f>
        <v>9.1724569448042165E-4</v>
      </c>
      <c r="AG48" s="122">
        <f ca="1">(Dashboard!$C$7*'Equity and Bond Returns'!AS48)+(Dashboard!$C$8*'Equity and Bond Returns'!EQ48)</f>
        <v>0.14318242225549971</v>
      </c>
      <c r="AH48" s="122">
        <f ca="1">(Dashboard!$C$7*'Equity and Bond Returns'!AT48)+(Dashboard!$C$8*'Equity and Bond Returns'!ER48)</f>
        <v>0.38367782520651511</v>
      </c>
      <c r="AI48" s="122">
        <f ca="1">(Dashboard!$C$7*'Equity and Bond Returns'!AU48)+(Dashboard!$C$8*'Equity and Bond Returns'!ES48)</f>
        <v>-0.1994330218501042</v>
      </c>
      <c r="AJ48" s="122">
        <f ca="1">(Dashboard!$C$7*'Equity and Bond Returns'!AV48)+(Dashboard!$C$8*'Equity and Bond Returns'!ET48)</f>
        <v>-5.0545246904441878E-2</v>
      </c>
      <c r="AK48" s="122">
        <f ca="1">(Dashboard!$C$7*'Equity and Bond Returns'!AW48)+(Dashboard!$C$8*'Equity and Bond Returns'!EU48)</f>
        <v>4.5725845142073063E-3</v>
      </c>
      <c r="AL48" s="122">
        <f ca="1">(Dashboard!$C$7*'Equity and Bond Returns'!AX48)+(Dashboard!$C$8*'Equity and Bond Returns'!EV48)</f>
        <v>0.11021356225933615</v>
      </c>
      <c r="AM48" s="122">
        <f ca="1">(Dashboard!$C$7*'Equity and Bond Returns'!AY48)+(Dashboard!$C$8*'Equity and Bond Returns'!EW48)</f>
        <v>0.30592305820495574</v>
      </c>
      <c r="AN48" s="122">
        <f ca="1">(Dashboard!$C$7*'Equity and Bond Returns'!AZ48)+(Dashboard!$C$8*'Equity and Bond Returns'!EX48)</f>
        <v>-2.2001448495546048E-4</v>
      </c>
      <c r="AO48" s="122">
        <f ca="1">(Dashboard!$C$7*'Equity and Bond Returns'!BA48)+(Dashboard!$C$8*'Equity and Bond Returns'!EY48)</f>
        <v>4.7050267206220093E-3</v>
      </c>
      <c r="AP48" s="122">
        <f ca="1">(Dashboard!$C$7*'Equity and Bond Returns'!BB48)+(Dashboard!$C$8*'Equity and Bond Returns'!EZ48)</f>
        <v>-0.21225072903342587</v>
      </c>
      <c r="AQ48" s="122">
        <f ca="1">(Dashboard!$C$7*'Equity and Bond Returns'!BC48)+(Dashboard!$C$8*'Equity and Bond Returns'!FA48)</f>
        <v>3.094615948648902E-2</v>
      </c>
      <c r="AR48" s="122">
        <f ca="1">(Dashboard!$C$7*'Equity and Bond Returns'!BD48)+(Dashboard!$C$8*'Equity and Bond Returns'!FB48)</f>
        <v>0.21482580072484236</v>
      </c>
      <c r="AS48" s="122">
        <f ca="1">(Dashboard!$C$7*'Equity and Bond Returns'!BE48)+(Dashboard!$C$8*'Equity and Bond Returns'!FC48)</f>
        <v>0.17166290011090857</v>
      </c>
      <c r="AT48" s="122">
        <f ca="1">(Dashboard!$C$7*'Equity and Bond Returns'!BF48)+(Dashboard!$C$8*'Equity and Bond Returns'!FD48)</f>
        <v>-7.8495439578900136E-2</v>
      </c>
      <c r="AU48" s="122">
        <f ca="1">(Dashboard!$C$7*'Equity and Bond Returns'!BG48)+(Dashboard!$C$8*'Equity and Bond Returns'!FE48)</f>
        <v>8.7031218691240475E-2</v>
      </c>
      <c r="AV48" s="122">
        <f ca="1">(Dashboard!$C$7*'Equity and Bond Returns'!BH48)+(Dashboard!$C$8*'Equity and Bond Returns'!FF48)</f>
        <v>0.14716083726292439</v>
      </c>
      <c r="AW48" s="122">
        <f ca="1">(Dashboard!$C$7*'Equity and Bond Returns'!BI48)+(Dashboard!$C$8*'Equity and Bond Returns'!FG48)</f>
        <v>5.1900082638288061E-2</v>
      </c>
      <c r="AX48" s="122">
        <f ca="1">(Dashboard!$C$7*'Equity and Bond Returns'!BJ48)+(Dashboard!$C$8*'Equity and Bond Returns'!FH48)</f>
        <v>0.14031079627227935</v>
      </c>
      <c r="AY48" s="122">
        <f ca="1">(Dashboard!$C$7*'Equity and Bond Returns'!BK48)+(Dashboard!$C$8*'Equity and Bond Returns'!FI48)</f>
        <v>4.1836246920270131E-2</v>
      </c>
      <c r="AZ48" s="122">
        <f ca="1">(Dashboard!$C$7*'Equity and Bond Returns'!BL48)+(Dashboard!$C$8*'Equity and Bond Returns'!FJ48)</f>
        <v>0.10896794846910292</v>
      </c>
      <c r="BA48" s="122">
        <f ca="1">(Dashboard!$C$7*'Equity and Bond Returns'!BM48)+(Dashboard!$C$8*'Equity and Bond Returns'!FK48)</f>
        <v>0.17910246516897521</v>
      </c>
      <c r="BB48" s="122">
        <f ca="1">(Dashboard!$C$7*'Equity and Bond Returns'!BN48)+(Dashboard!$C$8*'Equity and Bond Returns'!FL48)</f>
        <v>0.25354299097755451</v>
      </c>
      <c r="BC48" s="122">
        <f ca="1">(Dashboard!$C$7*'Equity and Bond Returns'!BO48)+(Dashboard!$C$8*'Equity and Bond Returns'!FM48)</f>
        <v>8.5928336432829489E-2</v>
      </c>
      <c r="BD48" s="122">
        <f ca="1">(Dashboard!$C$7*'Equity and Bond Returns'!BP48)+(Dashboard!$C$8*'Equity and Bond Returns'!FN48)</f>
        <v>2.3720374923545583E-2</v>
      </c>
      <c r="BE48" s="122">
        <f ca="1">(Dashboard!$C$7*'Equity and Bond Returns'!BQ48)+(Dashboard!$C$8*'Equity and Bond Returns'!FO48)</f>
        <v>-2.3117561379004753E-2</v>
      </c>
      <c r="BF48" s="122">
        <f ca="1">(Dashboard!$C$7*'Equity and Bond Returns'!BR48)+(Dashboard!$C$8*'Equity and Bond Returns'!FP48)</f>
        <v>0.18014606865241842</v>
      </c>
      <c r="BG48" s="122">
        <f ca="1">(Dashboard!$C$7*'Equity and Bond Returns'!BS48)+(Dashboard!$C$8*'Equity and Bond Returns'!FQ48)</f>
        <v>0.29921284145428434</v>
      </c>
      <c r="BH48" s="122">
        <f ca="1">(Dashboard!$C$7*'Equity and Bond Returns'!BT48)+(Dashboard!$C$8*'Equity and Bond Returns'!FR48)</f>
        <v>6.1562007710464751E-2</v>
      </c>
      <c r="BI48" s="122">
        <f ca="1">(Dashboard!$C$7*'Equity and Bond Returns'!BU48)+(Dashboard!$C$8*'Equity and Bond Returns'!FS48)</f>
        <v>7.2000384964966427E-2</v>
      </c>
      <c r="BJ48" s="122">
        <f ca="1">(Dashboard!$C$7*'Equity and Bond Returns'!BV48)+(Dashboard!$C$8*'Equity and Bond Returns'!FT48)</f>
        <v>0.14101851106400637</v>
      </c>
      <c r="BK48" s="122">
        <f ca="1">(Dashboard!$C$7*'Equity and Bond Returns'!BW48)+(Dashboard!$C$8*'Equity and Bond Returns'!FU48)</f>
        <v>0.22062301853448438</v>
      </c>
      <c r="BL48" s="122">
        <f ca="1">(Dashboard!$C$7*'Equity and Bond Returns'!BX48)+(Dashboard!$C$8*'Equity and Bond Returns'!FV48)</f>
        <v>-0.28560532533539645</v>
      </c>
      <c r="BM48" s="122">
        <f ca="1">(Dashboard!$C$7*'Equity and Bond Returns'!BY48)+(Dashboard!$C$8*'Equity and Bond Returns'!FW48)</f>
        <v>-9.5571584692750136E-2</v>
      </c>
      <c r="BN48" s="122">
        <f ca="1">(Dashboard!$C$7*'Equity and Bond Returns'!BZ48)+(Dashboard!$C$8*'Equity and Bond Returns'!FX48)</f>
        <v>8.5364362647241995E-2</v>
      </c>
      <c r="BO48" s="122">
        <f ca="1">(Dashboard!$C$7*'Equity and Bond Returns'!CA48)+(Dashboard!$C$8*'Equity and Bond Returns'!FY48)</f>
        <v>0.10982245650294443</v>
      </c>
      <c r="BP48" s="122">
        <f ca="1">(Dashboard!$C$7*'Equity and Bond Returns'!CB48)+(Dashboard!$C$8*'Equity and Bond Returns'!FZ48)</f>
        <v>0.11072076331700118</v>
      </c>
      <c r="BQ48" s="122">
        <f ca="1">(Dashboard!$C$7*'Equity and Bond Returns'!CC48)+(Dashboard!$C$8*'Equity and Bond Returns'!GA48)</f>
        <v>0.20954793704511326</v>
      </c>
      <c r="BR48" s="122">
        <f ca="1">(Dashboard!$C$7*'Equity and Bond Returns'!CD48)+(Dashboard!$C$8*'Equity and Bond Returns'!GB48)</f>
        <v>-2.7085921334531578E-2</v>
      </c>
      <c r="BS48" s="122">
        <f ca="1">(Dashboard!$C$7*'Equity and Bond Returns'!CE48)+(Dashboard!$C$8*'Equity and Bond Returns'!GC48)</f>
        <v>0.31957364653052833</v>
      </c>
      <c r="BT48" s="122">
        <f ca="1">(Dashboard!$C$7*'Equity and Bond Returns'!CF48)+(Dashboard!$C$8*'Equity and Bond Returns'!GD48)</f>
        <v>0.14637225910841581</v>
      </c>
      <c r="BU48" s="122">
        <f ca="1">(Dashboard!$C$7*'Equity and Bond Returns'!CG48)+(Dashboard!$C$8*'Equity and Bond Returns'!GE48)</f>
        <v>8.4601303437284087E-2</v>
      </c>
      <c r="BV48" s="122">
        <f ca="1">(Dashboard!$C$7*'Equity and Bond Returns'!CH48)+(Dashboard!$C$8*'Equity and Bond Returns'!GF48)</f>
        <v>0.1346607609877537</v>
      </c>
      <c r="BW48" s="122">
        <f ca="1">(Dashboard!$C$7*'Equity and Bond Returns'!CI48)+(Dashboard!$C$8*'Equity and Bond Returns'!GG48)</f>
        <v>1.9139863354282628E-3</v>
      </c>
      <c r="BX48" s="122">
        <f ca="1">(Dashboard!$C$7*'Equity and Bond Returns'!CJ48)+(Dashboard!$C$8*'Equity and Bond Returns'!GH48)</f>
        <v>0.20684645778347846</v>
      </c>
      <c r="BY48" s="122">
        <f ca="1">(Dashboard!$C$7*'Equity and Bond Returns'!CK48)+(Dashboard!$C$8*'Equity and Bond Returns'!GI48)</f>
        <v>-0.14808005630308652</v>
      </c>
      <c r="BZ48" s="122">
        <f ca="1">(Dashboard!$C$7*'Equity and Bond Returns'!CL48)+(Dashboard!$C$8*'Equity and Bond Returns'!GJ48)</f>
        <v>0.12968367358158234</v>
      </c>
      <c r="CA48" s="122">
        <f ca="1">(Dashboard!$C$7*'Equity and Bond Returns'!CM48)+(Dashboard!$C$8*'Equity and Bond Returns'!GK48)</f>
        <v>0.24427440228927969</v>
      </c>
      <c r="CB48" s="122">
        <f ca="1">(Dashboard!$C$7*'Equity and Bond Returns'!CN48)+(Dashboard!$C$8*'Equity and Bond Returns'!GL48)</f>
        <v>0.18097856146273217</v>
      </c>
      <c r="CC48" s="122">
        <f ca="1">(Dashboard!$C$7*'Equity and Bond Returns'!CO48)+(Dashboard!$C$8*'Equity and Bond Returns'!GM48)</f>
        <v>0.18435795226253293</v>
      </c>
      <c r="CD48" s="122">
        <f ca="1">(Dashboard!$C$7*'Equity and Bond Returns'!CP48)+(Dashboard!$C$8*'Equity and Bond Returns'!GN48)</f>
        <v>1.2288076752238695E-2</v>
      </c>
      <c r="CE48" s="122">
        <f ca="1">(Dashboard!$C$7*'Equity and Bond Returns'!CQ48)+(Dashboard!$C$8*'Equity and Bond Returns'!GO48)</f>
        <v>-0.13109971640753848</v>
      </c>
      <c r="CF48" s="122">
        <f ca="1">(Dashboard!$C$7*'Equity and Bond Returns'!CR48)+(Dashboard!$C$8*'Equity and Bond Returns'!GP48)</f>
        <v>6.4939513464145282E-2</v>
      </c>
      <c r="CG48" s="122">
        <f ca="1">(Dashboard!$C$7*'Equity and Bond Returns'!CS48)+(Dashboard!$C$8*'Equity and Bond Returns'!GQ48)</f>
        <v>0.11924190452907245</v>
      </c>
      <c r="CH48" s="122">
        <f ca="1">(Dashboard!$C$7*'Equity and Bond Returns'!CT48)+(Dashboard!$C$8*'Equity and Bond Returns'!GR48)</f>
        <v>0.16981400921569464</v>
      </c>
      <c r="CI48" s="122">
        <f ca="1">(Dashboard!$C$7*'Equity and Bond Returns'!CU48)+(Dashboard!$C$8*'Equity and Bond Returns'!GS48)</f>
        <v>3.0978962518302205E-2</v>
      </c>
      <c r="CJ48" s="122">
        <f ca="1">(Dashboard!$C$7*'Equity and Bond Returns'!CV48)+(Dashboard!$C$8*'Equity and Bond Returns'!GT48)</f>
        <v>0.17419860911201335</v>
      </c>
      <c r="CK48" s="122">
        <f ca="1">(Dashboard!$C$7*'Equity and Bond Returns'!CW48)+(Dashboard!$C$8*'Equity and Bond Returns'!GU48)</f>
        <v>4.3472084824035945E-2</v>
      </c>
      <c r="CL48" s="122">
        <f ca="1">(Dashboard!$C$7*'Equity and Bond Returns'!CX48)+(Dashboard!$C$8*'Equity and Bond Returns'!GV48)</f>
        <v>-0.13195428496556702</v>
      </c>
      <c r="CM48" s="122">
        <f ca="1">(Dashboard!$C$7*'Equity and Bond Returns'!CY48)+(Dashboard!$C$8*'Equity and Bond Returns'!GW48)</f>
        <v>-0.16769551653688483</v>
      </c>
      <c r="CN48" s="122">
        <f ca="1">(Dashboard!$C$7*'Equity and Bond Returns'!CZ48)+(Dashboard!$C$8*'Equity and Bond Returns'!GX48)</f>
        <v>0.28482612641310967</v>
      </c>
      <c r="CO48" s="122">
        <f ca="1">(Dashboard!$C$7*'Equity and Bond Returns'!DA48)+(Dashboard!$C$8*'Equity and Bond Returns'!GY48)</f>
        <v>0.12661547921339991</v>
      </c>
      <c r="CP48" s="122">
        <f ca="1">(Dashboard!$C$7*'Equity and Bond Returns'!DB48)+(Dashboard!$C$8*'Equity and Bond Returns'!GZ48)</f>
        <v>-0.15240840282299062</v>
      </c>
      <c r="CQ48" s="122">
        <f ca="1">(Dashboard!$C$7*'Equity and Bond Returns'!DC48)+(Dashboard!$C$8*'Equity and Bond Returns'!HA48)</f>
        <v>0.315739752725399</v>
      </c>
      <c r="CR48" s="122">
        <f ca="1">(Dashboard!$C$7*'Equity and Bond Returns'!DD48)+(Dashboard!$C$8*'Equity and Bond Returns'!HB48)</f>
        <v>-0.25332192049577751</v>
      </c>
      <c r="CS48" s="122">
        <f ca="1">(Dashboard!$C$7*'Equity and Bond Returns'!DE48)+(Dashboard!$C$8*'Equity and Bond Returns'!HC48)</f>
        <v>0.11395202062902124</v>
      </c>
      <c r="CT48" s="122">
        <f ca="1">(Dashboard!$C$7*'Equity and Bond Returns'!DF48)+(Dashboard!$C$8*'Equity and Bond Returns'!HD48)</f>
        <v>0.14615384860097957</v>
      </c>
      <c r="CU48" s="122">
        <f ca="1">(Dashboard!$C$7*'Equity and Bond Returns'!DG48)+(Dashboard!$C$8*'Equity and Bond Returns'!HE48)</f>
        <v>0.35713409223678033</v>
      </c>
      <c r="CV48" s="122">
        <f ca="1">(Dashboard!$C$7*'Equity and Bond Returns'!DH48)+(Dashboard!$C$8*'Equity and Bond Returns'!HF48)</f>
        <v>8.9089332042003727E-2</v>
      </c>
      <c r="CW48" s="122">
        <f ca="1">(Dashboard!$C$7*'Equity and Bond Returns'!DI48)+(Dashboard!$C$8*'Equity and Bond Returns'!HG48)</f>
        <v>8.9317130764998989E-2</v>
      </c>
      <c r="CY48" s="147">
        <f t="shared" si="5"/>
        <v>97</v>
      </c>
      <c r="CZ48" s="148">
        <v>47</v>
      </c>
      <c r="DA48" s="126">
        <f ca="1">MAX(DA47*(1+B48)-(Dashboard!$C$11)/(1-Dashboard!$C$17)*((1+Dashboard!$C$12)^$CZ48),0)</f>
        <v>41608484.890914634</v>
      </c>
      <c r="DB48" s="126">
        <f ca="1">MAX(DB47*(1+C48)-(Dashboard!$C$11)/(1-Dashboard!$C$17)*((1+Dashboard!$C$12)^$CZ48),0)</f>
        <v>0</v>
      </c>
      <c r="DC48" s="126">
        <f ca="1">MAX(DC47*(1+D48)-(Dashboard!$C$11)/(1-Dashboard!$C$17)*((1+Dashboard!$C$12)^$CZ48),0)</f>
        <v>24439647.926614415</v>
      </c>
      <c r="DD48" s="126">
        <f ca="1">MAX(DD47*(1+E48)-(Dashboard!$C$11)/(1-Dashboard!$C$17)*((1+Dashboard!$C$12)^$CZ48),0)</f>
        <v>1589294.2097208726</v>
      </c>
      <c r="DE48" s="126">
        <f ca="1">MAX(DE47*(1+F48)-(Dashboard!$C$11)/(1-Dashboard!$C$17)*((1+Dashboard!$C$12)^$CZ48),0)</f>
        <v>29162468.004524302</v>
      </c>
      <c r="DF48" s="126">
        <f ca="1">MAX(DF47*(1+G48)-(Dashboard!$C$11)/(1-Dashboard!$C$17)*((1+Dashboard!$C$12)^$CZ48),0)</f>
        <v>31011625.823284414</v>
      </c>
      <c r="DG48" s="126">
        <f ca="1">MAX(DG47*(1+H48)-(Dashboard!$C$11)/(1-Dashboard!$C$17)*((1+Dashboard!$C$12)^$CZ48),0)</f>
        <v>2759885.6461092825</v>
      </c>
      <c r="DH48" s="126">
        <f ca="1">MAX(DH47*(1+I48)-(Dashboard!$C$11)/(1-Dashboard!$C$17)*((1+Dashboard!$C$12)^$CZ48),0)</f>
        <v>46043078.203256078</v>
      </c>
      <c r="DI48" s="126">
        <f ca="1">MAX(DI47*(1+J48)-(Dashboard!$C$11)/(1-Dashboard!$C$17)*((1+Dashboard!$C$12)^$CZ48),0)</f>
        <v>13793226.243862685</v>
      </c>
      <c r="DJ48" s="126">
        <f ca="1">MAX(DJ47*(1+K48)-(Dashboard!$C$11)/(1-Dashboard!$C$17)*((1+Dashboard!$C$12)^$CZ48),0)</f>
        <v>9952017.3072310146</v>
      </c>
      <c r="DK48" s="126">
        <f ca="1">MAX(DK47*(1+L48)-(Dashboard!$C$11)/(1-Dashboard!$C$17)*((1+Dashboard!$C$12)^$CZ48),0)</f>
        <v>16021455.487459065</v>
      </c>
      <c r="DL48" s="126">
        <f ca="1">MAX(DL47*(1+M48)-(Dashboard!$C$11)/(1-Dashboard!$C$17)*((1+Dashboard!$C$12)^$CZ48),0)</f>
        <v>707303.63666892296</v>
      </c>
      <c r="DM48" s="126">
        <f ca="1">MAX(DM47*(1+N48)-(Dashboard!$C$11)/(1-Dashboard!$C$17)*((1+Dashboard!$C$12)^$CZ48),0)</f>
        <v>31725366.141605385</v>
      </c>
      <c r="DN48" s="126">
        <f ca="1">MAX(DN47*(1+O48)-(Dashboard!$C$11)/(1-Dashboard!$C$17)*((1+Dashboard!$C$12)^$CZ48),0)</f>
        <v>155621894.83843309</v>
      </c>
      <c r="DO48" s="126">
        <f ca="1">MAX(DO47*(1+P48)-(Dashboard!$C$11)/(1-Dashboard!$C$17)*((1+Dashboard!$C$12)^$CZ48),0)</f>
        <v>7497850.783007523</v>
      </c>
      <c r="DP48" s="126">
        <f ca="1">MAX(DP47*(1+Q48)-(Dashboard!$C$11)/(1-Dashboard!$C$17)*((1+Dashboard!$C$12)^$CZ48),0)</f>
        <v>7478061.8485244093</v>
      </c>
      <c r="DQ48" s="126">
        <f ca="1">MAX(DQ47*(1+R48)-(Dashboard!$C$11)/(1-Dashboard!$C$17)*((1+Dashboard!$C$12)^$CZ48),0)</f>
        <v>15100340.790305488</v>
      </c>
      <c r="DR48" s="126">
        <f ca="1">MAX(DR47*(1+S48)-(Dashboard!$C$11)/(1-Dashboard!$C$17)*((1+Dashboard!$C$12)^$CZ48),0)</f>
        <v>74102985.595848471</v>
      </c>
      <c r="DS48" s="126">
        <f ca="1">MAX(DS47*(1+T48)-(Dashboard!$C$11)/(1-Dashboard!$C$17)*((1+Dashboard!$C$12)^$CZ48),0)</f>
        <v>448237.16487931623</v>
      </c>
      <c r="DT48" s="126">
        <f ca="1">MAX(DT47*(1+U48)-(Dashboard!$C$11)/(1-Dashboard!$C$17)*((1+Dashboard!$C$12)^$CZ48),0)</f>
        <v>4546255.1874654079</v>
      </c>
      <c r="DU48" s="126">
        <f ca="1">MAX(DU47*(1+V48)-(Dashboard!$C$11)/(1-Dashboard!$C$17)*((1+Dashboard!$C$12)^$CZ48),0)</f>
        <v>11552281.031968905</v>
      </c>
      <c r="DV48" s="126">
        <f ca="1">MAX(DV47*(1+W48)-(Dashboard!$C$11)/(1-Dashboard!$C$17)*((1+Dashboard!$C$12)^$CZ48),0)</f>
        <v>101386541.06624825</v>
      </c>
      <c r="DW48" s="126">
        <f ca="1">MAX(DW47*(1+X48)-(Dashboard!$C$11)/(1-Dashboard!$C$17)*((1+Dashboard!$C$12)^$CZ48),0)</f>
        <v>7224817.149942968</v>
      </c>
      <c r="DX48" s="126">
        <f ca="1">MAX(DX47*(1+Y48)-(Dashboard!$C$11)/(1-Dashboard!$C$17)*((1+Dashboard!$C$12)^$CZ48),0)</f>
        <v>8253970.5905870963</v>
      </c>
      <c r="DY48" s="126">
        <f ca="1">MAX(DY47*(1+Z48)-(Dashboard!$C$11)/(1-Dashboard!$C$17)*((1+Dashboard!$C$12)^$CZ48),0)</f>
        <v>28425553.046678137</v>
      </c>
      <c r="DZ48" s="126">
        <f ca="1">MAX(DZ47*(1+AA48)-(Dashboard!$C$11)/(1-Dashboard!$C$17)*((1+Dashboard!$C$12)^$CZ48),0)</f>
        <v>1818163.6494750767</v>
      </c>
      <c r="EA48" s="126">
        <f ca="1">MAX(EA47*(1+AB48)-(Dashboard!$C$11)/(1-Dashboard!$C$17)*((1+Dashboard!$C$12)^$CZ48),0)</f>
        <v>19202283.935867466</v>
      </c>
      <c r="EB48" s="126">
        <f ca="1">MAX(EB47*(1+AC48)-(Dashboard!$C$11)/(1-Dashboard!$C$17)*((1+Dashboard!$C$12)^$CZ48),0)</f>
        <v>25182958.184070308</v>
      </c>
      <c r="EC48" s="126">
        <f ca="1">MAX(EC47*(1+AD48)-(Dashboard!$C$11)/(1-Dashboard!$C$17)*((1+Dashboard!$C$12)^$CZ48),0)</f>
        <v>42529499.984540798</v>
      </c>
      <c r="ED48" s="126">
        <f ca="1">MAX(ED47*(1+AE48)-(Dashboard!$C$11)/(1-Dashboard!$C$17)*((1+Dashboard!$C$12)^$CZ48),0)</f>
        <v>18937644.987953261</v>
      </c>
      <c r="EE48" s="126">
        <f ca="1">MAX(EE47*(1+AF48)-(Dashboard!$C$11)/(1-Dashboard!$C$17)*((1+Dashboard!$C$12)^$CZ48),0)</f>
        <v>26670968.288514897</v>
      </c>
      <c r="EF48" s="126">
        <f ca="1">MAX(EF47*(1+AG48)-(Dashboard!$C$11)/(1-Dashboard!$C$17)*((1+Dashboard!$C$12)^$CZ48),0)</f>
        <v>6393254.7388785351</v>
      </c>
      <c r="EG48" s="126">
        <f ca="1">MAX(EG47*(1+AH48)-(Dashboard!$C$11)/(1-Dashboard!$C$17)*((1+Dashboard!$C$12)^$CZ48),0)</f>
        <v>44068588.184802383</v>
      </c>
      <c r="EH48" s="126">
        <f ca="1">MAX(EH47*(1+AI48)-(Dashboard!$C$11)/(1-Dashboard!$C$17)*((1+Dashboard!$C$12)^$CZ48),0)</f>
        <v>52221879.98851046</v>
      </c>
      <c r="EI48" s="126">
        <f ca="1">MAX(EI47*(1+AJ48)-(Dashboard!$C$11)/(1-Dashboard!$C$17)*((1+Dashboard!$C$12)^$CZ48),0)</f>
        <v>0</v>
      </c>
      <c r="EJ48" s="126">
        <f ca="1">MAX(EJ47*(1+AK48)-(Dashboard!$C$11)/(1-Dashboard!$C$17)*((1+Dashboard!$C$12)^$CZ48),0)</f>
        <v>55152547.354117543</v>
      </c>
      <c r="EK48" s="126">
        <f ca="1">MAX(EK47*(1+AL48)-(Dashboard!$C$11)/(1-Dashboard!$C$17)*((1+Dashboard!$C$12)^$CZ48),0)</f>
        <v>6972381.3169478001</v>
      </c>
      <c r="EL48" s="126">
        <f ca="1">MAX(EL47*(1+AM48)-(Dashboard!$C$11)/(1-Dashboard!$C$17)*((1+Dashboard!$C$12)^$CZ48),0)</f>
        <v>5455227.1250700997</v>
      </c>
      <c r="EM48" s="126">
        <f ca="1">MAX(EM47*(1+AN48)-(Dashboard!$C$11)/(1-Dashboard!$C$17)*((1+Dashboard!$C$12)^$CZ48),0)</f>
        <v>100586213.37601009</v>
      </c>
      <c r="EN48" s="126">
        <f ca="1">MAX(EN47*(1+AO48)-(Dashboard!$C$11)/(1-Dashboard!$C$17)*((1+Dashboard!$C$12)^$CZ48),0)</f>
        <v>3537432.126012316</v>
      </c>
      <c r="EO48" s="126">
        <f ca="1">MAX(EO47*(1+AP48)-(Dashboard!$C$11)/(1-Dashboard!$C$17)*((1+Dashboard!$C$12)^$CZ48),0)</f>
        <v>0</v>
      </c>
      <c r="EP48" s="126">
        <f ca="1">MAX(EP47*(1+AQ48)-(Dashboard!$C$11)/(1-Dashboard!$C$17)*((1+Dashboard!$C$12)^$CZ48),0)</f>
        <v>9059792.2403486557</v>
      </c>
      <c r="EQ48" s="126">
        <f ca="1">MAX(EQ47*(1+AR48)-(Dashboard!$C$11)/(1-Dashboard!$C$17)*((1+Dashboard!$C$12)^$CZ48),0)</f>
        <v>11365210.857209325</v>
      </c>
      <c r="ER48" s="126">
        <f ca="1">MAX(ER47*(1+AS48)-(Dashboard!$C$11)/(1-Dashboard!$C$17)*((1+Dashboard!$C$12)^$CZ48),0)</f>
        <v>6622743.8803303596</v>
      </c>
      <c r="ES48" s="126">
        <f ca="1">MAX(ES47*(1+AT48)-(Dashboard!$C$11)/(1-Dashboard!$C$17)*((1+Dashboard!$C$12)^$CZ48),0)</f>
        <v>47059068.967244215</v>
      </c>
      <c r="ET48" s="126">
        <f ca="1">MAX(ET47*(1+AU48)-(Dashboard!$C$11)/(1-Dashboard!$C$17)*((1+Dashboard!$C$12)^$CZ48),0)</f>
        <v>17528893.544240396</v>
      </c>
      <c r="EU48" s="126">
        <f ca="1">MAX(EU47*(1+AV48)-(Dashboard!$C$11)/(1-Dashboard!$C$17)*((1+Dashboard!$C$12)^$CZ48),0)</f>
        <v>13476268.644767357</v>
      </c>
      <c r="EV48" s="126">
        <f ca="1">MAX(EV47*(1+AW48)-(Dashboard!$C$11)/(1-Dashboard!$C$17)*((1+Dashboard!$C$12)^$CZ48),0)</f>
        <v>73377011.554159999</v>
      </c>
      <c r="EW48" s="126">
        <f ca="1">MAX(EW47*(1+AX48)-(Dashboard!$C$11)/(1-Dashboard!$C$17)*((1+Dashboard!$C$12)^$CZ48),0)</f>
        <v>4068566.2746351301</v>
      </c>
      <c r="EX48" s="126">
        <f ca="1">MAX(EX47*(1+AY48)-(Dashboard!$C$11)/(1-Dashboard!$C$17)*((1+Dashboard!$C$12)^$CZ48),0)</f>
        <v>10541166.615980959</v>
      </c>
      <c r="EY48" s="126">
        <f ca="1">MAX(EY47*(1+AZ48)-(Dashboard!$C$11)/(1-Dashboard!$C$17)*((1+Dashboard!$C$12)^$CZ48),0)</f>
        <v>22593375.291448057</v>
      </c>
      <c r="EZ48" s="126">
        <f ca="1">MAX(EZ47*(1+BA48)-(Dashboard!$C$11)/(1-Dashboard!$C$17)*((1+Dashboard!$C$12)^$CZ48),0)</f>
        <v>13091655.315906476</v>
      </c>
      <c r="FA48" s="126">
        <f ca="1">MAX(FA47*(1+BB48)-(Dashboard!$C$11)/(1-Dashboard!$C$17)*((1+Dashboard!$C$12)^$CZ48),0)</f>
        <v>54805904.875771441</v>
      </c>
      <c r="FB48" s="126">
        <f ca="1">MAX(FB47*(1+BC48)-(Dashboard!$C$11)/(1-Dashboard!$C$17)*((1+Dashboard!$C$12)^$CZ48),0)</f>
        <v>690677.20660476119</v>
      </c>
      <c r="FC48" s="126">
        <f ca="1">MAX(FC47*(1+BD48)-(Dashboard!$C$11)/(1-Dashboard!$C$17)*((1+Dashboard!$C$12)^$CZ48),0)</f>
        <v>12204467.639992636</v>
      </c>
      <c r="FD48" s="126">
        <f ca="1">MAX(FD47*(1+BE48)-(Dashboard!$C$11)/(1-Dashboard!$C$17)*((1+Dashboard!$C$12)^$CZ48),0)</f>
        <v>79940308.111612335</v>
      </c>
      <c r="FE48" s="126">
        <f ca="1">MAX(FE47*(1+BF48)-(Dashboard!$C$11)/(1-Dashboard!$C$17)*((1+Dashboard!$C$12)^$CZ48),0)</f>
        <v>71270619.446845099</v>
      </c>
      <c r="FF48" s="126">
        <f ca="1">MAX(FF47*(1+BG48)-(Dashboard!$C$11)/(1-Dashboard!$C$17)*((1+Dashboard!$C$12)^$CZ48),0)</f>
        <v>6330347.1743922895</v>
      </c>
      <c r="FG48" s="126">
        <f ca="1">MAX(FG47*(1+BH48)-(Dashboard!$C$11)/(1-Dashboard!$C$17)*((1+Dashboard!$C$12)^$CZ48),0)</f>
        <v>10847315.427211491</v>
      </c>
      <c r="FH48" s="126">
        <f ca="1">MAX(FH47*(1+BI48)-(Dashboard!$C$11)/(1-Dashboard!$C$17)*((1+Dashboard!$C$12)^$CZ48),0)</f>
        <v>5058683.132159289</v>
      </c>
      <c r="FI48" s="126">
        <f ca="1">MAX(FI47*(1+BJ48)-(Dashboard!$C$11)/(1-Dashboard!$C$17)*((1+Dashboard!$C$12)^$CZ48),0)</f>
        <v>41843142.824150532</v>
      </c>
      <c r="FJ48" s="126">
        <f ca="1">MAX(FJ47*(1+BK48)-(Dashboard!$C$11)/(1-Dashboard!$C$17)*((1+Dashboard!$C$12)^$CZ48),0)</f>
        <v>12354077.925326264</v>
      </c>
      <c r="FK48" s="126">
        <f ca="1">MAX(FK47*(1+BL48)-(Dashboard!$C$11)/(1-Dashboard!$C$17)*((1+Dashboard!$C$12)^$CZ48),0)</f>
        <v>10920678.71378033</v>
      </c>
      <c r="FL48" s="126">
        <f ca="1">MAX(FL47*(1+BM48)-(Dashboard!$C$11)/(1-Dashboard!$C$17)*((1+Dashboard!$C$12)^$CZ48),0)</f>
        <v>4719233.8214127151</v>
      </c>
      <c r="FM48" s="126">
        <f ca="1">MAX(FM47*(1+BN48)-(Dashboard!$C$11)/(1-Dashboard!$C$17)*((1+Dashboard!$C$12)^$CZ48),0)</f>
        <v>16474701.711799117</v>
      </c>
      <c r="FN48" s="126">
        <f ca="1">MAX(FN47*(1+BO48)-(Dashboard!$C$11)/(1-Dashboard!$C$17)*((1+Dashboard!$C$12)^$CZ48),0)</f>
        <v>0</v>
      </c>
      <c r="FO48" s="126">
        <f ca="1">MAX(FO47*(1+BP48)-(Dashboard!$C$11)/(1-Dashboard!$C$17)*((1+Dashboard!$C$12)^$CZ48),0)</f>
        <v>20002155.629468981</v>
      </c>
      <c r="FP48" s="126">
        <f ca="1">MAX(FP47*(1+BQ48)-(Dashboard!$C$11)/(1-Dashboard!$C$17)*((1+Dashboard!$C$12)^$CZ48),0)</f>
        <v>9446826.5056855381</v>
      </c>
      <c r="FQ48" s="126">
        <f ca="1">MAX(FQ47*(1+BR48)-(Dashboard!$C$11)/(1-Dashboard!$C$17)*((1+Dashboard!$C$12)^$CZ48),0)</f>
        <v>5926074.2491120892</v>
      </c>
      <c r="FR48" s="126">
        <f ca="1">MAX(FR47*(1+BS48)-(Dashboard!$C$11)/(1-Dashboard!$C$17)*((1+Dashboard!$C$12)^$CZ48),0)</f>
        <v>51440268.163856126</v>
      </c>
      <c r="FS48" s="126">
        <f ca="1">MAX(FS47*(1+BT48)-(Dashboard!$C$11)/(1-Dashboard!$C$17)*((1+Dashboard!$C$12)^$CZ48),0)</f>
        <v>33960893.758925766</v>
      </c>
      <c r="FT48" s="126">
        <f ca="1">MAX(FT47*(1+BU48)-(Dashboard!$C$11)/(1-Dashboard!$C$17)*((1+Dashboard!$C$12)^$CZ48),0)</f>
        <v>1277855.9954629017</v>
      </c>
      <c r="FU48" s="126">
        <f ca="1">MAX(FU47*(1+BV48)-(Dashboard!$C$11)/(1-Dashboard!$C$17)*((1+Dashboard!$C$12)^$CZ48),0)</f>
        <v>1916100.9575933085</v>
      </c>
      <c r="FV48" s="126">
        <f ca="1">MAX(FV47*(1+BW48)-(Dashboard!$C$11)/(1-Dashboard!$C$17)*((1+Dashboard!$C$12)^$CZ48),0)</f>
        <v>9075518.3855878375</v>
      </c>
      <c r="FW48" s="126">
        <f ca="1">MAX(FW47*(1+BX48)-(Dashboard!$C$11)/(1-Dashboard!$C$17)*((1+Dashboard!$C$12)^$CZ48),0)</f>
        <v>9319295.3026708886</v>
      </c>
      <c r="FX48" s="126">
        <f ca="1">MAX(FX47*(1+BY48)-(Dashboard!$C$11)/(1-Dashboard!$C$17)*((1+Dashboard!$C$12)^$CZ48),0)</f>
        <v>2153319.4119086182</v>
      </c>
      <c r="FY48" s="126">
        <f ca="1">MAX(FY47*(1+BZ48)-(Dashboard!$C$11)/(1-Dashboard!$C$17)*((1+Dashboard!$C$12)^$CZ48),0)</f>
        <v>6753171.425783366</v>
      </c>
      <c r="FZ48" s="126">
        <f ca="1">MAX(FZ47*(1+CA48)-(Dashboard!$C$11)/(1-Dashboard!$C$17)*((1+Dashboard!$C$12)^$CZ48),0)</f>
        <v>122324285.38014795</v>
      </c>
      <c r="GA48" s="126">
        <f ca="1">MAX(GA47*(1+CB48)-(Dashboard!$C$11)/(1-Dashboard!$C$17)*((1+Dashboard!$C$12)^$CZ48),0)</f>
        <v>78795069.114751279</v>
      </c>
      <c r="GB48" s="126">
        <f ca="1">MAX(GB47*(1+CC48)-(Dashboard!$C$11)/(1-Dashboard!$C$17)*((1+Dashboard!$C$12)^$CZ48),0)</f>
        <v>8457761.7710083798</v>
      </c>
      <c r="GC48" s="126">
        <f ca="1">MAX(GC47*(1+CD48)-(Dashboard!$C$11)/(1-Dashboard!$C$17)*((1+Dashboard!$C$12)^$CZ48),0)</f>
        <v>18846124.991239317</v>
      </c>
      <c r="GD48" s="126">
        <f ca="1">MAX(GD47*(1+CE48)-(Dashboard!$C$11)/(1-Dashboard!$C$17)*((1+Dashboard!$C$12)^$CZ48),0)</f>
        <v>168166766.21461311</v>
      </c>
      <c r="GE48" s="126">
        <f ca="1">MAX(GE47*(1+CF48)-(Dashboard!$C$11)/(1-Dashboard!$C$17)*((1+Dashboard!$C$12)^$CZ48),0)</f>
        <v>10193614.795911063</v>
      </c>
      <c r="GF48" s="126">
        <f ca="1">MAX(GF47*(1+CG48)-(Dashboard!$C$11)/(1-Dashboard!$C$17)*((1+Dashboard!$C$12)^$CZ48),0)</f>
        <v>15160559.28162251</v>
      </c>
      <c r="GG48" s="126">
        <f ca="1">MAX(GG47*(1+CH48)-(Dashboard!$C$11)/(1-Dashboard!$C$17)*((1+Dashboard!$C$12)^$CZ48),0)</f>
        <v>1085744.4726864989</v>
      </c>
      <c r="GH48" s="126">
        <f ca="1">MAX(GH47*(1+CI48)-(Dashboard!$C$11)/(1-Dashboard!$C$17)*((1+Dashboard!$C$12)^$CZ48),0)</f>
        <v>5066048.0964191221</v>
      </c>
      <c r="GI48" s="126">
        <f ca="1">MAX(GI47*(1+CJ48)-(Dashboard!$C$11)/(1-Dashboard!$C$17)*((1+Dashboard!$C$12)^$CZ48),0)</f>
        <v>66843858.121943012</v>
      </c>
      <c r="GJ48" s="126">
        <f ca="1">MAX(GJ47*(1+CK48)-(Dashboard!$C$11)/(1-Dashboard!$C$17)*((1+Dashboard!$C$12)^$CZ48),0)</f>
        <v>73123157.603673503</v>
      </c>
      <c r="GK48" s="126">
        <f ca="1">MAX(GK47*(1+CL48)-(Dashboard!$C$11)/(1-Dashboard!$C$17)*((1+Dashboard!$C$12)^$CZ48),0)</f>
        <v>12812611.171013685</v>
      </c>
      <c r="GL48" s="126">
        <f ca="1">MAX(GL47*(1+CM48)-(Dashboard!$C$11)/(1-Dashboard!$C$17)*((1+Dashboard!$C$12)^$CZ48),0)</f>
        <v>15999034.466582989</v>
      </c>
      <c r="GM48" s="126">
        <f ca="1">MAX(GM47*(1+CN48)-(Dashboard!$C$11)/(1-Dashboard!$C$17)*((1+Dashboard!$C$12)^$CZ48),0)</f>
        <v>8217241.162718297</v>
      </c>
      <c r="GN48" s="126">
        <f ca="1">MAX(GN47*(1+CO48)-(Dashboard!$C$11)/(1-Dashboard!$C$17)*((1+Dashboard!$C$12)^$CZ48),0)</f>
        <v>0</v>
      </c>
      <c r="GO48" s="126">
        <f ca="1">MAX(GO47*(1+CP48)-(Dashboard!$C$11)/(1-Dashboard!$C$17)*((1+Dashboard!$C$12)^$CZ48),0)</f>
        <v>30430533.878641333</v>
      </c>
      <c r="GP48" s="126">
        <f ca="1">MAX(GP47*(1+CQ48)-(Dashboard!$C$11)/(1-Dashboard!$C$17)*((1+Dashboard!$C$12)^$CZ48),0)</f>
        <v>45173409.279999204</v>
      </c>
      <c r="GQ48" s="126">
        <f ca="1">MAX(GQ47*(1+CR48)-(Dashboard!$C$11)/(1-Dashboard!$C$17)*((1+Dashboard!$C$12)^$CZ48),0)</f>
        <v>1622134.7594751969</v>
      </c>
      <c r="GR48" s="126">
        <f ca="1">MAX(GR47*(1+CS48)-(Dashboard!$C$11)/(1-Dashboard!$C$17)*((1+Dashboard!$C$12)^$CZ48),0)</f>
        <v>3328738.9125813656</v>
      </c>
      <c r="GS48" s="126">
        <f ca="1">MAX(GS47*(1+CT48)-(Dashboard!$C$11)/(1-Dashboard!$C$17)*((1+Dashboard!$C$12)^$CZ48),0)</f>
        <v>26050527.697321363</v>
      </c>
      <c r="GT48" s="126">
        <f ca="1">MAX(GT47*(1+CU48)-(Dashboard!$C$11)/(1-Dashboard!$C$17)*((1+Dashboard!$C$12)^$CZ48),0)</f>
        <v>197881724.61624122</v>
      </c>
      <c r="GU48" s="126">
        <f ca="1">MAX(GU47*(1+CV48)-(Dashboard!$C$11)/(1-Dashboard!$C$17)*((1+Dashboard!$C$12)^$CZ48),0)</f>
        <v>10439921.651700143</v>
      </c>
      <c r="GV48" s="126">
        <f ca="1">MAX(GV47*(1+CW48)-(Dashboard!$C$11)/(1-Dashboard!$C$17)*((1+Dashboard!$C$12)^$CZ48),0)</f>
        <v>6663497.378869147</v>
      </c>
      <c r="GW48" s="115">
        <f t="shared" si="4"/>
        <v>97</v>
      </c>
      <c r="GX48" s="130">
        <f ca="1">COUNTIF(DA48:GV48,"&gt;0")</f>
        <v>95</v>
      </c>
      <c r="HC48" s="130">
        <f t="shared" si="7"/>
        <v>97</v>
      </c>
      <c r="HD48" s="137">
        <f t="shared" ca="1" si="8"/>
        <v>5572938.9060805971</v>
      </c>
      <c r="HE48" s="137">
        <f t="shared" ca="1" si="8"/>
        <v>11878374.335980769</v>
      </c>
      <c r="HF48" s="137">
        <f t="shared" ca="1" si="8"/>
        <v>31546931.062025141</v>
      </c>
    </row>
    <row r="49" spans="1:214" ht="16">
      <c r="A49" s="145">
        <f t="shared" si="3"/>
        <v>98</v>
      </c>
      <c r="B49" s="122">
        <f ca="1">(Dashboard!$C$7*'Equity and Bond Returns'!N49)+(Dashboard!$C$8*'Equity and Bond Returns'!DL49)</f>
        <v>0.21117179629487781</v>
      </c>
      <c r="C49" s="122">
        <f ca="1">(Dashboard!$C$7*'Equity and Bond Returns'!O49)+(Dashboard!$C$8*'Equity and Bond Returns'!DM49)</f>
        <v>5.7500684121729213E-2</v>
      </c>
      <c r="D49" s="122">
        <f ca="1">(Dashboard!$C$7*'Equity and Bond Returns'!P49)+(Dashboard!$C$8*'Equity and Bond Returns'!DN49)</f>
        <v>0.12559234561999322</v>
      </c>
      <c r="E49" s="122">
        <f ca="1">(Dashboard!$C$7*'Equity and Bond Returns'!Q49)+(Dashboard!$C$8*'Equity and Bond Returns'!DO49)</f>
        <v>-3.5786956849658769E-2</v>
      </c>
      <c r="F49" s="122">
        <f ca="1">(Dashboard!$C$7*'Equity and Bond Returns'!R49)+(Dashboard!$C$8*'Equity and Bond Returns'!DP49)</f>
        <v>-0.11401926615688181</v>
      </c>
      <c r="G49" s="122">
        <f ca="1">(Dashboard!$C$7*'Equity and Bond Returns'!S49)+(Dashboard!$C$8*'Equity and Bond Returns'!DQ49)</f>
        <v>-0.10359620572940725</v>
      </c>
      <c r="H49" s="122">
        <f ca="1">(Dashboard!$C$7*'Equity and Bond Returns'!T49)+(Dashboard!$C$8*'Equity and Bond Returns'!DR49)</f>
        <v>0.16224272314313831</v>
      </c>
      <c r="I49" s="122">
        <f ca="1">(Dashboard!$C$7*'Equity and Bond Returns'!U49)+(Dashboard!$C$8*'Equity and Bond Returns'!DS49)</f>
        <v>0.19416897995441768</v>
      </c>
      <c r="J49" s="122">
        <f ca="1">(Dashboard!$C$7*'Equity and Bond Returns'!V49)+(Dashboard!$C$8*'Equity and Bond Returns'!DT49)</f>
        <v>0.15752749571857061</v>
      </c>
      <c r="K49" s="122">
        <f ca="1">(Dashboard!$C$7*'Equity and Bond Returns'!W49)+(Dashboard!$C$8*'Equity and Bond Returns'!DU49)</f>
        <v>6.7973211899368113E-2</v>
      </c>
      <c r="L49" s="122">
        <f ca="1">(Dashboard!$C$7*'Equity and Bond Returns'!X49)+(Dashboard!$C$8*'Equity and Bond Returns'!DV49)</f>
        <v>6.3327849317017237E-2</v>
      </c>
      <c r="M49" s="122">
        <f ca="1">(Dashboard!$C$7*'Equity and Bond Returns'!Y49)+(Dashboard!$C$8*'Equity and Bond Returns'!DW49)</f>
        <v>0.11933044381922421</v>
      </c>
      <c r="N49" s="122">
        <f ca="1">(Dashboard!$C$7*'Equity and Bond Returns'!Z49)+(Dashboard!$C$8*'Equity and Bond Returns'!DX49)</f>
        <v>0.27565210134100315</v>
      </c>
      <c r="O49" s="122">
        <f ca="1">(Dashboard!$C$7*'Equity and Bond Returns'!AA49)+(Dashboard!$C$8*'Equity and Bond Returns'!DY49)</f>
        <v>0.10584543247790711</v>
      </c>
      <c r="P49" s="122">
        <f ca="1">(Dashboard!$C$7*'Equity and Bond Returns'!AB49)+(Dashboard!$C$8*'Equity and Bond Returns'!DZ49)</f>
        <v>3.9861452488370065E-2</v>
      </c>
      <c r="Q49" s="122">
        <f ca="1">(Dashboard!$C$7*'Equity and Bond Returns'!AC49)+(Dashboard!$C$8*'Equity and Bond Returns'!EA49)</f>
        <v>-9.7080939089108545E-2</v>
      </c>
      <c r="R49" s="122">
        <f ca="1">(Dashboard!$C$7*'Equity and Bond Returns'!AD49)+(Dashboard!$C$8*'Equity and Bond Returns'!EB49)</f>
        <v>0.22927684327832648</v>
      </c>
      <c r="S49" s="122">
        <f ca="1">(Dashboard!$C$7*'Equity and Bond Returns'!AE49)+(Dashboard!$C$8*'Equity and Bond Returns'!EC49)</f>
        <v>-0.3690563097815166</v>
      </c>
      <c r="T49" s="122">
        <f ca="1">(Dashboard!$C$7*'Equity and Bond Returns'!AF49)+(Dashboard!$C$8*'Equity and Bond Returns'!ED49)</f>
        <v>0.19156676000162015</v>
      </c>
      <c r="U49" s="122">
        <f ca="1">(Dashboard!$C$7*'Equity and Bond Returns'!AG49)+(Dashboard!$C$8*'Equity and Bond Returns'!EE49)</f>
        <v>-2.7728425099525486E-2</v>
      </c>
      <c r="V49" s="122">
        <f ca="1">(Dashboard!$C$7*'Equity and Bond Returns'!AH49)+(Dashboard!$C$8*'Equity and Bond Returns'!EF49)</f>
        <v>0.10135189561724572</v>
      </c>
      <c r="W49" s="122">
        <f ca="1">(Dashboard!$C$7*'Equity and Bond Returns'!AI49)+(Dashboard!$C$8*'Equity and Bond Returns'!EG49)</f>
        <v>0.16514692364123845</v>
      </c>
      <c r="X49" s="122">
        <f ca="1">(Dashboard!$C$7*'Equity and Bond Returns'!AJ49)+(Dashboard!$C$8*'Equity and Bond Returns'!EH49)</f>
        <v>0.31036748136028364</v>
      </c>
      <c r="Y49" s="122">
        <f ca="1">(Dashboard!$C$7*'Equity and Bond Returns'!AK49)+(Dashboard!$C$8*'Equity and Bond Returns'!EI49)</f>
        <v>0.22792889850584075</v>
      </c>
      <c r="Z49" s="122">
        <f ca="1">(Dashboard!$C$7*'Equity and Bond Returns'!AL49)+(Dashboard!$C$8*'Equity and Bond Returns'!EJ49)</f>
        <v>0.11326632807337655</v>
      </c>
      <c r="AA49" s="122">
        <f ca="1">(Dashboard!$C$7*'Equity and Bond Returns'!AM49)+(Dashboard!$C$8*'Equity and Bond Returns'!EK49)</f>
        <v>-0.10546936440235861</v>
      </c>
      <c r="AB49" s="122">
        <f ca="1">(Dashboard!$C$7*'Equity and Bond Returns'!AN49)+(Dashboard!$C$8*'Equity and Bond Returns'!EL49)</f>
        <v>-6.3106284589362655E-2</v>
      </c>
      <c r="AC49" s="122">
        <f ca="1">(Dashboard!$C$7*'Equity and Bond Returns'!AO49)+(Dashboard!$C$8*'Equity and Bond Returns'!EM49)</f>
        <v>-9.9809926075166991E-2</v>
      </c>
      <c r="AD49" s="122">
        <f ca="1">(Dashboard!$C$7*'Equity and Bond Returns'!AP49)+(Dashboard!$C$8*'Equity and Bond Returns'!EN49)</f>
        <v>8.9276388586792627E-2</v>
      </c>
      <c r="AE49" s="122">
        <f ca="1">(Dashboard!$C$7*'Equity and Bond Returns'!AQ49)+(Dashboard!$C$8*'Equity and Bond Returns'!EO49)</f>
        <v>0.29995137014204026</v>
      </c>
      <c r="AF49" s="122">
        <f ca="1">(Dashboard!$C$7*'Equity and Bond Returns'!AR49)+(Dashboard!$C$8*'Equity and Bond Returns'!EP49)</f>
        <v>0.17045715999429162</v>
      </c>
      <c r="AG49" s="122">
        <f ca="1">(Dashboard!$C$7*'Equity and Bond Returns'!AS49)+(Dashboard!$C$8*'Equity and Bond Returns'!EQ49)</f>
        <v>-0.11968523082794336</v>
      </c>
      <c r="AH49" s="122">
        <f ca="1">(Dashboard!$C$7*'Equity and Bond Returns'!AT49)+(Dashboard!$C$8*'Equity and Bond Returns'!ER49)</f>
        <v>7.9581578378368392E-2</v>
      </c>
      <c r="AI49" s="122">
        <f ca="1">(Dashboard!$C$7*'Equity and Bond Returns'!AU49)+(Dashboard!$C$8*'Equity and Bond Returns'!ES49)</f>
        <v>0.22141182273251628</v>
      </c>
      <c r="AJ49" s="122">
        <f ca="1">(Dashboard!$C$7*'Equity and Bond Returns'!AV49)+(Dashboard!$C$8*'Equity and Bond Returns'!ET49)</f>
        <v>0.13659151446176687</v>
      </c>
      <c r="AK49" s="122">
        <f ca="1">(Dashboard!$C$7*'Equity and Bond Returns'!AW49)+(Dashboard!$C$8*'Equity and Bond Returns'!EU49)</f>
        <v>0.1443460019350466</v>
      </c>
      <c r="AL49" s="122">
        <f ca="1">(Dashboard!$C$7*'Equity and Bond Returns'!AX49)+(Dashboard!$C$8*'Equity and Bond Returns'!EV49)</f>
        <v>-0.16086264914691401</v>
      </c>
      <c r="AM49" s="122">
        <f ca="1">(Dashboard!$C$7*'Equity and Bond Returns'!AY49)+(Dashboard!$C$8*'Equity and Bond Returns'!EW49)</f>
        <v>0.10953415857937901</v>
      </c>
      <c r="AN49" s="122">
        <f ca="1">(Dashboard!$C$7*'Equity and Bond Returns'!AZ49)+(Dashboard!$C$8*'Equity and Bond Returns'!EX49)</f>
        <v>-7.0502143789652666E-2</v>
      </c>
      <c r="AO49" s="122">
        <f ca="1">(Dashboard!$C$7*'Equity and Bond Returns'!BA49)+(Dashboard!$C$8*'Equity and Bond Returns'!EY49)</f>
        <v>0.27846737226007984</v>
      </c>
      <c r="AP49" s="122">
        <f ca="1">(Dashboard!$C$7*'Equity and Bond Returns'!BB49)+(Dashboard!$C$8*'Equity and Bond Returns'!EZ49)</f>
        <v>0.11114429748502899</v>
      </c>
      <c r="AQ49" s="122">
        <f ca="1">(Dashboard!$C$7*'Equity and Bond Returns'!BC49)+(Dashboard!$C$8*'Equity and Bond Returns'!FA49)</f>
        <v>0.10687611477685581</v>
      </c>
      <c r="AR49" s="122">
        <f ca="1">(Dashboard!$C$7*'Equity and Bond Returns'!BD49)+(Dashboard!$C$8*'Equity and Bond Returns'!FB49)</f>
        <v>-0.19098909037433878</v>
      </c>
      <c r="AS49" s="122">
        <f ca="1">(Dashboard!$C$7*'Equity and Bond Returns'!BE49)+(Dashboard!$C$8*'Equity and Bond Returns'!FC49)</f>
        <v>-6.1819369103172483E-2</v>
      </c>
      <c r="AT49" s="122">
        <f ca="1">(Dashboard!$C$7*'Equity and Bond Returns'!BF49)+(Dashboard!$C$8*'Equity and Bond Returns'!FD49)</f>
        <v>3.2755374772005422E-2</v>
      </c>
      <c r="AU49" s="122">
        <f ca="1">(Dashboard!$C$7*'Equity and Bond Returns'!BG49)+(Dashboard!$C$8*'Equity and Bond Returns'!FE49)</f>
        <v>0.28382869399173521</v>
      </c>
      <c r="AV49" s="122">
        <f ca="1">(Dashboard!$C$7*'Equity and Bond Returns'!BH49)+(Dashboard!$C$8*'Equity and Bond Returns'!FF49)</f>
        <v>8.7921526483750539E-2</v>
      </c>
      <c r="AW49" s="122">
        <f ca="1">(Dashboard!$C$7*'Equity and Bond Returns'!BI49)+(Dashboard!$C$8*'Equity and Bond Returns'!FG49)</f>
        <v>0.29972077897404892</v>
      </c>
      <c r="AX49" s="122">
        <f ca="1">(Dashboard!$C$7*'Equity and Bond Returns'!BJ49)+(Dashboard!$C$8*'Equity and Bond Returns'!FH49)</f>
        <v>0.20760564039980214</v>
      </c>
      <c r="AY49" s="122">
        <f ca="1">(Dashboard!$C$7*'Equity and Bond Returns'!BK49)+(Dashboard!$C$8*'Equity and Bond Returns'!FI49)</f>
        <v>0.20902122008522372</v>
      </c>
      <c r="AZ49" s="122">
        <f ca="1">(Dashboard!$C$7*'Equity and Bond Returns'!BL49)+(Dashboard!$C$8*'Equity and Bond Returns'!FJ49)</f>
        <v>5.548560706358649E-2</v>
      </c>
      <c r="BA49" s="122">
        <f ca="1">(Dashboard!$C$7*'Equity and Bond Returns'!BM49)+(Dashboard!$C$8*'Equity and Bond Returns'!FK49)</f>
        <v>0.23116116054791019</v>
      </c>
      <c r="BB49" s="122">
        <f ca="1">(Dashboard!$C$7*'Equity and Bond Returns'!BN49)+(Dashboard!$C$8*'Equity and Bond Returns'!FL49)</f>
        <v>-8.7256544796877278E-2</v>
      </c>
      <c r="BC49" s="122">
        <f ca="1">(Dashboard!$C$7*'Equity and Bond Returns'!BO49)+(Dashboard!$C$8*'Equity and Bond Returns'!FM49)</f>
        <v>-0.18542299045393923</v>
      </c>
      <c r="BD49" s="122">
        <f ca="1">(Dashboard!$C$7*'Equity and Bond Returns'!BP49)+(Dashboard!$C$8*'Equity and Bond Returns'!FN49)</f>
        <v>0.25700002664353988</v>
      </c>
      <c r="BE49" s="122">
        <f ca="1">(Dashboard!$C$7*'Equity and Bond Returns'!BQ49)+(Dashboard!$C$8*'Equity and Bond Returns'!FO49)</f>
        <v>-0.12110993310580292</v>
      </c>
      <c r="BF49" s="122">
        <f ca="1">(Dashboard!$C$7*'Equity and Bond Returns'!BR49)+(Dashboard!$C$8*'Equity and Bond Returns'!FP49)</f>
        <v>2.2394498346844587E-2</v>
      </c>
      <c r="BG49" s="122">
        <f ca="1">(Dashboard!$C$7*'Equity and Bond Returns'!BS49)+(Dashboard!$C$8*'Equity and Bond Returns'!FQ49)</f>
        <v>0.22063916914470294</v>
      </c>
      <c r="BH49" s="122">
        <f ca="1">(Dashboard!$C$7*'Equity and Bond Returns'!BT49)+(Dashboard!$C$8*'Equity and Bond Returns'!FR49)</f>
        <v>-9.4559876166985246E-2</v>
      </c>
      <c r="BI49" s="122">
        <f ca="1">(Dashboard!$C$7*'Equity and Bond Returns'!BU49)+(Dashboard!$C$8*'Equity and Bond Returns'!FS49)</f>
        <v>6.2350360070672725E-2</v>
      </c>
      <c r="BJ49" s="122">
        <f ca="1">(Dashboard!$C$7*'Equity and Bond Returns'!BV49)+(Dashboard!$C$8*'Equity and Bond Returns'!FT49)</f>
        <v>0.20196516223404501</v>
      </c>
      <c r="BK49" s="122">
        <f ca="1">(Dashboard!$C$7*'Equity and Bond Returns'!BW49)+(Dashboard!$C$8*'Equity and Bond Returns'!FU49)</f>
        <v>9.3634625852181783E-2</v>
      </c>
      <c r="BL49" s="122">
        <f ca="1">(Dashboard!$C$7*'Equity and Bond Returns'!BX49)+(Dashboard!$C$8*'Equity and Bond Returns'!FV49)</f>
        <v>7.9968052496700442E-2</v>
      </c>
      <c r="BM49" s="122">
        <f ca="1">(Dashboard!$C$7*'Equity and Bond Returns'!BY49)+(Dashboard!$C$8*'Equity and Bond Returns'!FW49)</f>
        <v>0.14458554942315896</v>
      </c>
      <c r="BN49" s="122">
        <f ca="1">(Dashboard!$C$7*'Equity and Bond Returns'!BZ49)+(Dashboard!$C$8*'Equity and Bond Returns'!FX49)</f>
        <v>-0.16517861456419378</v>
      </c>
      <c r="BO49" s="122">
        <f ca="1">(Dashboard!$C$7*'Equity and Bond Returns'!CA49)+(Dashboard!$C$8*'Equity and Bond Returns'!FY49)</f>
        <v>0.11552694724960449</v>
      </c>
      <c r="BP49" s="122">
        <f ca="1">(Dashboard!$C$7*'Equity and Bond Returns'!CB49)+(Dashboard!$C$8*'Equity and Bond Returns'!FZ49)</f>
        <v>0.28809675892151804</v>
      </c>
      <c r="BQ49" s="122">
        <f ca="1">(Dashboard!$C$7*'Equity and Bond Returns'!CC49)+(Dashboard!$C$8*'Equity and Bond Returns'!GA49)</f>
        <v>0.29926006934482968</v>
      </c>
      <c r="BR49" s="122">
        <f ca="1">(Dashboard!$C$7*'Equity and Bond Returns'!CD49)+(Dashboard!$C$8*'Equity and Bond Returns'!GB49)</f>
        <v>0.10056574372847962</v>
      </c>
      <c r="BS49" s="122">
        <f ca="1">(Dashboard!$C$7*'Equity and Bond Returns'!CE49)+(Dashboard!$C$8*'Equity and Bond Returns'!GC49)</f>
        <v>0.11934259029680527</v>
      </c>
      <c r="BT49" s="122">
        <f ca="1">(Dashboard!$C$7*'Equity and Bond Returns'!CF49)+(Dashboard!$C$8*'Equity and Bond Returns'!GD49)</f>
        <v>0.26052452076739202</v>
      </c>
      <c r="BU49" s="122">
        <f ca="1">(Dashboard!$C$7*'Equity and Bond Returns'!CG49)+(Dashboard!$C$8*'Equity and Bond Returns'!GE49)</f>
        <v>0.22406516664763346</v>
      </c>
      <c r="BV49" s="122">
        <f ca="1">(Dashboard!$C$7*'Equity and Bond Returns'!CH49)+(Dashboard!$C$8*'Equity and Bond Returns'!GF49)</f>
        <v>0.37474244611893753</v>
      </c>
      <c r="BW49" s="122">
        <f ca="1">(Dashboard!$C$7*'Equity and Bond Returns'!CI49)+(Dashboard!$C$8*'Equity and Bond Returns'!GG49)</f>
        <v>1.9818985413714491E-2</v>
      </c>
      <c r="BX49" s="122">
        <f ca="1">(Dashboard!$C$7*'Equity and Bond Returns'!CJ49)+(Dashboard!$C$8*'Equity and Bond Returns'!GH49)</f>
        <v>0.339818276558284</v>
      </c>
      <c r="BY49" s="122">
        <f ca="1">(Dashboard!$C$7*'Equity and Bond Returns'!CK49)+(Dashboard!$C$8*'Equity and Bond Returns'!GI49)</f>
        <v>-0.12842181453367496</v>
      </c>
      <c r="BZ49" s="122">
        <f ca="1">(Dashboard!$C$7*'Equity and Bond Returns'!CL49)+(Dashboard!$C$8*'Equity and Bond Returns'!GJ49)</f>
        <v>4.324069806542321E-2</v>
      </c>
      <c r="CA49" s="122">
        <f ca="1">(Dashboard!$C$7*'Equity and Bond Returns'!CM49)+(Dashboard!$C$8*'Equity and Bond Returns'!GK49)</f>
        <v>0.33836039274086921</v>
      </c>
      <c r="CB49" s="122">
        <f ca="1">(Dashboard!$C$7*'Equity and Bond Returns'!CN49)+(Dashboard!$C$8*'Equity and Bond Returns'!GL49)</f>
        <v>-0.1908526230932556</v>
      </c>
      <c r="CC49" s="122">
        <f ca="1">(Dashboard!$C$7*'Equity and Bond Returns'!CO49)+(Dashboard!$C$8*'Equity and Bond Returns'!GM49)</f>
        <v>-3.6240043595755264E-2</v>
      </c>
      <c r="CD49" s="122">
        <f ca="1">(Dashboard!$C$7*'Equity and Bond Returns'!CP49)+(Dashboard!$C$8*'Equity and Bond Returns'!GN49)</f>
        <v>-4.680318646970065E-2</v>
      </c>
      <c r="CE49" s="122">
        <f ca="1">(Dashboard!$C$7*'Equity and Bond Returns'!CQ49)+(Dashboard!$C$8*'Equity and Bond Returns'!GO49)</f>
        <v>0.22079225416979018</v>
      </c>
      <c r="CF49" s="122">
        <f ca="1">(Dashboard!$C$7*'Equity and Bond Returns'!CR49)+(Dashboard!$C$8*'Equity and Bond Returns'!GP49)</f>
        <v>0.35046035862820485</v>
      </c>
      <c r="CG49" s="122">
        <f ca="1">(Dashboard!$C$7*'Equity and Bond Returns'!CS49)+(Dashboard!$C$8*'Equity and Bond Returns'!GQ49)</f>
        <v>7.6636329899435751E-2</v>
      </c>
      <c r="CH49" s="122">
        <f ca="1">(Dashboard!$C$7*'Equity and Bond Returns'!CT49)+(Dashboard!$C$8*'Equity and Bond Returns'!GR49)</f>
        <v>9.5929947337285965E-2</v>
      </c>
      <c r="CI49" s="122">
        <f ca="1">(Dashboard!$C$7*'Equity and Bond Returns'!CU49)+(Dashboard!$C$8*'Equity and Bond Returns'!GS49)</f>
        <v>0.15620761286793322</v>
      </c>
      <c r="CJ49" s="122">
        <f ca="1">(Dashboard!$C$7*'Equity and Bond Returns'!CV49)+(Dashboard!$C$8*'Equity and Bond Returns'!GT49)</f>
        <v>2.998799500988962E-3</v>
      </c>
      <c r="CK49" s="122">
        <f ca="1">(Dashboard!$C$7*'Equity and Bond Returns'!CW49)+(Dashboard!$C$8*'Equity and Bond Returns'!GU49)</f>
        <v>6.842446984317635E-2</v>
      </c>
      <c r="CL49" s="122">
        <f ca="1">(Dashboard!$C$7*'Equity and Bond Returns'!CX49)+(Dashboard!$C$8*'Equity and Bond Returns'!GV49)</f>
        <v>0.43084122627114235</v>
      </c>
      <c r="CM49" s="122">
        <f ca="1">(Dashboard!$C$7*'Equity and Bond Returns'!CY49)+(Dashboard!$C$8*'Equity and Bond Returns'!GW49)</f>
        <v>8.1778267739436861E-3</v>
      </c>
      <c r="CN49" s="122">
        <f ca="1">(Dashboard!$C$7*'Equity and Bond Returns'!CZ49)+(Dashboard!$C$8*'Equity and Bond Returns'!GX49)</f>
        <v>4.2863162195452595E-2</v>
      </c>
      <c r="CO49" s="122">
        <f ca="1">(Dashboard!$C$7*'Equity and Bond Returns'!DA49)+(Dashboard!$C$8*'Equity and Bond Returns'!GY49)</f>
        <v>0.2097951868685316</v>
      </c>
      <c r="CP49" s="122">
        <f ca="1">(Dashboard!$C$7*'Equity and Bond Returns'!DB49)+(Dashboard!$C$8*'Equity and Bond Returns'!GZ49)</f>
        <v>2.196623303033772E-2</v>
      </c>
      <c r="CQ49" s="122">
        <f ca="1">(Dashboard!$C$7*'Equity and Bond Returns'!DC49)+(Dashboard!$C$8*'Equity and Bond Returns'!HA49)</f>
        <v>0.34222680105282832</v>
      </c>
      <c r="CR49" s="122">
        <f ca="1">(Dashboard!$C$7*'Equity and Bond Returns'!DD49)+(Dashboard!$C$8*'Equity and Bond Returns'!HB49)</f>
        <v>-4.2563037994375233E-2</v>
      </c>
      <c r="CS49" s="122">
        <f ca="1">(Dashboard!$C$7*'Equity and Bond Returns'!DE49)+(Dashboard!$C$8*'Equity and Bond Returns'!HC49)</f>
        <v>0.23081630629176994</v>
      </c>
      <c r="CT49" s="122">
        <f ca="1">(Dashboard!$C$7*'Equity and Bond Returns'!DF49)+(Dashboard!$C$8*'Equity and Bond Returns'!HD49)</f>
        <v>0.17549479986212471</v>
      </c>
      <c r="CU49" s="122">
        <f ca="1">(Dashboard!$C$7*'Equity and Bond Returns'!DG49)+(Dashboard!$C$8*'Equity and Bond Returns'!HE49)</f>
        <v>0.32499690082802218</v>
      </c>
      <c r="CV49" s="122">
        <f ca="1">(Dashboard!$C$7*'Equity and Bond Returns'!DH49)+(Dashboard!$C$8*'Equity and Bond Returns'!HF49)</f>
        <v>-9.1379802671996316E-2</v>
      </c>
      <c r="CW49" s="122">
        <f ca="1">(Dashboard!$C$7*'Equity and Bond Returns'!DI49)+(Dashboard!$C$8*'Equity and Bond Returns'!HG49)</f>
        <v>-1.2111403841743563E-2</v>
      </c>
      <c r="CY49" s="147">
        <f t="shared" si="5"/>
        <v>98</v>
      </c>
      <c r="CZ49" s="148">
        <v>48</v>
      </c>
      <c r="DA49" s="126">
        <f ca="1">MAX(DA48*(1+B49)-(Dashboard!$C$11)/(1-Dashboard!$C$17)*((1+Dashboard!$C$12)^$CZ49),0)</f>
        <v>50309795.691427618</v>
      </c>
      <c r="DB49" s="126">
        <f ca="1">MAX(DB48*(1+C49)-(Dashboard!$C$11)/(1-Dashboard!$C$17)*((1+Dashboard!$C$12)^$CZ49),0)</f>
        <v>0</v>
      </c>
      <c r="DC49" s="126">
        <f ca="1">MAX(DC48*(1+D49)-(Dashboard!$C$11)/(1-Dashboard!$C$17)*((1+Dashboard!$C$12)^$CZ49),0)</f>
        <v>27423852.94083498</v>
      </c>
      <c r="DD49" s="126">
        <f ca="1">MAX(DD48*(1+E49)-(Dashboard!$C$11)/(1-Dashboard!$C$17)*((1+Dashboard!$C$12)^$CZ49),0)</f>
        <v>1447190.5114064387</v>
      </c>
      <c r="DE49" s="126">
        <f ca="1">MAX(DE48*(1+F49)-(Dashboard!$C$11)/(1-Dashboard!$C$17)*((1+Dashboard!$C$12)^$CZ49),0)</f>
        <v>25752157.108315151</v>
      </c>
      <c r="DF49" s="126">
        <f ca="1">MAX(DF48*(1+G49)-(Dashboard!$C$11)/(1-Dashboard!$C$17)*((1+Dashboard!$C$12)^$CZ49),0)</f>
        <v>27713711.3594823</v>
      </c>
      <c r="DG49" s="126">
        <f ca="1">MAX(DG48*(1+H49)-(Dashboard!$C$11)/(1-Dashboard!$C$17)*((1+Dashboard!$C$12)^$CZ49),0)</f>
        <v>3122429.3138879715</v>
      </c>
      <c r="DH49" s="126">
        <f ca="1">MAX(DH48*(1+I49)-(Dashboard!$C$11)/(1-Dashboard!$C$17)*((1+Dashboard!$C$12)^$CZ49),0)</f>
        <v>54897988.036934055</v>
      </c>
      <c r="DI49" s="126">
        <f ca="1">MAX(DI48*(1+J49)-(Dashboard!$C$11)/(1-Dashboard!$C$17)*((1+Dashboard!$C$12)^$CZ49),0)</f>
        <v>15880810.9369283</v>
      </c>
      <c r="DJ49" s="126">
        <f ca="1">MAX(DJ48*(1+K49)-(Dashboard!$C$11)/(1-Dashboard!$C$17)*((1+Dashboard!$C$12)^$CZ49),0)</f>
        <v>10543260.193471868</v>
      </c>
      <c r="DK49" s="126">
        <f ca="1">MAX(DK48*(1+L49)-(Dashboard!$C$11)/(1-Dashboard!$C$17)*((1+Dashboard!$C$12)^$CZ49),0)</f>
        <v>16950832.111398432</v>
      </c>
      <c r="DL49" s="126">
        <f ca="1">MAX(DL48*(1+M49)-(Dashboard!$C$11)/(1-Dashboard!$C$17)*((1+Dashboard!$C$12)^$CZ49),0)</f>
        <v>706478.79853783641</v>
      </c>
      <c r="DM49" s="126">
        <f ca="1">MAX(DM48*(1+N49)-(Dashboard!$C$11)/(1-Dashboard!$C$17)*((1+Dashboard!$C$12)^$CZ49),0)</f>
        <v>40385302.289341882</v>
      </c>
      <c r="DN49" s="126">
        <f ca="1">MAX(DN48*(1+O49)-(Dashboard!$C$11)/(1-Dashboard!$C$17)*((1+Dashboard!$C$12)^$CZ49),0)</f>
        <v>172008533.90562865</v>
      </c>
      <c r="DO49" s="126">
        <f ca="1">MAX(DO48*(1+P49)-(Dashboard!$C$11)/(1-Dashboard!$C$17)*((1+Dashboard!$C$12)^$CZ49),0)</f>
        <v>7711498.3107495252</v>
      </c>
      <c r="DP49" s="126">
        <f ca="1">MAX(DP48*(1+Q49)-(Dashboard!$C$11)/(1-Dashboard!$C$17)*((1+Dashboard!$C$12)^$CZ49),0)</f>
        <v>6666856.8866934851</v>
      </c>
      <c r="DQ49" s="126">
        <f ca="1">MAX(DQ48*(1+R49)-(Dashboard!$C$11)/(1-Dashboard!$C$17)*((1+Dashboard!$C$12)^$CZ49),0)</f>
        <v>18477271.56412394</v>
      </c>
      <c r="DR49" s="126">
        <f ca="1">MAX(DR48*(1+S49)-(Dashboard!$C$11)/(1-Dashboard!$C$17)*((1+Dashboard!$C$12)^$CZ49),0)</f>
        <v>46669583.493042015</v>
      </c>
      <c r="DS49" s="126">
        <f ca="1">MAX(DS48*(1+T49)-(Dashboard!$C$11)/(1-Dashboard!$C$17)*((1+Dashboard!$C$12)^$CZ49),0)</f>
        <v>448876.81125781842</v>
      </c>
      <c r="DT49" s="126">
        <f ca="1">MAX(DT48*(1+U49)-(Dashboard!$C$11)/(1-Dashboard!$C$17)*((1+Dashboard!$C$12)^$CZ49),0)</f>
        <v>4334966.9960067039</v>
      </c>
      <c r="DU49" s="126">
        <f ca="1">MAX(DU48*(1+V49)-(Dashboard!$C$11)/(1-Dashboard!$C$17)*((1+Dashboard!$C$12)^$CZ49),0)</f>
        <v>12637898.918252364</v>
      </c>
      <c r="DV49" s="126">
        <f ca="1">MAX(DV48*(1+W49)-(Dashboard!$C$11)/(1-Dashboard!$C$17)*((1+Dashboard!$C$12)^$CZ49),0)</f>
        <v>118044988.7269555</v>
      </c>
      <c r="DW49" s="126">
        <f ca="1">MAX(DW48*(1+X49)-(Dashboard!$C$11)/(1-Dashboard!$C$17)*((1+Dashboard!$C$12)^$CZ49),0)</f>
        <v>9381937.7570496108</v>
      </c>
      <c r="DX49" s="126">
        <f ca="1">MAX(DX48*(1+Y49)-(Dashboard!$C$11)/(1-Dashboard!$C$17)*((1+Dashboard!$C$12)^$CZ49),0)</f>
        <v>10050061.320589477</v>
      </c>
      <c r="DY49" s="126">
        <f ca="1">MAX(DY48*(1+Z49)-(Dashboard!$C$11)/(1-Dashboard!$C$17)*((1+Dashboard!$C$12)^$CZ49),0)</f>
        <v>31559983.36872061</v>
      </c>
      <c r="DZ49" s="126">
        <f ca="1">MAX(DZ48*(1+AA49)-(Dashboard!$C$11)/(1-Dashboard!$C$17)*((1+Dashboard!$C$12)^$CZ49),0)</f>
        <v>1541175.3899757271</v>
      </c>
      <c r="EA49" s="126">
        <f ca="1">MAX(EA48*(1+AB49)-(Dashboard!$C$11)/(1-Dashboard!$C$17)*((1+Dashboard!$C$12)^$CZ49),0)</f>
        <v>17905271.446035124</v>
      </c>
      <c r="EB49" s="126">
        <f ca="1">MAX(EB48*(1+AC49)-(Dashboard!$C$11)/(1-Dashboard!$C$17)*((1+Dashboard!$C$12)^$CZ49),0)</f>
        <v>22584221.294354487</v>
      </c>
      <c r="EC49" s="126">
        <f ca="1">MAX(EC48*(1+AD49)-(Dashboard!$C$11)/(1-Dashboard!$C$17)*((1+Dashboard!$C$12)^$CZ49),0)</f>
        <v>46241152.456552915</v>
      </c>
      <c r="ED49" s="126">
        <f ca="1">MAX(ED48*(1+AE49)-(Dashboard!$C$11)/(1-Dashboard!$C$17)*((1+Dashboard!$C$12)^$CZ49),0)</f>
        <v>24532789.854343638</v>
      </c>
      <c r="EE49" s="126">
        <f ca="1">MAX(EE48*(1+AF49)-(Dashboard!$C$11)/(1-Dashboard!$C$17)*((1+Dashboard!$C$12)^$CZ49),0)</f>
        <v>31131998.10226322</v>
      </c>
      <c r="EF49" s="126">
        <f ca="1">MAX(EF48*(1+AG49)-(Dashboard!$C$11)/(1-Dashboard!$C$17)*((1+Dashboard!$C$12)^$CZ49),0)</f>
        <v>5542848.8747042753</v>
      </c>
      <c r="EG49" s="126">
        <f ca="1">MAX(EG48*(1+AH49)-(Dashboard!$C$11)/(1-Dashboard!$C$17)*((1+Dashboard!$C$12)^$CZ49),0)</f>
        <v>47490408.294445537</v>
      </c>
      <c r="EH49" s="126">
        <f ca="1">MAX(EH48*(1+AI49)-(Dashboard!$C$11)/(1-Dashboard!$C$17)*((1+Dashboard!$C$12)^$CZ49),0)</f>
        <v>63699193.92827554</v>
      </c>
      <c r="EI49" s="126">
        <f ca="1">MAX(EI48*(1+AJ49)-(Dashboard!$C$11)/(1-Dashboard!$C$17)*((1+Dashboard!$C$12)^$CZ49),0)</f>
        <v>0</v>
      </c>
      <c r="EJ49" s="126">
        <f ca="1">MAX(EJ48*(1+AK49)-(Dashboard!$C$11)/(1-Dashboard!$C$17)*((1+Dashboard!$C$12)^$CZ49),0)</f>
        <v>63028369.366208009</v>
      </c>
      <c r="EK49" s="126">
        <f ca="1">MAX(EK48*(1+AL49)-(Dashboard!$C$11)/(1-Dashboard!$C$17)*((1+Dashboard!$C$12)^$CZ49),0)</f>
        <v>5765557.8924313877</v>
      </c>
      <c r="EL49" s="126">
        <f ca="1">MAX(EL48*(1+AM49)-(Dashboard!$C$11)/(1-Dashboard!$C$17)*((1+Dashboard!$C$12)^$CZ49),0)</f>
        <v>5967533.1430643173</v>
      </c>
      <c r="EM49" s="126">
        <f ca="1">MAX(EM48*(1+AN49)-(Dashboard!$C$11)/(1-Dashboard!$C$17)*((1+Dashboard!$C$12)^$CZ49),0)</f>
        <v>93409442.002308205</v>
      </c>
      <c r="EN49" s="126">
        <f ca="1">MAX(EN48*(1+AO49)-(Dashboard!$C$11)/(1-Dashboard!$C$17)*((1+Dashboard!$C$12)^$CZ49),0)</f>
        <v>4437263.8596816137</v>
      </c>
      <c r="EO49" s="126">
        <f ca="1">MAX(EO48*(1+AP49)-(Dashboard!$C$11)/(1-Dashboard!$C$17)*((1+Dashboard!$C$12)^$CZ49),0)</f>
        <v>0</v>
      </c>
      <c r="EP49" s="126">
        <f ca="1">MAX(EP48*(1+AQ49)-(Dashboard!$C$11)/(1-Dashboard!$C$17)*((1+Dashboard!$C$12)^$CZ49),0)</f>
        <v>9942839.9406728856</v>
      </c>
      <c r="EQ49" s="126">
        <f ca="1">MAX(EQ48*(1+AR49)-(Dashboard!$C$11)/(1-Dashboard!$C$17)*((1+Dashboard!$C$12)^$CZ49),0)</f>
        <v>9109351.8786686175</v>
      </c>
      <c r="ER49" s="126">
        <f ca="1">MAX(ER48*(1+AS49)-(Dashboard!$C$11)/(1-Dashboard!$C$17)*((1+Dashboard!$C$12)^$CZ49),0)</f>
        <v>6128102.3369066995</v>
      </c>
      <c r="ES49" s="126">
        <f ca="1">MAX(ES48*(1+AT49)-(Dashboard!$C$11)/(1-Dashboard!$C$17)*((1+Dashboard!$C$12)^$CZ49),0)</f>
        <v>48515278.712678216</v>
      </c>
      <c r="ET49" s="126">
        <f ca="1">MAX(ET48*(1+AU49)-(Dashboard!$C$11)/(1-Dashboard!$C$17)*((1+Dashboard!$C$12)^$CZ49),0)</f>
        <v>22418868.811012562</v>
      </c>
      <c r="EU49" s="126">
        <f ca="1">MAX(EU48*(1+AV49)-(Dashboard!$C$11)/(1-Dashboard!$C$17)*((1+Dashboard!$C$12)^$CZ49),0)</f>
        <v>14575895.060310667</v>
      </c>
      <c r="EV49" s="126">
        <f ca="1">MAX(EV48*(1+AW49)-(Dashboard!$C$11)/(1-Dashboard!$C$17)*((1+Dashboard!$C$12)^$CZ49),0)</f>
        <v>95284398.92095089</v>
      </c>
      <c r="EW49" s="126">
        <f ca="1">MAX(EW48*(1+AX49)-(Dashboard!$C$11)/(1-Dashboard!$C$17)*((1+Dashboard!$C$12)^$CZ49),0)</f>
        <v>4827995.8865800537</v>
      </c>
      <c r="EX49" s="126">
        <f ca="1">MAX(EX48*(1+AY49)-(Dashboard!$C$11)/(1-Dashboard!$C$17)*((1+Dashboard!$C$12)^$CZ49),0)</f>
        <v>12659266.428165188</v>
      </c>
      <c r="EY49" s="126">
        <f ca="1">MAX(EY48*(1+AZ49)-(Dashboard!$C$11)/(1-Dashboard!$C$17)*((1+Dashboard!$C$12)^$CZ49),0)</f>
        <v>23761754.740099747</v>
      </c>
      <c r="EZ49" s="126">
        <f ca="1">MAX(EZ48*(1+BA49)-(Dashboard!$C$11)/(1-Dashboard!$C$17)*((1+Dashboard!$C$12)^$CZ49),0)</f>
        <v>16032709.857214896</v>
      </c>
      <c r="FA49" s="126">
        <f ca="1">MAX(FA48*(1+BB49)-(Dashboard!$C$11)/(1-Dashboard!$C$17)*((1+Dashboard!$C$12)^$CZ49),0)</f>
        <v>49938503.286835559</v>
      </c>
      <c r="FB49" s="126">
        <f ca="1">MAX(FB48*(1+BC49)-(Dashboard!$C$11)/(1-Dashboard!$C$17)*((1+Dashboard!$C$12)^$CZ49),0)</f>
        <v>477382.07850799261</v>
      </c>
      <c r="FC49" s="126">
        <f ca="1">MAX(FC48*(1+BD49)-(Dashboard!$C$11)/(1-Dashboard!$C$17)*((1+Dashboard!$C$12)^$CZ49),0)</f>
        <v>15255788.453631224</v>
      </c>
      <c r="FD49" s="126">
        <f ca="1">MAX(FD48*(1+BE49)-(Dashboard!$C$11)/(1-Dashboard!$C$17)*((1+Dashboard!$C$12)^$CZ49),0)</f>
        <v>70173515.048747942</v>
      </c>
      <c r="FE49" s="126">
        <f ca="1">MAX(FE48*(1+BF49)-(Dashboard!$C$11)/(1-Dashboard!$C$17)*((1+Dashboard!$C$12)^$CZ49),0)</f>
        <v>72781461.521216318</v>
      </c>
      <c r="FF49" s="126">
        <f ca="1">MAX(FF48*(1+BG49)-(Dashboard!$C$11)/(1-Dashboard!$C$17)*((1+Dashboard!$C$12)^$CZ49),0)</f>
        <v>7641842.0203379821</v>
      </c>
      <c r="FG49" s="126">
        <f ca="1">MAX(FG48*(1+BH49)-(Dashboard!$C$11)/(1-Dashboard!$C$17)*((1+Dashboard!$C$12)^$CZ49),0)</f>
        <v>9736366.9286604039</v>
      </c>
      <c r="FH49" s="126">
        <f ca="1">MAX(FH48*(1+BI49)-(Dashboard!$C$11)/(1-Dashboard!$C$17)*((1+Dashboard!$C$12)^$CZ49),0)</f>
        <v>5288866.1519231191</v>
      </c>
      <c r="FI49" s="126">
        <f ca="1">MAX(FI48*(1+BJ49)-(Dashboard!$C$11)/(1-Dashboard!$C$17)*((1+Dashboard!$C$12)^$CZ49),0)</f>
        <v>50208772.258002676</v>
      </c>
      <c r="FJ49" s="126">
        <f ca="1">MAX(FJ48*(1+BK49)-(Dashboard!$C$11)/(1-Dashboard!$C$17)*((1+Dashboard!$C$12)^$CZ49),0)</f>
        <v>13425619.694603147</v>
      </c>
      <c r="FK49" s="126">
        <f ca="1">MAX(FK48*(1+BL49)-(Dashboard!$C$11)/(1-Dashboard!$C$17)*((1+Dashboard!$C$12)^$CZ49),0)</f>
        <v>11708756.427453775</v>
      </c>
      <c r="FL49" s="126">
        <f ca="1">MAX(FL48*(1+BM49)-(Dashboard!$C$11)/(1-Dashboard!$C$17)*((1+Dashboard!$C$12)^$CZ49),0)</f>
        <v>5316339.1413282864</v>
      </c>
      <c r="FM49" s="126">
        <f ca="1">MAX(FM48*(1+BN49)-(Dashboard!$C$11)/(1-Dashboard!$C$17)*((1+Dashboard!$C$12)^$CZ49),0)</f>
        <v>13668205.612676047</v>
      </c>
      <c r="FN49" s="126">
        <f ca="1">MAX(FN48*(1+BO49)-(Dashboard!$C$11)/(1-Dashboard!$C$17)*((1+Dashboard!$C$12)^$CZ49),0)</f>
        <v>0</v>
      </c>
      <c r="FO49" s="126">
        <f ca="1">MAX(FO48*(1+BP49)-(Dashboard!$C$11)/(1-Dashboard!$C$17)*((1+Dashboard!$C$12)^$CZ49),0)</f>
        <v>25679484.14275305</v>
      </c>
      <c r="FP49" s="126">
        <f ca="1">MAX(FP48*(1+BQ49)-(Dashboard!$C$11)/(1-Dashboard!$C$17)*((1+Dashboard!$C$12)^$CZ49),0)</f>
        <v>12188656.765855828</v>
      </c>
      <c r="FQ49" s="126">
        <f ca="1">MAX(FQ48*(1+BR49)-(Dashboard!$C$11)/(1-Dashboard!$C$17)*((1+Dashboard!$C$12)^$CZ49),0)</f>
        <v>6436806.6183544984</v>
      </c>
      <c r="FR49" s="126">
        <f ca="1">MAX(FR48*(1+BS49)-(Dashboard!$C$11)/(1-Dashboard!$C$17)*((1+Dashboard!$C$12)^$CZ49),0)</f>
        <v>57494055.317083262</v>
      </c>
      <c r="FS49" s="126">
        <f ca="1">MAX(FS48*(1+BT49)-(Dashboard!$C$11)/(1-Dashboard!$C$17)*((1+Dashboard!$C$12)^$CZ49),0)</f>
        <v>42723311.635292478</v>
      </c>
      <c r="FT49" s="126">
        <f ca="1">MAX(FT48*(1+BU49)-(Dashboard!$C$11)/(1-Dashboard!$C$17)*((1+Dashboard!$C$12)^$CZ49),0)</f>
        <v>1478951.3170282338</v>
      </c>
      <c r="FU49" s="126">
        <f ca="1">MAX(FU48*(1+BV49)-(Dashboard!$C$11)/(1-Dashboard!$C$17)*((1+Dashboard!$C$12)^$CZ49),0)</f>
        <v>2548917.622442923</v>
      </c>
      <c r="FV49" s="126">
        <f ca="1">MAX(FV48*(1+BW49)-(Dashboard!$C$11)/(1-Dashboard!$C$17)*((1+Dashboard!$C$12)^$CZ49),0)</f>
        <v>9170158.2570839599</v>
      </c>
      <c r="FW49" s="126">
        <f ca="1">MAX(FW48*(1+BX49)-(Dashboard!$C$11)/(1-Dashboard!$C$17)*((1+Dashboard!$C$12)^$CZ49),0)</f>
        <v>12400934.476152482</v>
      </c>
      <c r="FX49" s="126">
        <f ca="1">MAX(FX48*(1+BY49)-(Dashboard!$C$11)/(1-Dashboard!$C$17)*((1+Dashboard!$C$12)^$CZ49),0)</f>
        <v>1791558.5307509871</v>
      </c>
      <c r="FY49" s="126">
        <f ca="1">MAX(FY48*(1+BZ49)-(Dashboard!$C$11)/(1-Dashboard!$C$17)*((1+Dashboard!$C$12)^$CZ49),0)</f>
        <v>6959955.577379968</v>
      </c>
      <c r="FZ49" s="126">
        <f ca="1">MAX(FZ48*(1+CA49)-(Dashboard!$C$11)/(1-Dashboard!$C$17)*((1+Dashboard!$C$12)^$CZ49),0)</f>
        <v>163628750.92811123</v>
      </c>
      <c r="GA49" s="126">
        <f ca="1">MAX(GA48*(1+CB49)-(Dashboard!$C$11)/(1-Dashboard!$C$17)*((1+Dashboard!$C$12)^$CZ49),0)</f>
        <v>63671595.792376891</v>
      </c>
      <c r="GB49" s="126">
        <f ca="1">MAX(GB48*(1+CC49)-(Dashboard!$C$11)/(1-Dashboard!$C$17)*((1+Dashboard!$C$12)^$CZ49),0)</f>
        <v>8066024.4206947833</v>
      </c>
      <c r="GC49" s="126">
        <f ca="1">MAX(GC48*(1+CD49)-(Dashboard!$C$11)/(1-Dashboard!$C$17)*((1+Dashboard!$C$12)^$CZ49),0)</f>
        <v>17878838.594033316</v>
      </c>
      <c r="GD49" s="126">
        <f ca="1">MAX(GD48*(1+CE49)-(Dashboard!$C$11)/(1-Dashboard!$C$17)*((1+Dashboard!$C$12)^$CZ49),0)</f>
        <v>205211457.90857193</v>
      </c>
      <c r="GE49" s="126">
        <f ca="1">MAX(GE48*(1+CF49)-(Dashboard!$C$11)/(1-Dashboard!$C$17)*((1+Dashboard!$C$12)^$CZ49),0)</f>
        <v>13680844.997994089</v>
      </c>
      <c r="GF49" s="126">
        <f ca="1">MAX(GF48*(1+CG49)-(Dashboard!$C$11)/(1-Dashboard!$C$17)*((1+Dashboard!$C$12)^$CZ49),0)</f>
        <v>16237181.209179144</v>
      </c>
      <c r="GG49" s="126">
        <f ca="1">MAX(GG48*(1+CH49)-(Dashboard!$C$11)/(1-Dashboard!$C$17)*((1+Dashboard!$C$12)^$CZ49),0)</f>
        <v>1104672.1877633233</v>
      </c>
      <c r="GH49" s="126">
        <f ca="1">MAX(GH48*(1+CI49)-(Dashboard!$C$11)/(1-Dashboard!$C$17)*((1+Dashboard!$C$12)^$CZ49),0)</f>
        <v>5772175.6812251508</v>
      </c>
      <c r="GI49" s="126">
        <f ca="1">MAX(GI48*(1+CJ49)-(Dashboard!$C$11)/(1-Dashboard!$C$17)*((1+Dashboard!$C$12)^$CZ49),0)</f>
        <v>66959081.755313538</v>
      </c>
      <c r="GJ49" s="126">
        <f ca="1">MAX(GJ48*(1+CK49)-(Dashboard!$C$11)/(1-Dashboard!$C$17)*((1+Dashboard!$C$12)^$CZ49),0)</f>
        <v>78041343.200954154</v>
      </c>
      <c r="GK49" s="126">
        <f ca="1">MAX(GK48*(1+CL49)-(Dashboard!$C$11)/(1-Dashboard!$C$17)*((1+Dashboard!$C$12)^$CZ49),0)</f>
        <v>18247584.584658816</v>
      </c>
      <c r="GL49" s="126">
        <f ca="1">MAX(GL48*(1+CM49)-(Dashboard!$C$11)/(1-Dashboard!$C$17)*((1+Dashboard!$C$12)^$CZ49),0)</f>
        <v>16044644.103991318</v>
      </c>
      <c r="GM49" s="126">
        <f ca="1">MAX(GM48*(1+CN49)-(Dashboard!$C$11)/(1-Dashboard!$C$17)*((1+Dashboard!$C$12)^$CZ49),0)</f>
        <v>8484230.4084652998</v>
      </c>
      <c r="GN49" s="126">
        <f ca="1">MAX(GN48*(1+CO49)-(Dashboard!$C$11)/(1-Dashboard!$C$17)*((1+Dashboard!$C$12)^$CZ49),0)</f>
        <v>0</v>
      </c>
      <c r="GO49" s="126">
        <f ca="1">MAX(GO48*(1+CP49)-(Dashboard!$C$11)/(1-Dashboard!$C$17)*((1+Dashboard!$C$12)^$CZ49),0)</f>
        <v>31013750.382047411</v>
      </c>
      <c r="GP49" s="126">
        <f ca="1">MAX(GP48*(1+CQ49)-(Dashboard!$C$11)/(1-Dashboard!$C$17)*((1+Dashboard!$C$12)^$CZ49),0)</f>
        <v>60547732.93553374</v>
      </c>
      <c r="GQ49" s="126">
        <f ca="1">MAX(GQ48*(1+CR49)-(Dashboard!$C$11)/(1-Dashboard!$C$17)*((1+Dashboard!$C$12)^$CZ49),0)</f>
        <v>1467864.0810659169</v>
      </c>
      <c r="GR49" s="126">
        <f ca="1">MAX(GR48*(1+CS49)-(Dashboard!$C$11)/(1-Dashboard!$C$17)*((1+Dashboard!$C$12)^$CZ49),0)</f>
        <v>4011838.4379833383</v>
      </c>
      <c r="GS49" s="126">
        <f ca="1">MAX(GS48*(1+CT49)-(Dashboard!$C$11)/(1-Dashboard!$C$17)*((1+Dashboard!$C$12)^$CZ49),0)</f>
        <v>30537032.146855772</v>
      </c>
      <c r="GT49" s="126">
        <f ca="1">MAX(GT48*(1+CU49)-(Dashboard!$C$11)/(1-Dashboard!$C$17)*((1+Dashboard!$C$12)^$CZ49),0)</f>
        <v>262107444.15201405</v>
      </c>
      <c r="GU49" s="126">
        <f ca="1">MAX(GU48*(1+CV49)-(Dashboard!$C$11)/(1-Dashboard!$C$17)*((1+Dashboard!$C$12)^$CZ49),0)</f>
        <v>9400695.9762469418</v>
      </c>
      <c r="GV49" s="126">
        <f ca="1">MAX(GV48*(1+CW49)-(Dashboard!$C$11)/(1-Dashboard!$C$17)*((1+Dashboard!$C$12)^$CZ49),0)</f>
        <v>6497565.3761055227</v>
      </c>
      <c r="GW49" s="115">
        <f t="shared" si="4"/>
        <v>98</v>
      </c>
      <c r="GX49" s="130">
        <f t="shared" ca="1" si="2"/>
        <v>95</v>
      </c>
      <c r="HC49" s="130">
        <f t="shared" si="7"/>
        <v>98</v>
      </c>
      <c r="HD49" s="137">
        <f t="shared" ca="1" si="8"/>
        <v>5767212.3396298289</v>
      </c>
      <c r="HE49" s="137">
        <f t="shared" ca="1" si="8"/>
        <v>13546912.653639596</v>
      </c>
      <c r="HF49" s="137">
        <f t="shared" ca="1" si="8"/>
        <v>38178972.559186563</v>
      </c>
    </row>
    <row r="50" spans="1:214" ht="16">
      <c r="A50" s="145">
        <f t="shared" si="3"/>
        <v>99</v>
      </c>
      <c r="B50" s="122">
        <f ca="1">(Dashboard!$C$7*'Equity and Bond Returns'!N50)+(Dashboard!$C$8*'Equity and Bond Returns'!DL50)</f>
        <v>2.1054527087018653E-2</v>
      </c>
      <c r="C50" s="122">
        <f ca="1">(Dashboard!$C$7*'Equity and Bond Returns'!O50)+(Dashboard!$C$8*'Equity and Bond Returns'!DM50)</f>
        <v>0.18319158559309001</v>
      </c>
      <c r="D50" s="122">
        <f ca="1">(Dashboard!$C$7*'Equity and Bond Returns'!P50)+(Dashboard!$C$8*'Equity and Bond Returns'!DN50)</f>
        <v>0.25442635727367241</v>
      </c>
      <c r="E50" s="122">
        <f ca="1">(Dashboard!$C$7*'Equity and Bond Returns'!Q50)+(Dashboard!$C$8*'Equity and Bond Returns'!DO50)</f>
        <v>0.10852262419119187</v>
      </c>
      <c r="F50" s="122">
        <f ca="1">(Dashboard!$C$7*'Equity and Bond Returns'!R50)+(Dashboard!$C$8*'Equity and Bond Returns'!DP50)</f>
        <v>0.14704061696805421</v>
      </c>
      <c r="G50" s="122">
        <f ca="1">(Dashboard!$C$7*'Equity and Bond Returns'!S50)+(Dashboard!$C$8*'Equity and Bond Returns'!DQ50)</f>
        <v>0.34502111255730028</v>
      </c>
      <c r="H50" s="122">
        <f ca="1">(Dashboard!$C$7*'Equity and Bond Returns'!T50)+(Dashboard!$C$8*'Equity and Bond Returns'!DR50)</f>
        <v>-9.5974519744100248E-2</v>
      </c>
      <c r="I50" s="122">
        <f ca="1">(Dashboard!$C$7*'Equity and Bond Returns'!U50)+(Dashboard!$C$8*'Equity and Bond Returns'!DS50)</f>
        <v>1.9821485309891633E-2</v>
      </c>
      <c r="J50" s="122">
        <f ca="1">(Dashboard!$C$7*'Equity and Bond Returns'!V50)+(Dashboard!$C$8*'Equity and Bond Returns'!DT50)</f>
        <v>1.983356377829542E-2</v>
      </c>
      <c r="K50" s="122">
        <f ca="1">(Dashboard!$C$7*'Equity and Bond Returns'!W50)+(Dashboard!$C$8*'Equity and Bond Returns'!DU50)</f>
        <v>9.7829749900645496E-2</v>
      </c>
      <c r="L50" s="122">
        <f ca="1">(Dashboard!$C$7*'Equity and Bond Returns'!X50)+(Dashboard!$C$8*'Equity and Bond Returns'!DV50)</f>
        <v>0.14689013150992156</v>
      </c>
      <c r="M50" s="122">
        <f ca="1">(Dashboard!$C$7*'Equity and Bond Returns'!Y50)+(Dashboard!$C$8*'Equity and Bond Returns'!DW50)</f>
        <v>-1.0403516136810564E-2</v>
      </c>
      <c r="N50" s="122">
        <f ca="1">(Dashboard!$C$7*'Equity and Bond Returns'!Z50)+(Dashboard!$C$8*'Equity and Bond Returns'!DX50)</f>
        <v>0.35900314011021817</v>
      </c>
      <c r="O50" s="122">
        <f ca="1">(Dashboard!$C$7*'Equity and Bond Returns'!AA50)+(Dashboard!$C$8*'Equity and Bond Returns'!DY50)</f>
        <v>8.5077352037278217E-2</v>
      </c>
      <c r="P50" s="122">
        <f ca="1">(Dashboard!$C$7*'Equity and Bond Returns'!AB50)+(Dashboard!$C$8*'Equity and Bond Returns'!DZ50)</f>
        <v>-9.7366368974095632E-3</v>
      </c>
      <c r="Q50" s="122">
        <f ca="1">(Dashboard!$C$7*'Equity and Bond Returns'!AC50)+(Dashboard!$C$8*'Equity and Bond Returns'!EA50)</f>
        <v>7.6765740752669454E-2</v>
      </c>
      <c r="R50" s="122">
        <f ca="1">(Dashboard!$C$7*'Equity and Bond Returns'!AD50)+(Dashboard!$C$8*'Equity and Bond Returns'!EB50)</f>
        <v>-9.7041538038541542E-2</v>
      </c>
      <c r="S50" s="122">
        <f ca="1">(Dashboard!$C$7*'Equity and Bond Returns'!AE50)+(Dashboard!$C$8*'Equity and Bond Returns'!EC50)</f>
        <v>0.11888984646793888</v>
      </c>
      <c r="T50" s="122">
        <f ca="1">(Dashboard!$C$7*'Equity and Bond Returns'!AF50)+(Dashboard!$C$8*'Equity and Bond Returns'!ED50)</f>
        <v>-0.33770417331097918</v>
      </c>
      <c r="U50" s="122">
        <f ca="1">(Dashboard!$C$7*'Equity and Bond Returns'!AG50)+(Dashboard!$C$8*'Equity and Bond Returns'!EE50)</f>
        <v>2.8123367459740103E-2</v>
      </c>
      <c r="V50" s="122">
        <f ca="1">(Dashboard!$C$7*'Equity and Bond Returns'!AH50)+(Dashboard!$C$8*'Equity and Bond Returns'!EF50)</f>
        <v>-4.1910962191473326E-2</v>
      </c>
      <c r="W50" s="122">
        <f ca="1">(Dashboard!$C$7*'Equity and Bond Returns'!AI50)+(Dashboard!$C$8*'Equity and Bond Returns'!EG50)</f>
        <v>-1.4802933605172387E-2</v>
      </c>
      <c r="X50" s="122">
        <f ca="1">(Dashboard!$C$7*'Equity and Bond Returns'!AJ50)+(Dashboard!$C$8*'Equity and Bond Returns'!EH50)</f>
        <v>0.28589936228380114</v>
      </c>
      <c r="Y50" s="122">
        <f ca="1">(Dashboard!$C$7*'Equity and Bond Returns'!AK50)+(Dashboard!$C$8*'Equity and Bond Returns'!EI50)</f>
        <v>0.12988301320891993</v>
      </c>
      <c r="Z50" s="122">
        <f ca="1">(Dashboard!$C$7*'Equity and Bond Returns'!AL50)+(Dashboard!$C$8*'Equity and Bond Returns'!EJ50)</f>
        <v>-0.20543749061666858</v>
      </c>
      <c r="AA50" s="122">
        <f ca="1">(Dashboard!$C$7*'Equity and Bond Returns'!AM50)+(Dashboard!$C$8*'Equity and Bond Returns'!EK50)</f>
        <v>0.16207849455535983</v>
      </c>
      <c r="AB50" s="122">
        <f ca="1">(Dashboard!$C$7*'Equity and Bond Returns'!AN50)+(Dashboard!$C$8*'Equity and Bond Returns'!EL50)</f>
        <v>0.1217276733481491</v>
      </c>
      <c r="AC50" s="122">
        <f ca="1">(Dashboard!$C$7*'Equity and Bond Returns'!AO50)+(Dashboard!$C$8*'Equity and Bond Returns'!EM50)</f>
        <v>0.1229694354514094</v>
      </c>
      <c r="AD50" s="122">
        <f ca="1">(Dashboard!$C$7*'Equity and Bond Returns'!AP50)+(Dashboard!$C$8*'Equity and Bond Returns'!EN50)</f>
        <v>5.7580068823224036E-2</v>
      </c>
      <c r="AE50" s="122">
        <f ca="1">(Dashboard!$C$7*'Equity and Bond Returns'!AQ50)+(Dashboard!$C$8*'Equity and Bond Returns'!EO50)</f>
        <v>0.3036641070639125</v>
      </c>
      <c r="AF50" s="122">
        <f ca="1">(Dashboard!$C$7*'Equity and Bond Returns'!AR50)+(Dashboard!$C$8*'Equity and Bond Returns'!EP50)</f>
        <v>7.8030455184707206E-2</v>
      </c>
      <c r="AG50" s="122">
        <f ca="1">(Dashboard!$C$7*'Equity and Bond Returns'!AS50)+(Dashboard!$C$8*'Equity and Bond Returns'!EQ50)</f>
        <v>0.2021284415884767</v>
      </c>
      <c r="AH50" s="122">
        <f ca="1">(Dashboard!$C$7*'Equity and Bond Returns'!AT50)+(Dashboard!$C$8*'Equity and Bond Returns'!ER50)</f>
        <v>0.19643596161850804</v>
      </c>
      <c r="AI50" s="122">
        <f ca="1">(Dashboard!$C$7*'Equity and Bond Returns'!AU50)+(Dashboard!$C$8*'Equity and Bond Returns'!ES50)</f>
        <v>0.16432936376024898</v>
      </c>
      <c r="AJ50" s="122">
        <f ca="1">(Dashboard!$C$7*'Equity and Bond Returns'!AV50)+(Dashboard!$C$8*'Equity and Bond Returns'!ET50)</f>
        <v>9.3830286309102187E-2</v>
      </c>
      <c r="AK50" s="122">
        <f ca="1">(Dashboard!$C$7*'Equity and Bond Returns'!AW50)+(Dashboard!$C$8*'Equity and Bond Returns'!EU50)</f>
        <v>0.21315280694956595</v>
      </c>
      <c r="AL50" s="122">
        <f ca="1">(Dashboard!$C$7*'Equity and Bond Returns'!AX50)+(Dashboard!$C$8*'Equity and Bond Returns'!EV50)</f>
        <v>9.6097010513007369E-2</v>
      </c>
      <c r="AM50" s="122">
        <f ca="1">(Dashboard!$C$7*'Equity and Bond Returns'!AY50)+(Dashboard!$C$8*'Equity and Bond Returns'!EW50)</f>
        <v>-7.1600198933262055E-2</v>
      </c>
      <c r="AN50" s="122">
        <f ca="1">(Dashboard!$C$7*'Equity and Bond Returns'!AZ50)+(Dashboard!$C$8*'Equity and Bond Returns'!EX50)</f>
        <v>4.3403394738273961E-2</v>
      </c>
      <c r="AO50" s="122">
        <f ca="1">(Dashboard!$C$7*'Equity and Bond Returns'!BA50)+(Dashboard!$C$8*'Equity and Bond Returns'!EY50)</f>
        <v>-0.24367696192427377</v>
      </c>
      <c r="AP50" s="122">
        <f ca="1">(Dashboard!$C$7*'Equity and Bond Returns'!BB50)+(Dashboard!$C$8*'Equity and Bond Returns'!EZ50)</f>
        <v>1.5025339006790976E-2</v>
      </c>
      <c r="AQ50" s="122">
        <f ca="1">(Dashboard!$C$7*'Equity and Bond Returns'!BC50)+(Dashboard!$C$8*'Equity and Bond Returns'!FA50)</f>
        <v>-0.14453010845320072</v>
      </c>
      <c r="AR50" s="122">
        <f ca="1">(Dashboard!$C$7*'Equity and Bond Returns'!BD50)+(Dashboard!$C$8*'Equity and Bond Returns'!FB50)</f>
        <v>8.8219178435652218E-2</v>
      </c>
      <c r="AS50" s="122">
        <f ca="1">(Dashboard!$C$7*'Equity and Bond Returns'!BE50)+(Dashboard!$C$8*'Equity and Bond Returns'!FC50)</f>
        <v>0.10225940515165459</v>
      </c>
      <c r="AT50" s="122">
        <f ca="1">(Dashboard!$C$7*'Equity and Bond Returns'!BF50)+(Dashboard!$C$8*'Equity and Bond Returns'!FD50)</f>
        <v>4.7979868059092365E-2</v>
      </c>
      <c r="AU50" s="122">
        <f ca="1">(Dashboard!$C$7*'Equity and Bond Returns'!BG50)+(Dashboard!$C$8*'Equity and Bond Returns'!FE50)</f>
        <v>-4.5889088591103619E-2</v>
      </c>
      <c r="AV50" s="122">
        <f ca="1">(Dashboard!$C$7*'Equity and Bond Returns'!BH50)+(Dashboard!$C$8*'Equity and Bond Returns'!FF50)</f>
        <v>-9.7989238606470588E-2</v>
      </c>
      <c r="AW50" s="122">
        <f ca="1">(Dashboard!$C$7*'Equity and Bond Returns'!BI50)+(Dashboard!$C$8*'Equity and Bond Returns'!FG50)</f>
        <v>0.11757807837276961</v>
      </c>
      <c r="AX50" s="122">
        <f ca="1">(Dashboard!$C$7*'Equity and Bond Returns'!BJ50)+(Dashboard!$C$8*'Equity and Bond Returns'!FH50)</f>
        <v>-0.10201574562368459</v>
      </c>
      <c r="AY50" s="122">
        <f ca="1">(Dashboard!$C$7*'Equity and Bond Returns'!BK50)+(Dashboard!$C$8*'Equity and Bond Returns'!FI50)</f>
        <v>0.12176482697953996</v>
      </c>
      <c r="AZ50" s="122">
        <f ca="1">(Dashboard!$C$7*'Equity and Bond Returns'!BL50)+(Dashboard!$C$8*'Equity and Bond Returns'!FJ50)</f>
        <v>0.17017302730605113</v>
      </c>
      <c r="BA50" s="122">
        <f ca="1">(Dashboard!$C$7*'Equity and Bond Returns'!BM50)+(Dashboard!$C$8*'Equity and Bond Returns'!FK50)</f>
        <v>0.19754337688183876</v>
      </c>
      <c r="BB50" s="122">
        <f ca="1">(Dashboard!$C$7*'Equity and Bond Returns'!BN50)+(Dashboard!$C$8*'Equity and Bond Returns'!FL50)</f>
        <v>0.1867894671133134</v>
      </c>
      <c r="BC50" s="122">
        <f ca="1">(Dashboard!$C$7*'Equity and Bond Returns'!BO50)+(Dashboard!$C$8*'Equity and Bond Returns'!FM50)</f>
        <v>-9.6450245968940626E-2</v>
      </c>
      <c r="BD50" s="122">
        <f ca="1">(Dashboard!$C$7*'Equity and Bond Returns'!BP50)+(Dashboard!$C$8*'Equity and Bond Returns'!FN50)</f>
        <v>0.35703634604953216</v>
      </c>
      <c r="BE50" s="122">
        <f ca="1">(Dashboard!$C$7*'Equity and Bond Returns'!BQ50)+(Dashboard!$C$8*'Equity and Bond Returns'!FO50)</f>
        <v>0.31216390096787228</v>
      </c>
      <c r="BF50" s="122">
        <f ca="1">(Dashboard!$C$7*'Equity and Bond Returns'!BR50)+(Dashboard!$C$8*'Equity and Bond Returns'!FP50)</f>
        <v>0.38814708037413059</v>
      </c>
      <c r="BG50" s="122">
        <f ca="1">(Dashboard!$C$7*'Equity and Bond Returns'!BS50)+(Dashboard!$C$8*'Equity and Bond Returns'!FQ50)</f>
        <v>0.21689258289009394</v>
      </c>
      <c r="BH50" s="122">
        <f ca="1">(Dashboard!$C$7*'Equity and Bond Returns'!BT50)+(Dashboard!$C$8*'Equity and Bond Returns'!FR50)</f>
        <v>0.23666976750429927</v>
      </c>
      <c r="BI50" s="122">
        <f ca="1">(Dashboard!$C$7*'Equity and Bond Returns'!BU50)+(Dashboard!$C$8*'Equity and Bond Returns'!FS50)</f>
        <v>3.0034929340047097E-2</v>
      </c>
      <c r="BJ50" s="122">
        <f ca="1">(Dashboard!$C$7*'Equity and Bond Returns'!BV50)+(Dashboard!$C$8*'Equity and Bond Returns'!FT50)</f>
        <v>-1.1544352123556666E-2</v>
      </c>
      <c r="BK50" s="122">
        <f ca="1">(Dashboard!$C$7*'Equity and Bond Returns'!BW50)+(Dashboard!$C$8*'Equity and Bond Returns'!FU50)</f>
        <v>7.7738421019887566E-2</v>
      </c>
      <c r="BL50" s="122">
        <f ca="1">(Dashboard!$C$7*'Equity and Bond Returns'!BX50)+(Dashboard!$C$8*'Equity and Bond Returns'!FV50)</f>
        <v>7.0264222505129315E-2</v>
      </c>
      <c r="BM50" s="122">
        <f ca="1">(Dashboard!$C$7*'Equity and Bond Returns'!BY50)+(Dashboard!$C$8*'Equity and Bond Returns'!FW50)</f>
        <v>0.22600042946873206</v>
      </c>
      <c r="BN50" s="122">
        <f ca="1">(Dashboard!$C$7*'Equity and Bond Returns'!BZ50)+(Dashboard!$C$8*'Equity and Bond Returns'!FX50)</f>
        <v>0.11149016247077694</v>
      </c>
      <c r="BO50" s="122">
        <f ca="1">(Dashboard!$C$7*'Equity and Bond Returns'!CA50)+(Dashboard!$C$8*'Equity and Bond Returns'!FY50)</f>
        <v>0.12294069420631591</v>
      </c>
      <c r="BP50" s="122">
        <f ca="1">(Dashboard!$C$7*'Equity and Bond Returns'!CB50)+(Dashboard!$C$8*'Equity and Bond Returns'!FZ50)</f>
        <v>0.13297636051734818</v>
      </c>
      <c r="BQ50" s="122">
        <f ca="1">(Dashboard!$C$7*'Equity and Bond Returns'!CC50)+(Dashboard!$C$8*'Equity and Bond Returns'!GA50)</f>
        <v>2.4436712449440182E-2</v>
      </c>
      <c r="BR50" s="122">
        <f ca="1">(Dashboard!$C$7*'Equity and Bond Returns'!CD50)+(Dashboard!$C$8*'Equity and Bond Returns'!GB50)</f>
        <v>-8.0352069100526308E-2</v>
      </c>
      <c r="BS50" s="122">
        <f ca="1">(Dashboard!$C$7*'Equity and Bond Returns'!CE50)+(Dashboard!$C$8*'Equity and Bond Returns'!GC50)</f>
        <v>4.3072554624149384E-2</v>
      </c>
      <c r="BT50" s="122">
        <f ca="1">(Dashboard!$C$7*'Equity and Bond Returns'!CF50)+(Dashboard!$C$8*'Equity and Bond Returns'!GD50)</f>
        <v>0.30041655805702494</v>
      </c>
      <c r="BU50" s="122">
        <f ca="1">(Dashboard!$C$7*'Equity and Bond Returns'!CG50)+(Dashboard!$C$8*'Equity and Bond Returns'!GE50)</f>
        <v>0.15903852373999364</v>
      </c>
      <c r="BV50" s="122">
        <f ca="1">(Dashboard!$C$7*'Equity and Bond Returns'!CH50)+(Dashboard!$C$8*'Equity and Bond Returns'!GF50)</f>
        <v>1.3725468876037277E-2</v>
      </c>
      <c r="BW50" s="122">
        <f ca="1">(Dashboard!$C$7*'Equity and Bond Returns'!CI50)+(Dashboard!$C$8*'Equity and Bond Returns'!GG50)</f>
        <v>0.13063103194612213</v>
      </c>
      <c r="BX50" s="122">
        <f ca="1">(Dashboard!$C$7*'Equity and Bond Returns'!CJ50)+(Dashboard!$C$8*'Equity and Bond Returns'!GH50)</f>
        <v>0.16368972223836117</v>
      </c>
      <c r="BY50" s="122">
        <f ca="1">(Dashboard!$C$7*'Equity and Bond Returns'!CK50)+(Dashboard!$C$8*'Equity and Bond Returns'!GI50)</f>
        <v>7.5435396827454211E-3</v>
      </c>
      <c r="BZ50" s="122">
        <f ca="1">(Dashboard!$C$7*'Equity and Bond Returns'!CL50)+(Dashboard!$C$8*'Equity and Bond Returns'!GJ50)</f>
        <v>3.2328070104189734E-2</v>
      </c>
      <c r="CA50" s="122">
        <f ca="1">(Dashboard!$C$7*'Equity and Bond Returns'!CM50)+(Dashboard!$C$8*'Equity and Bond Returns'!GK50)</f>
        <v>5.6312706375218818E-2</v>
      </c>
      <c r="CB50" s="122">
        <f ca="1">(Dashboard!$C$7*'Equity and Bond Returns'!CN50)+(Dashboard!$C$8*'Equity and Bond Returns'!GL50)</f>
        <v>0.22969438034995854</v>
      </c>
      <c r="CC50" s="122">
        <f ca="1">(Dashboard!$C$7*'Equity and Bond Returns'!CO50)+(Dashboard!$C$8*'Equity and Bond Returns'!GM50)</f>
        <v>0.10967493123654241</v>
      </c>
      <c r="CD50" s="122">
        <f ca="1">(Dashboard!$C$7*'Equity and Bond Returns'!CP50)+(Dashboard!$C$8*'Equity and Bond Returns'!GN50)</f>
        <v>6.0424743454989098E-2</v>
      </c>
      <c r="CE50" s="122">
        <f ca="1">(Dashboard!$C$7*'Equity and Bond Returns'!CQ50)+(Dashboard!$C$8*'Equity and Bond Returns'!GO50)</f>
        <v>-4.0949905170557396E-2</v>
      </c>
      <c r="CF50" s="122">
        <f ca="1">(Dashboard!$C$7*'Equity and Bond Returns'!CR50)+(Dashboard!$C$8*'Equity and Bond Returns'!GP50)</f>
        <v>0.1081933268651854</v>
      </c>
      <c r="CG50" s="122">
        <f ca="1">(Dashboard!$C$7*'Equity and Bond Returns'!CS50)+(Dashboard!$C$8*'Equity and Bond Returns'!GQ50)</f>
        <v>5.5661525786177786E-2</v>
      </c>
      <c r="CH50" s="122">
        <f ca="1">(Dashboard!$C$7*'Equity and Bond Returns'!CT50)+(Dashboard!$C$8*'Equity and Bond Returns'!GR50)</f>
        <v>-0.21022813901872256</v>
      </c>
      <c r="CI50" s="122">
        <f ca="1">(Dashboard!$C$7*'Equity and Bond Returns'!CU50)+(Dashboard!$C$8*'Equity and Bond Returns'!GS50)</f>
        <v>0.19924701728640229</v>
      </c>
      <c r="CJ50" s="122">
        <f ca="1">(Dashboard!$C$7*'Equity and Bond Returns'!CV50)+(Dashboard!$C$8*'Equity and Bond Returns'!GT50)</f>
        <v>5.1269572480327492E-2</v>
      </c>
      <c r="CK50" s="122">
        <f ca="1">(Dashboard!$C$7*'Equity and Bond Returns'!CW50)+(Dashboard!$C$8*'Equity and Bond Returns'!GU50)</f>
        <v>0.16301283448664894</v>
      </c>
      <c r="CL50" s="122">
        <f ca="1">(Dashboard!$C$7*'Equity and Bond Returns'!CX50)+(Dashboard!$C$8*'Equity and Bond Returns'!GV50)</f>
        <v>-0.11844067154935725</v>
      </c>
      <c r="CM50" s="122">
        <f ca="1">(Dashboard!$C$7*'Equity and Bond Returns'!CY50)+(Dashboard!$C$8*'Equity and Bond Returns'!GW50)</f>
        <v>0.10550622697590209</v>
      </c>
      <c r="CN50" s="122">
        <f ca="1">(Dashboard!$C$7*'Equity and Bond Returns'!CZ50)+(Dashboard!$C$8*'Equity and Bond Returns'!GX50)</f>
        <v>6.5505538415288403E-2</v>
      </c>
      <c r="CO50" s="122">
        <f ca="1">(Dashboard!$C$7*'Equity and Bond Returns'!DA50)+(Dashboard!$C$8*'Equity and Bond Returns'!GY50)</f>
        <v>0.12576734098418049</v>
      </c>
      <c r="CP50" s="122">
        <f ca="1">(Dashboard!$C$7*'Equity and Bond Returns'!DB50)+(Dashboard!$C$8*'Equity and Bond Returns'!GZ50)</f>
        <v>5.2299297818333611E-2</v>
      </c>
      <c r="CQ50" s="122">
        <f ca="1">(Dashboard!$C$7*'Equity and Bond Returns'!DC50)+(Dashboard!$C$8*'Equity and Bond Returns'!HA50)</f>
        <v>0.19309810026417937</v>
      </c>
      <c r="CR50" s="122">
        <f ca="1">(Dashboard!$C$7*'Equity and Bond Returns'!DD50)+(Dashboard!$C$8*'Equity and Bond Returns'!HB50)</f>
        <v>5.51817677286962E-2</v>
      </c>
      <c r="CS50" s="122">
        <f ca="1">(Dashboard!$C$7*'Equity and Bond Returns'!DE50)+(Dashboard!$C$8*'Equity and Bond Returns'!HC50)</f>
        <v>0.17529123092408058</v>
      </c>
      <c r="CT50" s="122">
        <f ca="1">(Dashboard!$C$7*'Equity and Bond Returns'!DF50)+(Dashboard!$C$8*'Equity and Bond Returns'!HD50)</f>
        <v>1.8140798109476965E-2</v>
      </c>
      <c r="CU50" s="122">
        <f ca="1">(Dashboard!$C$7*'Equity and Bond Returns'!DG50)+(Dashboard!$C$8*'Equity and Bond Returns'!HE50)</f>
        <v>0.27719910450540741</v>
      </c>
      <c r="CV50" s="122">
        <f ca="1">(Dashboard!$C$7*'Equity and Bond Returns'!DH50)+(Dashboard!$C$8*'Equity and Bond Returns'!HF50)</f>
        <v>0.15163348540477153</v>
      </c>
      <c r="CW50" s="122">
        <f ca="1">(Dashboard!$C$7*'Equity and Bond Returns'!DI50)+(Dashboard!$C$8*'Equity and Bond Returns'!HG50)</f>
        <v>-1.810880835017243E-2</v>
      </c>
      <c r="CY50" s="147">
        <f t="shared" si="5"/>
        <v>99</v>
      </c>
      <c r="CZ50" s="148">
        <v>49</v>
      </c>
      <c r="DA50" s="126">
        <f ca="1">MAX(DA49*(1+B50)-(Dashboard!$C$11)/(1-Dashboard!$C$17)*((1+Dashboard!$C$12)^$CZ50),0)</f>
        <v>51281260.121695116</v>
      </c>
      <c r="DB50" s="126">
        <f ca="1">MAX(DB49*(1+C50)-(Dashboard!$C$11)/(1-Dashboard!$C$17)*((1+Dashboard!$C$12)^$CZ50),0)</f>
        <v>0</v>
      </c>
      <c r="DC50" s="126">
        <f ca="1">MAX(DC49*(1+D50)-(Dashboard!$C$11)/(1-Dashboard!$C$17)*((1+Dashboard!$C$12)^$CZ50),0)</f>
        <v>34313419.42112048</v>
      </c>
      <c r="DD50" s="126">
        <f ca="1">MAX(DD49*(1+E50)-(Dashboard!$C$11)/(1-Dashboard!$C$17)*((1+Dashboard!$C$12)^$CZ50),0)</f>
        <v>1516458.8975488255</v>
      </c>
      <c r="DE50" s="126">
        <f ca="1">MAX(DE49*(1+F50)-(Dashboard!$C$11)/(1-Dashboard!$C$17)*((1+Dashboard!$C$12)^$CZ50),0)</f>
        <v>29450985.651920043</v>
      </c>
      <c r="DF50" s="126">
        <f ca="1">MAX(DF49*(1+G50)-(Dashboard!$C$11)/(1-Dashboard!$C$17)*((1+Dashboard!$C$12)^$CZ50),0)</f>
        <v>37187742.359962739</v>
      </c>
      <c r="DG50" s="126">
        <f ca="1">MAX(DG49*(1+H50)-(Dashboard!$C$11)/(1-Dashboard!$C$17)*((1+Dashboard!$C$12)^$CZ50),0)</f>
        <v>2734971.1341926404</v>
      </c>
      <c r="DH50" s="126">
        <f ca="1">MAX(DH49*(1+I50)-(Dashboard!$C$11)/(1-Dashboard!$C$17)*((1+Dashboard!$C$12)^$CZ50),0)</f>
        <v>55898363.17449072</v>
      </c>
      <c r="DI50" s="126">
        <f ca="1">MAX(DI49*(1+J50)-(Dashboard!$C$11)/(1-Dashboard!$C$17)*((1+Dashboard!$C$12)^$CZ50),0)</f>
        <v>16107999.487636887</v>
      </c>
      <c r="DJ50" s="126">
        <f ca="1">MAX(DJ49*(1+K50)-(Dashboard!$C$11)/(1-Dashboard!$C$17)*((1+Dashboard!$C$12)^$CZ50),0)</f>
        <v>11486920.17547662</v>
      </c>
      <c r="DK50" s="126">
        <f ca="1">MAX(DK49*(1+L50)-(Dashboard!$C$11)/(1-Dashboard!$C$17)*((1+Dashboard!$C$12)^$CZ50),0)</f>
        <v>19352957.543584317</v>
      </c>
      <c r="DL50" s="126">
        <f ca="1">MAX(DL49*(1+M50)-(Dashboard!$C$11)/(1-Dashboard!$C$17)*((1+Dashboard!$C$12)^$CZ50),0)</f>
        <v>611344.40909690084</v>
      </c>
      <c r="DM50" s="126">
        <f ca="1">MAX(DM49*(1+N50)-(Dashboard!$C$11)/(1-Dashboard!$C$17)*((1+Dashboard!$C$12)^$CZ50),0)</f>
        <v>54795968.099655963</v>
      </c>
      <c r="DN50" s="126">
        <f ca="1">MAX(DN49*(1+O50)-(Dashboard!$C$11)/(1-Dashboard!$C$17)*((1+Dashboard!$C$12)^$CZ50),0)</f>
        <v>186554779.97227389</v>
      </c>
      <c r="DO50" s="126">
        <f ca="1">MAX(DO49*(1+P50)-(Dashboard!$C$11)/(1-Dashboard!$C$17)*((1+Dashboard!$C$12)^$CZ50),0)</f>
        <v>7548629.7259027371</v>
      </c>
      <c r="DP50" s="126">
        <f ca="1">MAX(DP49*(1+Q50)-(Dashboard!$C$11)/(1-Dashboard!$C$17)*((1+Dashboard!$C$12)^$CZ50),0)</f>
        <v>7090858.568232513</v>
      </c>
      <c r="DQ50" s="126">
        <f ca="1">MAX(DQ49*(1+R50)-(Dashboard!$C$11)/(1-Dashboard!$C$17)*((1+Dashboard!$C$12)^$CZ50),0)</f>
        <v>16596424.186925512</v>
      </c>
      <c r="DR50" s="126">
        <f ca="1">MAX(DR49*(1+S50)-(Dashboard!$C$11)/(1-Dashboard!$C$17)*((1+Dashboard!$C$12)^$CZ50),0)</f>
        <v>52130338.583392397</v>
      </c>
      <c r="DS50" s="126">
        <f ca="1">MAX(DS49*(1+T50)-(Dashboard!$C$11)/(1-Dashboard!$C$17)*((1+Dashboard!$C$12)^$CZ50),0)</f>
        <v>209504.71293349579</v>
      </c>
      <c r="DT50" s="126">
        <f ca="1">MAX(DT49*(1+U50)-(Dashboard!$C$11)/(1-Dashboard!$C$17)*((1+Dashboard!$C$12)^$CZ50),0)</f>
        <v>4369096.3399012135</v>
      </c>
      <c r="DU50" s="126">
        <f ca="1">MAX(DU49*(1+V50)-(Dashboard!$C$11)/(1-Dashboard!$C$17)*((1+Dashboard!$C$12)^$CZ50),0)</f>
        <v>12020447.888649795</v>
      </c>
      <c r="DV50" s="126">
        <f ca="1">MAX(DV49*(1+W50)-(Dashboard!$C$11)/(1-Dashboard!$C$17)*((1+Dashboard!$C$12)^$CZ50),0)</f>
        <v>116209792.07054703</v>
      </c>
      <c r="DW50" s="126">
        <f ca="1">MAX(DW49*(1+X50)-(Dashboard!$C$11)/(1-Dashboard!$C$17)*((1+Dashboard!$C$12)^$CZ50),0)</f>
        <v>11976443.252916377</v>
      </c>
      <c r="DX50" s="126">
        <f ca="1">MAX(DX49*(1+Y50)-(Dashboard!$C$11)/(1-Dashboard!$C$17)*((1+Dashboard!$C$12)^$CZ50),0)</f>
        <v>11267609.041982023</v>
      </c>
      <c r="DY50" s="126">
        <f ca="1">MAX(DY49*(1+Z50)-(Dashboard!$C$11)/(1-Dashboard!$C$17)*((1+Dashboard!$C$12)^$CZ50),0)</f>
        <v>24988595.055686817</v>
      </c>
      <c r="DZ50" s="126">
        <f ca="1">MAX(DZ49*(1+AA50)-(Dashboard!$C$11)/(1-Dashboard!$C$17)*((1+Dashboard!$C$12)^$CZ50),0)</f>
        <v>1703182.25116873</v>
      </c>
      <c r="EA50" s="126">
        <f ca="1">MAX(EA49*(1+AB50)-(Dashboard!$C$11)/(1-Dashboard!$C$17)*((1+Dashboard!$C$12)^$CZ50),0)</f>
        <v>19997053.953967996</v>
      </c>
      <c r="EB50" s="126">
        <f ca="1">MAX(EB49*(1+AC50)-(Dashboard!$C$11)/(1-Dashboard!$C$17)*((1+Dashboard!$C$12)^$CZ50),0)</f>
        <v>25273605.711170927</v>
      </c>
      <c r="EC50" s="126">
        <f ca="1">MAX(EC49*(1+AD50)-(Dashboard!$C$11)/(1-Dashboard!$C$17)*((1+Dashboard!$C$12)^$CZ50),0)</f>
        <v>48815936.671606392</v>
      </c>
      <c r="ED50" s="126">
        <f ca="1">MAX(ED49*(1+AE50)-(Dashboard!$C$11)/(1-Dashboard!$C$17)*((1+Dashboard!$C$12)^$CZ50),0)</f>
        <v>31894733.053389478</v>
      </c>
      <c r="EE50" s="126">
        <f ca="1">MAX(EE49*(1+AF50)-(Dashboard!$C$11)/(1-Dashboard!$C$17)*((1+Dashboard!$C$12)^$CZ50),0)</f>
        <v>33473457.559132226</v>
      </c>
      <c r="EF50" s="126">
        <f ca="1">MAX(EF49*(1+AG50)-(Dashboard!$C$11)/(1-Dashboard!$C$17)*((1+Dashboard!$C$12)^$CZ50),0)</f>
        <v>6575431.7538486598</v>
      </c>
      <c r="EG50" s="126">
        <f ca="1">MAX(EG49*(1+AH50)-(Dashboard!$C$11)/(1-Dashboard!$C$17)*((1+Dashboard!$C$12)^$CZ50),0)</f>
        <v>56731447.789560482</v>
      </c>
      <c r="EH50" s="126">
        <f ca="1">MAX(EH49*(1+AI50)-(Dashboard!$C$11)/(1-Dashboard!$C$17)*((1+Dashboard!$C$12)^$CZ50),0)</f>
        <v>74079057.412689745</v>
      </c>
      <c r="EI50" s="126">
        <f ca="1">MAX(EI49*(1+AJ50)-(Dashboard!$C$11)/(1-Dashboard!$C$17)*((1+Dashboard!$C$12)^$CZ50),0)</f>
        <v>0</v>
      </c>
      <c r="EJ50" s="126">
        <f ca="1">MAX(EJ49*(1+AK50)-(Dashboard!$C$11)/(1-Dashboard!$C$17)*((1+Dashboard!$C$12)^$CZ50),0)</f>
        <v>76375258.688209251</v>
      </c>
      <c r="EK50" s="126">
        <f ca="1">MAX(EK49*(1+AL50)-(Dashboard!$C$11)/(1-Dashboard!$C$17)*((1+Dashboard!$C$12)^$CZ50),0)</f>
        <v>6231826.2439736873</v>
      </c>
      <c r="EL50" s="126">
        <f ca="1">MAX(EL49*(1+AM50)-(Dashboard!$C$11)/(1-Dashboard!$C$17)*((1+Dashboard!$C$12)^$CZ50),0)</f>
        <v>5452472.0570200449</v>
      </c>
      <c r="EM50" s="126">
        <f ca="1">MAX(EM49*(1+AN50)-(Dashboard!$C$11)/(1-Dashboard!$C$17)*((1+Dashboard!$C$12)^$CZ50),0)</f>
        <v>97375944.359956264</v>
      </c>
      <c r="EN50" s="126">
        <f ca="1">MAX(EN49*(1+AO50)-(Dashboard!$C$11)/(1-Dashboard!$C$17)*((1+Dashboard!$C$12)^$CZ50),0)</f>
        <v>3268220.3572379886</v>
      </c>
      <c r="EO50" s="126">
        <f ca="1">MAX(EO49*(1+AP50)-(Dashboard!$C$11)/(1-Dashboard!$C$17)*((1+Dashboard!$C$12)^$CZ50),0)</f>
        <v>0</v>
      </c>
      <c r="EP50" s="126">
        <f ca="1">MAX(EP49*(1+AQ50)-(Dashboard!$C$11)/(1-Dashboard!$C$17)*((1+Dashboard!$C$12)^$CZ50),0)</f>
        <v>8418015.6798545867</v>
      </c>
      <c r="EQ50" s="126">
        <f ca="1">MAX(EQ49*(1+AR50)-(Dashboard!$C$11)/(1-Dashboard!$C$17)*((1+Dashboard!$C$12)^$CZ50),0)</f>
        <v>9825186.8916259967</v>
      </c>
      <c r="ER50" s="126">
        <f ca="1">MAX(ER49*(1+AS50)-(Dashboard!$C$11)/(1-Dashboard!$C$17)*((1+Dashboard!$C$12)^$CZ50),0)</f>
        <v>6666973.9107272094</v>
      </c>
      <c r="ES50" s="126">
        <f ca="1">MAX(ES49*(1+AT50)-(Dashboard!$C$11)/(1-Dashboard!$C$17)*((1+Dashboard!$C$12)^$CZ50),0)</f>
        <v>50755250.858302578</v>
      </c>
      <c r="ET50" s="126">
        <f ca="1">MAX(ET49*(1+AU50)-(Dashboard!$C$11)/(1-Dashboard!$C$17)*((1+Dashboard!$C$12)^$CZ50),0)</f>
        <v>21302302.828171644</v>
      </c>
      <c r="EU50" s="126">
        <f ca="1">MAX(EU49*(1+AV50)-(Dashboard!$C$11)/(1-Dashboard!$C$17)*((1+Dashboard!$C$12)^$CZ50),0)</f>
        <v>13059829.675482977</v>
      </c>
      <c r="EV50" s="126">
        <f ca="1">MAX(EV49*(1+AW50)-(Dashboard!$C$11)/(1-Dashboard!$C$17)*((1+Dashboard!$C$12)^$CZ50),0)</f>
        <v>106399970.91912067</v>
      </c>
      <c r="EW50" s="126">
        <f ca="1">MAX(EW49*(1+AX50)-(Dashboard!$C$11)/(1-Dashboard!$C$17)*((1+Dashboard!$C$12)^$CZ50),0)</f>
        <v>4247679.7604824742</v>
      </c>
      <c r="EX50" s="126">
        <f ca="1">MAX(EX49*(1+AY50)-(Dashboard!$C$11)/(1-Dashboard!$C$17)*((1+Dashboard!$C$12)^$CZ50),0)</f>
        <v>14112935.288618589</v>
      </c>
      <c r="EY50" s="126">
        <f ca="1">MAX(EY49*(1+AZ50)-(Dashboard!$C$11)/(1-Dashboard!$C$17)*((1+Dashboard!$C$12)^$CZ50),0)</f>
        <v>27717579.952466395</v>
      </c>
      <c r="EZ50" s="126">
        <f ca="1">MAX(EZ49*(1+BA50)-(Dashboard!$C$11)/(1-Dashboard!$C$17)*((1+Dashboard!$C$12)^$CZ50),0)</f>
        <v>19112080.977115832</v>
      </c>
      <c r="FA50" s="126">
        <f ca="1">MAX(FA49*(1+BB50)-(Dashboard!$C$11)/(1-Dashboard!$C$17)*((1+Dashboard!$C$12)^$CZ50),0)</f>
        <v>59178705.178359993</v>
      </c>
      <c r="FB50" s="126">
        <f ca="1">MAX(FB49*(1+BC50)-(Dashboard!$C$11)/(1-Dashboard!$C$17)*((1+Dashboard!$C$12)^$CZ50),0)</f>
        <v>343553.93375469989</v>
      </c>
      <c r="FC50" s="126">
        <f ca="1">MAX(FC49*(1+BD50)-(Dashboard!$C$11)/(1-Dashboard!$C$17)*((1+Dashboard!$C$12)^$CZ50),0)</f>
        <v>20614874.893360324</v>
      </c>
      <c r="FD50" s="126">
        <f ca="1">MAX(FD49*(1+BE50)-(Dashboard!$C$11)/(1-Dashboard!$C$17)*((1+Dashboard!$C$12)^$CZ50),0)</f>
        <v>91991368.725132763</v>
      </c>
      <c r="FE50" s="126">
        <f ca="1">MAX(FE49*(1+BF50)-(Dashboard!$C$11)/(1-Dashboard!$C$17)*((1+Dashboard!$C$12)^$CZ50),0)</f>
        <v>100943588.79017852</v>
      </c>
      <c r="FF50" s="126">
        <f ca="1">MAX(FF49*(1+BG50)-(Dashboard!$C$11)/(1-Dashboard!$C$17)*((1+Dashboard!$C$12)^$CZ50),0)</f>
        <v>9211516.3483071104</v>
      </c>
      <c r="FG50" s="126">
        <f ca="1">MAX(FG49*(1+BH50)-(Dashboard!$C$11)/(1-Dashboard!$C$17)*((1+Dashboard!$C$12)^$CZ50),0)</f>
        <v>11952886.100142978</v>
      </c>
      <c r="FH50" s="126">
        <f ca="1">MAX(FH49*(1+BI50)-(Dashboard!$C$11)/(1-Dashboard!$C$17)*((1+Dashboard!$C$12)^$CZ50),0)</f>
        <v>5359932.3472250635</v>
      </c>
      <c r="FI50" s="126">
        <f ca="1">MAX(FI49*(1+BJ50)-(Dashboard!$C$11)/(1-Dashboard!$C$17)*((1+Dashboard!$C$12)^$CZ50),0)</f>
        <v>49541359.985504799</v>
      </c>
      <c r="FJ50" s="126">
        <f ca="1">MAX(FJ49*(1+BK50)-(Dashboard!$C$11)/(1-Dashboard!$C$17)*((1+Dashboard!$C$12)^$CZ50),0)</f>
        <v>14381521.645015068</v>
      </c>
      <c r="FK50" s="126">
        <f ca="1">MAX(FK49*(1+BL50)-(Dashboard!$C$11)/(1-Dashboard!$C$17)*((1+Dashboard!$C$12)^$CZ50),0)</f>
        <v>12443678.568470718</v>
      </c>
      <c r="FL50" s="126">
        <f ca="1">MAX(FL49*(1+BM50)-(Dashboard!$C$11)/(1-Dashboard!$C$17)*((1+Dashboard!$C$12)^$CZ50),0)</f>
        <v>6430049.5446098763</v>
      </c>
      <c r="FM50" s="126">
        <f ca="1">MAX(FM49*(1+BN50)-(Dashboard!$C$11)/(1-Dashboard!$C$17)*((1+Dashboard!$C$12)^$CZ50),0)</f>
        <v>15104291.551257253</v>
      </c>
      <c r="FN50" s="126">
        <f ca="1">MAX(FN49*(1+BO50)-(Dashboard!$C$11)/(1-Dashboard!$C$17)*((1+Dashboard!$C$12)^$CZ50),0)</f>
        <v>0</v>
      </c>
      <c r="FO50" s="126">
        <f ca="1">MAX(FO49*(1+BP50)-(Dashboard!$C$11)/(1-Dashboard!$C$17)*((1+Dashboard!$C$12)^$CZ50),0)</f>
        <v>29006463.958159272</v>
      </c>
      <c r="FP50" s="126">
        <f ca="1">MAX(FP49*(1+BQ50)-(Dashboard!$C$11)/(1-Dashboard!$C$17)*((1+Dashboard!$C$12)^$CZ50),0)</f>
        <v>12398722.94052794</v>
      </c>
      <c r="FQ50" s="126">
        <f ca="1">MAX(FQ49*(1+BR50)-(Dashboard!$C$11)/(1-Dashboard!$C$17)*((1+Dashboard!$C$12)^$CZ50),0)</f>
        <v>5831811.3623097194</v>
      </c>
      <c r="FR50" s="126">
        <f ca="1">MAX(FR49*(1+BS50)-(Dashboard!$C$11)/(1-Dashboard!$C$17)*((1+Dashboard!$C$12)^$CZ50),0)</f>
        <v>59882686.629432157</v>
      </c>
      <c r="FS50" s="126">
        <f ca="1">MAX(FS49*(1+BT50)-(Dashboard!$C$11)/(1-Dashboard!$C$17)*((1+Dashboard!$C$12)^$CZ50),0)</f>
        <v>55470317.339704648</v>
      </c>
      <c r="FT50" s="126">
        <f ca="1">MAX(FT49*(1+BU50)-(Dashboard!$C$11)/(1-Dashboard!$C$17)*((1+Dashboard!$C$12)^$CZ50),0)</f>
        <v>1626377.0253116905</v>
      </c>
      <c r="FU50" s="126">
        <f ca="1">MAX(FU49*(1+BV50)-(Dashboard!$C$11)/(1-Dashboard!$C$17)*((1+Dashboard!$C$12)^$CZ50),0)</f>
        <v>2496118.186077314</v>
      </c>
      <c r="FV50" s="126">
        <f ca="1">MAX(FV49*(1+BW50)-(Dashboard!$C$11)/(1-Dashboard!$C$17)*((1+Dashboard!$C$12)^$CZ50),0)</f>
        <v>10280280.967456058</v>
      </c>
      <c r="FW50" s="126">
        <f ca="1">MAX(FW49*(1+BX50)-(Dashboard!$C$11)/(1-Dashboard!$C$17)*((1+Dashboard!$C$12)^$CZ50),0)</f>
        <v>14343055.470189964</v>
      </c>
      <c r="FX50" s="126">
        <f ca="1">MAX(FX49*(1+BY50)-(Dashboard!$C$11)/(1-Dashboard!$C$17)*((1+Dashboard!$C$12)^$CZ50),0)</f>
        <v>1717288.6977616355</v>
      </c>
      <c r="FY50" s="126">
        <f ca="1">MAX(FY49*(1+BZ50)-(Dashboard!$C$11)/(1-Dashboard!$C$17)*((1+Dashboard!$C$12)^$CZ50),0)</f>
        <v>7097172.9833475212</v>
      </c>
      <c r="FZ50" s="126">
        <f ca="1">MAX(FZ49*(1+CA50)-(Dashboard!$C$11)/(1-Dashboard!$C$17)*((1+Dashboard!$C$12)^$CZ50),0)</f>
        <v>172755344.20780975</v>
      </c>
      <c r="GA50" s="126">
        <f ca="1">MAX(GA49*(1+CB50)-(Dashboard!$C$11)/(1-Dashboard!$C$17)*((1+Dashboard!$C$12)^$CZ50),0)</f>
        <v>78208819.007939905</v>
      </c>
      <c r="GB50" s="126">
        <f ca="1">MAX(GB49*(1+CC50)-(Dashboard!$C$11)/(1-Dashboard!$C$17)*((1+Dashboard!$C$12)^$CZ50),0)</f>
        <v>8862880.5685267225</v>
      </c>
      <c r="GC50" s="126">
        <f ca="1">MAX(GC49*(1+CD50)-(Dashboard!$C$11)/(1-Dashboard!$C$17)*((1+Dashboard!$C$12)^$CZ50),0)</f>
        <v>18871378.303490903</v>
      </c>
      <c r="GD50" s="126">
        <f ca="1">MAX(GD49*(1+CE50)-(Dashboard!$C$11)/(1-Dashboard!$C$17)*((1+Dashboard!$C$12)^$CZ50),0)</f>
        <v>196720283.64144403</v>
      </c>
      <c r="GE50" s="126">
        <f ca="1">MAX(GE49*(1+CF50)-(Dashboard!$C$11)/(1-Dashboard!$C$17)*((1+Dashboard!$C$12)^$CZ50),0)</f>
        <v>15073236.606793968</v>
      </c>
      <c r="GF50" s="126">
        <f ca="1">MAX(GF49*(1+CG50)-(Dashboard!$C$11)/(1-Dashboard!$C$17)*((1+Dashboard!$C$12)^$CZ50),0)</f>
        <v>17053182.963888679</v>
      </c>
      <c r="GG50" s="126">
        <f ca="1">MAX(GG49*(1+CH50)-(Dashboard!$C$11)/(1-Dashboard!$C$17)*((1+Dashboard!$C$12)^$CZ50),0)</f>
        <v>784654.48364406626</v>
      </c>
      <c r="GH50" s="126">
        <f ca="1">MAX(GH49*(1+CI50)-(Dashboard!$C$11)/(1-Dashboard!$C$17)*((1+Dashboard!$C$12)^$CZ50),0)</f>
        <v>6834479.9431023365</v>
      </c>
      <c r="GI50" s="126">
        <f ca="1">MAX(GI49*(1+CJ50)-(Dashboard!$C$11)/(1-Dashboard!$C$17)*((1+Dashboard!$C$12)^$CZ50),0)</f>
        <v>70304260.724723741</v>
      </c>
      <c r="GJ50" s="126">
        <f ca="1">MAX(GJ49*(1+CK50)-(Dashboard!$C$11)/(1-Dashboard!$C$17)*((1+Dashboard!$C$12)^$CZ50),0)</f>
        <v>90675299.237427026</v>
      </c>
      <c r="GK50" s="126">
        <f ca="1">MAX(GK49*(1+CL50)-(Dashboard!$C$11)/(1-Dashboard!$C$17)*((1+Dashboard!$C$12)^$CZ50),0)</f>
        <v>15998543.886438096</v>
      </c>
      <c r="GL50" s="126">
        <f ca="1">MAX(GL49*(1+CM50)-(Dashboard!$C$11)/(1-Dashboard!$C$17)*((1+Dashboard!$C$12)^$CZ50),0)</f>
        <v>17649669.440714564</v>
      </c>
      <c r="GM50" s="126">
        <f ca="1">MAX(GM49*(1+CN50)-(Dashboard!$C$11)/(1-Dashboard!$C$17)*((1+Dashboard!$C$12)^$CZ50),0)</f>
        <v>8952209.9635511506</v>
      </c>
      <c r="GN50" s="126">
        <f ca="1">MAX(GN49*(1+CO50)-(Dashboard!$C$11)/(1-Dashboard!$C$17)*((1+Dashboard!$C$12)^$CZ50),0)</f>
        <v>0</v>
      </c>
      <c r="GO50" s="126">
        <f ca="1">MAX(GO49*(1+CP50)-(Dashboard!$C$11)/(1-Dashboard!$C$17)*((1+Dashboard!$C$12)^$CZ50),0)</f>
        <v>32547963.223881535</v>
      </c>
      <c r="GP50" s="126">
        <f ca="1">MAX(GP49*(1+CQ50)-(Dashboard!$C$11)/(1-Dashboard!$C$17)*((1+Dashboard!$C$12)^$CZ50),0)</f>
        <v>72151600.614828169</v>
      </c>
      <c r="GQ50" s="126">
        <f ca="1">MAX(GQ49*(1+CR50)-(Dashboard!$C$11)/(1-Dashboard!$C$17)*((1+Dashboard!$C$12)^$CZ50),0)</f>
        <v>1461078.8899845595</v>
      </c>
      <c r="GR50" s="126">
        <f ca="1">MAX(GR49*(1+CS50)-(Dashboard!$C$11)/(1-Dashboard!$C$17)*((1+Dashboard!$C$12)^$CZ50),0)</f>
        <v>4627294.0101859458</v>
      </c>
      <c r="GS50" s="126">
        <f ca="1">MAX(GS49*(1+CT50)-(Dashboard!$C$11)/(1-Dashboard!$C$17)*((1+Dashboard!$C$12)^$CZ50),0)</f>
        <v>31003213.756034456</v>
      </c>
      <c r="GT50" s="126">
        <f ca="1">MAX(GT49*(1+CU50)-(Dashboard!$C$11)/(1-Dashboard!$C$17)*((1+Dashboard!$C$12)^$CZ50),0)</f>
        <v>334675608.42929339</v>
      </c>
      <c r="GU50" s="126">
        <f ca="1">MAX(GU49*(1+CV50)-(Dashboard!$C$11)/(1-Dashboard!$C$17)*((1+Dashboard!$C$12)^$CZ50),0)</f>
        <v>10738371.746495845</v>
      </c>
      <c r="GV50" s="126">
        <f ca="1">MAX(GV49*(1+CW50)-(Dashboard!$C$11)/(1-Dashboard!$C$17)*((1+Dashboard!$C$12)^$CZ50),0)</f>
        <v>6292117.684106878</v>
      </c>
      <c r="GW50" s="115">
        <f t="shared" si="4"/>
        <v>99</v>
      </c>
      <c r="GX50" s="130">
        <f t="shared" ca="1" si="2"/>
        <v>95</v>
      </c>
      <c r="HC50" s="130">
        <f t="shared" si="7"/>
        <v>99</v>
      </c>
      <c r="HD50" s="137">
        <f t="shared" ca="1" si="8"/>
        <v>6246899.1040069852</v>
      </c>
      <c r="HE50" s="137">
        <f t="shared" ca="1" si="8"/>
        <v>14362288.557602517</v>
      </c>
      <c r="HF50" s="137">
        <f t="shared" ca="1" si="8"/>
        <v>45908888.093695477</v>
      </c>
    </row>
    <row r="51" spans="1:214" ht="17" thickBot="1">
      <c r="A51" s="146">
        <f t="shared" si="3"/>
        <v>100</v>
      </c>
      <c r="B51" s="123">
        <f ca="1">(Dashboard!$C$7*'Equity and Bond Returns'!N51)+(Dashboard!$C$8*'Equity and Bond Returns'!DL51)</f>
        <v>-0.11168998094606461</v>
      </c>
      <c r="C51" s="123">
        <f ca="1">(Dashboard!$C$7*'Equity and Bond Returns'!O51)+(Dashboard!$C$8*'Equity and Bond Returns'!DM51)</f>
        <v>3.7989804073818183E-2</v>
      </c>
      <c r="D51" s="123">
        <f ca="1">(Dashboard!$C$7*'Equity and Bond Returns'!P51)+(Dashboard!$C$8*'Equity and Bond Returns'!DN51)</f>
        <v>2.0101737543326212E-4</v>
      </c>
      <c r="E51" s="123">
        <f ca="1">(Dashboard!$C$7*'Equity and Bond Returns'!Q51)+(Dashboard!$C$8*'Equity and Bond Returns'!DO51)</f>
        <v>0.11235357748151736</v>
      </c>
      <c r="F51" s="123">
        <f ca="1">(Dashboard!$C$7*'Equity and Bond Returns'!R51)+(Dashboard!$C$8*'Equity and Bond Returns'!DP51)</f>
        <v>0.16851716596753397</v>
      </c>
      <c r="G51" s="123">
        <f ca="1">(Dashboard!$C$7*'Equity and Bond Returns'!S51)+(Dashboard!$C$8*'Equity and Bond Returns'!DQ51)</f>
        <v>0.32934049064354382</v>
      </c>
      <c r="H51" s="123">
        <f ca="1">(Dashboard!$C$7*'Equity and Bond Returns'!T51)+(Dashboard!$C$8*'Equity and Bond Returns'!DR51)</f>
        <v>0.10646045062581258</v>
      </c>
      <c r="I51" s="123">
        <f ca="1">(Dashboard!$C$7*'Equity and Bond Returns'!U51)+(Dashboard!$C$8*'Equity and Bond Returns'!DS51)</f>
        <v>0.31033247908793177</v>
      </c>
      <c r="J51" s="123">
        <f ca="1">(Dashboard!$C$7*'Equity and Bond Returns'!V51)+(Dashboard!$C$8*'Equity and Bond Returns'!DT51)</f>
        <v>0.31115513296262426</v>
      </c>
      <c r="K51" s="123">
        <f ca="1">(Dashboard!$C$7*'Equity and Bond Returns'!W51)+(Dashboard!$C$8*'Equity and Bond Returns'!DU51)</f>
        <v>-4.4082703874625401E-4</v>
      </c>
      <c r="L51" s="123">
        <f ca="1">(Dashboard!$C$7*'Equity and Bond Returns'!X51)+(Dashboard!$C$8*'Equity and Bond Returns'!DV51)</f>
        <v>8.5805954726063338E-2</v>
      </c>
      <c r="M51" s="123">
        <f ca="1">(Dashboard!$C$7*'Equity and Bond Returns'!Y51)+(Dashboard!$C$8*'Equity and Bond Returns'!DW51)</f>
        <v>8.6999941874497666E-2</v>
      </c>
      <c r="N51" s="123">
        <f ca="1">(Dashboard!$C$7*'Equity and Bond Returns'!Z51)+(Dashboard!$C$8*'Equity and Bond Returns'!DX51)</f>
        <v>5.9760944912684043E-2</v>
      </c>
      <c r="O51" s="123">
        <f ca="1">(Dashboard!$C$7*'Equity and Bond Returns'!AA51)+(Dashboard!$C$8*'Equity and Bond Returns'!DY51)</f>
        <v>-3.3911880838496902E-2</v>
      </c>
      <c r="P51" s="123">
        <f ca="1">(Dashboard!$C$7*'Equity and Bond Returns'!AB51)+(Dashboard!$C$8*'Equity and Bond Returns'!DZ51)</f>
        <v>0.10055721928871726</v>
      </c>
      <c r="Q51" s="123">
        <f ca="1">(Dashboard!$C$7*'Equity and Bond Returns'!AC51)+(Dashboard!$C$8*'Equity and Bond Returns'!EA51)</f>
        <v>0.11566137251831685</v>
      </c>
      <c r="R51" s="123">
        <f ca="1">(Dashboard!$C$7*'Equity and Bond Returns'!AD51)+(Dashboard!$C$8*'Equity and Bond Returns'!EB51)</f>
        <v>0.10672452074182903</v>
      </c>
      <c r="S51" s="123">
        <f ca="1">(Dashboard!$C$7*'Equity and Bond Returns'!AE51)+(Dashboard!$C$8*'Equity and Bond Returns'!EC51)</f>
        <v>7.5975735263344502E-2</v>
      </c>
      <c r="T51" s="123">
        <f ca="1">(Dashboard!$C$7*'Equity and Bond Returns'!AF51)+(Dashboard!$C$8*'Equity and Bond Returns'!ED51)</f>
        <v>0.16542318684289328</v>
      </c>
      <c r="U51" s="123">
        <f ca="1">(Dashboard!$C$7*'Equity and Bond Returns'!AG51)+(Dashboard!$C$8*'Equity and Bond Returns'!EE51)</f>
        <v>-4.8805209342754424E-2</v>
      </c>
      <c r="V51" s="123">
        <f ca="1">(Dashboard!$C$7*'Equity and Bond Returns'!AH51)+(Dashboard!$C$8*'Equity and Bond Returns'!EF51)</f>
        <v>6.5191270525288392E-2</v>
      </c>
      <c r="W51" s="123">
        <f ca="1">(Dashboard!$C$7*'Equity and Bond Returns'!AI51)+(Dashboard!$C$8*'Equity and Bond Returns'!EG51)</f>
        <v>-1.5038415584094411E-2</v>
      </c>
      <c r="X51" s="123">
        <f ca="1">(Dashboard!$C$7*'Equity and Bond Returns'!AJ51)+(Dashboard!$C$8*'Equity and Bond Returns'!EH51)</f>
        <v>0.15593825561268346</v>
      </c>
      <c r="Y51" s="123">
        <f ca="1">(Dashboard!$C$7*'Equity and Bond Returns'!AK51)+(Dashboard!$C$8*'Equity and Bond Returns'!EI51)</f>
        <v>0.22962089272493474</v>
      </c>
      <c r="Z51" s="123">
        <f ca="1">(Dashboard!$C$7*'Equity and Bond Returns'!AL51)+(Dashboard!$C$8*'Equity and Bond Returns'!EJ51)</f>
        <v>4.2240515350681601E-2</v>
      </c>
      <c r="AA51" s="123">
        <f ca="1">(Dashboard!$C$7*'Equity and Bond Returns'!AM51)+(Dashboard!$C$8*'Equity and Bond Returns'!EK51)</f>
        <v>3.4878660224008914E-2</v>
      </c>
      <c r="AB51" s="123">
        <f ca="1">(Dashboard!$C$7*'Equity and Bond Returns'!AN51)+(Dashboard!$C$8*'Equity and Bond Returns'!EL51)</f>
        <v>-6.8160234515358714E-2</v>
      </c>
      <c r="AC51" s="123">
        <f ca="1">(Dashboard!$C$7*'Equity and Bond Returns'!AO51)+(Dashboard!$C$8*'Equity and Bond Returns'!EM51)</f>
        <v>0.10244605424787892</v>
      </c>
      <c r="AD51" s="123">
        <f ca="1">(Dashboard!$C$7*'Equity and Bond Returns'!AP51)+(Dashboard!$C$8*'Equity and Bond Returns'!EN51)</f>
        <v>1.6787826559791167E-2</v>
      </c>
      <c r="AE51" s="123">
        <f ca="1">(Dashboard!$C$7*'Equity and Bond Returns'!AQ51)+(Dashboard!$C$8*'Equity and Bond Returns'!EO51)</f>
        <v>0.2155855649176171</v>
      </c>
      <c r="AF51" s="123">
        <f ca="1">(Dashboard!$C$7*'Equity and Bond Returns'!AR51)+(Dashboard!$C$8*'Equity and Bond Returns'!EP51)</f>
        <v>0.17290336653923505</v>
      </c>
      <c r="AG51" s="123">
        <f ca="1">(Dashboard!$C$7*'Equity and Bond Returns'!AS51)+(Dashboard!$C$8*'Equity and Bond Returns'!EQ51)</f>
        <v>6.1211812464144116E-2</v>
      </c>
      <c r="AH51" s="123">
        <f ca="1">(Dashboard!$C$7*'Equity and Bond Returns'!AT51)+(Dashboard!$C$8*'Equity and Bond Returns'!ER51)</f>
        <v>-2.1170825752755036E-2</v>
      </c>
      <c r="AI51" s="123">
        <f ca="1">(Dashboard!$C$7*'Equity and Bond Returns'!AU51)+(Dashboard!$C$8*'Equity and Bond Returns'!ES51)</f>
        <v>3.2858752798809468E-2</v>
      </c>
      <c r="AJ51" s="123">
        <f ca="1">(Dashboard!$C$7*'Equity and Bond Returns'!AV51)+(Dashboard!$C$8*'Equity and Bond Returns'!ET51)</f>
        <v>0.11238167832761237</v>
      </c>
      <c r="AK51" s="123">
        <f ca="1">(Dashboard!$C$7*'Equity and Bond Returns'!AW51)+(Dashboard!$C$8*'Equity and Bond Returns'!EU51)</f>
        <v>0.24596189324132581</v>
      </c>
      <c r="AL51" s="123">
        <f ca="1">(Dashboard!$C$7*'Equity and Bond Returns'!AX51)+(Dashboard!$C$8*'Equity and Bond Returns'!EV51)</f>
        <v>0.16341425679623872</v>
      </c>
      <c r="AM51" s="123">
        <f ca="1">(Dashboard!$C$7*'Equity and Bond Returns'!AY51)+(Dashboard!$C$8*'Equity and Bond Returns'!EW51)</f>
        <v>0.14921081313019094</v>
      </c>
      <c r="AN51" s="123">
        <f ca="1">(Dashboard!$C$7*'Equity and Bond Returns'!AZ51)+(Dashboard!$C$8*'Equity and Bond Returns'!EX51)</f>
        <v>0.12402041217287435</v>
      </c>
      <c r="AO51" s="123">
        <f ca="1">(Dashboard!$C$7*'Equity and Bond Returns'!BA51)+(Dashboard!$C$8*'Equity and Bond Returns'!EY51)</f>
        <v>1.3124074259682147E-2</v>
      </c>
      <c r="AP51" s="123">
        <f ca="1">(Dashboard!$C$7*'Equity and Bond Returns'!BB51)+(Dashboard!$C$8*'Equity and Bond Returns'!EZ51)</f>
        <v>7.0937508546411676E-2</v>
      </c>
      <c r="AQ51" s="123">
        <f ca="1">(Dashboard!$C$7*'Equity and Bond Returns'!BC51)+(Dashboard!$C$8*'Equity and Bond Returns'!FA51)</f>
        <v>-8.8151348588073622E-2</v>
      </c>
      <c r="AR51" s="123">
        <f ca="1">(Dashboard!$C$7*'Equity and Bond Returns'!BD51)+(Dashboard!$C$8*'Equity and Bond Returns'!FB51)</f>
        <v>0.12059281379539688</v>
      </c>
      <c r="AS51" s="123">
        <f ca="1">(Dashboard!$C$7*'Equity and Bond Returns'!BE51)+(Dashboard!$C$8*'Equity and Bond Returns'!FC51)</f>
        <v>0.20948144465566385</v>
      </c>
      <c r="AT51" s="123">
        <f ca="1">(Dashboard!$C$7*'Equity and Bond Returns'!BF51)+(Dashboard!$C$8*'Equity and Bond Returns'!FD51)</f>
        <v>5.2673341573998285E-2</v>
      </c>
      <c r="AU51" s="123">
        <f ca="1">(Dashboard!$C$7*'Equity and Bond Returns'!BG51)+(Dashboard!$C$8*'Equity and Bond Returns'!FE51)</f>
        <v>8.0990163939412926E-2</v>
      </c>
      <c r="AV51" s="123">
        <f ca="1">(Dashboard!$C$7*'Equity and Bond Returns'!BH51)+(Dashboard!$C$8*'Equity and Bond Returns'!FF51)</f>
        <v>0.25237414590032148</v>
      </c>
      <c r="AW51" s="123">
        <f ca="1">(Dashboard!$C$7*'Equity and Bond Returns'!BI51)+(Dashboard!$C$8*'Equity and Bond Returns'!FG51)</f>
        <v>4.3062191977401125E-2</v>
      </c>
      <c r="AX51" s="123">
        <f ca="1">(Dashboard!$C$7*'Equity and Bond Returns'!BJ51)+(Dashboard!$C$8*'Equity and Bond Returns'!FH51)</f>
        <v>5.3058198084948965E-2</v>
      </c>
      <c r="AY51" s="123">
        <f ca="1">(Dashboard!$C$7*'Equity and Bond Returns'!BK51)+(Dashboard!$C$8*'Equity and Bond Returns'!FI51)</f>
        <v>-8.0505006975054E-2</v>
      </c>
      <c r="AZ51" s="123">
        <f ca="1">(Dashboard!$C$7*'Equity and Bond Returns'!BL51)+(Dashboard!$C$8*'Equity and Bond Returns'!FJ51)</f>
        <v>6.6703798481627247E-2</v>
      </c>
      <c r="BA51" s="123">
        <f ca="1">(Dashboard!$C$7*'Equity and Bond Returns'!BM51)+(Dashboard!$C$8*'Equity and Bond Returns'!FK51)</f>
        <v>0.14601155473091559</v>
      </c>
      <c r="BB51" s="123">
        <f ca="1">(Dashboard!$C$7*'Equity and Bond Returns'!BN51)+(Dashboard!$C$8*'Equity and Bond Returns'!FL51)</f>
        <v>0.10431606175214325</v>
      </c>
      <c r="BC51" s="123">
        <f ca="1">(Dashboard!$C$7*'Equity and Bond Returns'!BO51)+(Dashboard!$C$8*'Equity and Bond Returns'!FM51)</f>
        <v>5.9956662686218791E-2</v>
      </c>
      <c r="BD51" s="123">
        <f ca="1">(Dashboard!$C$7*'Equity and Bond Returns'!BP51)+(Dashboard!$C$8*'Equity and Bond Returns'!FN51)</f>
        <v>9.2459559605372166E-2</v>
      </c>
      <c r="BE51" s="123">
        <f ca="1">(Dashboard!$C$7*'Equity and Bond Returns'!BQ51)+(Dashboard!$C$8*'Equity and Bond Returns'!FO51)</f>
        <v>-4.6152086451519076E-3</v>
      </c>
      <c r="BF51" s="123">
        <f ca="1">(Dashboard!$C$7*'Equity and Bond Returns'!BR51)+(Dashboard!$C$8*'Equity and Bond Returns'!FP51)</f>
        <v>0.32620656294379069</v>
      </c>
      <c r="BG51" s="123">
        <f ca="1">(Dashboard!$C$7*'Equity and Bond Returns'!BS51)+(Dashboard!$C$8*'Equity and Bond Returns'!FQ51)</f>
        <v>-2.3695709427000236E-2</v>
      </c>
      <c r="BH51" s="123">
        <f ca="1">(Dashboard!$C$7*'Equity and Bond Returns'!BT51)+(Dashboard!$C$8*'Equity and Bond Returns'!FR51)</f>
        <v>4.8468974253367068E-2</v>
      </c>
      <c r="BI51" s="123">
        <f ca="1">(Dashboard!$C$7*'Equity and Bond Returns'!BU51)+(Dashboard!$C$8*'Equity and Bond Returns'!FS51)</f>
        <v>0.19676410459117782</v>
      </c>
      <c r="BJ51" s="123">
        <f ca="1">(Dashboard!$C$7*'Equity and Bond Returns'!BV51)+(Dashboard!$C$8*'Equity and Bond Returns'!FT51)</f>
        <v>1.8885544993875014E-2</v>
      </c>
      <c r="BK51" s="123">
        <f ca="1">(Dashboard!$C$7*'Equity and Bond Returns'!BW51)+(Dashboard!$C$8*'Equity and Bond Returns'!FU51)</f>
        <v>2.9768591058270226E-2</v>
      </c>
      <c r="BL51" s="123">
        <f ca="1">(Dashboard!$C$7*'Equity and Bond Returns'!BX51)+(Dashboard!$C$8*'Equity and Bond Returns'!FV51)</f>
        <v>0.10460444551960546</v>
      </c>
      <c r="BM51" s="123">
        <f ca="1">(Dashboard!$C$7*'Equity and Bond Returns'!BY51)+(Dashboard!$C$8*'Equity and Bond Returns'!FW51)</f>
        <v>3.8916721066194048E-3</v>
      </c>
      <c r="BN51" s="123">
        <f ca="1">(Dashboard!$C$7*'Equity and Bond Returns'!BZ51)+(Dashboard!$C$8*'Equity and Bond Returns'!FX51)</f>
        <v>-4.0969335015091493E-2</v>
      </c>
      <c r="BO51" s="123">
        <f ca="1">(Dashboard!$C$7*'Equity and Bond Returns'!CA51)+(Dashboard!$C$8*'Equity and Bond Returns'!FY51)</f>
        <v>0.37881851418640877</v>
      </c>
      <c r="BP51" s="123">
        <f ca="1">(Dashboard!$C$7*'Equity and Bond Returns'!CB51)+(Dashboard!$C$8*'Equity and Bond Returns'!FZ51)</f>
        <v>0.1125574537513884</v>
      </c>
      <c r="BQ51" s="123">
        <f ca="1">(Dashboard!$C$7*'Equity and Bond Returns'!CC51)+(Dashboard!$C$8*'Equity and Bond Returns'!GA51)</f>
        <v>0.16930130962576201</v>
      </c>
      <c r="BR51" s="123">
        <f ca="1">(Dashboard!$C$7*'Equity and Bond Returns'!CD51)+(Dashboard!$C$8*'Equity and Bond Returns'!GB51)</f>
        <v>0.32535497230376742</v>
      </c>
      <c r="BS51" s="123">
        <f ca="1">(Dashboard!$C$7*'Equity and Bond Returns'!CE51)+(Dashboard!$C$8*'Equity and Bond Returns'!GC51)</f>
        <v>-0.15814922935218137</v>
      </c>
      <c r="BT51" s="123">
        <f ca="1">(Dashboard!$C$7*'Equity and Bond Returns'!CF51)+(Dashboard!$C$8*'Equity and Bond Returns'!GD51)</f>
        <v>0.19283776734246116</v>
      </c>
      <c r="BU51" s="123">
        <f ca="1">(Dashboard!$C$7*'Equity and Bond Returns'!CG51)+(Dashboard!$C$8*'Equity and Bond Returns'!GE51)</f>
        <v>0.20161392093886493</v>
      </c>
      <c r="BV51" s="123">
        <f ca="1">(Dashboard!$C$7*'Equity and Bond Returns'!CH51)+(Dashboard!$C$8*'Equity and Bond Returns'!GF51)</f>
        <v>-2.8387503466639964E-2</v>
      </c>
      <c r="BW51" s="123">
        <f ca="1">(Dashboard!$C$7*'Equity and Bond Returns'!CI51)+(Dashboard!$C$8*'Equity and Bond Returns'!GG51)</f>
        <v>6.720549787250571E-2</v>
      </c>
      <c r="BX51" s="123">
        <f ca="1">(Dashboard!$C$7*'Equity and Bond Returns'!CJ51)+(Dashboard!$C$8*'Equity and Bond Returns'!GH51)</f>
        <v>0.12237020393550806</v>
      </c>
      <c r="BY51" s="123">
        <f ca="1">(Dashboard!$C$7*'Equity and Bond Returns'!CK51)+(Dashboard!$C$8*'Equity and Bond Returns'!GI51)</f>
        <v>0.36042382779417176</v>
      </c>
      <c r="BZ51" s="123">
        <f ca="1">(Dashboard!$C$7*'Equity and Bond Returns'!CL51)+(Dashboard!$C$8*'Equity and Bond Returns'!GJ51)</f>
        <v>5.7290744450432141E-2</v>
      </c>
      <c r="CA51" s="123">
        <f ca="1">(Dashboard!$C$7*'Equity and Bond Returns'!CM51)+(Dashboard!$C$8*'Equity and Bond Returns'!GK51)</f>
        <v>6.4646611648925198E-2</v>
      </c>
      <c r="CB51" s="123">
        <f ca="1">(Dashboard!$C$7*'Equity and Bond Returns'!CN51)+(Dashboard!$C$8*'Equity and Bond Returns'!GL51)</f>
        <v>-2.5637658043601866E-2</v>
      </c>
      <c r="CC51" s="123">
        <f ca="1">(Dashboard!$C$7*'Equity and Bond Returns'!CO51)+(Dashboard!$C$8*'Equity and Bond Returns'!GM51)</f>
        <v>7.4628527874806894E-2</v>
      </c>
      <c r="CD51" s="123">
        <f ca="1">(Dashboard!$C$7*'Equity and Bond Returns'!CP51)+(Dashboard!$C$8*'Equity and Bond Returns'!GN51)</f>
        <v>0.3619773460867039</v>
      </c>
      <c r="CE51" s="123">
        <f ca="1">(Dashboard!$C$7*'Equity and Bond Returns'!CQ51)+(Dashboard!$C$8*'Equity and Bond Returns'!GO51)</f>
        <v>-0.11437915052707914</v>
      </c>
      <c r="CF51" s="123">
        <f ca="1">(Dashboard!$C$7*'Equity and Bond Returns'!CR51)+(Dashboard!$C$8*'Equity and Bond Returns'!GP51)</f>
        <v>3.1603006555578086E-2</v>
      </c>
      <c r="CG51" s="123">
        <f ca="1">(Dashboard!$C$7*'Equity and Bond Returns'!CS51)+(Dashboard!$C$8*'Equity and Bond Returns'!GQ51)</f>
        <v>0.13334578319630039</v>
      </c>
      <c r="CH51" s="123">
        <f ca="1">(Dashboard!$C$7*'Equity and Bond Returns'!CT51)+(Dashboard!$C$8*'Equity and Bond Returns'!GR51)</f>
        <v>0.13871511336769329</v>
      </c>
      <c r="CI51" s="123">
        <f ca="1">(Dashboard!$C$7*'Equity and Bond Returns'!CU51)+(Dashboard!$C$8*'Equity and Bond Returns'!GS51)</f>
        <v>-4.7635307652657173E-2</v>
      </c>
      <c r="CJ51" s="123">
        <f ca="1">(Dashboard!$C$7*'Equity and Bond Returns'!CV51)+(Dashboard!$C$8*'Equity and Bond Returns'!GT51)</f>
        <v>0.16156311188309752</v>
      </c>
      <c r="CK51" s="123">
        <f ca="1">(Dashboard!$C$7*'Equity and Bond Returns'!CW51)+(Dashboard!$C$8*'Equity and Bond Returns'!GU51)</f>
        <v>5.7783109494204309E-2</v>
      </c>
      <c r="CL51" s="123">
        <f ca="1">(Dashboard!$C$7*'Equity and Bond Returns'!CX51)+(Dashboard!$C$8*'Equity and Bond Returns'!GV51)</f>
        <v>0.13348542379801856</v>
      </c>
      <c r="CM51" s="123">
        <f ca="1">(Dashboard!$C$7*'Equity and Bond Returns'!CY51)+(Dashboard!$C$8*'Equity and Bond Returns'!GW51)</f>
        <v>0.17621713263706962</v>
      </c>
      <c r="CN51" s="123">
        <f ca="1">(Dashboard!$C$7*'Equity and Bond Returns'!CZ51)+(Dashboard!$C$8*'Equity and Bond Returns'!GX51)</f>
        <v>8.7249803530184938E-2</v>
      </c>
      <c r="CO51" s="123">
        <f ca="1">(Dashboard!$C$7*'Equity and Bond Returns'!DA51)+(Dashboard!$C$8*'Equity and Bond Returns'!GY51)</f>
        <v>0.13069250646976333</v>
      </c>
      <c r="CP51" s="123">
        <f ca="1">(Dashboard!$C$7*'Equity and Bond Returns'!DB51)+(Dashboard!$C$8*'Equity and Bond Returns'!GZ51)</f>
        <v>0.10882584074708457</v>
      </c>
      <c r="CQ51" s="123">
        <f ca="1">(Dashboard!$C$7*'Equity and Bond Returns'!DC51)+(Dashboard!$C$8*'Equity and Bond Returns'!HA51)</f>
        <v>-8.7198945670180564E-2</v>
      </c>
      <c r="CR51" s="123">
        <f ca="1">(Dashboard!$C$7*'Equity and Bond Returns'!DD51)+(Dashboard!$C$8*'Equity and Bond Returns'!HB51)</f>
        <v>0.13617854535215723</v>
      </c>
      <c r="CS51" s="123">
        <f ca="1">(Dashboard!$C$7*'Equity and Bond Returns'!DE51)+(Dashboard!$C$8*'Equity and Bond Returns'!HC51)</f>
        <v>0.15939151104534935</v>
      </c>
      <c r="CT51" s="123">
        <f ca="1">(Dashboard!$C$7*'Equity and Bond Returns'!DF51)+(Dashboard!$C$8*'Equity and Bond Returns'!HD51)</f>
        <v>0.1367314291517423</v>
      </c>
      <c r="CU51" s="123">
        <f ca="1">(Dashboard!$C$7*'Equity and Bond Returns'!DG51)+(Dashboard!$C$8*'Equity and Bond Returns'!HE51)</f>
        <v>-0.34406309536193175</v>
      </c>
      <c r="CV51" s="123">
        <f ca="1">(Dashboard!$C$7*'Equity and Bond Returns'!DH51)+(Dashboard!$C$8*'Equity and Bond Returns'!HF51)</f>
        <v>8.0531933954867629E-2</v>
      </c>
      <c r="CW51" s="123">
        <f ca="1">(Dashboard!$C$7*'Equity and Bond Returns'!DI51)+(Dashboard!$C$8*'Equity and Bond Returns'!HG51)</f>
        <v>9.663967727608358E-2</v>
      </c>
      <c r="CY51" s="149">
        <f t="shared" si="5"/>
        <v>100</v>
      </c>
      <c r="CZ51" s="150">
        <v>50</v>
      </c>
      <c r="DA51" s="127">
        <f ca="1">MAX(DA50*(1+B51)-(Dashboard!$C$11)/(1-Dashboard!$C$17)*((1+Dashboard!$C$12)^$CZ51),0)</f>
        <v>45463239.09417697</v>
      </c>
      <c r="DB51" s="127">
        <f ca="1">MAX(DB50*(1+C51)-(Dashboard!$C$11)/(1-Dashboard!$C$17)*((1+Dashboard!$C$12)^$CZ51),0)</f>
        <v>0</v>
      </c>
      <c r="DC51" s="127">
        <f ca="1">MAX(DC50*(1+D51)-(Dashboard!$C$11)/(1-Dashboard!$C$17)*((1+Dashboard!$C$12)^$CZ51),0)</f>
        <v>34229898.952998817</v>
      </c>
      <c r="DD51" s="127">
        <f ca="1">MAX(DD50*(1+E51)-(Dashboard!$C$11)/(1-Dashboard!$C$17)*((1+Dashboard!$C$12)^$CZ51),0)</f>
        <v>1596420.4181562802</v>
      </c>
      <c r="DE51" s="127">
        <f ca="1">MAX(DE50*(1+F51)-(Dashboard!$C$11)/(1-Dashboard!$C$17)*((1+Dashboard!$C$12)^$CZ51),0)</f>
        <v>34323564.227296278</v>
      </c>
      <c r="DF51" s="127">
        <f ca="1">MAX(DF50*(1+G51)-(Dashboard!$C$11)/(1-Dashboard!$C$17)*((1+Dashboard!$C$12)^$CZ51),0)</f>
        <v>49344753.613082729</v>
      </c>
      <c r="DG51" s="127">
        <f ca="1">MAX(DG50*(1+H51)-(Dashboard!$C$11)/(1-Dashboard!$C$17)*((1+Dashboard!$C$12)^$CZ51),0)</f>
        <v>2935719.3319515451</v>
      </c>
      <c r="DH51" s="127">
        <f ca="1">MAX(DH50*(1+I51)-(Dashboard!$C$11)/(1-Dashboard!$C$17)*((1+Dashboard!$C$12)^$CZ51),0)</f>
        <v>73155022.733752146</v>
      </c>
      <c r="DI51" s="127">
        <f ca="1">MAX(DI50*(1+J51)-(Dashboard!$C$11)/(1-Dashboard!$C$17)*((1+Dashboard!$C$12)^$CZ51),0)</f>
        <v>21029668.148338594</v>
      </c>
      <c r="DJ51" s="127">
        <f ca="1">MAX(DJ50*(1+K51)-(Dashboard!$C$11)/(1-Dashboard!$C$17)*((1+Dashboard!$C$12)^$CZ51),0)</f>
        <v>11391438.368835516</v>
      </c>
      <c r="DK51" s="127">
        <f ca="1">MAX(DK50*(1+L51)-(Dashboard!$C$11)/(1-Dashboard!$C$17)*((1+Dashboard!$C$12)^$CZ51),0)</f>
        <v>20923138.480748702</v>
      </c>
      <c r="DL51" s="127">
        <f ca="1">MAX(DL50*(1+M51)-(Dashboard!$C$11)/(1-Dashboard!$C$17)*((1+Dashboard!$C$12)^$CZ51),0)</f>
        <v>574113.27551779652</v>
      </c>
      <c r="DM51" s="127">
        <f ca="1">MAX(DM50*(1+N51)-(Dashboard!$C$11)/(1-Dashboard!$C$17)*((1+Dashboard!$C$12)^$CZ51),0)</f>
        <v>57980208.869060867</v>
      </c>
      <c r="DN51" s="127">
        <f ca="1">MAX(DN50*(1+O51)-(Dashboard!$C$11)/(1-Dashboard!$C$17)*((1+Dashboard!$C$12)^$CZ51),0)</f>
        <v>180137938.4423663</v>
      </c>
      <c r="DO51" s="127">
        <f ca="1">MAX(DO50*(1+P51)-(Dashboard!$C$11)/(1-Dashboard!$C$17)*((1+Dashboard!$C$12)^$CZ51),0)</f>
        <v>8217280.8789438345</v>
      </c>
      <c r="DP51" s="127">
        <f ca="1">MAX(DP50*(1+Q51)-(Dashboard!$C$11)/(1-Dashboard!$C$17)*((1+Dashboard!$C$12)^$CZ51),0)</f>
        <v>7820578.9409317197</v>
      </c>
      <c r="DQ51" s="127">
        <f ca="1">MAX(DQ50*(1+R51)-(Dashboard!$C$11)/(1-Dashboard!$C$17)*((1+Dashboard!$C$12)^$CZ51),0)</f>
        <v>18277251.542667404</v>
      </c>
      <c r="DR51" s="127">
        <f ca="1">MAX(DR50*(1+S51)-(Dashboard!$C$11)/(1-Dashboard!$C$17)*((1+Dashboard!$C$12)^$CZ51),0)</f>
        <v>56000561.325156897</v>
      </c>
      <c r="DS51" s="127">
        <f ca="1">MAX(DS50*(1+T51)-(Dashboard!$C$11)/(1-Dashboard!$C$17)*((1+Dashboard!$C$12)^$CZ51),0)</f>
        <v>153743.5885697265</v>
      </c>
      <c r="DT51" s="127">
        <f ca="1">MAX(DT50*(1+U51)-(Dashboard!$C$11)/(1-Dashboard!$C$17)*((1+Dashboard!$C$12)^$CZ51),0)</f>
        <v>4065443.616757839</v>
      </c>
      <c r="DU51" s="127">
        <f ca="1">MAX(DU50*(1+V51)-(Dashboard!$C$11)/(1-Dashboard!$C$17)*((1+Dashboard!$C$12)^$CZ51),0)</f>
        <v>12713658.097158063</v>
      </c>
      <c r="DV51" s="127">
        <f ca="1">MAX(DV50*(1+W51)-(Dashboard!$C$11)/(1-Dashboard!$C$17)*((1+Dashboard!$C$12)^$CZ51),0)</f>
        <v>114371762.86081311</v>
      </c>
      <c r="DW51" s="127">
        <f ca="1">MAX(DW50*(1+X51)-(Dashboard!$C$11)/(1-Dashboard!$C$17)*((1+Dashboard!$C$12)^$CZ51),0)</f>
        <v>13753610.860584615</v>
      </c>
      <c r="DX51" s="127">
        <f ca="1">MAX(DX50*(1+Y51)-(Dashboard!$C$11)/(1-Dashboard!$C$17)*((1+Dashboard!$C$12)^$CZ51),0)</f>
        <v>13764469.427441649</v>
      </c>
      <c r="DY51" s="127">
        <f ca="1">MAX(DY50*(1+Z51)-(Dashboard!$C$11)/(1-Dashboard!$C$17)*((1+Dashboard!$C$12)^$CZ51),0)</f>
        <v>25953708.127092686</v>
      </c>
      <c r="DZ51" s="127">
        <f ca="1">MAX(DZ50*(1+AA51)-(Dashboard!$C$11)/(1-Dashboard!$C$17)*((1+Dashboard!$C$12)^$CZ51),0)</f>
        <v>1672168.9045709732</v>
      </c>
      <c r="EA51" s="127">
        <f ca="1">MAX(EA50*(1+AB51)-(Dashboard!$C$11)/(1-Dashboard!$C$17)*((1+Dashboard!$C$12)^$CZ51),0)</f>
        <v>18543632.005213425</v>
      </c>
      <c r="EB51" s="127">
        <f ca="1">MAX(EB50*(1+AC51)-(Dashboard!$C$11)/(1-Dashboard!$C$17)*((1+Dashboard!$C$12)^$CZ51),0)</f>
        <v>27772368.831261214</v>
      </c>
      <c r="EC51" s="127">
        <f ca="1">MAX(EC50*(1+AD51)-(Dashboard!$C$11)/(1-Dashboard!$C$17)*((1+Dashboard!$C$12)^$CZ51),0)</f>
        <v>49545032.088167235</v>
      </c>
      <c r="ED51" s="127">
        <f ca="1">MAX(ED50*(1+AE51)-(Dashboard!$C$11)/(1-Dashboard!$C$17)*((1+Dashboard!$C$12)^$CZ51),0)</f>
        <v>38680359.034965202</v>
      </c>
      <c r="EE51" s="127">
        <f ca="1">MAX(EE50*(1+AF51)-(Dashboard!$C$11)/(1-Dashboard!$C$17)*((1+Dashboard!$C$12)^$CZ51),0)</f>
        <v>39170712.999178551</v>
      </c>
      <c r="EF51" s="127">
        <f ca="1">MAX(EF50*(1+AG51)-(Dashboard!$C$11)/(1-Dashboard!$C$17)*((1+Dashboard!$C$12)^$CZ51),0)</f>
        <v>6887507.7876001885</v>
      </c>
      <c r="EG51" s="127">
        <f ca="1">MAX(EG50*(1+AH51)-(Dashboard!$C$11)/(1-Dashboard!$C$17)*((1+Dashboard!$C$12)^$CZ51),0)</f>
        <v>55439978.13207034</v>
      </c>
      <c r="EH51" s="127">
        <f ca="1">MAX(EH50*(1+AI51)-(Dashboard!$C$11)/(1-Dashboard!$C$17)*((1+Dashboard!$C$12)^$CZ51),0)</f>
        <v>76422784.786146298</v>
      </c>
      <c r="EI51" s="127">
        <f ca="1">MAX(EI50*(1+AJ51)-(Dashboard!$C$11)/(1-Dashboard!$C$17)*((1+Dashboard!$C$12)^$CZ51),0)</f>
        <v>0</v>
      </c>
      <c r="EJ51" s="127">
        <f ca="1">MAX(EJ50*(1+AK51)-(Dashboard!$C$11)/(1-Dashboard!$C$17)*((1+Dashboard!$C$12)^$CZ51),0)</f>
        <v>95070243.850321382</v>
      </c>
      <c r="EK51" s="127">
        <f ca="1">MAX(EK50*(1+AL51)-(Dashboard!$C$11)/(1-Dashboard!$C$17)*((1+Dashboard!$C$12)^$CZ51),0)</f>
        <v>7159777.4364801096</v>
      </c>
      <c r="EL51" s="127">
        <f ca="1">MAX(EL50*(1+AM51)-(Dashboard!$C$11)/(1-Dashboard!$C$17)*((1+Dashboard!$C$12)^$CZ51),0)</f>
        <v>6175621.7845818177</v>
      </c>
      <c r="EM51" s="127">
        <f ca="1">MAX(EM50*(1+AN51)-(Dashboard!$C$11)/(1-Dashboard!$C$17)*((1+Dashboard!$C$12)^$CZ51),0)</f>
        <v>109362131.05356507</v>
      </c>
      <c r="EN51" s="127">
        <f ca="1">MAX(EN50*(1+AO51)-(Dashboard!$C$11)/(1-Dashboard!$C$17)*((1+Dashboard!$C$12)^$CZ51),0)</f>
        <v>3220694.6622675508</v>
      </c>
      <c r="EO51" s="127">
        <f ca="1">MAX(EO50*(1+AP51)-(Dashboard!$C$11)/(1-Dashboard!$C$17)*((1+Dashboard!$C$12)^$CZ51),0)</f>
        <v>0</v>
      </c>
      <c r="EP51" s="127">
        <f ca="1">MAX(EP50*(1+AQ51)-(Dashboard!$C$11)/(1-Dashboard!$C$17)*((1+Dashboard!$C$12)^$CZ51),0)</f>
        <v>7585538.1836040225</v>
      </c>
      <c r="EQ51" s="127">
        <f ca="1">MAX(EQ50*(1+AR51)-(Dashboard!$C$11)/(1-Dashboard!$C$17)*((1+Dashboard!$C$12)^$CZ51),0)</f>
        <v>10919615.763316991</v>
      </c>
      <c r="ER51" s="127">
        <f ca="1">MAX(ER50*(1+AS51)-(Dashboard!$C$11)/(1-Dashboard!$C$17)*((1+Dashboard!$C$12)^$CZ51),0)</f>
        <v>7973163.1753921332</v>
      </c>
      <c r="ES51" s="127">
        <f ca="1">MAX(ES50*(1+AT51)-(Dashboard!$C$11)/(1-Dashboard!$C$17)*((1+Dashboard!$C$12)^$CZ51),0)</f>
        <v>53338281.461800091</v>
      </c>
      <c r="ET51" s="127">
        <f ca="1">MAX(ET50*(1+AU51)-(Dashboard!$C$11)/(1-Dashboard!$C$17)*((1+Dashboard!$C$12)^$CZ51),0)</f>
        <v>22937161.764876451</v>
      </c>
      <c r="EU51" s="127">
        <f ca="1">MAX(EU50*(1+AV51)-(Dashboard!$C$11)/(1-Dashboard!$C$17)*((1+Dashboard!$C$12)^$CZ51),0)</f>
        <v>16265374.973800832</v>
      </c>
      <c r="EV51" s="127">
        <f ca="1">MAX(EV50*(1+AW51)-(Dashboard!$C$11)/(1-Dashboard!$C$17)*((1+Dashboard!$C$12)^$CZ51),0)</f>
        <v>110891368.83159389</v>
      </c>
      <c r="EW51" s="127">
        <f ca="1">MAX(EW50*(1+AX51)-(Dashboard!$C$11)/(1-Dashboard!$C$17)*((1+Dashboard!$C$12)^$CZ51),0)</f>
        <v>4382635.9329797486</v>
      </c>
      <c r="EX51" s="127">
        <f ca="1">MAX(EX50*(1+AY51)-(Dashboard!$C$11)/(1-Dashboard!$C$17)*((1+Dashboard!$C$12)^$CZ51),0)</f>
        <v>12886355.27313403</v>
      </c>
      <c r="EY51" s="127">
        <f ca="1">MAX(EY50*(1+AZ51)-(Dashboard!$C$11)/(1-Dashboard!$C$17)*((1+Dashboard!$C$12)^$CZ51),0)</f>
        <v>29476029.758378271</v>
      </c>
      <c r="EZ51" s="127">
        <f ca="1">MAX(EZ50*(1+BA51)-(Dashboard!$C$11)/(1-Dashboard!$C$17)*((1+Dashboard!$C$12)^$CZ51),0)</f>
        <v>21812247.573091839</v>
      </c>
      <c r="FA51" s="127">
        <f ca="1">MAX(FA50*(1+BB51)-(Dashboard!$C$11)/(1-Dashboard!$C$17)*((1+Dashboard!$C$12)^$CZ51),0)</f>
        <v>65261576.580521837</v>
      </c>
      <c r="FB51" s="127">
        <f ca="1">MAX(FB50*(1+BC51)-(Dashboard!$C$11)/(1-Dashboard!$C$17)*((1+Dashboard!$C$12)^$CZ51),0)</f>
        <v>273734.21943952033</v>
      </c>
      <c r="FC51" s="127">
        <f ca="1">MAX(FC50*(1+BD51)-(Dashboard!$C$11)/(1-Dashboard!$C$17)*((1+Dashboard!$C$12)^$CZ51),0)</f>
        <v>22430499.08568443</v>
      </c>
      <c r="FD51" s="127">
        <f ca="1">MAX(FD50*(1+BE51)-(Dashboard!$C$11)/(1-Dashboard!$C$17)*((1+Dashboard!$C$12)^$CZ51),0)</f>
        <v>91476391.303277344</v>
      </c>
      <c r="FE51" s="127">
        <f ca="1">MAX(FE50*(1+BF51)-(Dashboard!$C$11)/(1-Dashboard!$C$17)*((1+Dashboard!$C$12)^$CZ51),0)</f>
        <v>133781631.87899818</v>
      </c>
      <c r="FF51" s="127">
        <f ca="1">MAX(FF50*(1+BG51)-(Dashboard!$C$11)/(1-Dashboard!$C$17)*((1+Dashboard!$C$12)^$CZ51),0)</f>
        <v>8902824.8718997296</v>
      </c>
      <c r="FG51" s="127">
        <f ca="1">MAX(FG50*(1+BH51)-(Dashboard!$C$11)/(1-Dashboard!$C$17)*((1+Dashboard!$C$12)^$CZ51),0)</f>
        <v>12441812.167148404</v>
      </c>
      <c r="FH51" s="127">
        <f ca="1">MAX(FH50*(1+BI51)-(Dashboard!$C$11)/(1-Dashboard!$C$17)*((1+Dashboard!$C$12)^$CZ51),0)</f>
        <v>6324156.5745602604</v>
      </c>
      <c r="FI51" s="127">
        <f ca="1">MAX(FI50*(1+BJ51)-(Dashboard!$C$11)/(1-Dashboard!$C$17)*((1+Dashboard!$C$12)^$CZ51),0)</f>
        <v>50386557.506932966</v>
      </c>
      <c r="FJ51" s="127">
        <f ca="1">MAX(FJ50*(1+BK51)-(Dashboard!$C$11)/(1-Dashboard!$C$17)*((1+Dashboard!$C$12)^$CZ51),0)</f>
        <v>14719221.220025349</v>
      </c>
      <c r="FK51" s="127">
        <f ca="1">MAX(FK50*(1+BL51)-(Dashboard!$C$11)/(1-Dashboard!$C$17)*((1+Dashboard!$C$12)^$CZ51),0)</f>
        <v>13654924.603713961</v>
      </c>
      <c r="FL51" s="127">
        <f ca="1">MAX(FL50*(1+BM51)-(Dashboard!$C$11)/(1-Dashboard!$C$17)*((1+Dashboard!$C$12)^$CZ51),0)</f>
        <v>6364655.127430982</v>
      </c>
      <c r="FM51" s="127">
        <f ca="1">MAX(FM50*(1+BN51)-(Dashboard!$C$11)/(1-Dashboard!$C$17)*((1+Dashboard!$C$12)^$CZ51),0)</f>
        <v>14395060.708892345</v>
      </c>
      <c r="FN51" s="127">
        <f ca="1">MAX(FN50*(1+BO51)-(Dashboard!$C$11)/(1-Dashboard!$C$17)*((1+Dashboard!$C$12)^$CZ51),0)</f>
        <v>0</v>
      </c>
      <c r="FO51" s="127">
        <f ca="1">MAX(FO50*(1+BP51)-(Dashboard!$C$11)/(1-Dashboard!$C$17)*((1+Dashboard!$C$12)^$CZ51),0)</f>
        <v>32180939.621985268</v>
      </c>
      <c r="FP51" s="127">
        <f ca="1">MAX(FP50*(1+BQ51)-(Dashboard!$C$11)/(1-Dashboard!$C$17)*((1+Dashboard!$C$12)^$CZ51),0)</f>
        <v>14407424.910410468</v>
      </c>
      <c r="FQ51" s="127">
        <f ca="1">MAX(FQ50*(1+BR51)-(Dashboard!$C$11)/(1-Dashboard!$C$17)*((1+Dashboard!$C$12)^$CZ51),0)</f>
        <v>7638802.1249389611</v>
      </c>
      <c r="FR51" s="127">
        <f ca="1">MAX(FR50*(1+BS51)-(Dashboard!$C$11)/(1-Dashboard!$C$17)*((1+Dashboard!$C$12)^$CZ51),0)</f>
        <v>50321867.82581345</v>
      </c>
      <c r="FS51" s="127">
        <f ca="1">MAX(FS50*(1+BT51)-(Dashboard!$C$11)/(1-Dashboard!$C$17)*((1+Dashboard!$C$12)^$CZ51),0)</f>
        <v>66076671.42763526</v>
      </c>
      <c r="FT51" s="127">
        <f ca="1">MAX(FT50*(1+BU51)-(Dashboard!$C$11)/(1-Dashboard!$C$17)*((1+Dashboard!$C$12)^$CZ51),0)</f>
        <v>1863859.2126738345</v>
      </c>
      <c r="FU51" s="127">
        <f ca="1">MAX(FU50*(1+BV51)-(Dashboard!$C$11)/(1-Dashboard!$C$17)*((1+Dashboard!$C$12)^$CZ51),0)</f>
        <v>2334841.5607810672</v>
      </c>
      <c r="FV51" s="127">
        <f ca="1">MAX(FV50*(1+BW51)-(Dashboard!$C$11)/(1-Dashboard!$C$17)*((1+Dashboard!$C$12)^$CZ51),0)</f>
        <v>10880754.306507353</v>
      </c>
      <c r="FW51" s="127">
        <f ca="1">MAX(FW50*(1+BX51)-(Dashboard!$C$11)/(1-Dashboard!$C$17)*((1+Dashboard!$C$12)^$CZ51),0)</f>
        <v>16007800.031499583</v>
      </c>
      <c r="FX51" s="127">
        <f ca="1">MAX(FX50*(1+BY51)-(Dashboard!$C$11)/(1-Dashboard!$C$17)*((1+Dashboard!$C$12)^$CZ51),0)</f>
        <v>2245822.4020007192</v>
      </c>
      <c r="FY51" s="127">
        <f ca="1">MAX(FY50*(1+BZ51)-(Dashboard!$C$11)/(1-Dashboard!$C$17)*((1+Dashboard!$C$12)^$CZ51),0)</f>
        <v>7413357.2454211609</v>
      </c>
      <c r="FZ51" s="127">
        <f ca="1">MAX(FZ50*(1+CA51)-(Dashboard!$C$11)/(1-Dashboard!$C$17)*((1+Dashboard!$C$12)^$CZ51),0)</f>
        <v>183832973.79345262</v>
      </c>
      <c r="GA51" s="127">
        <f ca="1">MAX(GA50*(1+CB51)-(Dashboard!$C$11)/(1-Dashboard!$C$17)*((1+Dashboard!$C$12)^$CZ51),0)</f>
        <v>76113309.988584563</v>
      </c>
      <c r="GB51" s="127">
        <f ca="1">MAX(GB50*(1+CC51)-(Dashboard!$C$11)/(1-Dashboard!$C$17)*((1+Dashboard!$C$12)^$CZ51),0)</f>
        <v>9433886.2364502698</v>
      </c>
      <c r="GC51" s="127">
        <f ca="1">MAX(GC50*(1+CD51)-(Dashboard!$C$11)/(1-Dashboard!$C$17)*((1+Dashboard!$C$12)^$CZ51),0)</f>
        <v>25611971.677150913</v>
      </c>
      <c r="GD51" s="127">
        <f ca="1">MAX(GD50*(1+CE51)-(Dashboard!$C$11)/(1-Dashboard!$C$17)*((1+Dashboard!$C$12)^$CZ51),0)</f>
        <v>174129166.64545378</v>
      </c>
      <c r="GE51" s="127">
        <f ca="1">MAX(GE50*(1+CF51)-(Dashboard!$C$11)/(1-Dashboard!$C$17)*((1+Dashboard!$C$12)^$CZ51),0)</f>
        <v>15459178.140456425</v>
      </c>
      <c r="GF51" s="127">
        <f ca="1">MAX(GF50*(1+CG51)-(Dashboard!$C$11)/(1-Dashboard!$C$17)*((1+Dashboard!$C$12)^$CZ51),0)</f>
        <v>19236734.940562386</v>
      </c>
      <c r="GG51" s="127">
        <f ca="1">MAX(GG50*(1+CH51)-(Dashboard!$C$11)/(1-Dashboard!$C$17)*((1+Dashboard!$C$12)^$CZ51),0)</f>
        <v>803079.85766138812</v>
      </c>
      <c r="GH51" s="127">
        <f ca="1">MAX(GH50*(1+CI51)-(Dashboard!$C$11)/(1-Dashboard!$C$17)*((1+Dashboard!$C$12)^$CZ51),0)</f>
        <v>6418499.3267309079</v>
      </c>
      <c r="GI51" s="127">
        <f ca="1">MAX(GI50*(1+CJ51)-(Dashboard!$C$11)/(1-Dashboard!$C$17)*((1+Dashboard!$C$12)^$CZ51),0)</f>
        <v>81572417.804414913</v>
      </c>
      <c r="GJ51" s="127">
        <f ca="1">MAX(GJ50*(1+CK51)-(Dashboard!$C$11)/(1-Dashboard!$C$17)*((1+Dashboard!$C$12)^$CZ51),0)</f>
        <v>95824381.920047179</v>
      </c>
      <c r="GK51" s="127">
        <f ca="1">MAX(GK50*(1+CL51)-(Dashboard!$C$11)/(1-Dashboard!$C$17)*((1+Dashboard!$C$12)^$CZ51),0)</f>
        <v>18043698.235634651</v>
      </c>
      <c r="GL51" s="127">
        <f ca="1">MAX(GL50*(1+CM51)-(Dashboard!$C$11)/(1-Dashboard!$C$17)*((1+Dashboard!$C$12)^$CZ51),0)</f>
        <v>20669425.519913565</v>
      </c>
      <c r="GM51" s="127">
        <f ca="1">MAX(GM50*(1+CN51)-(Dashboard!$C$11)/(1-Dashboard!$C$17)*((1+Dashboard!$C$12)^$CZ51),0)</f>
        <v>9642870.4623961188</v>
      </c>
      <c r="GN51" s="127">
        <f ca="1">MAX(GN50*(1+CO51)-(Dashboard!$C$11)/(1-Dashboard!$C$17)*((1+Dashboard!$C$12)^$CZ51),0)</f>
        <v>0</v>
      </c>
      <c r="GO51" s="127">
        <f ca="1">MAX(GO50*(1+CP51)-(Dashboard!$C$11)/(1-Dashboard!$C$17)*((1+Dashboard!$C$12)^$CZ51),0)</f>
        <v>35999604.624689795</v>
      </c>
      <c r="GP51" s="127">
        <f ca="1">MAX(GP50*(1+CQ51)-(Dashboard!$C$11)/(1-Dashboard!$C$17)*((1+Dashboard!$C$12)^$CZ51),0)</f>
        <v>65769639.05116336</v>
      </c>
      <c r="GQ51" s="127">
        <f ca="1">MAX(GQ50*(1+CR51)-(Dashboard!$C$11)/(1-Dashboard!$C$17)*((1+Dashboard!$C$12)^$CZ51),0)</f>
        <v>1569628.4262315677</v>
      </c>
      <c r="GR51" s="127">
        <f ca="1">MAX(GR50*(1+CS51)-(Dashboard!$C$11)/(1-Dashboard!$C$17)*((1+Dashboard!$C$12)^$CZ51),0)</f>
        <v>5274427.3328847447</v>
      </c>
      <c r="GS51" s="127">
        <f ca="1">MAX(GS50*(1+CT51)-(Dashboard!$C$11)/(1-Dashboard!$C$17)*((1+Dashboard!$C$12)^$CZ51),0)</f>
        <v>35151909.419558167</v>
      </c>
      <c r="GT51" s="127">
        <f ca="1">MAX(GT50*(1+CU51)-(Dashboard!$C$11)/(1-Dashboard!$C$17)*((1+Dashboard!$C$12)^$CZ51),0)</f>
        <v>219435664.58933708</v>
      </c>
      <c r="GU51" s="127">
        <f ca="1">MAX(GU50*(1+CV51)-(Dashboard!$C$11)/(1-Dashboard!$C$17)*((1+Dashboard!$C$12)^$CZ51),0)</f>
        <v>11512735.52913163</v>
      </c>
      <c r="GV51" s="127">
        <f ca="1">MAX(GV50*(1+CW51)-(Dashboard!$C$11)/(1-Dashboard!$C$17)*((1+Dashboard!$C$12)^$CZ51),0)</f>
        <v>6809767.8448462719</v>
      </c>
      <c r="GW51" s="117">
        <f t="shared" si="4"/>
        <v>100</v>
      </c>
      <c r="GX51" s="131">
        <f t="shared" ca="1" si="2"/>
        <v>95</v>
      </c>
      <c r="HC51" s="131">
        <f t="shared" si="7"/>
        <v>100</v>
      </c>
      <c r="HD51" s="138">
        <f t="shared" ca="1" si="8"/>
        <v>6516316.4562597489</v>
      </c>
      <c r="HE51" s="138">
        <f t="shared" ca="1" si="8"/>
        <v>15089199.680240888</v>
      </c>
      <c r="HF51" s="138">
        <f t="shared" ca="1" si="8"/>
        <v>48374374.98335629</v>
      </c>
    </row>
    <row r="53" spans="1:214" ht="15" thickBot="1">
      <c r="A53" s="139" t="s">
        <v>435</v>
      </c>
      <c r="B53" s="140">
        <f ca="1">AVERAGE(B2:B51)</f>
        <v>9.8797059842438792E-2</v>
      </c>
      <c r="C53" s="140">
        <f t="shared" ref="C53:BN53" ca="1" si="9">AVERAGE(C2:C51)</f>
        <v>5.3803237746238464E-2</v>
      </c>
      <c r="D53" s="140">
        <f t="shared" ca="1" si="9"/>
        <v>9.6531926789093572E-2</v>
      </c>
      <c r="E53" s="140">
        <f t="shared" ca="1" si="9"/>
        <v>6.064898079636636E-2</v>
      </c>
      <c r="F53" s="140">
        <f t="shared" ca="1" si="9"/>
        <v>9.6894519228234721E-2</v>
      </c>
      <c r="G53" s="140">
        <f t="shared" ca="1" si="9"/>
        <v>0.1053478922975286</v>
      </c>
      <c r="H53" s="140">
        <f t="shared" ca="1" si="9"/>
        <v>8.131265235915551E-2</v>
      </c>
      <c r="I53" s="140">
        <f t="shared" ca="1" si="9"/>
        <v>0.11380342737879375</v>
      </c>
      <c r="J53" s="140">
        <f t="shared" ca="1" si="9"/>
        <v>8.9667005026169061E-2</v>
      </c>
      <c r="K53" s="140">
        <f t="shared" ca="1" si="9"/>
        <v>7.5598939621075389E-2</v>
      </c>
      <c r="L53" s="140">
        <f t="shared" ca="1" si="9"/>
        <v>8.5904157161997188E-2</v>
      </c>
      <c r="M53" s="140">
        <f t="shared" ca="1" si="9"/>
        <v>7.2386697449367252E-2</v>
      </c>
      <c r="N53" s="140">
        <f t="shared" ca="1" si="9"/>
        <v>0.10835776090803158</v>
      </c>
      <c r="O53" s="140">
        <f t="shared" ca="1" si="9"/>
        <v>0.12873548943938809</v>
      </c>
      <c r="P53" s="140">
        <f t="shared" ca="1" si="9"/>
        <v>6.9555924540884287E-2</v>
      </c>
      <c r="Q53" s="140">
        <f t="shared" ca="1" si="9"/>
        <v>7.0637951826069675E-2</v>
      </c>
      <c r="R53" s="140">
        <f t="shared" ca="1" si="9"/>
        <v>8.1227016866138632E-2</v>
      </c>
      <c r="S53" s="140">
        <f t="shared" ca="1" si="9"/>
        <v>0.10334460781111351</v>
      </c>
      <c r="T53" s="140">
        <f t="shared" ca="1" si="9"/>
        <v>4.7687197305358177E-2</v>
      </c>
      <c r="U53" s="140">
        <f t="shared" ca="1" si="9"/>
        <v>5.9374746826270648E-2</v>
      </c>
      <c r="V53" s="140">
        <f t="shared" ca="1" si="9"/>
        <v>7.4715700958096237E-2</v>
      </c>
      <c r="W53" s="140">
        <f t="shared" ca="1" si="9"/>
        <v>0.12015509954096304</v>
      </c>
      <c r="X53" s="140">
        <f t="shared" ca="1" si="9"/>
        <v>8.1040257785176539E-2</v>
      </c>
      <c r="Y53" s="140">
        <f t="shared" ca="1" si="9"/>
        <v>8.1543041229356558E-2</v>
      </c>
      <c r="Z53" s="140">
        <f t="shared" ca="1" si="9"/>
        <v>8.865709775299821E-2</v>
      </c>
      <c r="AA53" s="140">
        <f t="shared" ca="1" si="9"/>
        <v>8.1252024822632135E-2</v>
      </c>
      <c r="AB53" s="140">
        <f t="shared" ca="1" si="9"/>
        <v>8.2747161921214618E-2</v>
      </c>
      <c r="AC53" s="140">
        <f t="shared" ca="1" si="9"/>
        <v>9.1056835967923411E-2</v>
      </c>
      <c r="AD53" s="140">
        <f t="shared" ca="1" si="9"/>
        <v>9.9433192037541307E-2</v>
      </c>
      <c r="AE53" s="140">
        <f t="shared" ca="1" si="9"/>
        <v>9.8761378143502443E-2</v>
      </c>
      <c r="AF53" s="140">
        <f t="shared" ca="1" si="9"/>
        <v>9.6066554024053424E-2</v>
      </c>
      <c r="AG53" s="140">
        <f t="shared" ca="1" si="9"/>
        <v>7.4028515050376817E-2</v>
      </c>
      <c r="AH53" s="140">
        <f t="shared" ca="1" si="9"/>
        <v>0.10531044694524834</v>
      </c>
      <c r="AI53" s="140">
        <f t="shared" ca="1" si="9"/>
        <v>0.10993572171543439</v>
      </c>
      <c r="AJ53" s="140">
        <f t="shared" ca="1" si="9"/>
        <v>5.9678405461104776E-2</v>
      </c>
      <c r="AK53" s="140">
        <f t="shared" ca="1" si="9"/>
        <v>0.11797258377150738</v>
      </c>
      <c r="AL53" s="140">
        <f t="shared" ca="1" si="9"/>
        <v>6.4716145853375942E-2</v>
      </c>
      <c r="AM53" s="140">
        <f t="shared" ca="1" si="9"/>
        <v>8.0156604051577235E-2</v>
      </c>
      <c r="AN53" s="140">
        <f t="shared" ca="1" si="9"/>
        <v>0.12012333917887806</v>
      </c>
      <c r="AO53" s="140">
        <f t="shared" ca="1" si="9"/>
        <v>6.172370990113879E-2</v>
      </c>
      <c r="AP53" s="140">
        <f t="shared" ca="1" si="9"/>
        <v>3.6712936965002954E-2</v>
      </c>
      <c r="AQ53" s="140">
        <f t="shared" ca="1" si="9"/>
        <v>7.0561601758517917E-2</v>
      </c>
      <c r="AR53" s="140">
        <f t="shared" ca="1" si="9"/>
        <v>8.1783704409298025E-2</v>
      </c>
      <c r="AS53" s="140">
        <f t="shared" ca="1" si="9"/>
        <v>8.738036392965931E-2</v>
      </c>
      <c r="AT53" s="140">
        <f t="shared" ca="1" si="9"/>
        <v>0.10942475002262694</v>
      </c>
      <c r="AU53" s="140">
        <f t="shared" ca="1" si="9"/>
        <v>9.0410906313860617E-2</v>
      </c>
      <c r="AV53" s="140">
        <f t="shared" ca="1" si="9"/>
        <v>8.313437257492319E-2</v>
      </c>
      <c r="AW53" s="140">
        <f t="shared" ca="1" si="9"/>
        <v>0.11564011581238594</v>
      </c>
      <c r="AX53" s="140">
        <f t="shared" ca="1" si="9"/>
        <v>6.3659535520931967E-2</v>
      </c>
      <c r="AY53" s="140">
        <f t="shared" ca="1" si="9"/>
        <v>7.5256177394314075E-2</v>
      </c>
      <c r="AZ53" s="140">
        <f t="shared" ca="1" si="9"/>
        <v>9.2902042122270337E-2</v>
      </c>
      <c r="BA53" s="140">
        <f t="shared" ca="1" si="9"/>
        <v>9.1023619035093248E-2</v>
      </c>
      <c r="BB53" s="140">
        <f t="shared" ca="1" si="9"/>
        <v>0.10621947104943719</v>
      </c>
      <c r="BC53" s="140">
        <f t="shared" ca="1" si="9"/>
        <v>5.7573150206006736E-2</v>
      </c>
      <c r="BD53" s="140">
        <f t="shared" ca="1" si="9"/>
        <v>9.2363042071635051E-2</v>
      </c>
      <c r="BE53" s="140">
        <f t="shared" ca="1" si="9"/>
        <v>0.11511860147906745</v>
      </c>
      <c r="BF53" s="140">
        <f t="shared" ca="1" si="9"/>
        <v>0.12036080359332058</v>
      </c>
      <c r="BG53" s="140">
        <f t="shared" ca="1" si="9"/>
        <v>7.5387192600807729E-2</v>
      </c>
      <c r="BH53" s="140">
        <f t="shared" ca="1" si="9"/>
        <v>7.574457746046552E-2</v>
      </c>
      <c r="BI53" s="140">
        <f t="shared" ca="1" si="9"/>
        <v>6.8692030998736539E-2</v>
      </c>
      <c r="BJ53" s="140">
        <f t="shared" ca="1" si="9"/>
        <v>9.9750985250320459E-2</v>
      </c>
      <c r="BK53" s="140">
        <f t="shared" ca="1" si="9"/>
        <v>8.4950147114285557E-2</v>
      </c>
      <c r="BL53" s="140">
        <f t="shared" ca="1" si="9"/>
        <v>8.1392089986764227E-2</v>
      </c>
      <c r="BM53" s="140">
        <f t="shared" ca="1" si="9"/>
        <v>6.2860285882320191E-2</v>
      </c>
      <c r="BN53" s="140">
        <f t="shared" ca="1" si="9"/>
        <v>7.8893353051293635E-2</v>
      </c>
      <c r="BO53" s="140">
        <f t="shared" ref="BO53:CW53" ca="1" si="10">AVERAGE(BO2:BO51)</f>
        <v>7.1272013752780375E-2</v>
      </c>
      <c r="BP53" s="140">
        <f t="shared" ca="1" si="10"/>
        <v>9.3464558550357332E-2</v>
      </c>
      <c r="BQ53" s="140">
        <f t="shared" ca="1" si="10"/>
        <v>8.1312636533648744E-2</v>
      </c>
      <c r="BR53" s="140">
        <f t="shared" ca="1" si="10"/>
        <v>6.8516286634859605E-2</v>
      </c>
      <c r="BS53" s="140">
        <f t="shared" ca="1" si="10"/>
        <v>0.10116913929081935</v>
      </c>
      <c r="BT53" s="140">
        <f t="shared" ca="1" si="10"/>
        <v>0.10947684215480369</v>
      </c>
      <c r="BU53" s="140">
        <f t="shared" ca="1" si="10"/>
        <v>6.0759904181248679E-2</v>
      </c>
      <c r="BV53" s="140">
        <f t="shared" ca="1" si="10"/>
        <v>5.3188065688220834E-2</v>
      </c>
      <c r="BW53" s="140">
        <f t="shared" ca="1" si="10"/>
        <v>8.979541105574676E-2</v>
      </c>
      <c r="BX53" s="140">
        <f t="shared" ca="1" si="10"/>
        <v>8.3105295396718779E-2</v>
      </c>
      <c r="BY53" s="140">
        <f t="shared" ca="1" si="10"/>
        <v>5.8971620648229084E-2</v>
      </c>
      <c r="BZ53" s="140">
        <f t="shared" ca="1" si="10"/>
        <v>7.3505719773595282E-2</v>
      </c>
      <c r="CA53" s="140">
        <f t="shared" ca="1" si="10"/>
        <v>0.12859819699506864</v>
      </c>
      <c r="CB53" s="140">
        <f t="shared" ca="1" si="10"/>
        <v>0.110136500940182</v>
      </c>
      <c r="CC53" s="140">
        <f t="shared" ca="1" si="10"/>
        <v>7.8356871547395374E-2</v>
      </c>
      <c r="CD53" s="140">
        <f t="shared" ca="1" si="10"/>
        <v>8.7220195245874418E-2</v>
      </c>
      <c r="CE53" s="140">
        <f t="shared" ca="1" si="10"/>
        <v>0.12552357956662749</v>
      </c>
      <c r="CF53" s="140">
        <f t="shared" ca="1" si="10"/>
        <v>8.273000522631753E-2</v>
      </c>
      <c r="CG53" s="140">
        <f t="shared" ca="1" si="10"/>
        <v>8.0637346632463025E-2</v>
      </c>
      <c r="CH53" s="140">
        <f t="shared" ca="1" si="10"/>
        <v>5.9216822629193144E-2</v>
      </c>
      <c r="CI53" s="140">
        <f t="shared" ca="1" si="10"/>
        <v>6.8864557184681027E-2</v>
      </c>
      <c r="CJ53" s="140">
        <f t="shared" ca="1" si="10"/>
        <v>0.12191418295430539</v>
      </c>
      <c r="CK53" s="140">
        <f t="shared" ca="1" si="10"/>
        <v>0.11431690039505775</v>
      </c>
      <c r="CL53" s="140">
        <f t="shared" ca="1" si="10"/>
        <v>8.38006520544443E-2</v>
      </c>
      <c r="CM53" s="140">
        <f t="shared" ca="1" si="10"/>
        <v>8.3329855269640193E-2</v>
      </c>
      <c r="CN53" s="140">
        <f t="shared" ca="1" si="10"/>
        <v>8.5074126230733127E-2</v>
      </c>
      <c r="CO53" s="140">
        <f t="shared" ca="1" si="10"/>
        <v>2.9790616348611992E-2</v>
      </c>
      <c r="CP53" s="140">
        <f t="shared" ca="1" si="10"/>
        <v>9.7522744004963205E-2</v>
      </c>
      <c r="CQ53" s="140">
        <f t="shared" ca="1" si="10"/>
        <v>0.11571036092222316</v>
      </c>
      <c r="CR53" s="140">
        <f t="shared" ca="1" si="10"/>
        <v>6.4934585654798399E-2</v>
      </c>
      <c r="CS53" s="140">
        <f t="shared" ca="1" si="10"/>
        <v>7.0849631517308082E-2</v>
      </c>
      <c r="CT53" s="140">
        <f t="shared" ca="1" si="10"/>
        <v>9.4485954373864617E-2</v>
      </c>
      <c r="CU53" s="140">
        <f t="shared" ca="1" si="10"/>
        <v>0.1378208529301419</v>
      </c>
      <c r="CV53" s="140">
        <f t="shared" ca="1" si="10"/>
        <v>8.6912517453354002E-2</v>
      </c>
      <c r="CW53" s="140">
        <f t="shared" ca="1" si="10"/>
        <v>8.1429352117741244E-2</v>
      </c>
      <c r="GX53" s="112">
        <f ca="1">INDEX(GX2:GX51,MATCH(100,CY2:CY51))/100</f>
        <v>0.95</v>
      </c>
    </row>
    <row r="54" spans="1:214" ht="15" thickTop="1"/>
  </sheetData>
  <phoneticPr fontId="3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9A16-13AE-B447-96E9-D46F6D6AC711}">
  <sheetPr codeName="Sheet5"/>
  <dimension ref="A1:HF54"/>
  <sheetViews>
    <sheetView showGridLines="0" topLeftCell="GQ1" zoomScale="91" zoomScaleNormal="100" workbookViewId="0">
      <selection activeCell="HH8" sqref="HH8"/>
    </sheetView>
  </sheetViews>
  <sheetFormatPr baseColWidth="10" defaultColWidth="11" defaultRowHeight="14"/>
  <cols>
    <col min="1" max="1" width="7.5703125" style="107" bestFit="1" customWidth="1"/>
    <col min="2" max="101" width="11.5703125" style="107" customWidth="1"/>
    <col min="102" max="102" width="11" style="107"/>
    <col min="103" max="103" width="6" style="107" customWidth="1"/>
    <col min="104" max="104" width="6.85546875" style="107" customWidth="1"/>
    <col min="105" max="105" width="14.42578125" style="107" bestFit="1" customWidth="1"/>
    <col min="106" max="106" width="13.42578125" style="107" bestFit="1" customWidth="1"/>
    <col min="107" max="107" width="12.28515625" style="107" bestFit="1" customWidth="1"/>
    <col min="108" max="108" width="13.42578125" style="107" bestFit="1" customWidth="1"/>
    <col min="109" max="109" width="12.28515625" style="107" bestFit="1" customWidth="1"/>
    <col min="110" max="111" width="14.42578125" style="107" bestFit="1" customWidth="1"/>
    <col min="112" max="114" width="13.42578125" style="107" bestFit="1" customWidth="1"/>
    <col min="115" max="115" width="14.42578125" style="107" bestFit="1" customWidth="1"/>
    <col min="116" max="116" width="12.28515625" style="107" bestFit="1" customWidth="1"/>
    <col min="117" max="121" width="13.42578125" style="107" bestFit="1" customWidth="1"/>
    <col min="122" max="122" width="12.28515625" style="107" bestFit="1" customWidth="1"/>
    <col min="123" max="124" width="14.42578125" style="107" bestFit="1" customWidth="1"/>
    <col min="125" max="125" width="13.42578125" style="107" bestFit="1" customWidth="1"/>
    <col min="126" max="126" width="14.42578125" style="107" bestFit="1" customWidth="1"/>
    <col min="127" max="128" width="12.28515625" style="107" bestFit="1" customWidth="1"/>
    <col min="129" max="131" width="14.42578125" style="107" bestFit="1" customWidth="1"/>
    <col min="132" max="132" width="13.42578125" style="107" bestFit="1" customWidth="1"/>
    <col min="133" max="133" width="14.42578125" style="107" bestFit="1" customWidth="1"/>
    <col min="134" max="134" width="13.42578125" style="107" bestFit="1" customWidth="1"/>
    <col min="135" max="135" width="12.28515625" style="107" bestFit="1" customWidth="1"/>
    <col min="136" max="137" width="14.42578125" style="107" bestFit="1" customWidth="1"/>
    <col min="138" max="138" width="12.28515625" style="107" bestFit="1" customWidth="1"/>
    <col min="139" max="140" width="13.42578125" style="107" bestFit="1" customWidth="1"/>
    <col min="141" max="141" width="14.42578125" style="107" bestFit="1" customWidth="1"/>
    <col min="142" max="142" width="13.42578125" style="107" bestFit="1" customWidth="1"/>
    <col min="143" max="146" width="14.42578125" style="107" bestFit="1" customWidth="1"/>
    <col min="147" max="147" width="13.42578125" style="107" bestFit="1" customWidth="1"/>
    <col min="148" max="149" width="14.42578125" style="107" bestFit="1" customWidth="1"/>
    <col min="150" max="150" width="13.42578125" style="107" bestFit="1" customWidth="1"/>
    <col min="151" max="151" width="14.42578125" style="107" bestFit="1" customWidth="1"/>
    <col min="152" max="152" width="12.28515625" style="107" bestFit="1" customWidth="1"/>
    <col min="153" max="153" width="13.42578125" style="107" bestFit="1" customWidth="1"/>
    <col min="154" max="154" width="14.42578125" style="107" bestFit="1" customWidth="1"/>
    <col min="155" max="155" width="12.28515625" style="107" bestFit="1" customWidth="1"/>
    <col min="156" max="157" width="13.42578125" style="107" bestFit="1" customWidth="1"/>
    <col min="158" max="159" width="12.28515625" style="107" bestFit="1" customWidth="1"/>
    <col min="160" max="160" width="13.42578125" style="107" bestFit="1" customWidth="1"/>
    <col min="161" max="161" width="12.28515625" style="107" bestFit="1" customWidth="1"/>
    <col min="162" max="163" width="14.42578125" style="107" bestFit="1" customWidth="1"/>
    <col min="164" max="164" width="12.28515625" style="107" bestFit="1" customWidth="1"/>
    <col min="165" max="165" width="13.42578125" style="107" bestFit="1" customWidth="1"/>
    <col min="166" max="167" width="14.42578125" style="107" bestFit="1" customWidth="1"/>
    <col min="168" max="168" width="13.42578125" style="107" bestFit="1" customWidth="1"/>
    <col min="169" max="169" width="14.42578125" style="107" bestFit="1" customWidth="1"/>
    <col min="170" max="170" width="13.42578125" style="107" bestFit="1" customWidth="1"/>
    <col min="171" max="171" width="14.42578125" style="107" bestFit="1" customWidth="1"/>
    <col min="172" max="172" width="12.28515625" style="107" bestFit="1" customWidth="1"/>
    <col min="173" max="174" width="13.42578125" style="107" bestFit="1" customWidth="1"/>
    <col min="175" max="176" width="12.28515625" style="107" bestFit="1" customWidth="1"/>
    <col min="177" max="177" width="13.42578125" style="107" bestFit="1" customWidth="1"/>
    <col min="178" max="178" width="15.42578125" style="107" bestFit="1" customWidth="1"/>
    <col min="179" max="179" width="12.28515625" style="107" bestFit="1" customWidth="1"/>
    <col min="180" max="180" width="13.42578125" style="107" bestFit="1" customWidth="1"/>
    <col min="181" max="184" width="14.42578125" style="107" bestFit="1" customWidth="1"/>
    <col min="185" max="187" width="13.42578125" style="107" bestFit="1" customWidth="1"/>
    <col min="188" max="188" width="12.28515625" style="107" bestFit="1" customWidth="1"/>
    <col min="189" max="189" width="14.42578125" style="107" bestFit="1" customWidth="1"/>
    <col min="190" max="191" width="13.42578125" style="107" bestFit="1" customWidth="1"/>
    <col min="192" max="193" width="14.42578125" style="107" bestFit="1" customWidth="1"/>
    <col min="194" max="194" width="13.42578125" style="107" bestFit="1" customWidth="1"/>
    <col min="195" max="195" width="14.42578125" style="107" bestFit="1" customWidth="1"/>
    <col min="196" max="196" width="12.28515625" style="107" bestFit="1" customWidth="1"/>
    <col min="197" max="197" width="14.42578125" style="107" bestFit="1" customWidth="1"/>
    <col min="198" max="198" width="13.42578125" style="107" bestFit="1" customWidth="1"/>
    <col min="199" max="200" width="12.28515625" style="107" bestFit="1" customWidth="1"/>
    <col min="201" max="201" width="14.42578125" style="107" bestFit="1" customWidth="1"/>
    <col min="202" max="202" width="12.28515625" style="107" bestFit="1" customWidth="1"/>
    <col min="203" max="204" width="13.42578125" style="107" bestFit="1" customWidth="1"/>
    <col min="205" max="205" width="3.85546875" style="107" bestFit="1" customWidth="1"/>
    <col min="206" max="206" width="6.7109375" style="107" bestFit="1" customWidth="1"/>
    <col min="207" max="208" width="11" style="107"/>
    <col min="209" max="210" width="13.42578125" style="107" bestFit="1" customWidth="1"/>
    <col min="211" max="211" width="11.42578125" style="107" customWidth="1"/>
    <col min="212" max="213" width="13.42578125" style="107" bestFit="1" customWidth="1"/>
    <col min="214" max="214" width="14.42578125" style="107" bestFit="1" customWidth="1"/>
    <col min="215" max="16384" width="11" style="107"/>
  </cols>
  <sheetData>
    <row r="1" spans="1:214" ht="31" thickBot="1">
      <c r="A1" s="125" t="s">
        <v>125</v>
      </c>
      <c r="B1" s="125" t="s">
        <v>335</v>
      </c>
      <c r="C1" s="125" t="s">
        <v>336</v>
      </c>
      <c r="D1" s="125" t="s">
        <v>337</v>
      </c>
      <c r="E1" s="125" t="s">
        <v>338</v>
      </c>
      <c r="F1" s="125" t="s">
        <v>339</v>
      </c>
      <c r="G1" s="125" t="s">
        <v>340</v>
      </c>
      <c r="H1" s="125" t="s">
        <v>341</v>
      </c>
      <c r="I1" s="125" t="s">
        <v>342</v>
      </c>
      <c r="J1" s="125" t="s">
        <v>343</v>
      </c>
      <c r="K1" s="125" t="s">
        <v>344</v>
      </c>
      <c r="L1" s="125" t="s">
        <v>345</v>
      </c>
      <c r="M1" s="125" t="s">
        <v>346</v>
      </c>
      <c r="N1" s="125" t="s">
        <v>347</v>
      </c>
      <c r="O1" s="125" t="s">
        <v>348</v>
      </c>
      <c r="P1" s="125" t="s">
        <v>349</v>
      </c>
      <c r="Q1" s="125" t="s">
        <v>350</v>
      </c>
      <c r="R1" s="125" t="s">
        <v>351</v>
      </c>
      <c r="S1" s="125" t="s">
        <v>352</v>
      </c>
      <c r="T1" s="125" t="s">
        <v>353</v>
      </c>
      <c r="U1" s="125" t="s">
        <v>354</v>
      </c>
      <c r="V1" s="125" t="s">
        <v>355</v>
      </c>
      <c r="W1" s="125" t="s">
        <v>356</v>
      </c>
      <c r="X1" s="125" t="s">
        <v>357</v>
      </c>
      <c r="Y1" s="125" t="s">
        <v>358</v>
      </c>
      <c r="Z1" s="125" t="s">
        <v>359</v>
      </c>
      <c r="AA1" s="125" t="s">
        <v>360</v>
      </c>
      <c r="AB1" s="125" t="s">
        <v>361</v>
      </c>
      <c r="AC1" s="125" t="s">
        <v>362</v>
      </c>
      <c r="AD1" s="125" t="s">
        <v>363</v>
      </c>
      <c r="AE1" s="125" t="s">
        <v>364</v>
      </c>
      <c r="AF1" s="125" t="s">
        <v>365</v>
      </c>
      <c r="AG1" s="125" t="s">
        <v>366</v>
      </c>
      <c r="AH1" s="125" t="s">
        <v>367</v>
      </c>
      <c r="AI1" s="125" t="s">
        <v>368</v>
      </c>
      <c r="AJ1" s="125" t="s">
        <v>369</v>
      </c>
      <c r="AK1" s="125" t="s">
        <v>370</v>
      </c>
      <c r="AL1" s="125" t="s">
        <v>371</v>
      </c>
      <c r="AM1" s="125" t="s">
        <v>372</v>
      </c>
      <c r="AN1" s="125" t="s">
        <v>373</v>
      </c>
      <c r="AO1" s="125" t="s">
        <v>374</v>
      </c>
      <c r="AP1" s="125" t="s">
        <v>375</v>
      </c>
      <c r="AQ1" s="125" t="s">
        <v>376</v>
      </c>
      <c r="AR1" s="125" t="s">
        <v>377</v>
      </c>
      <c r="AS1" s="125" t="s">
        <v>378</v>
      </c>
      <c r="AT1" s="125" t="s">
        <v>379</v>
      </c>
      <c r="AU1" s="125" t="s">
        <v>380</v>
      </c>
      <c r="AV1" s="125" t="s">
        <v>381</v>
      </c>
      <c r="AW1" s="125" t="s">
        <v>382</v>
      </c>
      <c r="AX1" s="125" t="s">
        <v>383</v>
      </c>
      <c r="AY1" s="125" t="s">
        <v>384</v>
      </c>
      <c r="AZ1" s="125" t="s">
        <v>385</v>
      </c>
      <c r="BA1" s="125" t="s">
        <v>386</v>
      </c>
      <c r="BB1" s="125" t="s">
        <v>387</v>
      </c>
      <c r="BC1" s="125" t="s">
        <v>388</v>
      </c>
      <c r="BD1" s="125" t="s">
        <v>389</v>
      </c>
      <c r="BE1" s="125" t="s">
        <v>390</v>
      </c>
      <c r="BF1" s="125" t="s">
        <v>391</v>
      </c>
      <c r="BG1" s="125" t="s">
        <v>392</v>
      </c>
      <c r="BH1" s="125" t="s">
        <v>393</v>
      </c>
      <c r="BI1" s="125" t="s">
        <v>394</v>
      </c>
      <c r="BJ1" s="125" t="s">
        <v>395</v>
      </c>
      <c r="BK1" s="125" t="s">
        <v>396</v>
      </c>
      <c r="BL1" s="125" t="s">
        <v>397</v>
      </c>
      <c r="BM1" s="125" t="s">
        <v>398</v>
      </c>
      <c r="BN1" s="125" t="s">
        <v>399</v>
      </c>
      <c r="BO1" s="125" t="s">
        <v>400</v>
      </c>
      <c r="BP1" s="125" t="s">
        <v>401</v>
      </c>
      <c r="BQ1" s="125" t="s">
        <v>402</v>
      </c>
      <c r="BR1" s="125" t="s">
        <v>403</v>
      </c>
      <c r="BS1" s="125" t="s">
        <v>404</v>
      </c>
      <c r="BT1" s="125" t="s">
        <v>405</v>
      </c>
      <c r="BU1" s="125" t="s">
        <v>406</v>
      </c>
      <c r="BV1" s="125" t="s">
        <v>407</v>
      </c>
      <c r="BW1" s="125" t="s">
        <v>408</v>
      </c>
      <c r="BX1" s="125" t="s">
        <v>409</v>
      </c>
      <c r="BY1" s="125" t="s">
        <v>410</v>
      </c>
      <c r="BZ1" s="125" t="s">
        <v>411</v>
      </c>
      <c r="CA1" s="125" t="s">
        <v>412</v>
      </c>
      <c r="CB1" s="125" t="s">
        <v>413</v>
      </c>
      <c r="CC1" s="125" t="s">
        <v>414</v>
      </c>
      <c r="CD1" s="125" t="s">
        <v>415</v>
      </c>
      <c r="CE1" s="125" t="s">
        <v>416</v>
      </c>
      <c r="CF1" s="125" t="s">
        <v>417</v>
      </c>
      <c r="CG1" s="125" t="s">
        <v>418</v>
      </c>
      <c r="CH1" s="125" t="s">
        <v>419</v>
      </c>
      <c r="CI1" s="125" t="s">
        <v>420</v>
      </c>
      <c r="CJ1" s="125" t="s">
        <v>421</v>
      </c>
      <c r="CK1" s="125" t="s">
        <v>422</v>
      </c>
      <c r="CL1" s="125" t="s">
        <v>423</v>
      </c>
      <c r="CM1" s="125" t="s">
        <v>424</v>
      </c>
      <c r="CN1" s="125" t="s">
        <v>425</v>
      </c>
      <c r="CO1" s="125" t="s">
        <v>426</v>
      </c>
      <c r="CP1" s="125" t="s">
        <v>427</v>
      </c>
      <c r="CQ1" s="125" t="s">
        <v>428</v>
      </c>
      <c r="CR1" s="125" t="s">
        <v>429</v>
      </c>
      <c r="CS1" s="125" t="s">
        <v>430</v>
      </c>
      <c r="CT1" s="125" t="s">
        <v>431</v>
      </c>
      <c r="CU1" s="125" t="s">
        <v>432</v>
      </c>
      <c r="CV1" s="125" t="s">
        <v>433</v>
      </c>
      <c r="CW1" s="125" t="s">
        <v>434</v>
      </c>
      <c r="CY1" s="133" t="s">
        <v>125</v>
      </c>
      <c r="CZ1" s="133" t="s">
        <v>439</v>
      </c>
      <c r="DA1" s="132">
        <f>Dashboard!$C$5</f>
        <v>870000</v>
      </c>
      <c r="DB1" s="132">
        <f>Dashboard!$C$5</f>
        <v>870000</v>
      </c>
      <c r="DC1" s="132">
        <f>Dashboard!$C$5</f>
        <v>870000</v>
      </c>
      <c r="DD1" s="132">
        <f>Dashboard!$C$5</f>
        <v>870000</v>
      </c>
      <c r="DE1" s="132">
        <f>Dashboard!$C$5</f>
        <v>870000</v>
      </c>
      <c r="DF1" s="132">
        <f>Dashboard!$C$5</f>
        <v>870000</v>
      </c>
      <c r="DG1" s="132">
        <f>Dashboard!$C$5</f>
        <v>870000</v>
      </c>
      <c r="DH1" s="132">
        <f>Dashboard!$C$5</f>
        <v>870000</v>
      </c>
      <c r="DI1" s="132">
        <f>Dashboard!$C$5</f>
        <v>870000</v>
      </c>
      <c r="DJ1" s="132">
        <f>Dashboard!$C$5</f>
        <v>870000</v>
      </c>
      <c r="DK1" s="132">
        <f>Dashboard!$C$5</f>
        <v>870000</v>
      </c>
      <c r="DL1" s="132">
        <f>Dashboard!$C$5</f>
        <v>870000</v>
      </c>
      <c r="DM1" s="132">
        <f>Dashboard!$C$5</f>
        <v>870000</v>
      </c>
      <c r="DN1" s="132">
        <f>Dashboard!$C$5</f>
        <v>870000</v>
      </c>
      <c r="DO1" s="132">
        <f>Dashboard!$C$5</f>
        <v>870000</v>
      </c>
      <c r="DP1" s="132">
        <f>Dashboard!$C$5</f>
        <v>870000</v>
      </c>
      <c r="DQ1" s="132">
        <f>Dashboard!$C$5</f>
        <v>870000</v>
      </c>
      <c r="DR1" s="132">
        <f>Dashboard!$C$5</f>
        <v>870000</v>
      </c>
      <c r="DS1" s="132">
        <f>Dashboard!$C$5</f>
        <v>870000</v>
      </c>
      <c r="DT1" s="132">
        <f>Dashboard!$C$5</f>
        <v>870000</v>
      </c>
      <c r="DU1" s="132">
        <f>Dashboard!$C$5</f>
        <v>870000</v>
      </c>
      <c r="DV1" s="132">
        <f>Dashboard!$C$5</f>
        <v>870000</v>
      </c>
      <c r="DW1" s="132">
        <f>Dashboard!$C$5</f>
        <v>870000</v>
      </c>
      <c r="DX1" s="132">
        <f>Dashboard!$C$5</f>
        <v>870000</v>
      </c>
      <c r="DY1" s="132">
        <f>Dashboard!$C$5</f>
        <v>870000</v>
      </c>
      <c r="DZ1" s="132">
        <f>Dashboard!$C$5</f>
        <v>870000</v>
      </c>
      <c r="EA1" s="132">
        <f>Dashboard!$C$5</f>
        <v>870000</v>
      </c>
      <c r="EB1" s="132">
        <f>Dashboard!$C$5</f>
        <v>870000</v>
      </c>
      <c r="EC1" s="132">
        <f>Dashboard!$C$5</f>
        <v>870000</v>
      </c>
      <c r="ED1" s="132">
        <f>Dashboard!$C$5</f>
        <v>870000</v>
      </c>
      <c r="EE1" s="132">
        <f>Dashboard!$C$5</f>
        <v>870000</v>
      </c>
      <c r="EF1" s="132">
        <f>Dashboard!$C$5</f>
        <v>870000</v>
      </c>
      <c r="EG1" s="132">
        <f>Dashboard!$C$5</f>
        <v>870000</v>
      </c>
      <c r="EH1" s="132">
        <f>Dashboard!$C$5</f>
        <v>870000</v>
      </c>
      <c r="EI1" s="132">
        <f>Dashboard!$C$5</f>
        <v>870000</v>
      </c>
      <c r="EJ1" s="132">
        <f>Dashboard!$C$5</f>
        <v>870000</v>
      </c>
      <c r="EK1" s="132">
        <f>Dashboard!$C$5</f>
        <v>870000</v>
      </c>
      <c r="EL1" s="132">
        <f>Dashboard!$C$5</f>
        <v>870000</v>
      </c>
      <c r="EM1" s="132">
        <f>Dashboard!$C$5</f>
        <v>870000</v>
      </c>
      <c r="EN1" s="132">
        <f>Dashboard!$C$5</f>
        <v>870000</v>
      </c>
      <c r="EO1" s="132">
        <f>Dashboard!$C$5</f>
        <v>870000</v>
      </c>
      <c r="EP1" s="132">
        <f>Dashboard!$C$5</f>
        <v>870000</v>
      </c>
      <c r="EQ1" s="132">
        <f>Dashboard!$C$5</f>
        <v>870000</v>
      </c>
      <c r="ER1" s="132">
        <f>Dashboard!$C$5</f>
        <v>870000</v>
      </c>
      <c r="ES1" s="132">
        <f>Dashboard!$C$5</f>
        <v>870000</v>
      </c>
      <c r="ET1" s="132">
        <f>Dashboard!$C$5</f>
        <v>870000</v>
      </c>
      <c r="EU1" s="132">
        <f>Dashboard!$C$5</f>
        <v>870000</v>
      </c>
      <c r="EV1" s="132">
        <f>Dashboard!$C$5</f>
        <v>870000</v>
      </c>
      <c r="EW1" s="132">
        <f>Dashboard!$C$5</f>
        <v>870000</v>
      </c>
      <c r="EX1" s="132">
        <f>Dashboard!$C$5</f>
        <v>870000</v>
      </c>
      <c r="EY1" s="132">
        <f>Dashboard!$C$5</f>
        <v>870000</v>
      </c>
      <c r="EZ1" s="132">
        <f>Dashboard!$C$5</f>
        <v>870000</v>
      </c>
      <c r="FA1" s="132">
        <f>Dashboard!$C$5</f>
        <v>870000</v>
      </c>
      <c r="FB1" s="132">
        <f>Dashboard!$C$5</f>
        <v>870000</v>
      </c>
      <c r="FC1" s="132">
        <f>Dashboard!$C$5</f>
        <v>870000</v>
      </c>
      <c r="FD1" s="132">
        <f>Dashboard!$C$5</f>
        <v>870000</v>
      </c>
      <c r="FE1" s="132">
        <f>Dashboard!$C$5</f>
        <v>870000</v>
      </c>
      <c r="FF1" s="132">
        <f>Dashboard!$C$5</f>
        <v>870000</v>
      </c>
      <c r="FG1" s="132">
        <f>Dashboard!$C$5</f>
        <v>870000</v>
      </c>
      <c r="FH1" s="132">
        <f>Dashboard!$C$5</f>
        <v>870000</v>
      </c>
      <c r="FI1" s="132">
        <f>Dashboard!$C$5</f>
        <v>870000</v>
      </c>
      <c r="FJ1" s="132">
        <f>Dashboard!$C$5</f>
        <v>870000</v>
      </c>
      <c r="FK1" s="132">
        <f>Dashboard!$C$5</f>
        <v>870000</v>
      </c>
      <c r="FL1" s="132">
        <f>Dashboard!$C$5</f>
        <v>870000</v>
      </c>
      <c r="FM1" s="132">
        <f>Dashboard!$C$5</f>
        <v>870000</v>
      </c>
      <c r="FN1" s="132">
        <f>Dashboard!$C$5</f>
        <v>870000</v>
      </c>
      <c r="FO1" s="132">
        <f>Dashboard!$C$5</f>
        <v>870000</v>
      </c>
      <c r="FP1" s="132">
        <f>Dashboard!$C$5</f>
        <v>870000</v>
      </c>
      <c r="FQ1" s="132">
        <f>Dashboard!$C$5</f>
        <v>870000</v>
      </c>
      <c r="FR1" s="132">
        <f>Dashboard!$C$5</f>
        <v>870000</v>
      </c>
      <c r="FS1" s="132">
        <f>Dashboard!$C$5</f>
        <v>870000</v>
      </c>
      <c r="FT1" s="132">
        <f>Dashboard!$C$5</f>
        <v>870000</v>
      </c>
      <c r="FU1" s="132">
        <f>Dashboard!$C$5</f>
        <v>870000</v>
      </c>
      <c r="FV1" s="132">
        <f>Dashboard!$C$5</f>
        <v>870000</v>
      </c>
      <c r="FW1" s="132">
        <f>Dashboard!$C$5</f>
        <v>870000</v>
      </c>
      <c r="FX1" s="132">
        <f>Dashboard!$C$5</f>
        <v>870000</v>
      </c>
      <c r="FY1" s="132">
        <f>Dashboard!$C$5</f>
        <v>870000</v>
      </c>
      <c r="FZ1" s="132">
        <f>Dashboard!$C$5</f>
        <v>870000</v>
      </c>
      <c r="GA1" s="132">
        <f>Dashboard!$C$5</f>
        <v>870000</v>
      </c>
      <c r="GB1" s="132">
        <f>Dashboard!$C$5</f>
        <v>870000</v>
      </c>
      <c r="GC1" s="132">
        <f>Dashboard!$C$5</f>
        <v>870000</v>
      </c>
      <c r="GD1" s="132">
        <f>Dashboard!$C$5</f>
        <v>870000</v>
      </c>
      <c r="GE1" s="132">
        <f>Dashboard!$C$5</f>
        <v>870000</v>
      </c>
      <c r="GF1" s="132">
        <f>Dashboard!$C$5</f>
        <v>870000</v>
      </c>
      <c r="GG1" s="132">
        <f>Dashboard!$C$5</f>
        <v>870000</v>
      </c>
      <c r="GH1" s="132">
        <f>Dashboard!$C$5</f>
        <v>870000</v>
      </c>
      <c r="GI1" s="132">
        <f>Dashboard!$C$5</f>
        <v>870000</v>
      </c>
      <c r="GJ1" s="132">
        <f>Dashboard!$C$5</f>
        <v>870000</v>
      </c>
      <c r="GK1" s="132">
        <f>Dashboard!$C$5</f>
        <v>870000</v>
      </c>
      <c r="GL1" s="132">
        <f>Dashboard!$C$5</f>
        <v>870000</v>
      </c>
      <c r="GM1" s="132">
        <f>Dashboard!$C$5</f>
        <v>870000</v>
      </c>
      <c r="GN1" s="132">
        <f>Dashboard!$C$5</f>
        <v>870000</v>
      </c>
      <c r="GO1" s="132">
        <f>Dashboard!$C$5</f>
        <v>870000</v>
      </c>
      <c r="GP1" s="132">
        <f>Dashboard!$C$5</f>
        <v>870000</v>
      </c>
      <c r="GQ1" s="132">
        <f>Dashboard!$C$5</f>
        <v>870000</v>
      </c>
      <c r="GR1" s="132">
        <f>Dashboard!$C$5</f>
        <v>870000</v>
      </c>
      <c r="GS1" s="132">
        <f>Dashboard!$C$5</f>
        <v>870000</v>
      </c>
      <c r="GT1" s="132">
        <f>Dashboard!$C$5</f>
        <v>870000</v>
      </c>
      <c r="GU1" s="132">
        <f>Dashboard!$C$5</f>
        <v>870000</v>
      </c>
      <c r="GV1" s="132">
        <f>Dashboard!$C$5</f>
        <v>870000</v>
      </c>
      <c r="GW1" s="116" t="s">
        <v>125</v>
      </c>
      <c r="GX1" s="133" t="s">
        <v>442</v>
      </c>
      <c r="HC1" s="135" t="s">
        <v>125</v>
      </c>
      <c r="HD1" s="135">
        <v>0.25</v>
      </c>
      <c r="HE1" s="135">
        <v>0.5</v>
      </c>
      <c r="HF1" s="135">
        <v>0.75</v>
      </c>
    </row>
    <row r="2" spans="1:214" ht="16">
      <c r="A2" s="151">
        <f>Dashboard!C3</f>
        <v>51</v>
      </c>
      <c r="B2" s="153">
        <v>-0.1</v>
      </c>
      <c r="C2" s="153">
        <v>-0.1</v>
      </c>
      <c r="D2" s="153">
        <v>-0.1</v>
      </c>
      <c r="E2" s="153">
        <v>-0.1</v>
      </c>
      <c r="F2" s="153">
        <v>-0.1</v>
      </c>
      <c r="G2" s="153">
        <v>-0.1</v>
      </c>
      <c r="H2" s="153">
        <v>-0.1</v>
      </c>
      <c r="I2" s="153">
        <v>-0.1</v>
      </c>
      <c r="J2" s="153">
        <v>-0.1</v>
      </c>
      <c r="K2" s="153">
        <v>-0.1</v>
      </c>
      <c r="L2" s="153">
        <v>-0.1</v>
      </c>
      <c r="M2" s="153">
        <v>-0.1</v>
      </c>
      <c r="N2" s="153">
        <v>-0.1</v>
      </c>
      <c r="O2" s="153">
        <v>-0.1</v>
      </c>
      <c r="P2" s="153">
        <v>-0.1</v>
      </c>
      <c r="Q2" s="153">
        <v>-0.1</v>
      </c>
      <c r="R2" s="153">
        <v>-0.1</v>
      </c>
      <c r="S2" s="153">
        <v>-0.1</v>
      </c>
      <c r="T2" s="153">
        <v>-0.1</v>
      </c>
      <c r="U2" s="153">
        <v>-0.1</v>
      </c>
      <c r="V2" s="153">
        <v>-0.1</v>
      </c>
      <c r="W2" s="153">
        <v>-0.1</v>
      </c>
      <c r="X2" s="153">
        <v>-0.1</v>
      </c>
      <c r="Y2" s="153">
        <v>-0.1</v>
      </c>
      <c r="Z2" s="153">
        <v>-0.1</v>
      </c>
      <c r="AA2" s="153">
        <v>-0.1</v>
      </c>
      <c r="AB2" s="153">
        <v>-0.1</v>
      </c>
      <c r="AC2" s="153">
        <v>-0.1</v>
      </c>
      <c r="AD2" s="153">
        <v>-0.1</v>
      </c>
      <c r="AE2" s="153">
        <v>-0.1</v>
      </c>
      <c r="AF2" s="153">
        <v>-0.1</v>
      </c>
      <c r="AG2" s="153">
        <v>-0.1</v>
      </c>
      <c r="AH2" s="153">
        <v>-0.1</v>
      </c>
      <c r="AI2" s="153">
        <v>-0.1</v>
      </c>
      <c r="AJ2" s="153">
        <v>-0.1</v>
      </c>
      <c r="AK2" s="153">
        <v>-0.1</v>
      </c>
      <c r="AL2" s="153">
        <v>-0.1</v>
      </c>
      <c r="AM2" s="153">
        <v>-0.1</v>
      </c>
      <c r="AN2" s="153">
        <v>-0.1</v>
      </c>
      <c r="AO2" s="153">
        <v>-0.1</v>
      </c>
      <c r="AP2" s="153">
        <v>-0.1</v>
      </c>
      <c r="AQ2" s="153">
        <v>-0.1</v>
      </c>
      <c r="AR2" s="153">
        <v>-0.1</v>
      </c>
      <c r="AS2" s="153">
        <v>-0.1</v>
      </c>
      <c r="AT2" s="153">
        <v>-0.1</v>
      </c>
      <c r="AU2" s="153">
        <v>-0.1</v>
      </c>
      <c r="AV2" s="153">
        <v>-0.1</v>
      </c>
      <c r="AW2" s="153">
        <v>-0.1</v>
      </c>
      <c r="AX2" s="153">
        <v>-0.1</v>
      </c>
      <c r="AY2" s="153">
        <v>-0.1</v>
      </c>
      <c r="AZ2" s="153">
        <v>-0.1</v>
      </c>
      <c r="BA2" s="153">
        <v>-0.1</v>
      </c>
      <c r="BB2" s="153">
        <v>-0.1</v>
      </c>
      <c r="BC2" s="153">
        <v>-0.1</v>
      </c>
      <c r="BD2" s="153">
        <v>-0.1</v>
      </c>
      <c r="BE2" s="153">
        <v>-0.1</v>
      </c>
      <c r="BF2" s="153">
        <v>-0.1</v>
      </c>
      <c r="BG2" s="153">
        <v>-0.1</v>
      </c>
      <c r="BH2" s="153">
        <v>-0.1</v>
      </c>
      <c r="BI2" s="153">
        <v>-0.1</v>
      </c>
      <c r="BJ2" s="153">
        <v>-0.1</v>
      </c>
      <c r="BK2" s="153">
        <v>-0.1</v>
      </c>
      <c r="BL2" s="153">
        <v>-0.1</v>
      </c>
      <c r="BM2" s="153">
        <v>-0.1</v>
      </c>
      <c r="BN2" s="153">
        <v>-0.1</v>
      </c>
      <c r="BO2" s="153">
        <v>-0.1</v>
      </c>
      <c r="BP2" s="153">
        <v>-0.1</v>
      </c>
      <c r="BQ2" s="153">
        <v>-0.1</v>
      </c>
      <c r="BR2" s="153">
        <v>-0.1</v>
      </c>
      <c r="BS2" s="153">
        <v>-0.1</v>
      </c>
      <c r="BT2" s="153">
        <v>-0.1</v>
      </c>
      <c r="BU2" s="153">
        <v>-0.1</v>
      </c>
      <c r="BV2" s="153">
        <v>-0.1</v>
      </c>
      <c r="BW2" s="153">
        <v>-0.1</v>
      </c>
      <c r="BX2" s="153">
        <v>-0.1</v>
      </c>
      <c r="BY2" s="153">
        <v>-0.1</v>
      </c>
      <c r="BZ2" s="153">
        <v>-0.1</v>
      </c>
      <c r="CA2" s="153">
        <v>-0.1</v>
      </c>
      <c r="CB2" s="153">
        <v>-0.1</v>
      </c>
      <c r="CC2" s="153">
        <v>-0.1</v>
      </c>
      <c r="CD2" s="153">
        <v>-0.1</v>
      </c>
      <c r="CE2" s="153">
        <v>-0.1</v>
      </c>
      <c r="CF2" s="153">
        <v>-0.1</v>
      </c>
      <c r="CG2" s="153">
        <v>-0.1</v>
      </c>
      <c r="CH2" s="153">
        <v>-0.1</v>
      </c>
      <c r="CI2" s="153">
        <v>-0.1</v>
      </c>
      <c r="CJ2" s="153">
        <v>-0.1</v>
      </c>
      <c r="CK2" s="153">
        <v>-0.1</v>
      </c>
      <c r="CL2" s="153">
        <v>-0.1</v>
      </c>
      <c r="CM2" s="153">
        <v>-0.1</v>
      </c>
      <c r="CN2" s="153">
        <v>-0.1</v>
      </c>
      <c r="CO2" s="153">
        <v>-0.1</v>
      </c>
      <c r="CP2" s="153">
        <v>-0.1</v>
      </c>
      <c r="CQ2" s="153">
        <v>-0.1</v>
      </c>
      <c r="CR2" s="153">
        <v>-0.1</v>
      </c>
      <c r="CS2" s="153">
        <v>-0.1</v>
      </c>
      <c r="CT2" s="153">
        <v>-0.1</v>
      </c>
      <c r="CU2" s="153">
        <v>-0.1</v>
      </c>
      <c r="CV2" s="153">
        <v>-0.1</v>
      </c>
      <c r="CW2" s="153">
        <v>-0.1</v>
      </c>
      <c r="CY2" s="152">
        <f>Dashboard!C3</f>
        <v>51</v>
      </c>
      <c r="CZ2" s="152">
        <v>1</v>
      </c>
      <c r="DA2" s="128">
        <f>MAX(DA1*(1+B2)-(Dashboard!$C$11)/(1-Dashboard!$C$17)*((1+Dashboard!$C$12)^$CZ2),0)</f>
        <v>761756.25</v>
      </c>
      <c r="DB2" s="128">
        <f>MAX(DB1*(1+C2)-(Dashboard!$C$11)/(1-Dashboard!$C$17)*((1+Dashboard!$C$12)^$CZ2),0)</f>
        <v>761756.25</v>
      </c>
      <c r="DC2" s="128">
        <f>MAX(DC1*(1+D2)-(Dashboard!$C$11)/(1-Dashboard!$C$17)*((1+Dashboard!$C$12)^$CZ2),0)</f>
        <v>761756.25</v>
      </c>
      <c r="DD2" s="128">
        <f>MAX(DD1*(1+E2)-(Dashboard!$C$11)/(1-Dashboard!$C$17)*((1+Dashboard!$C$12)^$CZ2),0)</f>
        <v>761756.25</v>
      </c>
      <c r="DE2" s="128">
        <f>MAX(DE1*(1+F2)-(Dashboard!$C$11)/(1-Dashboard!$C$17)*((1+Dashboard!$C$12)^$CZ2),0)</f>
        <v>761756.25</v>
      </c>
      <c r="DF2" s="128">
        <f>MAX(DF1*(1+G2)-(Dashboard!$C$11)/(1-Dashboard!$C$17)*((1+Dashboard!$C$12)^$CZ2),0)</f>
        <v>761756.25</v>
      </c>
      <c r="DG2" s="128">
        <f>MAX(DG1*(1+H2)-(Dashboard!$C$11)/(1-Dashboard!$C$17)*((1+Dashboard!$C$12)^$CZ2),0)</f>
        <v>761756.25</v>
      </c>
      <c r="DH2" s="128">
        <f>MAX(DH1*(1+I2)-(Dashboard!$C$11)/(1-Dashboard!$C$17)*((1+Dashboard!$C$12)^$CZ2),0)</f>
        <v>761756.25</v>
      </c>
      <c r="DI2" s="128">
        <f>MAX(DI1*(1+J2)-(Dashboard!$C$11)/(1-Dashboard!$C$17)*((1+Dashboard!$C$12)^$CZ2),0)</f>
        <v>761756.25</v>
      </c>
      <c r="DJ2" s="128">
        <f>MAX(DJ1*(1+K2)-(Dashboard!$C$11)/(1-Dashboard!$C$17)*((1+Dashboard!$C$12)^$CZ2),0)</f>
        <v>761756.25</v>
      </c>
      <c r="DK2" s="128">
        <f>MAX(DK1*(1+L2)-(Dashboard!$C$11)/(1-Dashboard!$C$17)*((1+Dashboard!$C$12)^$CZ2),0)</f>
        <v>761756.25</v>
      </c>
      <c r="DL2" s="128">
        <f>MAX(DL1*(1+M2)-(Dashboard!$C$11)/(1-Dashboard!$C$17)*((1+Dashboard!$C$12)^$CZ2),0)</f>
        <v>761756.25</v>
      </c>
      <c r="DM2" s="128">
        <f>MAX(DM1*(1+N2)-(Dashboard!$C$11)/(1-Dashboard!$C$17)*((1+Dashboard!$C$12)^$CZ2),0)</f>
        <v>761756.25</v>
      </c>
      <c r="DN2" s="128">
        <f>MAX(DN1*(1+O2)-(Dashboard!$C$11)/(1-Dashboard!$C$17)*((1+Dashboard!$C$12)^$CZ2),0)</f>
        <v>761756.25</v>
      </c>
      <c r="DO2" s="128">
        <f>MAX(DO1*(1+P2)-(Dashboard!$C$11)/(1-Dashboard!$C$17)*((1+Dashboard!$C$12)^$CZ2),0)</f>
        <v>761756.25</v>
      </c>
      <c r="DP2" s="128">
        <f>MAX(DP1*(1+Q2)-(Dashboard!$C$11)/(1-Dashboard!$C$17)*((1+Dashboard!$C$12)^$CZ2),0)</f>
        <v>761756.25</v>
      </c>
      <c r="DQ2" s="128">
        <f>MAX(DQ1*(1+R2)-(Dashboard!$C$11)/(1-Dashboard!$C$17)*((1+Dashboard!$C$12)^$CZ2),0)</f>
        <v>761756.25</v>
      </c>
      <c r="DR2" s="128">
        <f>MAX(DR1*(1+S2)-(Dashboard!$C$11)/(1-Dashboard!$C$17)*((1+Dashboard!$C$12)^$CZ2),0)</f>
        <v>761756.25</v>
      </c>
      <c r="DS2" s="128">
        <f>MAX(DS1*(1+T2)-(Dashboard!$C$11)/(1-Dashboard!$C$17)*((1+Dashboard!$C$12)^$CZ2),0)</f>
        <v>761756.25</v>
      </c>
      <c r="DT2" s="128">
        <f>MAX(DT1*(1+U2)-(Dashboard!$C$11)/(1-Dashboard!$C$17)*((1+Dashboard!$C$12)^$CZ2),0)</f>
        <v>761756.25</v>
      </c>
      <c r="DU2" s="128">
        <f>MAX(DU1*(1+V2)-(Dashboard!$C$11)/(1-Dashboard!$C$17)*((1+Dashboard!$C$12)^$CZ2),0)</f>
        <v>761756.25</v>
      </c>
      <c r="DV2" s="128">
        <f>MAX(DV1*(1+W2)-(Dashboard!$C$11)/(1-Dashboard!$C$17)*((1+Dashboard!$C$12)^$CZ2),0)</f>
        <v>761756.25</v>
      </c>
      <c r="DW2" s="128">
        <f>MAX(DW1*(1+X2)-(Dashboard!$C$11)/(1-Dashboard!$C$17)*((1+Dashboard!$C$12)^$CZ2),0)</f>
        <v>761756.25</v>
      </c>
      <c r="DX2" s="128">
        <f>MAX(DX1*(1+Y2)-(Dashboard!$C$11)/(1-Dashboard!$C$17)*((1+Dashboard!$C$12)^$CZ2),0)</f>
        <v>761756.25</v>
      </c>
      <c r="DY2" s="128">
        <f>MAX(DY1*(1+Z2)-(Dashboard!$C$11)/(1-Dashboard!$C$17)*((1+Dashboard!$C$12)^$CZ2),0)</f>
        <v>761756.25</v>
      </c>
      <c r="DZ2" s="128">
        <f>MAX(DZ1*(1+AA2)-(Dashboard!$C$11)/(1-Dashboard!$C$17)*((1+Dashboard!$C$12)^$CZ2),0)</f>
        <v>761756.25</v>
      </c>
      <c r="EA2" s="128">
        <f>MAX(EA1*(1+AB2)-(Dashboard!$C$11)/(1-Dashboard!$C$17)*((1+Dashboard!$C$12)^$CZ2),0)</f>
        <v>761756.25</v>
      </c>
      <c r="EB2" s="128">
        <f>MAX(EB1*(1+AC2)-(Dashboard!$C$11)/(1-Dashboard!$C$17)*((1+Dashboard!$C$12)^$CZ2),0)</f>
        <v>761756.25</v>
      </c>
      <c r="EC2" s="128">
        <f>MAX(EC1*(1+AD2)-(Dashboard!$C$11)/(1-Dashboard!$C$17)*((1+Dashboard!$C$12)^$CZ2),0)</f>
        <v>761756.25</v>
      </c>
      <c r="ED2" s="128">
        <f>MAX(ED1*(1+AE2)-(Dashboard!$C$11)/(1-Dashboard!$C$17)*((1+Dashboard!$C$12)^$CZ2),0)</f>
        <v>761756.25</v>
      </c>
      <c r="EE2" s="128">
        <f>MAX(EE1*(1+AF2)-(Dashboard!$C$11)/(1-Dashboard!$C$17)*((1+Dashboard!$C$12)^$CZ2),0)</f>
        <v>761756.25</v>
      </c>
      <c r="EF2" s="128">
        <f>MAX(EF1*(1+AG2)-(Dashboard!$C$11)/(1-Dashboard!$C$17)*((1+Dashboard!$C$12)^$CZ2),0)</f>
        <v>761756.25</v>
      </c>
      <c r="EG2" s="128">
        <f>MAX(EG1*(1+AH2)-(Dashboard!$C$11)/(1-Dashboard!$C$17)*((1+Dashboard!$C$12)^$CZ2),0)</f>
        <v>761756.25</v>
      </c>
      <c r="EH2" s="128">
        <f>MAX(EH1*(1+AI2)-(Dashboard!$C$11)/(1-Dashboard!$C$17)*((1+Dashboard!$C$12)^$CZ2),0)</f>
        <v>761756.25</v>
      </c>
      <c r="EI2" s="128">
        <f>MAX(EI1*(1+AJ2)-(Dashboard!$C$11)/(1-Dashboard!$C$17)*((1+Dashboard!$C$12)^$CZ2),0)</f>
        <v>761756.25</v>
      </c>
      <c r="EJ2" s="128">
        <f>MAX(EJ1*(1+AK2)-(Dashboard!$C$11)/(1-Dashboard!$C$17)*((1+Dashboard!$C$12)^$CZ2),0)</f>
        <v>761756.25</v>
      </c>
      <c r="EK2" s="128">
        <f>MAX(EK1*(1+AL2)-(Dashboard!$C$11)/(1-Dashboard!$C$17)*((1+Dashboard!$C$12)^$CZ2),0)</f>
        <v>761756.25</v>
      </c>
      <c r="EL2" s="128">
        <f>MAX(EL1*(1+AM2)-(Dashboard!$C$11)/(1-Dashboard!$C$17)*((1+Dashboard!$C$12)^$CZ2),0)</f>
        <v>761756.25</v>
      </c>
      <c r="EM2" s="128">
        <f>MAX(EM1*(1+AN2)-(Dashboard!$C$11)/(1-Dashboard!$C$17)*((1+Dashboard!$C$12)^$CZ2),0)</f>
        <v>761756.25</v>
      </c>
      <c r="EN2" s="128">
        <f>MAX(EN1*(1+AO2)-(Dashboard!$C$11)/(1-Dashboard!$C$17)*((1+Dashboard!$C$12)^$CZ2),0)</f>
        <v>761756.25</v>
      </c>
      <c r="EO2" s="128">
        <f>MAX(EO1*(1+AP2)-(Dashboard!$C$11)/(1-Dashboard!$C$17)*((1+Dashboard!$C$12)^$CZ2),0)</f>
        <v>761756.25</v>
      </c>
      <c r="EP2" s="128">
        <f>MAX(EP1*(1+AQ2)-(Dashboard!$C$11)/(1-Dashboard!$C$17)*((1+Dashboard!$C$12)^$CZ2),0)</f>
        <v>761756.25</v>
      </c>
      <c r="EQ2" s="128">
        <f>MAX(EQ1*(1+AR2)-(Dashboard!$C$11)/(1-Dashboard!$C$17)*((1+Dashboard!$C$12)^$CZ2),0)</f>
        <v>761756.25</v>
      </c>
      <c r="ER2" s="128">
        <f>MAX(ER1*(1+AS2)-(Dashboard!$C$11)/(1-Dashboard!$C$17)*((1+Dashboard!$C$12)^$CZ2),0)</f>
        <v>761756.25</v>
      </c>
      <c r="ES2" s="128">
        <f>MAX(ES1*(1+AT2)-(Dashboard!$C$11)/(1-Dashboard!$C$17)*((1+Dashboard!$C$12)^$CZ2),0)</f>
        <v>761756.25</v>
      </c>
      <c r="ET2" s="128">
        <f>MAX(ET1*(1+AU2)-(Dashboard!$C$11)/(1-Dashboard!$C$17)*((1+Dashboard!$C$12)^$CZ2),0)</f>
        <v>761756.25</v>
      </c>
      <c r="EU2" s="128">
        <f>MAX(EU1*(1+AV2)-(Dashboard!$C$11)/(1-Dashboard!$C$17)*((1+Dashboard!$C$12)^$CZ2),0)</f>
        <v>761756.25</v>
      </c>
      <c r="EV2" s="128">
        <f>MAX(EV1*(1+AW2)-(Dashboard!$C$11)/(1-Dashboard!$C$17)*((1+Dashboard!$C$12)^$CZ2),0)</f>
        <v>761756.25</v>
      </c>
      <c r="EW2" s="128">
        <f>MAX(EW1*(1+AX2)-(Dashboard!$C$11)/(1-Dashboard!$C$17)*((1+Dashboard!$C$12)^$CZ2),0)</f>
        <v>761756.25</v>
      </c>
      <c r="EX2" s="128">
        <f>MAX(EX1*(1+AY2)-(Dashboard!$C$11)/(1-Dashboard!$C$17)*((1+Dashboard!$C$12)^$CZ2),0)</f>
        <v>761756.25</v>
      </c>
      <c r="EY2" s="128">
        <f>MAX(EY1*(1+AZ2)-(Dashboard!$C$11)/(1-Dashboard!$C$17)*((1+Dashboard!$C$12)^$CZ2),0)</f>
        <v>761756.25</v>
      </c>
      <c r="EZ2" s="128">
        <f>MAX(EZ1*(1+BA2)-(Dashboard!$C$11)/(1-Dashboard!$C$17)*((1+Dashboard!$C$12)^$CZ2),0)</f>
        <v>761756.25</v>
      </c>
      <c r="FA2" s="128">
        <f>MAX(FA1*(1+BB2)-(Dashboard!$C$11)/(1-Dashboard!$C$17)*((1+Dashboard!$C$12)^$CZ2),0)</f>
        <v>761756.25</v>
      </c>
      <c r="FB2" s="128">
        <f>MAX(FB1*(1+BC2)-(Dashboard!$C$11)/(1-Dashboard!$C$17)*((1+Dashboard!$C$12)^$CZ2),0)</f>
        <v>761756.25</v>
      </c>
      <c r="FC2" s="128">
        <f>MAX(FC1*(1+BD2)-(Dashboard!$C$11)/(1-Dashboard!$C$17)*((1+Dashboard!$C$12)^$CZ2),0)</f>
        <v>761756.25</v>
      </c>
      <c r="FD2" s="128">
        <f>MAX(FD1*(1+BE2)-(Dashboard!$C$11)/(1-Dashboard!$C$17)*((1+Dashboard!$C$12)^$CZ2),0)</f>
        <v>761756.25</v>
      </c>
      <c r="FE2" s="128">
        <f>MAX(FE1*(1+BF2)-(Dashboard!$C$11)/(1-Dashboard!$C$17)*((1+Dashboard!$C$12)^$CZ2),0)</f>
        <v>761756.25</v>
      </c>
      <c r="FF2" s="128">
        <f>MAX(FF1*(1+BG2)-(Dashboard!$C$11)/(1-Dashboard!$C$17)*((1+Dashboard!$C$12)^$CZ2),0)</f>
        <v>761756.25</v>
      </c>
      <c r="FG2" s="128">
        <f>MAX(FG1*(1+BH2)-(Dashboard!$C$11)/(1-Dashboard!$C$17)*((1+Dashboard!$C$12)^$CZ2),0)</f>
        <v>761756.25</v>
      </c>
      <c r="FH2" s="128">
        <f>MAX(FH1*(1+BI2)-(Dashboard!$C$11)/(1-Dashboard!$C$17)*((1+Dashboard!$C$12)^$CZ2),0)</f>
        <v>761756.25</v>
      </c>
      <c r="FI2" s="128">
        <f>MAX(FI1*(1+BJ2)-(Dashboard!$C$11)/(1-Dashboard!$C$17)*((1+Dashboard!$C$12)^$CZ2),0)</f>
        <v>761756.25</v>
      </c>
      <c r="FJ2" s="128">
        <f>MAX(FJ1*(1+BK2)-(Dashboard!$C$11)/(1-Dashboard!$C$17)*((1+Dashboard!$C$12)^$CZ2),0)</f>
        <v>761756.25</v>
      </c>
      <c r="FK2" s="128">
        <f>MAX(FK1*(1+BL2)-(Dashboard!$C$11)/(1-Dashboard!$C$17)*((1+Dashboard!$C$12)^$CZ2),0)</f>
        <v>761756.25</v>
      </c>
      <c r="FL2" s="128">
        <f>MAX(FL1*(1+BM2)-(Dashboard!$C$11)/(1-Dashboard!$C$17)*((1+Dashboard!$C$12)^$CZ2),0)</f>
        <v>761756.25</v>
      </c>
      <c r="FM2" s="128">
        <f>MAX(FM1*(1+BN2)-(Dashboard!$C$11)/(1-Dashboard!$C$17)*((1+Dashboard!$C$12)^$CZ2),0)</f>
        <v>761756.25</v>
      </c>
      <c r="FN2" s="128">
        <f>MAX(FN1*(1+BO2)-(Dashboard!$C$11)/(1-Dashboard!$C$17)*((1+Dashboard!$C$12)^$CZ2),0)</f>
        <v>761756.25</v>
      </c>
      <c r="FO2" s="128">
        <f>MAX(FO1*(1+BP2)-(Dashboard!$C$11)/(1-Dashboard!$C$17)*((1+Dashboard!$C$12)^$CZ2),0)</f>
        <v>761756.25</v>
      </c>
      <c r="FP2" s="128">
        <f>MAX(FP1*(1+BQ2)-(Dashboard!$C$11)/(1-Dashboard!$C$17)*((1+Dashboard!$C$12)^$CZ2),0)</f>
        <v>761756.25</v>
      </c>
      <c r="FQ2" s="128">
        <f>MAX(FQ1*(1+BR2)-(Dashboard!$C$11)/(1-Dashboard!$C$17)*((1+Dashboard!$C$12)^$CZ2),0)</f>
        <v>761756.25</v>
      </c>
      <c r="FR2" s="128">
        <f>MAX(FR1*(1+BS2)-(Dashboard!$C$11)/(1-Dashboard!$C$17)*((1+Dashboard!$C$12)^$CZ2),0)</f>
        <v>761756.25</v>
      </c>
      <c r="FS2" s="128">
        <f>MAX(FS1*(1+BT2)-(Dashboard!$C$11)/(1-Dashboard!$C$17)*((1+Dashboard!$C$12)^$CZ2),0)</f>
        <v>761756.25</v>
      </c>
      <c r="FT2" s="128">
        <f>MAX(FT1*(1+BU2)-(Dashboard!$C$11)/(1-Dashboard!$C$17)*((1+Dashboard!$C$12)^$CZ2),0)</f>
        <v>761756.25</v>
      </c>
      <c r="FU2" s="128">
        <f>MAX(FU1*(1+BV2)-(Dashboard!$C$11)/(1-Dashboard!$C$17)*((1+Dashboard!$C$12)^$CZ2),0)</f>
        <v>761756.25</v>
      </c>
      <c r="FV2" s="128">
        <f>MAX(FV1*(1+BW2)-(Dashboard!$C$11)/(1-Dashboard!$C$17)*((1+Dashboard!$C$12)^$CZ2),0)</f>
        <v>761756.25</v>
      </c>
      <c r="FW2" s="128">
        <f>MAX(FW1*(1+BX2)-(Dashboard!$C$11)/(1-Dashboard!$C$17)*((1+Dashboard!$C$12)^$CZ2),0)</f>
        <v>761756.25</v>
      </c>
      <c r="FX2" s="128">
        <f>MAX(FX1*(1+BY2)-(Dashboard!$C$11)/(1-Dashboard!$C$17)*((1+Dashboard!$C$12)^$CZ2),0)</f>
        <v>761756.25</v>
      </c>
      <c r="FY2" s="128">
        <f>MAX(FY1*(1+BZ2)-(Dashboard!$C$11)/(1-Dashboard!$C$17)*((1+Dashboard!$C$12)^$CZ2),0)</f>
        <v>761756.25</v>
      </c>
      <c r="FZ2" s="128">
        <f>MAX(FZ1*(1+CA2)-(Dashboard!$C$11)/(1-Dashboard!$C$17)*((1+Dashboard!$C$12)^$CZ2),0)</f>
        <v>761756.25</v>
      </c>
      <c r="GA2" s="128">
        <f>MAX(GA1*(1+CB2)-(Dashboard!$C$11)/(1-Dashboard!$C$17)*((1+Dashboard!$C$12)^$CZ2),0)</f>
        <v>761756.25</v>
      </c>
      <c r="GB2" s="128">
        <f>MAX(GB1*(1+CC2)-(Dashboard!$C$11)/(1-Dashboard!$C$17)*((1+Dashboard!$C$12)^$CZ2),0)</f>
        <v>761756.25</v>
      </c>
      <c r="GC2" s="128">
        <f>MAX(GC1*(1+CD2)-(Dashboard!$C$11)/(1-Dashboard!$C$17)*((1+Dashboard!$C$12)^$CZ2),0)</f>
        <v>761756.25</v>
      </c>
      <c r="GD2" s="128">
        <f>MAX(GD1*(1+CE2)-(Dashboard!$C$11)/(1-Dashboard!$C$17)*((1+Dashboard!$C$12)^$CZ2),0)</f>
        <v>761756.25</v>
      </c>
      <c r="GE2" s="128">
        <f>MAX(GE1*(1+CF2)-(Dashboard!$C$11)/(1-Dashboard!$C$17)*((1+Dashboard!$C$12)^$CZ2),0)</f>
        <v>761756.25</v>
      </c>
      <c r="GF2" s="128">
        <f>MAX(GF1*(1+CG2)-(Dashboard!$C$11)/(1-Dashboard!$C$17)*((1+Dashboard!$C$12)^$CZ2),0)</f>
        <v>761756.25</v>
      </c>
      <c r="GG2" s="128">
        <f>MAX(GG1*(1+CH2)-(Dashboard!$C$11)/(1-Dashboard!$C$17)*((1+Dashboard!$C$12)^$CZ2),0)</f>
        <v>761756.25</v>
      </c>
      <c r="GH2" s="128">
        <f>MAX(GH1*(1+CI2)-(Dashboard!$C$11)/(1-Dashboard!$C$17)*((1+Dashboard!$C$12)^$CZ2),0)</f>
        <v>761756.25</v>
      </c>
      <c r="GI2" s="128">
        <f>MAX(GI1*(1+CJ2)-(Dashboard!$C$11)/(1-Dashboard!$C$17)*((1+Dashboard!$C$12)^$CZ2),0)</f>
        <v>761756.25</v>
      </c>
      <c r="GJ2" s="128">
        <f>MAX(GJ1*(1+CK2)-(Dashboard!$C$11)/(1-Dashboard!$C$17)*((1+Dashboard!$C$12)^$CZ2),0)</f>
        <v>761756.25</v>
      </c>
      <c r="GK2" s="128">
        <f>MAX(GK1*(1+CL2)-(Dashboard!$C$11)/(1-Dashboard!$C$17)*((1+Dashboard!$C$12)^$CZ2),0)</f>
        <v>761756.25</v>
      </c>
      <c r="GL2" s="128">
        <f>MAX(GL1*(1+CM2)-(Dashboard!$C$11)/(1-Dashboard!$C$17)*((1+Dashboard!$C$12)^$CZ2),0)</f>
        <v>761756.25</v>
      </c>
      <c r="GM2" s="128">
        <f>MAX(GM1*(1+CN2)-(Dashboard!$C$11)/(1-Dashboard!$C$17)*((1+Dashboard!$C$12)^$CZ2),0)</f>
        <v>761756.25</v>
      </c>
      <c r="GN2" s="128">
        <f>MAX(GN1*(1+CO2)-(Dashboard!$C$11)/(1-Dashboard!$C$17)*((1+Dashboard!$C$12)^$CZ2),0)</f>
        <v>761756.25</v>
      </c>
      <c r="GO2" s="128">
        <f>MAX(GO1*(1+CP2)-(Dashboard!$C$11)/(1-Dashboard!$C$17)*((1+Dashboard!$C$12)^$CZ2),0)</f>
        <v>761756.25</v>
      </c>
      <c r="GP2" s="128">
        <f>MAX(GP1*(1+CQ2)-(Dashboard!$C$11)/(1-Dashboard!$C$17)*((1+Dashboard!$C$12)^$CZ2),0)</f>
        <v>761756.25</v>
      </c>
      <c r="GQ2" s="128">
        <f>MAX(GQ1*(1+CR2)-(Dashboard!$C$11)/(1-Dashboard!$C$17)*((1+Dashboard!$C$12)^$CZ2),0)</f>
        <v>761756.25</v>
      </c>
      <c r="GR2" s="128">
        <f>MAX(GR1*(1+CS2)-(Dashboard!$C$11)/(1-Dashboard!$C$17)*((1+Dashboard!$C$12)^$CZ2),0)</f>
        <v>761756.25</v>
      </c>
      <c r="GS2" s="128">
        <f>MAX(GS1*(1+CT2)-(Dashboard!$C$11)/(1-Dashboard!$C$17)*((1+Dashboard!$C$12)^$CZ2),0)</f>
        <v>761756.25</v>
      </c>
      <c r="GT2" s="128">
        <f>MAX(GT1*(1+CU2)-(Dashboard!$C$11)/(1-Dashboard!$C$17)*((1+Dashboard!$C$12)^$CZ2),0)</f>
        <v>761756.25</v>
      </c>
      <c r="GU2" s="128">
        <f>MAX(GU1*(1+CV2)-(Dashboard!$C$11)/(1-Dashboard!$C$17)*((1+Dashboard!$C$12)^$CZ2),0)</f>
        <v>761756.25</v>
      </c>
      <c r="GV2" s="128">
        <f>MAX(GV1*(1+CW2)-(Dashboard!$C$11)/(1-Dashboard!$C$17)*((1+Dashboard!$C$12)^$CZ2),0)</f>
        <v>761756.25</v>
      </c>
      <c r="GW2" s="118">
        <f>Dashboard!C3</f>
        <v>51</v>
      </c>
      <c r="GX2" s="129">
        <f>COUNTIF(DA2:GV2,"&gt;0")</f>
        <v>100</v>
      </c>
      <c r="HC2" s="129">
        <f t="shared" ref="HC2:HC33" si="0">GW2</f>
        <v>51</v>
      </c>
      <c r="HD2" s="136">
        <f t="shared" ref="HD2:HF21" si="1">PERCENTILE($CY2:$GV2,HD$1)</f>
        <v>761756.25</v>
      </c>
      <c r="HE2" s="136">
        <f t="shared" si="1"/>
        <v>761756.25</v>
      </c>
      <c r="HF2" s="136">
        <f t="shared" si="1"/>
        <v>761756.25</v>
      </c>
    </row>
    <row r="3" spans="1:214" ht="16">
      <c r="A3" s="145">
        <f>A2+1</f>
        <v>52</v>
      </c>
      <c r="B3" s="154">
        <v>-0.1</v>
      </c>
      <c r="C3" s="154">
        <v>-0.1</v>
      </c>
      <c r="D3" s="154">
        <v>-0.1</v>
      </c>
      <c r="E3" s="154">
        <v>-0.1</v>
      </c>
      <c r="F3" s="154">
        <v>-0.1</v>
      </c>
      <c r="G3" s="154">
        <v>-0.1</v>
      </c>
      <c r="H3" s="154">
        <v>-0.1</v>
      </c>
      <c r="I3" s="154">
        <v>-0.1</v>
      </c>
      <c r="J3" s="154">
        <v>-0.1</v>
      </c>
      <c r="K3" s="154">
        <v>-0.1</v>
      </c>
      <c r="L3" s="154">
        <v>-0.1</v>
      </c>
      <c r="M3" s="154">
        <v>-0.1</v>
      </c>
      <c r="N3" s="154">
        <v>-0.1</v>
      </c>
      <c r="O3" s="154">
        <v>-0.1</v>
      </c>
      <c r="P3" s="154">
        <v>-0.1</v>
      </c>
      <c r="Q3" s="154">
        <v>-0.1</v>
      </c>
      <c r="R3" s="154">
        <v>-0.1</v>
      </c>
      <c r="S3" s="154">
        <v>-0.1</v>
      </c>
      <c r="T3" s="154">
        <v>-0.1</v>
      </c>
      <c r="U3" s="154">
        <v>-0.1</v>
      </c>
      <c r="V3" s="154">
        <v>-0.1</v>
      </c>
      <c r="W3" s="154">
        <v>-0.1</v>
      </c>
      <c r="X3" s="154">
        <v>-0.1</v>
      </c>
      <c r="Y3" s="154">
        <v>-0.1</v>
      </c>
      <c r="Z3" s="154">
        <v>-0.1</v>
      </c>
      <c r="AA3" s="154">
        <v>-0.1</v>
      </c>
      <c r="AB3" s="154">
        <v>-0.1</v>
      </c>
      <c r="AC3" s="154">
        <v>-0.1</v>
      </c>
      <c r="AD3" s="154">
        <v>-0.1</v>
      </c>
      <c r="AE3" s="154">
        <v>-0.1</v>
      </c>
      <c r="AF3" s="154">
        <v>-0.1</v>
      </c>
      <c r="AG3" s="154">
        <v>-0.1</v>
      </c>
      <c r="AH3" s="154">
        <v>-0.1</v>
      </c>
      <c r="AI3" s="154">
        <v>-0.1</v>
      </c>
      <c r="AJ3" s="154">
        <v>-0.1</v>
      </c>
      <c r="AK3" s="154">
        <v>-0.1</v>
      </c>
      <c r="AL3" s="154">
        <v>-0.1</v>
      </c>
      <c r="AM3" s="154">
        <v>-0.1</v>
      </c>
      <c r="AN3" s="154">
        <v>-0.1</v>
      </c>
      <c r="AO3" s="154">
        <v>-0.1</v>
      </c>
      <c r="AP3" s="154">
        <v>-0.1</v>
      </c>
      <c r="AQ3" s="154">
        <v>-0.1</v>
      </c>
      <c r="AR3" s="154">
        <v>-0.1</v>
      </c>
      <c r="AS3" s="154">
        <v>-0.1</v>
      </c>
      <c r="AT3" s="154">
        <v>-0.1</v>
      </c>
      <c r="AU3" s="154">
        <v>-0.1</v>
      </c>
      <c r="AV3" s="154">
        <v>-0.1</v>
      </c>
      <c r="AW3" s="154">
        <v>-0.1</v>
      </c>
      <c r="AX3" s="154">
        <v>-0.1</v>
      </c>
      <c r="AY3" s="154">
        <v>-0.1</v>
      </c>
      <c r="AZ3" s="154">
        <v>-0.1</v>
      </c>
      <c r="BA3" s="154">
        <v>-0.1</v>
      </c>
      <c r="BB3" s="154">
        <v>-0.1</v>
      </c>
      <c r="BC3" s="154">
        <v>-0.1</v>
      </c>
      <c r="BD3" s="154">
        <v>-0.1</v>
      </c>
      <c r="BE3" s="154">
        <v>-0.1</v>
      </c>
      <c r="BF3" s="154">
        <v>-0.1</v>
      </c>
      <c r="BG3" s="154">
        <v>-0.1</v>
      </c>
      <c r="BH3" s="154">
        <v>-0.1</v>
      </c>
      <c r="BI3" s="154">
        <v>-0.1</v>
      </c>
      <c r="BJ3" s="154">
        <v>-0.1</v>
      </c>
      <c r="BK3" s="154">
        <v>-0.1</v>
      </c>
      <c r="BL3" s="154">
        <v>-0.1</v>
      </c>
      <c r="BM3" s="154">
        <v>-0.1</v>
      </c>
      <c r="BN3" s="154">
        <v>-0.1</v>
      </c>
      <c r="BO3" s="154">
        <v>-0.1</v>
      </c>
      <c r="BP3" s="154">
        <v>-0.1</v>
      </c>
      <c r="BQ3" s="154">
        <v>-0.1</v>
      </c>
      <c r="BR3" s="154">
        <v>-0.1</v>
      </c>
      <c r="BS3" s="154">
        <v>-0.1</v>
      </c>
      <c r="BT3" s="154">
        <v>-0.1</v>
      </c>
      <c r="BU3" s="154">
        <v>-0.1</v>
      </c>
      <c r="BV3" s="154">
        <v>-0.1</v>
      </c>
      <c r="BW3" s="154">
        <v>-0.1</v>
      </c>
      <c r="BX3" s="154">
        <v>-0.1</v>
      </c>
      <c r="BY3" s="154">
        <v>-0.1</v>
      </c>
      <c r="BZ3" s="154">
        <v>-0.1</v>
      </c>
      <c r="CA3" s="154">
        <v>-0.1</v>
      </c>
      <c r="CB3" s="154">
        <v>-0.1</v>
      </c>
      <c r="CC3" s="154">
        <v>-0.1</v>
      </c>
      <c r="CD3" s="154">
        <v>-0.1</v>
      </c>
      <c r="CE3" s="154">
        <v>-0.1</v>
      </c>
      <c r="CF3" s="154">
        <v>-0.1</v>
      </c>
      <c r="CG3" s="154">
        <v>-0.1</v>
      </c>
      <c r="CH3" s="154">
        <v>-0.1</v>
      </c>
      <c r="CI3" s="154">
        <v>-0.1</v>
      </c>
      <c r="CJ3" s="154">
        <v>-0.1</v>
      </c>
      <c r="CK3" s="154">
        <v>-0.1</v>
      </c>
      <c r="CL3" s="154">
        <v>-0.1</v>
      </c>
      <c r="CM3" s="154">
        <v>-0.1</v>
      </c>
      <c r="CN3" s="154">
        <v>-0.1</v>
      </c>
      <c r="CO3" s="154">
        <v>-0.1</v>
      </c>
      <c r="CP3" s="154">
        <v>-0.1</v>
      </c>
      <c r="CQ3" s="154">
        <v>-0.1</v>
      </c>
      <c r="CR3" s="154">
        <v>-0.1</v>
      </c>
      <c r="CS3" s="154">
        <v>-0.1</v>
      </c>
      <c r="CT3" s="154">
        <v>-0.1</v>
      </c>
      <c r="CU3" s="154">
        <v>-0.1</v>
      </c>
      <c r="CV3" s="154">
        <v>-0.1</v>
      </c>
      <c r="CW3" s="154">
        <v>-0.1</v>
      </c>
      <c r="CY3" s="147">
        <f>CY2+1</f>
        <v>52</v>
      </c>
      <c r="CZ3" s="147">
        <v>2</v>
      </c>
      <c r="DA3" s="126">
        <f>MAX(DA2*(1+B3)-(Dashboard!$C$11)/(1-Dashboard!$C$17)*((1+Dashboard!$C$12)^$CZ3),0)</f>
        <v>663699.5625</v>
      </c>
      <c r="DB3" s="126">
        <f>MAX(DB2*(1+C3)-(Dashboard!$C$11)/(1-Dashboard!$C$17)*((1+Dashboard!$C$12)^$CZ3),0)</f>
        <v>663699.5625</v>
      </c>
      <c r="DC3" s="126">
        <f>MAX(DC2*(1+D3)-(Dashboard!$C$11)/(1-Dashboard!$C$17)*((1+Dashboard!$C$12)^$CZ3),0)</f>
        <v>663699.5625</v>
      </c>
      <c r="DD3" s="126">
        <f>MAX(DD2*(1+E3)-(Dashboard!$C$11)/(1-Dashboard!$C$17)*((1+Dashboard!$C$12)^$CZ3),0)</f>
        <v>663699.5625</v>
      </c>
      <c r="DE3" s="126">
        <f>MAX(DE2*(1+F3)-(Dashboard!$C$11)/(1-Dashboard!$C$17)*((1+Dashboard!$C$12)^$CZ3),0)</f>
        <v>663699.5625</v>
      </c>
      <c r="DF3" s="126">
        <f>MAX(DF2*(1+G3)-(Dashboard!$C$11)/(1-Dashboard!$C$17)*((1+Dashboard!$C$12)^$CZ3),0)</f>
        <v>663699.5625</v>
      </c>
      <c r="DG3" s="126">
        <f>MAX(DG2*(1+H3)-(Dashboard!$C$11)/(1-Dashboard!$C$17)*((1+Dashboard!$C$12)^$CZ3),0)</f>
        <v>663699.5625</v>
      </c>
      <c r="DH3" s="126">
        <f>MAX(DH2*(1+I3)-(Dashboard!$C$11)/(1-Dashboard!$C$17)*((1+Dashboard!$C$12)^$CZ3),0)</f>
        <v>663699.5625</v>
      </c>
      <c r="DI3" s="126">
        <f>MAX(DI2*(1+J3)-(Dashboard!$C$11)/(1-Dashboard!$C$17)*((1+Dashboard!$C$12)^$CZ3),0)</f>
        <v>663699.5625</v>
      </c>
      <c r="DJ3" s="126">
        <f>MAX(DJ2*(1+K3)-(Dashboard!$C$11)/(1-Dashboard!$C$17)*((1+Dashboard!$C$12)^$CZ3),0)</f>
        <v>663699.5625</v>
      </c>
      <c r="DK3" s="126">
        <f>MAX(DK2*(1+L3)-(Dashboard!$C$11)/(1-Dashboard!$C$17)*((1+Dashboard!$C$12)^$CZ3),0)</f>
        <v>663699.5625</v>
      </c>
      <c r="DL3" s="126">
        <f>MAX(DL2*(1+M3)-(Dashboard!$C$11)/(1-Dashboard!$C$17)*((1+Dashboard!$C$12)^$CZ3),0)</f>
        <v>663699.5625</v>
      </c>
      <c r="DM3" s="126">
        <f>MAX(DM2*(1+N3)-(Dashboard!$C$11)/(1-Dashboard!$C$17)*((1+Dashboard!$C$12)^$CZ3),0)</f>
        <v>663699.5625</v>
      </c>
      <c r="DN3" s="126">
        <f>MAX(DN2*(1+O3)-(Dashboard!$C$11)/(1-Dashboard!$C$17)*((1+Dashboard!$C$12)^$CZ3),0)</f>
        <v>663699.5625</v>
      </c>
      <c r="DO3" s="126">
        <f>MAX(DO2*(1+P3)-(Dashboard!$C$11)/(1-Dashboard!$C$17)*((1+Dashboard!$C$12)^$CZ3),0)</f>
        <v>663699.5625</v>
      </c>
      <c r="DP3" s="126">
        <f>MAX(DP2*(1+Q3)-(Dashboard!$C$11)/(1-Dashboard!$C$17)*((1+Dashboard!$C$12)^$CZ3),0)</f>
        <v>663699.5625</v>
      </c>
      <c r="DQ3" s="126">
        <f>MAX(DQ2*(1+R3)-(Dashboard!$C$11)/(1-Dashboard!$C$17)*((1+Dashboard!$C$12)^$CZ3),0)</f>
        <v>663699.5625</v>
      </c>
      <c r="DR3" s="126">
        <f>MAX(DR2*(1+S3)-(Dashboard!$C$11)/(1-Dashboard!$C$17)*((1+Dashboard!$C$12)^$CZ3),0)</f>
        <v>663699.5625</v>
      </c>
      <c r="DS3" s="126">
        <f>MAX(DS2*(1+T3)-(Dashboard!$C$11)/(1-Dashboard!$C$17)*((1+Dashboard!$C$12)^$CZ3),0)</f>
        <v>663699.5625</v>
      </c>
      <c r="DT3" s="126">
        <f>MAX(DT2*(1+U3)-(Dashboard!$C$11)/(1-Dashboard!$C$17)*((1+Dashboard!$C$12)^$CZ3),0)</f>
        <v>663699.5625</v>
      </c>
      <c r="DU3" s="126">
        <f>MAX(DU2*(1+V3)-(Dashboard!$C$11)/(1-Dashboard!$C$17)*((1+Dashboard!$C$12)^$CZ3),0)</f>
        <v>663699.5625</v>
      </c>
      <c r="DV3" s="126">
        <f>MAX(DV2*(1+W3)-(Dashboard!$C$11)/(1-Dashboard!$C$17)*((1+Dashboard!$C$12)^$CZ3),0)</f>
        <v>663699.5625</v>
      </c>
      <c r="DW3" s="126">
        <f>MAX(DW2*(1+X3)-(Dashboard!$C$11)/(1-Dashboard!$C$17)*((1+Dashboard!$C$12)^$CZ3),0)</f>
        <v>663699.5625</v>
      </c>
      <c r="DX3" s="126">
        <f>MAX(DX2*(1+Y3)-(Dashboard!$C$11)/(1-Dashboard!$C$17)*((1+Dashboard!$C$12)^$CZ3),0)</f>
        <v>663699.5625</v>
      </c>
      <c r="DY3" s="126">
        <f>MAX(DY2*(1+Z3)-(Dashboard!$C$11)/(1-Dashboard!$C$17)*((1+Dashboard!$C$12)^$CZ3),0)</f>
        <v>663699.5625</v>
      </c>
      <c r="DZ3" s="126">
        <f>MAX(DZ2*(1+AA3)-(Dashboard!$C$11)/(1-Dashboard!$C$17)*((1+Dashboard!$C$12)^$CZ3),0)</f>
        <v>663699.5625</v>
      </c>
      <c r="EA3" s="126">
        <f>MAX(EA2*(1+AB3)-(Dashboard!$C$11)/(1-Dashboard!$C$17)*((1+Dashboard!$C$12)^$CZ3),0)</f>
        <v>663699.5625</v>
      </c>
      <c r="EB3" s="126">
        <f>MAX(EB2*(1+AC3)-(Dashboard!$C$11)/(1-Dashboard!$C$17)*((1+Dashboard!$C$12)^$CZ3),0)</f>
        <v>663699.5625</v>
      </c>
      <c r="EC3" s="126">
        <f>MAX(EC2*(1+AD3)-(Dashboard!$C$11)/(1-Dashboard!$C$17)*((1+Dashboard!$C$12)^$CZ3),0)</f>
        <v>663699.5625</v>
      </c>
      <c r="ED3" s="126">
        <f>MAX(ED2*(1+AE3)-(Dashboard!$C$11)/(1-Dashboard!$C$17)*((1+Dashboard!$C$12)^$CZ3),0)</f>
        <v>663699.5625</v>
      </c>
      <c r="EE3" s="126">
        <f>MAX(EE2*(1+AF3)-(Dashboard!$C$11)/(1-Dashboard!$C$17)*((1+Dashboard!$C$12)^$CZ3),0)</f>
        <v>663699.5625</v>
      </c>
      <c r="EF3" s="126">
        <f>MAX(EF2*(1+AG3)-(Dashboard!$C$11)/(1-Dashboard!$C$17)*((1+Dashboard!$C$12)^$CZ3),0)</f>
        <v>663699.5625</v>
      </c>
      <c r="EG3" s="126">
        <f>MAX(EG2*(1+AH3)-(Dashboard!$C$11)/(1-Dashboard!$C$17)*((1+Dashboard!$C$12)^$CZ3),0)</f>
        <v>663699.5625</v>
      </c>
      <c r="EH3" s="126">
        <f>MAX(EH2*(1+AI3)-(Dashboard!$C$11)/(1-Dashboard!$C$17)*((1+Dashboard!$C$12)^$CZ3),0)</f>
        <v>663699.5625</v>
      </c>
      <c r="EI3" s="126">
        <f>MAX(EI2*(1+AJ3)-(Dashboard!$C$11)/(1-Dashboard!$C$17)*((1+Dashboard!$C$12)^$CZ3),0)</f>
        <v>663699.5625</v>
      </c>
      <c r="EJ3" s="126">
        <f>MAX(EJ2*(1+AK3)-(Dashboard!$C$11)/(1-Dashboard!$C$17)*((1+Dashboard!$C$12)^$CZ3),0)</f>
        <v>663699.5625</v>
      </c>
      <c r="EK3" s="126">
        <f>MAX(EK2*(1+AL3)-(Dashboard!$C$11)/(1-Dashboard!$C$17)*((1+Dashboard!$C$12)^$CZ3),0)</f>
        <v>663699.5625</v>
      </c>
      <c r="EL3" s="126">
        <f>MAX(EL2*(1+AM3)-(Dashboard!$C$11)/(1-Dashboard!$C$17)*((1+Dashboard!$C$12)^$CZ3),0)</f>
        <v>663699.5625</v>
      </c>
      <c r="EM3" s="126">
        <f>MAX(EM2*(1+AN3)-(Dashboard!$C$11)/(1-Dashboard!$C$17)*((1+Dashboard!$C$12)^$CZ3),0)</f>
        <v>663699.5625</v>
      </c>
      <c r="EN3" s="126">
        <f>MAX(EN2*(1+AO3)-(Dashboard!$C$11)/(1-Dashboard!$C$17)*((1+Dashboard!$C$12)^$CZ3),0)</f>
        <v>663699.5625</v>
      </c>
      <c r="EO3" s="126">
        <f>MAX(EO2*(1+AP3)-(Dashboard!$C$11)/(1-Dashboard!$C$17)*((1+Dashboard!$C$12)^$CZ3),0)</f>
        <v>663699.5625</v>
      </c>
      <c r="EP3" s="126">
        <f>MAX(EP2*(1+AQ3)-(Dashboard!$C$11)/(1-Dashboard!$C$17)*((1+Dashboard!$C$12)^$CZ3),0)</f>
        <v>663699.5625</v>
      </c>
      <c r="EQ3" s="126">
        <f>MAX(EQ2*(1+AR3)-(Dashboard!$C$11)/(1-Dashboard!$C$17)*((1+Dashboard!$C$12)^$CZ3),0)</f>
        <v>663699.5625</v>
      </c>
      <c r="ER3" s="126">
        <f>MAX(ER2*(1+AS3)-(Dashboard!$C$11)/(1-Dashboard!$C$17)*((1+Dashboard!$C$12)^$CZ3),0)</f>
        <v>663699.5625</v>
      </c>
      <c r="ES3" s="126">
        <f>MAX(ES2*(1+AT3)-(Dashboard!$C$11)/(1-Dashboard!$C$17)*((1+Dashboard!$C$12)^$CZ3),0)</f>
        <v>663699.5625</v>
      </c>
      <c r="ET3" s="126">
        <f>MAX(ET2*(1+AU3)-(Dashboard!$C$11)/(1-Dashboard!$C$17)*((1+Dashboard!$C$12)^$CZ3),0)</f>
        <v>663699.5625</v>
      </c>
      <c r="EU3" s="126">
        <f>MAX(EU2*(1+AV3)-(Dashboard!$C$11)/(1-Dashboard!$C$17)*((1+Dashboard!$C$12)^$CZ3),0)</f>
        <v>663699.5625</v>
      </c>
      <c r="EV3" s="126">
        <f>MAX(EV2*(1+AW3)-(Dashboard!$C$11)/(1-Dashboard!$C$17)*((1+Dashboard!$C$12)^$CZ3),0)</f>
        <v>663699.5625</v>
      </c>
      <c r="EW3" s="126">
        <f>MAX(EW2*(1+AX3)-(Dashboard!$C$11)/(1-Dashboard!$C$17)*((1+Dashboard!$C$12)^$CZ3),0)</f>
        <v>663699.5625</v>
      </c>
      <c r="EX3" s="126">
        <f>MAX(EX2*(1+AY3)-(Dashboard!$C$11)/(1-Dashboard!$C$17)*((1+Dashboard!$C$12)^$CZ3),0)</f>
        <v>663699.5625</v>
      </c>
      <c r="EY3" s="126">
        <f>MAX(EY2*(1+AZ3)-(Dashboard!$C$11)/(1-Dashboard!$C$17)*((1+Dashboard!$C$12)^$CZ3),0)</f>
        <v>663699.5625</v>
      </c>
      <c r="EZ3" s="126">
        <f>MAX(EZ2*(1+BA3)-(Dashboard!$C$11)/(1-Dashboard!$C$17)*((1+Dashboard!$C$12)^$CZ3),0)</f>
        <v>663699.5625</v>
      </c>
      <c r="FA3" s="126">
        <f>MAX(FA2*(1+BB3)-(Dashboard!$C$11)/(1-Dashboard!$C$17)*((1+Dashboard!$C$12)^$CZ3),0)</f>
        <v>663699.5625</v>
      </c>
      <c r="FB3" s="126">
        <f>MAX(FB2*(1+BC3)-(Dashboard!$C$11)/(1-Dashboard!$C$17)*((1+Dashboard!$C$12)^$CZ3),0)</f>
        <v>663699.5625</v>
      </c>
      <c r="FC3" s="126">
        <f>MAX(FC2*(1+BD3)-(Dashboard!$C$11)/(1-Dashboard!$C$17)*((1+Dashboard!$C$12)^$CZ3),0)</f>
        <v>663699.5625</v>
      </c>
      <c r="FD3" s="126">
        <f>MAX(FD2*(1+BE3)-(Dashboard!$C$11)/(1-Dashboard!$C$17)*((1+Dashboard!$C$12)^$CZ3),0)</f>
        <v>663699.5625</v>
      </c>
      <c r="FE3" s="126">
        <f>MAX(FE2*(1+BF3)-(Dashboard!$C$11)/(1-Dashboard!$C$17)*((1+Dashboard!$C$12)^$CZ3),0)</f>
        <v>663699.5625</v>
      </c>
      <c r="FF3" s="126">
        <f>MAX(FF2*(1+BG3)-(Dashboard!$C$11)/(1-Dashboard!$C$17)*((1+Dashboard!$C$12)^$CZ3),0)</f>
        <v>663699.5625</v>
      </c>
      <c r="FG3" s="126">
        <f>MAX(FG2*(1+BH3)-(Dashboard!$C$11)/(1-Dashboard!$C$17)*((1+Dashboard!$C$12)^$CZ3),0)</f>
        <v>663699.5625</v>
      </c>
      <c r="FH3" s="126">
        <f>MAX(FH2*(1+BI3)-(Dashboard!$C$11)/(1-Dashboard!$C$17)*((1+Dashboard!$C$12)^$CZ3),0)</f>
        <v>663699.5625</v>
      </c>
      <c r="FI3" s="126">
        <f>MAX(FI2*(1+BJ3)-(Dashboard!$C$11)/(1-Dashboard!$C$17)*((1+Dashboard!$C$12)^$CZ3),0)</f>
        <v>663699.5625</v>
      </c>
      <c r="FJ3" s="126">
        <f>MAX(FJ2*(1+BK3)-(Dashboard!$C$11)/(1-Dashboard!$C$17)*((1+Dashboard!$C$12)^$CZ3),0)</f>
        <v>663699.5625</v>
      </c>
      <c r="FK3" s="126">
        <f>MAX(FK2*(1+BL3)-(Dashboard!$C$11)/(1-Dashboard!$C$17)*((1+Dashboard!$C$12)^$CZ3),0)</f>
        <v>663699.5625</v>
      </c>
      <c r="FL3" s="126">
        <f>MAX(FL2*(1+BM3)-(Dashboard!$C$11)/(1-Dashboard!$C$17)*((1+Dashboard!$C$12)^$CZ3),0)</f>
        <v>663699.5625</v>
      </c>
      <c r="FM3" s="126">
        <f>MAX(FM2*(1+BN3)-(Dashboard!$C$11)/(1-Dashboard!$C$17)*((1+Dashboard!$C$12)^$CZ3),0)</f>
        <v>663699.5625</v>
      </c>
      <c r="FN3" s="126">
        <f>MAX(FN2*(1+BO3)-(Dashboard!$C$11)/(1-Dashboard!$C$17)*((1+Dashboard!$C$12)^$CZ3),0)</f>
        <v>663699.5625</v>
      </c>
      <c r="FO3" s="126">
        <f>MAX(FO2*(1+BP3)-(Dashboard!$C$11)/(1-Dashboard!$C$17)*((1+Dashboard!$C$12)^$CZ3),0)</f>
        <v>663699.5625</v>
      </c>
      <c r="FP3" s="126">
        <f>MAX(FP2*(1+BQ3)-(Dashboard!$C$11)/(1-Dashboard!$C$17)*((1+Dashboard!$C$12)^$CZ3),0)</f>
        <v>663699.5625</v>
      </c>
      <c r="FQ3" s="126">
        <f>MAX(FQ2*(1+BR3)-(Dashboard!$C$11)/(1-Dashboard!$C$17)*((1+Dashboard!$C$12)^$CZ3),0)</f>
        <v>663699.5625</v>
      </c>
      <c r="FR3" s="126">
        <f>MAX(FR2*(1+BS3)-(Dashboard!$C$11)/(1-Dashboard!$C$17)*((1+Dashboard!$C$12)^$CZ3),0)</f>
        <v>663699.5625</v>
      </c>
      <c r="FS3" s="126">
        <f>MAX(FS2*(1+BT3)-(Dashboard!$C$11)/(1-Dashboard!$C$17)*((1+Dashboard!$C$12)^$CZ3),0)</f>
        <v>663699.5625</v>
      </c>
      <c r="FT3" s="126">
        <f>MAX(FT2*(1+BU3)-(Dashboard!$C$11)/(1-Dashboard!$C$17)*((1+Dashboard!$C$12)^$CZ3),0)</f>
        <v>663699.5625</v>
      </c>
      <c r="FU3" s="126">
        <f>MAX(FU2*(1+BV3)-(Dashboard!$C$11)/(1-Dashboard!$C$17)*((1+Dashboard!$C$12)^$CZ3),0)</f>
        <v>663699.5625</v>
      </c>
      <c r="FV3" s="126">
        <f>MAX(FV2*(1+BW3)-(Dashboard!$C$11)/(1-Dashboard!$C$17)*((1+Dashboard!$C$12)^$CZ3),0)</f>
        <v>663699.5625</v>
      </c>
      <c r="FW3" s="126">
        <f>MAX(FW2*(1+BX3)-(Dashboard!$C$11)/(1-Dashboard!$C$17)*((1+Dashboard!$C$12)^$CZ3),0)</f>
        <v>663699.5625</v>
      </c>
      <c r="FX3" s="126">
        <f>MAX(FX2*(1+BY3)-(Dashboard!$C$11)/(1-Dashboard!$C$17)*((1+Dashboard!$C$12)^$CZ3),0)</f>
        <v>663699.5625</v>
      </c>
      <c r="FY3" s="126">
        <f>MAX(FY2*(1+BZ3)-(Dashboard!$C$11)/(1-Dashboard!$C$17)*((1+Dashboard!$C$12)^$CZ3),0)</f>
        <v>663699.5625</v>
      </c>
      <c r="FZ3" s="126">
        <f>MAX(FZ2*(1+CA3)-(Dashboard!$C$11)/(1-Dashboard!$C$17)*((1+Dashboard!$C$12)^$CZ3),0)</f>
        <v>663699.5625</v>
      </c>
      <c r="GA3" s="126">
        <f>MAX(GA2*(1+CB3)-(Dashboard!$C$11)/(1-Dashboard!$C$17)*((1+Dashboard!$C$12)^$CZ3),0)</f>
        <v>663699.5625</v>
      </c>
      <c r="GB3" s="126">
        <f>MAX(GB2*(1+CC3)-(Dashboard!$C$11)/(1-Dashboard!$C$17)*((1+Dashboard!$C$12)^$CZ3),0)</f>
        <v>663699.5625</v>
      </c>
      <c r="GC3" s="126">
        <f>MAX(GC2*(1+CD3)-(Dashboard!$C$11)/(1-Dashboard!$C$17)*((1+Dashboard!$C$12)^$CZ3),0)</f>
        <v>663699.5625</v>
      </c>
      <c r="GD3" s="126">
        <f>MAX(GD2*(1+CE3)-(Dashboard!$C$11)/(1-Dashboard!$C$17)*((1+Dashboard!$C$12)^$CZ3),0)</f>
        <v>663699.5625</v>
      </c>
      <c r="GE3" s="126">
        <f>MAX(GE2*(1+CF3)-(Dashboard!$C$11)/(1-Dashboard!$C$17)*((1+Dashboard!$C$12)^$CZ3),0)</f>
        <v>663699.5625</v>
      </c>
      <c r="GF3" s="126">
        <f>MAX(GF2*(1+CG3)-(Dashboard!$C$11)/(1-Dashboard!$C$17)*((1+Dashboard!$C$12)^$CZ3),0)</f>
        <v>663699.5625</v>
      </c>
      <c r="GG3" s="126">
        <f>MAX(GG2*(1+CH3)-(Dashboard!$C$11)/(1-Dashboard!$C$17)*((1+Dashboard!$C$12)^$CZ3),0)</f>
        <v>663699.5625</v>
      </c>
      <c r="GH3" s="126">
        <f>MAX(GH2*(1+CI3)-(Dashboard!$C$11)/(1-Dashboard!$C$17)*((1+Dashboard!$C$12)^$CZ3),0)</f>
        <v>663699.5625</v>
      </c>
      <c r="GI3" s="126">
        <f>MAX(GI2*(1+CJ3)-(Dashboard!$C$11)/(1-Dashboard!$C$17)*((1+Dashboard!$C$12)^$CZ3),0)</f>
        <v>663699.5625</v>
      </c>
      <c r="GJ3" s="126">
        <f>MAX(GJ2*(1+CK3)-(Dashboard!$C$11)/(1-Dashboard!$C$17)*((1+Dashboard!$C$12)^$CZ3),0)</f>
        <v>663699.5625</v>
      </c>
      <c r="GK3" s="126">
        <f>MAX(GK2*(1+CL3)-(Dashboard!$C$11)/(1-Dashboard!$C$17)*((1+Dashboard!$C$12)^$CZ3),0)</f>
        <v>663699.5625</v>
      </c>
      <c r="GL3" s="126">
        <f>MAX(GL2*(1+CM3)-(Dashboard!$C$11)/(1-Dashboard!$C$17)*((1+Dashboard!$C$12)^$CZ3),0)</f>
        <v>663699.5625</v>
      </c>
      <c r="GM3" s="126">
        <f>MAX(GM2*(1+CN3)-(Dashboard!$C$11)/(1-Dashboard!$C$17)*((1+Dashboard!$C$12)^$CZ3),0)</f>
        <v>663699.5625</v>
      </c>
      <c r="GN3" s="126">
        <f>MAX(GN2*(1+CO3)-(Dashboard!$C$11)/(1-Dashboard!$C$17)*((1+Dashboard!$C$12)^$CZ3),0)</f>
        <v>663699.5625</v>
      </c>
      <c r="GO3" s="126">
        <f>MAX(GO2*(1+CP3)-(Dashboard!$C$11)/(1-Dashboard!$C$17)*((1+Dashboard!$C$12)^$CZ3),0)</f>
        <v>663699.5625</v>
      </c>
      <c r="GP3" s="126">
        <f>MAX(GP2*(1+CQ3)-(Dashboard!$C$11)/(1-Dashboard!$C$17)*((1+Dashboard!$C$12)^$CZ3),0)</f>
        <v>663699.5625</v>
      </c>
      <c r="GQ3" s="126">
        <f>MAX(GQ2*(1+CR3)-(Dashboard!$C$11)/(1-Dashboard!$C$17)*((1+Dashboard!$C$12)^$CZ3),0)</f>
        <v>663699.5625</v>
      </c>
      <c r="GR3" s="126">
        <f>MAX(GR2*(1+CS3)-(Dashboard!$C$11)/(1-Dashboard!$C$17)*((1+Dashboard!$C$12)^$CZ3),0)</f>
        <v>663699.5625</v>
      </c>
      <c r="GS3" s="126">
        <f>MAX(GS2*(1+CT3)-(Dashboard!$C$11)/(1-Dashboard!$C$17)*((1+Dashboard!$C$12)^$CZ3),0)</f>
        <v>663699.5625</v>
      </c>
      <c r="GT3" s="126">
        <f>MAX(GT2*(1+CU3)-(Dashboard!$C$11)/(1-Dashboard!$C$17)*((1+Dashboard!$C$12)^$CZ3),0)</f>
        <v>663699.5625</v>
      </c>
      <c r="GU3" s="126">
        <f>MAX(GU2*(1+CV3)-(Dashboard!$C$11)/(1-Dashboard!$C$17)*((1+Dashboard!$C$12)^$CZ3),0)</f>
        <v>663699.5625</v>
      </c>
      <c r="GV3" s="126">
        <f>MAX(GV2*(1+CW3)-(Dashboard!$C$11)/(1-Dashboard!$C$17)*((1+Dashboard!$C$12)^$CZ3),0)</f>
        <v>663699.5625</v>
      </c>
      <c r="GW3" s="115">
        <f>GW2+1</f>
        <v>52</v>
      </c>
      <c r="GX3" s="130">
        <f t="shared" ref="GX3:GX51" si="2">COUNTIF(DA3:GV3,"&gt;0")</f>
        <v>100</v>
      </c>
      <c r="HC3" s="130">
        <f t="shared" si="0"/>
        <v>52</v>
      </c>
      <c r="HD3" s="137">
        <f t="shared" si="1"/>
        <v>663699.5625</v>
      </c>
      <c r="HE3" s="137">
        <f t="shared" si="1"/>
        <v>663699.5625</v>
      </c>
      <c r="HF3" s="137">
        <f t="shared" si="1"/>
        <v>663699.5625</v>
      </c>
    </row>
    <row r="4" spans="1:214" ht="16">
      <c r="A4" s="145">
        <f t="shared" ref="A4:A51" si="3">A3+1</f>
        <v>53</v>
      </c>
      <c r="B4" s="119">
        <f ca="1">(Dashboard!$C$7*'Equity and Bond Returns'!N4)+(Dashboard!$C$8*'Equity and Bond Returns'!DL4)</f>
        <v>-3.1062621889147393E-2</v>
      </c>
      <c r="C4" s="119">
        <f ca="1">(Dashboard!$C$7*'Equity and Bond Returns'!O4)+(Dashboard!$C$8*'Equity and Bond Returns'!DM4)</f>
        <v>0.13820701299678018</v>
      </c>
      <c r="D4" s="119">
        <f ca="1">(Dashboard!$C$7*'Equity and Bond Returns'!P4)+(Dashboard!$C$8*'Equity and Bond Returns'!DN4)</f>
        <v>-0.16568171512864457</v>
      </c>
      <c r="E4" s="119">
        <f ca="1">(Dashboard!$C$7*'Equity and Bond Returns'!Q4)+(Dashboard!$C$8*'Equity and Bond Returns'!DO4)</f>
        <v>4.8762816702030823E-2</v>
      </c>
      <c r="F4" s="119">
        <f ca="1">(Dashboard!$C$7*'Equity and Bond Returns'!R4)+(Dashboard!$C$8*'Equity and Bond Returns'!DP4)</f>
        <v>0.30344524798970474</v>
      </c>
      <c r="G4" s="119">
        <f ca="1">(Dashboard!$C$7*'Equity and Bond Returns'!S4)+(Dashboard!$C$8*'Equity and Bond Returns'!DQ4)</f>
        <v>0.22148938889707337</v>
      </c>
      <c r="H4" s="119">
        <f ca="1">(Dashboard!$C$7*'Equity and Bond Returns'!T4)+(Dashboard!$C$8*'Equity and Bond Returns'!DR4)</f>
        <v>-0.10281146629132552</v>
      </c>
      <c r="I4" s="119">
        <f ca="1">(Dashboard!$C$7*'Equity and Bond Returns'!U4)+(Dashboard!$C$8*'Equity and Bond Returns'!DS4)</f>
        <v>9.9843362228756713E-2</v>
      </c>
      <c r="J4" s="119">
        <f ca="1">(Dashboard!$C$7*'Equity and Bond Returns'!V4)+(Dashboard!$C$8*'Equity and Bond Returns'!DT4)</f>
        <v>2.3757810115758816E-2</v>
      </c>
      <c r="K4" s="119">
        <f ca="1">(Dashboard!$C$7*'Equity and Bond Returns'!W4)+(Dashboard!$C$8*'Equity and Bond Returns'!DU4)</f>
        <v>0.13023412131997805</v>
      </c>
      <c r="L4" s="119">
        <f ca="1">(Dashboard!$C$7*'Equity and Bond Returns'!X4)+(Dashboard!$C$8*'Equity and Bond Returns'!DV4)</f>
        <v>-3.2860779451710571E-2</v>
      </c>
      <c r="M4" s="119">
        <f ca="1">(Dashboard!$C$7*'Equity and Bond Returns'!Y4)+(Dashboard!$C$8*'Equity and Bond Returns'!DW4)</f>
        <v>0.2010672796398878</v>
      </c>
      <c r="N4" s="119">
        <f ca="1">(Dashboard!$C$7*'Equity and Bond Returns'!Z4)+(Dashboard!$C$8*'Equity and Bond Returns'!DX4)</f>
        <v>0.15499761155897601</v>
      </c>
      <c r="O4" s="119">
        <f ca="1">(Dashboard!$C$7*'Equity and Bond Returns'!AA4)+(Dashboard!$C$8*'Equity and Bond Returns'!DY4)</f>
        <v>0.26735454495663008</v>
      </c>
      <c r="P4" s="119">
        <f ca="1">(Dashboard!$C$7*'Equity and Bond Returns'!AB4)+(Dashboard!$C$8*'Equity and Bond Returns'!DZ4)</f>
        <v>0.23219180896973246</v>
      </c>
      <c r="Q4" s="119">
        <f ca="1">(Dashboard!$C$7*'Equity and Bond Returns'!AC4)+(Dashboard!$C$8*'Equity and Bond Returns'!EA4)</f>
        <v>-0.14963707676569299</v>
      </c>
      <c r="R4" s="119">
        <f ca="1">(Dashboard!$C$7*'Equity and Bond Returns'!AD4)+(Dashboard!$C$8*'Equity and Bond Returns'!EB4)</f>
        <v>2.0529571556698049E-2</v>
      </c>
      <c r="S4" s="119">
        <f ca="1">(Dashboard!$C$7*'Equity and Bond Returns'!AE4)+(Dashboard!$C$8*'Equity and Bond Returns'!EC4)</f>
        <v>0.12444647643386872</v>
      </c>
      <c r="T4" s="119">
        <f ca="1">(Dashboard!$C$7*'Equity and Bond Returns'!AF4)+(Dashboard!$C$8*'Equity and Bond Returns'!ED4)</f>
        <v>0.10323671386098188</v>
      </c>
      <c r="U4" s="119">
        <f ca="1">(Dashboard!$C$7*'Equity and Bond Returns'!AG4)+(Dashboard!$C$8*'Equity and Bond Returns'!EE4)</f>
        <v>0.21730919034152704</v>
      </c>
      <c r="V4" s="119">
        <f ca="1">(Dashboard!$C$7*'Equity and Bond Returns'!AH4)+(Dashboard!$C$8*'Equity and Bond Returns'!EF4)</f>
        <v>0.15296115977099717</v>
      </c>
      <c r="W4" s="119">
        <f ca="1">(Dashboard!$C$7*'Equity and Bond Returns'!AI4)+(Dashboard!$C$8*'Equity and Bond Returns'!EG4)</f>
        <v>0.1690458407781886</v>
      </c>
      <c r="X4" s="119">
        <f ca="1">(Dashboard!$C$7*'Equity and Bond Returns'!AJ4)+(Dashboard!$C$8*'Equity and Bond Returns'!EH4)</f>
        <v>8.8613578945293536E-2</v>
      </c>
      <c r="Y4" s="119">
        <f ca="1">(Dashboard!$C$7*'Equity and Bond Returns'!AK4)+(Dashboard!$C$8*'Equity and Bond Returns'!EI4)</f>
        <v>-2.3576703285445519E-2</v>
      </c>
      <c r="Z4" s="119">
        <f ca="1">(Dashboard!$C$7*'Equity and Bond Returns'!AL4)+(Dashboard!$C$8*'Equity and Bond Returns'!EJ4)</f>
        <v>0.14101145377655341</v>
      </c>
      <c r="AA4" s="119">
        <f ca="1">(Dashboard!$C$7*'Equity and Bond Returns'!AM4)+(Dashboard!$C$8*'Equity and Bond Returns'!EK4)</f>
        <v>0.14597867941258291</v>
      </c>
      <c r="AB4" s="119">
        <f ca="1">(Dashboard!$C$7*'Equity and Bond Returns'!AN4)+(Dashboard!$C$8*'Equity and Bond Returns'!EL4)</f>
        <v>5.869203718324946E-2</v>
      </c>
      <c r="AC4" s="119">
        <f ca="1">(Dashboard!$C$7*'Equity and Bond Returns'!AO4)+(Dashboard!$C$8*'Equity and Bond Returns'!EM4)</f>
        <v>-2.2218532311123911E-2</v>
      </c>
      <c r="AD4" s="119">
        <f ca="1">(Dashboard!$C$7*'Equity and Bond Returns'!AP4)+(Dashboard!$C$8*'Equity and Bond Returns'!EN4)</f>
        <v>0.1480816713273046</v>
      </c>
      <c r="AE4" s="119">
        <f ca="1">(Dashboard!$C$7*'Equity and Bond Returns'!AQ4)+(Dashboard!$C$8*'Equity and Bond Returns'!EO4)</f>
        <v>9.7561748773218243E-2</v>
      </c>
      <c r="AF4" s="119">
        <f ca="1">(Dashboard!$C$7*'Equity and Bond Returns'!AR4)+(Dashboard!$C$8*'Equity and Bond Returns'!EP4)</f>
        <v>7.288659571902234E-2</v>
      </c>
      <c r="AG4" s="119">
        <f ca="1">(Dashboard!$C$7*'Equity and Bond Returns'!AS4)+(Dashboard!$C$8*'Equity and Bond Returns'!EQ4)</f>
        <v>2.1903097359234836E-2</v>
      </c>
      <c r="AH4" s="119">
        <f ca="1">(Dashboard!$C$7*'Equity and Bond Returns'!AT4)+(Dashboard!$C$8*'Equity and Bond Returns'!ER4)</f>
        <v>0.22173850331263814</v>
      </c>
      <c r="AI4" s="119">
        <f ca="1">(Dashboard!$C$7*'Equity and Bond Returns'!AU4)+(Dashboard!$C$8*'Equity and Bond Returns'!ES4)</f>
        <v>0.16779698154121436</v>
      </c>
      <c r="AJ4" s="119">
        <f ca="1">(Dashboard!$C$7*'Equity and Bond Returns'!AV4)+(Dashboard!$C$8*'Equity and Bond Returns'!ET4)</f>
        <v>0.12028606026453079</v>
      </c>
      <c r="AK4" s="119">
        <f ca="1">(Dashboard!$C$7*'Equity and Bond Returns'!AW4)+(Dashboard!$C$8*'Equity and Bond Returns'!EU4)</f>
        <v>0.21618276345288787</v>
      </c>
      <c r="AL4" s="119">
        <f ca="1">(Dashboard!$C$7*'Equity and Bond Returns'!AX4)+(Dashboard!$C$8*'Equity and Bond Returns'!EV4)</f>
        <v>0.22395957155461116</v>
      </c>
      <c r="AM4" s="119">
        <f ca="1">(Dashboard!$C$7*'Equity and Bond Returns'!AY4)+(Dashboard!$C$8*'Equity and Bond Returns'!EW4)</f>
        <v>0.10612633496937589</v>
      </c>
      <c r="AN4" s="119">
        <f ca="1">(Dashboard!$C$7*'Equity and Bond Returns'!AZ4)+(Dashboard!$C$8*'Equity and Bond Returns'!EX4)</f>
        <v>0.25843023971901757</v>
      </c>
      <c r="AO4" s="119">
        <f ca="1">(Dashboard!$C$7*'Equity and Bond Returns'!BA4)+(Dashboard!$C$8*'Equity and Bond Returns'!EY4)</f>
        <v>0.35510443041514173</v>
      </c>
      <c r="AP4" s="119">
        <f ca="1">(Dashboard!$C$7*'Equity and Bond Returns'!BB4)+(Dashboard!$C$8*'Equity and Bond Returns'!EZ4)</f>
        <v>0.13447889790428552</v>
      </c>
      <c r="AQ4" s="119">
        <f ca="1">(Dashboard!$C$7*'Equity and Bond Returns'!BC4)+(Dashboard!$C$8*'Equity and Bond Returns'!FA4)</f>
        <v>0.10792529582365488</v>
      </c>
      <c r="AR4" s="119">
        <f ca="1">(Dashboard!$C$7*'Equity and Bond Returns'!BD4)+(Dashboard!$C$8*'Equity and Bond Returns'!FB4)</f>
        <v>-0.11717891805574238</v>
      </c>
      <c r="AS4" s="119">
        <f ca="1">(Dashboard!$C$7*'Equity and Bond Returns'!BE4)+(Dashboard!$C$8*'Equity and Bond Returns'!FC4)</f>
        <v>0.16775804499002389</v>
      </c>
      <c r="AT4" s="119">
        <f ca="1">(Dashboard!$C$7*'Equity and Bond Returns'!BF4)+(Dashboard!$C$8*'Equity and Bond Returns'!FD4)</f>
        <v>-7.7259414193984965E-2</v>
      </c>
      <c r="AU4" s="119">
        <f ca="1">(Dashboard!$C$7*'Equity and Bond Returns'!BG4)+(Dashboard!$C$8*'Equity and Bond Returns'!FE4)</f>
        <v>0.11823371462928506</v>
      </c>
      <c r="AV4" s="119">
        <f ca="1">(Dashboard!$C$7*'Equity and Bond Returns'!BH4)+(Dashboard!$C$8*'Equity and Bond Returns'!FF4)</f>
        <v>-7.8791068463645482E-3</v>
      </c>
      <c r="AW4" s="119">
        <f ca="1">(Dashboard!$C$7*'Equity and Bond Returns'!BI4)+(Dashboard!$C$8*'Equity and Bond Returns'!FG4)</f>
        <v>0.31912081149047394</v>
      </c>
      <c r="AX4" s="119">
        <f ca="1">(Dashboard!$C$7*'Equity and Bond Returns'!BJ4)+(Dashboard!$C$8*'Equity and Bond Returns'!FH4)</f>
        <v>2.3589244854321571E-2</v>
      </c>
      <c r="AY4" s="119">
        <f ca="1">(Dashboard!$C$7*'Equity and Bond Returns'!BK4)+(Dashboard!$C$8*'Equity and Bond Returns'!FI4)</f>
        <v>-7.9320660855853015E-2</v>
      </c>
      <c r="AZ4" s="119">
        <f ca="1">(Dashboard!$C$7*'Equity and Bond Returns'!BL4)+(Dashboard!$C$8*'Equity and Bond Returns'!FJ4)</f>
        <v>1.2930859778411793E-2</v>
      </c>
      <c r="BA4" s="119">
        <f ca="1">(Dashboard!$C$7*'Equity and Bond Returns'!BM4)+(Dashboard!$C$8*'Equity and Bond Returns'!FK4)</f>
        <v>0.18668375554177796</v>
      </c>
      <c r="BB4" s="119">
        <f ca="1">(Dashboard!$C$7*'Equity and Bond Returns'!BN4)+(Dashboard!$C$8*'Equity and Bond Returns'!FL4)</f>
        <v>7.5952109411645208E-2</v>
      </c>
      <c r="BC4" s="119">
        <f ca="1">(Dashboard!$C$7*'Equity and Bond Returns'!BO4)+(Dashboard!$C$8*'Equity and Bond Returns'!FM4)</f>
        <v>0.22762131690925166</v>
      </c>
      <c r="BD4" s="119">
        <f ca="1">(Dashboard!$C$7*'Equity and Bond Returns'!BP4)+(Dashboard!$C$8*'Equity and Bond Returns'!FN4)</f>
        <v>0.31466617209167952</v>
      </c>
      <c r="BE4" s="119">
        <f ca="1">(Dashboard!$C$7*'Equity and Bond Returns'!BQ4)+(Dashboard!$C$8*'Equity and Bond Returns'!FO4)</f>
        <v>0.42080200288485947</v>
      </c>
      <c r="BF4" s="119">
        <f ca="1">(Dashboard!$C$7*'Equity and Bond Returns'!BR4)+(Dashboard!$C$8*'Equity and Bond Returns'!FP4)</f>
        <v>0.22435084814654388</v>
      </c>
      <c r="BG4" s="119">
        <f ca="1">(Dashboard!$C$7*'Equity and Bond Returns'!BS4)+(Dashboard!$C$8*'Equity and Bond Returns'!FQ4)</f>
        <v>-2.7064029681443745E-2</v>
      </c>
      <c r="BH4" s="119">
        <f ca="1">(Dashboard!$C$7*'Equity and Bond Returns'!BT4)+(Dashboard!$C$8*'Equity and Bond Returns'!FR4)</f>
        <v>0.17394386702087281</v>
      </c>
      <c r="BI4" s="119">
        <f ca="1">(Dashboard!$C$7*'Equity and Bond Returns'!BU4)+(Dashboard!$C$8*'Equity and Bond Returns'!FS4)</f>
        <v>0.11074300505310879</v>
      </c>
      <c r="BJ4" s="119">
        <f ca="1">(Dashboard!$C$7*'Equity and Bond Returns'!BV4)+(Dashboard!$C$8*'Equity and Bond Returns'!FT4)</f>
        <v>0.38447427607188911</v>
      </c>
      <c r="BK4" s="119">
        <f ca="1">(Dashboard!$C$7*'Equity and Bond Returns'!BW4)+(Dashboard!$C$8*'Equity and Bond Returns'!FU4)</f>
        <v>1.7861484644733708E-2</v>
      </c>
      <c r="BL4" s="119">
        <f ca="1">(Dashboard!$C$7*'Equity and Bond Returns'!BX4)+(Dashboard!$C$8*'Equity and Bond Returns'!FV4)</f>
        <v>-0.10434838418513297</v>
      </c>
      <c r="BM4" s="119">
        <f ca="1">(Dashboard!$C$7*'Equity and Bond Returns'!BY4)+(Dashboard!$C$8*'Equity and Bond Returns'!FW4)</f>
        <v>0.20603392550801189</v>
      </c>
      <c r="BN4" s="119">
        <f ca="1">(Dashboard!$C$7*'Equity and Bond Returns'!BZ4)+(Dashboard!$C$8*'Equity and Bond Returns'!FX4)</f>
        <v>-0.11224280541326415</v>
      </c>
      <c r="BO4" s="119">
        <f ca="1">(Dashboard!$C$7*'Equity and Bond Returns'!CA4)+(Dashboard!$C$8*'Equity and Bond Returns'!FY4)</f>
        <v>4.0386686078890524E-2</v>
      </c>
      <c r="BP4" s="119">
        <f ca="1">(Dashboard!$C$7*'Equity and Bond Returns'!CB4)+(Dashboard!$C$8*'Equity and Bond Returns'!FZ4)</f>
        <v>-3.9668188574207362E-2</v>
      </c>
      <c r="BQ4" s="119">
        <f ca="1">(Dashboard!$C$7*'Equity and Bond Returns'!CC4)+(Dashboard!$C$8*'Equity and Bond Returns'!GA4)</f>
        <v>-5.4653628426625037E-2</v>
      </c>
      <c r="BR4" s="119">
        <f ca="1">(Dashboard!$C$7*'Equity and Bond Returns'!CD4)+(Dashboard!$C$8*'Equity and Bond Returns'!GB4)</f>
        <v>0.31011906181132093</v>
      </c>
      <c r="BS4" s="119">
        <f ca="1">(Dashboard!$C$7*'Equity and Bond Returns'!CE4)+(Dashboard!$C$8*'Equity and Bond Returns'!GC4)</f>
        <v>0.21376779864294881</v>
      </c>
      <c r="BT4" s="119">
        <f ca="1">(Dashboard!$C$7*'Equity and Bond Returns'!CF4)+(Dashboard!$C$8*'Equity and Bond Returns'!GD4)</f>
        <v>2.2462497326347176E-2</v>
      </c>
      <c r="BU4" s="119">
        <f ca="1">(Dashboard!$C$7*'Equity and Bond Returns'!CG4)+(Dashboard!$C$8*'Equity and Bond Returns'!GE4)</f>
        <v>4.954392091869364E-2</v>
      </c>
      <c r="BV4" s="119">
        <f ca="1">(Dashboard!$C$7*'Equity and Bond Returns'!CH4)+(Dashboard!$C$8*'Equity and Bond Returns'!GF4)</f>
        <v>0.10124973192846431</v>
      </c>
      <c r="BW4" s="119">
        <f ca="1">(Dashboard!$C$7*'Equity and Bond Returns'!CI4)+(Dashboard!$C$8*'Equity and Bond Returns'!GG4)</f>
        <v>-0.12989559690755387</v>
      </c>
      <c r="BX4" s="119">
        <f ca="1">(Dashboard!$C$7*'Equity and Bond Returns'!CJ4)+(Dashboard!$C$8*'Equity and Bond Returns'!GH4)</f>
        <v>-0.17668464471567707</v>
      </c>
      <c r="BY4" s="119">
        <f ca="1">(Dashboard!$C$7*'Equity and Bond Returns'!CK4)+(Dashboard!$C$8*'Equity and Bond Returns'!GI4)</f>
        <v>-2.3603372540210981E-2</v>
      </c>
      <c r="BZ4" s="119">
        <f ca="1">(Dashboard!$C$7*'Equity and Bond Returns'!CL4)+(Dashboard!$C$8*'Equity and Bond Returns'!GJ4)</f>
        <v>0.19221148641866265</v>
      </c>
      <c r="CA4" s="119">
        <f ca="1">(Dashboard!$C$7*'Equity and Bond Returns'!CM4)+(Dashboard!$C$8*'Equity and Bond Returns'!GK4)</f>
        <v>2.3107643639425343E-2</v>
      </c>
      <c r="CB4" s="119">
        <f ca="1">(Dashboard!$C$7*'Equity and Bond Returns'!CN4)+(Dashboard!$C$8*'Equity and Bond Returns'!GL4)</f>
        <v>0.11004796441423917</v>
      </c>
      <c r="CC4" s="119">
        <f ca="1">(Dashboard!$C$7*'Equity and Bond Returns'!CO4)+(Dashboard!$C$8*'Equity and Bond Returns'!GM4)</f>
        <v>0.23197291269214157</v>
      </c>
      <c r="CD4" s="119">
        <f ca="1">(Dashboard!$C$7*'Equity and Bond Returns'!CP4)+(Dashboard!$C$8*'Equity and Bond Returns'!GN4)</f>
        <v>0.22117034781702094</v>
      </c>
      <c r="CE4" s="119">
        <f ca="1">(Dashboard!$C$7*'Equity and Bond Returns'!CQ4)+(Dashboard!$C$8*'Equity and Bond Returns'!GO4)</f>
        <v>7.4153813231696161E-2</v>
      </c>
      <c r="CF4" s="119">
        <f ca="1">(Dashboard!$C$7*'Equity and Bond Returns'!CR4)+(Dashboard!$C$8*'Equity and Bond Returns'!GP4)</f>
        <v>0.21850093694299025</v>
      </c>
      <c r="CG4" s="119">
        <f ca="1">(Dashboard!$C$7*'Equity and Bond Returns'!CS4)+(Dashboard!$C$8*'Equity and Bond Returns'!GQ4)</f>
        <v>0.28200134859748754</v>
      </c>
      <c r="CH4" s="119">
        <f ca="1">(Dashboard!$C$7*'Equity and Bond Returns'!CT4)+(Dashboard!$C$8*'Equity and Bond Returns'!GR4)</f>
        <v>0.13402089815466656</v>
      </c>
      <c r="CI4" s="119">
        <f ca="1">(Dashboard!$C$7*'Equity and Bond Returns'!CU4)+(Dashboard!$C$8*'Equity and Bond Returns'!GS4)</f>
        <v>6.0726645392095449E-2</v>
      </c>
      <c r="CJ4" s="119">
        <f ca="1">(Dashboard!$C$7*'Equity and Bond Returns'!CV4)+(Dashboard!$C$8*'Equity and Bond Returns'!GT4)</f>
        <v>0.23180123189532828</v>
      </c>
      <c r="CK4" s="119">
        <f ca="1">(Dashboard!$C$7*'Equity and Bond Returns'!CW4)+(Dashboard!$C$8*'Equity and Bond Returns'!GU4)</f>
        <v>-7.3880499416044493E-2</v>
      </c>
      <c r="CL4" s="119">
        <f ca="1">(Dashboard!$C$7*'Equity and Bond Returns'!CX4)+(Dashboard!$C$8*'Equity and Bond Returns'!GV4)</f>
        <v>0.19402701122017213</v>
      </c>
      <c r="CM4" s="119">
        <f ca="1">(Dashboard!$C$7*'Equity and Bond Returns'!CY4)+(Dashboard!$C$8*'Equity and Bond Returns'!GW4)</f>
        <v>0.15004611659147463</v>
      </c>
      <c r="CN4" s="119">
        <f ca="1">(Dashboard!$C$7*'Equity and Bond Returns'!CZ4)+(Dashboard!$C$8*'Equity and Bond Returns'!GX4)</f>
        <v>0.48723271641422394</v>
      </c>
      <c r="CO4" s="119">
        <f ca="1">(Dashboard!$C$7*'Equity and Bond Returns'!DA4)+(Dashboard!$C$8*'Equity and Bond Returns'!GY4)</f>
        <v>4.2279173948940901E-2</v>
      </c>
      <c r="CP4" s="119">
        <f ca="1">(Dashboard!$C$7*'Equity and Bond Returns'!DB4)+(Dashboard!$C$8*'Equity and Bond Returns'!GZ4)</f>
        <v>-0.21314094276056209</v>
      </c>
      <c r="CQ4" s="119">
        <f ca="1">(Dashboard!$C$7*'Equity and Bond Returns'!DC4)+(Dashboard!$C$8*'Equity and Bond Returns'!HA4)</f>
        <v>0.29846632564369335</v>
      </c>
      <c r="CR4" s="119">
        <f ca="1">(Dashboard!$C$7*'Equity and Bond Returns'!DD4)+(Dashboard!$C$8*'Equity and Bond Returns'!HB4)</f>
        <v>5.7802334825521537E-3</v>
      </c>
      <c r="CS4" s="119">
        <f ca="1">(Dashboard!$C$7*'Equity and Bond Returns'!DE4)+(Dashboard!$C$8*'Equity and Bond Returns'!HC4)</f>
        <v>0.18998522030752721</v>
      </c>
      <c r="CT4" s="119">
        <f ca="1">(Dashboard!$C$7*'Equity and Bond Returns'!DF4)+(Dashboard!$C$8*'Equity and Bond Returns'!HD4)</f>
        <v>0.28333291294453467</v>
      </c>
      <c r="CU4" s="119">
        <f ca="1">(Dashboard!$C$7*'Equity and Bond Returns'!DG4)+(Dashboard!$C$8*'Equity and Bond Returns'!HE4)</f>
        <v>0.16631466343349138</v>
      </c>
      <c r="CV4" s="119">
        <f ca="1">(Dashboard!$C$7*'Equity and Bond Returns'!DH4)+(Dashboard!$C$8*'Equity and Bond Returns'!HF4)</f>
        <v>-0.11327888818367066</v>
      </c>
      <c r="CW4" s="119">
        <f ca="1">(Dashboard!$C$7*'Equity and Bond Returns'!DI4)+(Dashboard!$C$8*'Equity and Bond Returns'!HG4)</f>
        <v>-1.5287849760694798E-2</v>
      </c>
      <c r="CY4" s="147">
        <f>CY3+1</f>
        <v>53</v>
      </c>
      <c r="CZ4" s="147">
        <v>3</v>
      </c>
      <c r="DA4" s="126">
        <f ca="1">MAX(DA3*(1+B4)-(Dashboard!$C$11)/(1-Dashboard!$C$17)*((1+Dashboard!$C$12)^$CZ4),0)</f>
        <v>620545.81956706988</v>
      </c>
      <c r="DB4" s="126">
        <f ca="1">MAX(DB3*(1+C4)-(Dashboard!$C$11)/(1-Dashboard!$C$17)*((1+Dashboard!$C$12)^$CZ4),0)</f>
        <v>732890.00218539475</v>
      </c>
      <c r="DC4" s="126">
        <f ca="1">MAX(DC3*(1+D4)-(Dashboard!$C$11)/(1-Dashboard!$C$17)*((1+Dashboard!$C$12)^$CZ4),0)</f>
        <v>531199.18627986894</v>
      </c>
      <c r="DD4" s="126">
        <f ca="1">MAX(DD3*(1+E4)-(Dashboard!$C$11)/(1-Dashboard!$C$17)*((1+Dashboard!$C$12)^$CZ4),0)</f>
        <v>673525.9282364056</v>
      </c>
      <c r="DE4" s="126">
        <f ca="1">MAX(DE3*(1+F4)-(Dashboard!$C$11)/(1-Dashboard!$C$17)*((1+Dashboard!$C$12)^$CZ4),0)</f>
        <v>842558.54645847098</v>
      </c>
      <c r="DF4" s="126">
        <f ca="1">MAX(DF3*(1+G4)-(Dashboard!$C$11)/(1-Dashboard!$C$17)*((1+Dashboard!$C$12)^$CZ4),0)</f>
        <v>788164.47863437992</v>
      </c>
      <c r="DG4" s="126">
        <f ca="1">MAX(DG3*(1+H4)-(Dashboard!$C$11)/(1-Dashboard!$C$17)*((1+Dashboard!$C$12)^$CZ4),0)</f>
        <v>572926.14292746375</v>
      </c>
      <c r="DH4" s="126">
        <f ca="1">MAX(DH3*(1+I4)-(Dashboard!$C$11)/(1-Dashboard!$C$17)*((1+Dashboard!$C$12)^$CZ4),0)</f>
        <v>707428.06395475485</v>
      </c>
      <c r="DI4" s="126">
        <f ca="1">MAX(DI3*(1+J4)-(Dashboard!$C$11)/(1-Dashboard!$C$17)*((1+Dashboard!$C$12)^$CZ4),0)</f>
        <v>656930.11630478711</v>
      </c>
      <c r="DJ4" s="126">
        <f ca="1">MAX(DJ3*(1+K4)-(Dashboard!$C$11)/(1-Dashboard!$C$17)*((1+Dashboard!$C$12)^$CZ4),0)</f>
        <v>727598.39746764128</v>
      </c>
      <c r="DK4" s="126">
        <f ca="1">MAX(DK3*(1+L4)-(Dashboard!$C$11)/(1-Dashboard!$C$17)*((1+Dashboard!$C$12)^$CZ4),0)</f>
        <v>619352.38317949069</v>
      </c>
      <c r="DL4" s="126">
        <f ca="1">MAX(DL3*(1+M4)-(Dashboard!$C$11)/(1-Dashboard!$C$17)*((1+Dashboard!$C$12)^$CZ4),0)</f>
        <v>774610.33365505864</v>
      </c>
      <c r="DM4" s="126">
        <f ca="1">MAX(DM3*(1+N4)-(Dashboard!$C$11)/(1-Dashboard!$C$17)*((1+Dashboard!$C$12)^$CZ4),0)</f>
        <v>744033.91510523728</v>
      </c>
      <c r="DN4" s="126">
        <f ca="1">MAX(DN3*(1+O4)-(Dashboard!$C$11)/(1-Dashboard!$C$17)*((1+Dashboard!$C$12)^$CZ4),0)</f>
        <v>818605.16264510201</v>
      </c>
      <c r="DO4" s="126">
        <f ca="1">MAX(DO3*(1+P4)-(Dashboard!$C$11)/(1-Dashboard!$C$17)*((1+Dashboard!$C$12)^$CZ4),0)</f>
        <v>795267.67015429493</v>
      </c>
      <c r="DP4" s="126">
        <f ca="1">MAX(DP3*(1+Q4)-(Dashboard!$C$11)/(1-Dashboard!$C$17)*((1+Dashboard!$C$12)^$CZ4),0)</f>
        <v>541848.00574183068</v>
      </c>
      <c r="DQ4" s="126">
        <f ca="1">MAX(DQ3*(1+R4)-(Dashboard!$C$11)/(1-Dashboard!$C$17)*((1+Dashboard!$C$12)^$CZ4),0)</f>
        <v>654787.53578549286</v>
      </c>
      <c r="DR4" s="126">
        <f ca="1">MAX(DR3*(1+S4)-(Dashboard!$C$11)/(1-Dashboard!$C$17)*((1+Dashboard!$C$12)^$CZ4),0)</f>
        <v>723757.14008882514</v>
      </c>
      <c r="DS4" s="126">
        <f ca="1">MAX(DS3*(1+T4)-(Dashboard!$C$11)/(1-Dashboard!$C$17)*((1+Dashboard!$C$12)^$CZ4),0)</f>
        <v>709680.2299484713</v>
      </c>
      <c r="DT4" s="126">
        <f ca="1">MAX(DT3*(1+U4)-(Dashboard!$C$11)/(1-Dashboard!$C$17)*((1+Dashboard!$C$12)^$CZ4),0)</f>
        <v>785390.08268190071</v>
      </c>
      <c r="DU4" s="126">
        <f ca="1">MAX(DU3*(1+V4)-(Dashboard!$C$11)/(1-Dashboard!$C$17)*((1+Dashboard!$C$12)^$CZ4),0)</f>
        <v>742682.32294450339</v>
      </c>
      <c r="DV4" s="126">
        <f ca="1">MAX(DV3*(1+W4)-(Dashboard!$C$11)/(1-Dashboard!$C$17)*((1+Dashboard!$C$12)^$CZ4),0)</f>
        <v>753357.71869192831</v>
      </c>
      <c r="DW4" s="126">
        <f ca="1">MAX(DW3*(1+X4)-(Dashboard!$C$11)/(1-Dashboard!$C$17)*((1+Dashboard!$C$12)^$CZ4),0)</f>
        <v>699974.86170255055</v>
      </c>
      <c r="DX4" s="126">
        <f ca="1">MAX(DX3*(1+Y4)-(Dashboard!$C$11)/(1-Dashboard!$C$17)*((1+Dashboard!$C$12)^$CZ4),0)</f>
        <v>625514.22046925756</v>
      </c>
      <c r="DY4" s="126">
        <f ca="1">MAX(DY3*(1+Z4)-(Dashboard!$C$11)/(1-Dashboard!$C$17)*((1+Dashboard!$C$12)^$CZ4),0)</f>
        <v>734751.30830398749</v>
      </c>
      <c r="DZ4" s="126">
        <f ca="1">MAX(DZ3*(1+AA4)-(Dashboard!$C$11)/(1-Dashboard!$C$17)*((1+Dashboard!$C$12)^$CZ4),0)</f>
        <v>738048.05378545914</v>
      </c>
      <c r="EA4" s="126">
        <f ca="1">MAX(EA3*(1+AB4)-(Dashboard!$C$11)/(1-Dashboard!$C$17)*((1+Dashboard!$C$12)^$CZ4),0)</f>
        <v>680115.94752575643</v>
      </c>
      <c r="EB4" s="126">
        <f ca="1">MAX(EB3*(1+AC4)-(Dashboard!$C$11)/(1-Dashboard!$C$17)*((1+Dashboard!$C$12)^$CZ4),0)</f>
        <v>626415.63795071491</v>
      </c>
      <c r="EC4" s="126">
        <f ca="1">MAX(EC3*(1+AD4)-(Dashboard!$C$11)/(1-Dashboard!$C$17)*((1+Dashboard!$C$12)^$CZ4),0)</f>
        <v>739443.8085992008</v>
      </c>
      <c r="ED4" s="126">
        <f ca="1">MAX(ED3*(1+AE4)-(Dashboard!$C$11)/(1-Dashboard!$C$17)*((1+Dashboard!$C$12)^$CZ4),0)</f>
        <v>705913.7581025199</v>
      </c>
      <c r="EE4" s="126">
        <f ca="1">MAX(EE3*(1+AF4)-(Dashboard!$C$11)/(1-Dashboard!$C$17)*((1+Dashboard!$C$12)^$CZ4),0)</f>
        <v>689536.86981582944</v>
      </c>
      <c r="EF4" s="126">
        <f ca="1">MAX(EF3*(1+AG4)-(Dashboard!$C$11)/(1-Dashboard!$C$17)*((1+Dashboard!$C$12)^$CZ4),0)</f>
        <v>655699.14425971906</v>
      </c>
      <c r="EG4" s="126">
        <f ca="1">MAX(EG3*(1+AH4)-(Dashboard!$C$11)/(1-Dashboard!$C$17)*((1+Dashboard!$C$12)^$CZ4),0)</f>
        <v>788329.81576300273</v>
      </c>
      <c r="EH4" s="126">
        <f ca="1">MAX(EH3*(1+AI4)-(Dashboard!$C$11)/(1-Dashboard!$C$17)*((1+Dashboard!$C$12)^$CZ4),0)</f>
        <v>752528.85136272456</v>
      </c>
      <c r="EI4" s="126">
        <f ca="1">MAX(EI3*(1+AJ4)-(Dashboard!$C$11)/(1-Dashboard!$C$17)*((1+Dashboard!$C$12)^$CZ4),0)</f>
        <v>720995.87369741767</v>
      </c>
      <c r="EJ4" s="126">
        <f ca="1">MAX(EJ3*(1+AK4)-(Dashboard!$C$11)/(1-Dashboard!$C$17)*((1+Dashboard!$C$12)^$CZ4),0)</f>
        <v>784642.47364872263</v>
      </c>
      <c r="EK4" s="126">
        <f ca="1">MAX(EK3*(1+AL4)-(Dashboard!$C$11)/(1-Dashboard!$C$17)*((1+Dashboard!$C$12)^$CZ4),0)</f>
        <v>789803.93778348295</v>
      </c>
      <c r="EL4" s="126">
        <f ca="1">MAX(EL3*(1+AM4)-(Dashboard!$C$11)/(1-Dashboard!$C$17)*((1+Dashboard!$C$12)^$CZ4),0)</f>
        <v>711598.07021390321</v>
      </c>
      <c r="EM4" s="126">
        <f ca="1">MAX(EM3*(1+AN4)-(Dashboard!$C$11)/(1-Dashboard!$C$17)*((1+Dashboard!$C$12)^$CZ4),0)</f>
        <v>812682.10516328213</v>
      </c>
      <c r="EN4" s="126">
        <f ca="1">MAX(EN3*(1+AO4)-(Dashboard!$C$11)/(1-Dashboard!$C$17)*((1+Dashboard!$C$12)^$CZ4),0)</f>
        <v>876844.72323334112</v>
      </c>
      <c r="EO4" s="126">
        <f ca="1">MAX(EO3*(1+AP4)-(Dashboard!$C$11)/(1-Dashboard!$C$17)*((1+Dashboard!$C$12)^$CZ4),0)</f>
        <v>730415.65382955642</v>
      </c>
      <c r="EP4" s="126">
        <f ca="1">MAX(EP3*(1+AQ4)-(Dashboard!$C$11)/(1-Dashboard!$C$17)*((1+Dashboard!$C$12)^$CZ4),0)</f>
        <v>712792.03974584281</v>
      </c>
      <c r="EQ4" s="126">
        <f ca="1">MAX(EQ3*(1+AR4)-(Dashboard!$C$11)/(1-Dashboard!$C$17)*((1+Dashboard!$C$12)^$CZ4),0)</f>
        <v>563390.47147718049</v>
      </c>
      <c r="ER4" s="126">
        <f ca="1">MAX(ER3*(1+AS4)-(Dashboard!$C$11)/(1-Dashboard!$C$17)*((1+Dashboard!$C$12)^$CZ4),0)</f>
        <v>752503.00919073413</v>
      </c>
      <c r="ES4" s="126">
        <f ca="1">MAX(ES3*(1+AT4)-(Dashboard!$C$11)/(1-Dashboard!$C$17)*((1+Dashboard!$C$12)^$CZ4),0)</f>
        <v>589885.02872544585</v>
      </c>
      <c r="ET4" s="126">
        <f ca="1">MAX(ET3*(1+AU4)-(Dashboard!$C$11)/(1-Dashboard!$C$17)*((1+Dashboard!$C$12)^$CZ4),0)</f>
        <v>719633.73279720638</v>
      </c>
      <c r="EU4" s="126">
        <f ca="1">MAX(EU3*(1+AV4)-(Dashboard!$C$11)/(1-Dashboard!$C$17)*((1+Dashboard!$C$12)^$CZ4),0)</f>
        <v>635932.7083581771</v>
      </c>
      <c r="EV4" s="126">
        <f ca="1">MAX(EV3*(1+AW4)-(Dashboard!$C$11)/(1-Dashboard!$C$17)*((1+Dashboard!$C$12)^$CZ4),0)</f>
        <v>852962.41109587252</v>
      </c>
      <c r="EW4" s="126">
        <f ca="1">MAX(EW3*(1+AX4)-(Dashboard!$C$11)/(1-Dashboard!$C$17)*((1+Dashboard!$C$12)^$CZ4),0)</f>
        <v>656818.23961451859</v>
      </c>
      <c r="EX4" s="126">
        <f ca="1">MAX(EX3*(1+AY4)-(Dashboard!$C$11)/(1-Dashboard!$C$17)*((1+Dashboard!$C$12)^$CZ4),0)</f>
        <v>588516.9802177595</v>
      </c>
      <c r="EY4" s="126">
        <f ca="1">MAX(EY3*(1+AZ4)-(Dashboard!$C$11)/(1-Dashboard!$C$17)*((1+Dashboard!$C$12)^$CZ4),0)</f>
        <v>649744.27410268062</v>
      </c>
      <c r="EZ4" s="126">
        <f ca="1">MAX(EZ3*(1+BA4)-(Dashboard!$C$11)/(1-Dashboard!$C$17)*((1+Dashboard!$C$12)^$CZ4),0)</f>
        <v>765063.99500393495</v>
      </c>
      <c r="FA4" s="126">
        <f ca="1">MAX(FA3*(1+BB4)-(Dashboard!$C$11)/(1-Dashboard!$C$17)*((1+Dashboard!$C$12)^$CZ4),0)</f>
        <v>691571.44991246099</v>
      </c>
      <c r="FB4" s="126">
        <f ca="1">MAX(FB3*(1+BC4)-(Dashboard!$C$11)/(1-Dashboard!$C$17)*((1+Dashboard!$C$12)^$CZ4),0)</f>
        <v>792234.2365733441</v>
      </c>
      <c r="FC4" s="126">
        <f ca="1">MAX(FC3*(1+BD4)-(Dashboard!$C$11)/(1-Dashboard!$C$17)*((1+Dashboard!$C$12)^$CZ4),0)</f>
        <v>850005.86887579737</v>
      </c>
      <c r="FD4" s="126">
        <f ca="1">MAX(FD3*(1+BE4)-(Dashboard!$C$11)/(1-Dashboard!$C$17)*((1+Dashboard!$C$12)^$CZ4),0)</f>
        <v>920448.17333880498</v>
      </c>
      <c r="FE4" s="126">
        <f ca="1">MAX(FE3*(1+BF4)-(Dashboard!$C$11)/(1-Dashboard!$C$17)*((1+Dashboard!$C$12)^$CZ4),0)</f>
        <v>790063.62788636517</v>
      </c>
      <c r="FF4" s="126">
        <f ca="1">MAX(FF3*(1+BG4)-(Dashboard!$C$11)/(1-Dashboard!$C$17)*((1+Dashboard!$C$12)^$CZ4),0)</f>
        <v>623199.68346593878</v>
      </c>
      <c r="FG4" s="126">
        <f ca="1">MAX(FG3*(1+BH4)-(Dashboard!$C$11)/(1-Dashboard!$C$17)*((1+Dashboard!$C$12)^$CZ4),0)</f>
        <v>756608.53656631149</v>
      </c>
      <c r="FH4" s="126">
        <f ca="1">MAX(FH3*(1+BI4)-(Dashboard!$C$11)/(1-Dashboard!$C$17)*((1+Dashboard!$C$12)^$CZ4),0)</f>
        <v>714662.15212868364</v>
      </c>
      <c r="FI4" s="126">
        <f ca="1">MAX(FI3*(1+BJ4)-(Dashboard!$C$11)/(1-Dashboard!$C$17)*((1+Dashboard!$C$12)^$CZ4),0)</f>
        <v>896337.47694641701</v>
      </c>
      <c r="FJ4" s="126">
        <f ca="1">MAX(FJ3*(1+BK4)-(Dashboard!$C$11)/(1-Dashboard!$C$17)*((1+Dashboard!$C$12)^$CZ4),0)</f>
        <v>653016.72766931029</v>
      </c>
      <c r="FK4" s="126">
        <f ca="1">MAX(FK3*(1+BL4)-(Dashboard!$C$11)/(1-Dashboard!$C$17)*((1+Dashboard!$C$12)^$CZ4),0)</f>
        <v>571906.09119374538</v>
      </c>
      <c r="FL4" s="126">
        <f ca="1">MAX(FL3*(1+BM4)-(Dashboard!$C$11)/(1-Dashboard!$C$17)*((1+Dashboard!$C$12)^$CZ4),0)</f>
        <v>777906.69434482511</v>
      </c>
      <c r="FM4" s="126">
        <f ca="1">MAX(FM3*(1+BN4)-(Dashboard!$C$11)/(1-Dashboard!$C$17)*((1+Dashboard!$C$12)^$CZ4),0)</f>
        <v>566666.56727844395</v>
      </c>
      <c r="FN4" s="126">
        <f ca="1">MAX(FN3*(1+BO4)-(Dashboard!$C$11)/(1-Dashboard!$C$17)*((1+Dashboard!$C$12)^$CZ4),0)</f>
        <v>667966.69400638458</v>
      </c>
      <c r="FO4" s="126">
        <f ca="1">MAX(FO3*(1+BP4)-(Dashboard!$C$11)/(1-Dashboard!$C$17)*((1+Dashboard!$C$12)^$CZ4),0)</f>
        <v>614834.30872313108</v>
      </c>
      <c r="FP4" s="126">
        <f ca="1">MAX(FP3*(1+BQ4)-(Dashboard!$C$11)/(1-Dashboard!$C$17)*((1+Dashboard!$C$12)^$CZ4),0)</f>
        <v>604888.47884921136</v>
      </c>
      <c r="FQ4" s="126">
        <f ca="1">MAX(FQ3*(1+BR4)-(Dashboard!$C$11)/(1-Dashboard!$C$17)*((1+Dashboard!$C$12)^$CZ4),0)</f>
        <v>846987.95377208421</v>
      </c>
      <c r="FR4" s="126">
        <f ca="1">MAX(FR3*(1+BS4)-(Dashboard!$C$11)/(1-Dashboard!$C$17)*((1+Dashboard!$C$12)^$CZ4),0)</f>
        <v>783039.66256091325</v>
      </c>
      <c r="FS4" s="126">
        <f ca="1">MAX(FS3*(1+BT4)-(Dashboard!$C$11)/(1-Dashboard!$C$17)*((1+Dashboard!$C$12)^$CZ4),0)</f>
        <v>656070.4177731541</v>
      </c>
      <c r="FT4" s="126">
        <f ca="1">MAX(FT3*(1+BU4)-(Dashboard!$C$11)/(1-Dashboard!$C$17)*((1+Dashboard!$C$12)^$CZ4),0)</f>
        <v>674044.34676327161</v>
      </c>
      <c r="FU4" s="126">
        <f ca="1">MAX(FU3*(1+BV4)-(Dashboard!$C$11)/(1-Dashboard!$C$17)*((1+Dashboard!$C$12)^$CZ4),0)</f>
        <v>708361.47090916394</v>
      </c>
      <c r="FV4" s="126">
        <f ca="1">MAX(FV3*(1+BW4)-(Dashboard!$C$11)/(1-Dashboard!$C$17)*((1+Dashboard!$C$12)^$CZ4),0)</f>
        <v>554950.41728678008</v>
      </c>
      <c r="FW4" s="126">
        <f ca="1">MAX(FW3*(1+BX4)-(Dashboard!$C$11)/(1-Dashboard!$C$17)*((1+Dashboard!$C$12)^$CZ4),0)</f>
        <v>523896.54672673717</v>
      </c>
      <c r="FX4" s="126">
        <f ca="1">MAX(FX3*(1+BY4)-(Dashboard!$C$11)/(1-Dashboard!$C$17)*((1+Dashboard!$C$12)^$CZ4),0)</f>
        <v>625496.52009653742</v>
      </c>
      <c r="FY4" s="126">
        <f ca="1">MAX(FY3*(1+BZ4)-(Dashboard!$C$11)/(1-Dashboard!$C$17)*((1+Dashboard!$C$12)^$CZ4),0)</f>
        <v>768732.74756854109</v>
      </c>
      <c r="FZ4" s="126">
        <f ca="1">MAX(FZ3*(1+CA4)-(Dashboard!$C$11)/(1-Dashboard!$C$17)*((1+Dashboard!$C$12)^$CZ4),0)</f>
        <v>656498.60109889251</v>
      </c>
      <c r="GA4" s="126">
        <f ca="1">MAX(GA3*(1+CB4)-(Dashboard!$C$11)/(1-Dashboard!$C$17)*((1+Dashboard!$C$12)^$CZ4),0)</f>
        <v>714200.85396074608</v>
      </c>
      <c r="GB4" s="126">
        <f ca="1">MAX(GB3*(1+CC4)-(Dashboard!$C$11)/(1-Dashboard!$C$17)*((1+Dashboard!$C$12)^$CZ4),0)</f>
        <v>795122.38879062503</v>
      </c>
      <c r="GC4" s="126">
        <f ca="1">MAX(GC3*(1+CD4)-(Dashboard!$C$11)/(1-Dashboard!$C$17)*((1+Dashboard!$C$12)^$CZ4),0)</f>
        <v>787952.73120912956</v>
      </c>
      <c r="GD4" s="126">
        <f ca="1">MAX(GD3*(1+CE4)-(Dashboard!$C$11)/(1-Dashboard!$C$17)*((1+Dashboard!$C$12)^$CZ4),0)</f>
        <v>690377.92152458336</v>
      </c>
      <c r="GE4" s="126">
        <f ca="1">MAX(GE3*(1+CF4)-(Dashboard!$C$11)/(1-Dashboard!$C$17)*((1+Dashboard!$C$12)^$CZ4),0)</f>
        <v>786181.04437990265</v>
      </c>
      <c r="GF4" s="126">
        <f ca="1">MAX(GF3*(1+CG4)-(Dashboard!$C$11)/(1-Dashboard!$C$17)*((1+Dashboard!$C$12)^$CZ4),0)</f>
        <v>828326.23981356248</v>
      </c>
      <c r="GG4" s="126">
        <f ca="1">MAX(GG3*(1+CH4)-(Dashboard!$C$11)/(1-Dashboard!$C$17)*((1+Dashboard!$C$12)^$CZ4),0)</f>
        <v>730111.67959610932</v>
      </c>
      <c r="GH4" s="126">
        <f ca="1">MAX(GH3*(1+CI4)-(Dashboard!$C$11)/(1-Dashboard!$C$17)*((1+Dashboard!$C$12)^$CZ4),0)</f>
        <v>681466.31610382628</v>
      </c>
      <c r="GI4" s="126">
        <f ca="1">MAX(GI3*(1+CJ4)-(Dashboard!$C$11)/(1-Dashboard!$C$17)*((1+Dashboard!$C$12)^$CZ4),0)</f>
        <v>795008.44432089035</v>
      </c>
      <c r="GJ4" s="126">
        <f ca="1">MAX(GJ3*(1+CK4)-(Dashboard!$C$11)/(1-Dashboard!$C$17)*((1+Dashboard!$C$12)^$CZ4),0)</f>
        <v>592127.61298528977</v>
      </c>
      <c r="GK4" s="126">
        <f ca="1">MAX(GK3*(1+CL4)-(Dashboard!$C$11)/(1-Dashboard!$C$17)*((1+Dashboard!$C$12)^$CZ4),0)</f>
        <v>769937.71058501082</v>
      </c>
      <c r="GL4" s="126">
        <f ca="1">MAX(GL3*(1+CM4)-(Dashboard!$C$11)/(1-Dashboard!$C$17)*((1+Dashboard!$C$12)^$CZ4),0)</f>
        <v>740747.61006158567</v>
      </c>
      <c r="GM4" s="126">
        <f ca="1">MAX(GM3*(1+CN4)-(Dashboard!$C$11)/(1-Dashboard!$C$17)*((1+Dashboard!$C$12)^$CZ4),0)</f>
        <v>964538.20884480712</v>
      </c>
      <c r="GN4" s="126">
        <f ca="1">MAX(GN3*(1+CO4)-(Dashboard!$C$11)/(1-Dashboard!$C$17)*((1+Dashboard!$C$12)^$CZ4),0)</f>
        <v>669222.7373777735</v>
      </c>
      <c r="GO4" s="126">
        <f ca="1">MAX(GO3*(1+CP4)-(Dashboard!$C$11)/(1-Dashboard!$C$17)*((1+Dashboard!$C$12)^$CZ4),0)</f>
        <v>499700.5176639774</v>
      </c>
      <c r="GP4" s="126">
        <f ca="1">MAX(GP3*(1+CQ4)-(Dashboard!$C$11)/(1-Dashboard!$C$17)*((1+Dashboard!$C$12)^$CZ4),0)</f>
        <v>839254.03787570167</v>
      </c>
      <c r="GQ4" s="126">
        <f ca="1">MAX(GQ3*(1+CR4)-(Dashboard!$C$11)/(1-Dashboard!$C$17)*((1+Dashboard!$C$12)^$CZ4),0)</f>
        <v>644998.4065585176</v>
      </c>
      <c r="GR4" s="126">
        <f ca="1">MAX(GR3*(1+CS4)-(Dashboard!$C$11)/(1-Dashboard!$C$17)*((1+Dashboard!$C$12)^$CZ4),0)</f>
        <v>767255.17572457192</v>
      </c>
      <c r="GS4" s="126">
        <f ca="1">MAX(GS3*(1+CT4)-(Dashboard!$C$11)/(1-Dashboard!$C$17)*((1+Dashboard!$C$12)^$CZ4),0)</f>
        <v>829209.99848813831</v>
      </c>
      <c r="GT4" s="126">
        <f ca="1">MAX(GT3*(1+CU4)-(Dashboard!$C$11)/(1-Dashboard!$C$17)*((1+Dashboard!$C$12)^$CZ4),0)</f>
        <v>751545.03748314292</v>
      </c>
      <c r="GU4" s="126">
        <f ca="1">MAX(GU3*(1+CV4)-(Dashboard!$C$11)/(1-Dashboard!$C$17)*((1+Dashboard!$C$12)^$CZ4),0)</f>
        <v>565978.91959701141</v>
      </c>
      <c r="GV4" s="126">
        <f ca="1">MAX(GV3*(1+CW4)-(Dashboard!$C$11)/(1-Dashboard!$C$17)*((1+Dashboard!$C$12)^$CZ4),0)</f>
        <v>631015.52892726113</v>
      </c>
      <c r="GW4" s="115">
        <f t="shared" ref="GW4:GW51" si="4">GW3+1</f>
        <v>53</v>
      </c>
      <c r="GX4" s="130">
        <f t="shared" ca="1" si="2"/>
        <v>100</v>
      </c>
      <c r="HC4" s="130">
        <f t="shared" si="0"/>
        <v>53</v>
      </c>
      <c r="HD4" s="137">
        <f t="shared" ca="1" si="1"/>
        <v>646184.87344455835</v>
      </c>
      <c r="HE4" s="137">
        <f t="shared" ca="1" si="1"/>
        <v>714431.50304471492</v>
      </c>
      <c r="HF4" s="137">
        <f t="shared" ca="1" si="1"/>
        <v>781756.42050689121</v>
      </c>
    </row>
    <row r="5" spans="1:214" ht="16">
      <c r="A5" s="145">
        <f t="shared" si="3"/>
        <v>54</v>
      </c>
      <c r="B5" s="119">
        <f ca="1">(Dashboard!$C$7*'Equity and Bond Returns'!N5)+(Dashboard!$C$8*'Equity and Bond Returns'!DL5)</f>
        <v>6.9614741321098184E-2</v>
      </c>
      <c r="C5" s="119">
        <f ca="1">(Dashboard!$C$7*'Equity and Bond Returns'!O5)+(Dashboard!$C$8*'Equity and Bond Returns'!DM5)</f>
        <v>5.4468180024644819E-2</v>
      </c>
      <c r="D5" s="119">
        <f ca="1">(Dashboard!$C$7*'Equity and Bond Returns'!P5)+(Dashboard!$C$8*'Equity and Bond Returns'!DN5)</f>
        <v>9.3597584172457976E-2</v>
      </c>
      <c r="E5" s="119">
        <f ca="1">(Dashboard!$C$7*'Equity and Bond Returns'!Q5)+(Dashboard!$C$8*'Equity and Bond Returns'!DO5)</f>
        <v>0.14605548542665447</v>
      </c>
      <c r="F5" s="119">
        <f ca="1">(Dashboard!$C$7*'Equity and Bond Returns'!R5)+(Dashboard!$C$8*'Equity and Bond Returns'!DP5)</f>
        <v>7.697367730247226E-2</v>
      </c>
      <c r="G5" s="119">
        <f ca="1">(Dashboard!$C$7*'Equity and Bond Returns'!S5)+(Dashboard!$C$8*'Equity and Bond Returns'!DQ5)</f>
        <v>0.24001078895534489</v>
      </c>
      <c r="H5" s="119">
        <f ca="1">(Dashboard!$C$7*'Equity and Bond Returns'!T5)+(Dashboard!$C$8*'Equity and Bond Returns'!DR5)</f>
        <v>4.7627199751330666E-2</v>
      </c>
      <c r="I5" s="119">
        <f ca="1">(Dashboard!$C$7*'Equity and Bond Returns'!U5)+(Dashboard!$C$8*'Equity and Bond Returns'!DS5)</f>
        <v>0.37810486869930676</v>
      </c>
      <c r="J5" s="119">
        <f ca="1">(Dashboard!$C$7*'Equity and Bond Returns'!V5)+(Dashboard!$C$8*'Equity and Bond Returns'!DT5)</f>
        <v>3.1613008894230174E-2</v>
      </c>
      <c r="K5" s="119">
        <f ca="1">(Dashboard!$C$7*'Equity and Bond Returns'!W5)+(Dashboard!$C$8*'Equity and Bond Returns'!DU5)</f>
        <v>0.23619005331514853</v>
      </c>
      <c r="L5" s="119">
        <f ca="1">(Dashboard!$C$7*'Equity and Bond Returns'!X5)+(Dashboard!$C$8*'Equity and Bond Returns'!DV5)</f>
        <v>-1.0417472178647821E-2</v>
      </c>
      <c r="M5" s="119">
        <f ca="1">(Dashboard!$C$7*'Equity and Bond Returns'!Y5)+(Dashboard!$C$8*'Equity and Bond Returns'!DW5)</f>
        <v>0.34876427624498507</v>
      </c>
      <c r="N5" s="119">
        <f ca="1">(Dashboard!$C$7*'Equity and Bond Returns'!Z5)+(Dashboard!$C$8*'Equity and Bond Returns'!DX5)</f>
        <v>9.3645211962055039E-4</v>
      </c>
      <c r="O5" s="119">
        <f ca="1">(Dashboard!$C$7*'Equity and Bond Returns'!AA5)+(Dashboard!$C$8*'Equity and Bond Returns'!DY5)</f>
        <v>0.18001138039503117</v>
      </c>
      <c r="P5" s="119">
        <f ca="1">(Dashboard!$C$7*'Equity and Bond Returns'!AB5)+(Dashboard!$C$8*'Equity and Bond Returns'!DZ5)</f>
        <v>0.13697794922770104</v>
      </c>
      <c r="Q5" s="119">
        <f ca="1">(Dashboard!$C$7*'Equity and Bond Returns'!AC5)+(Dashboard!$C$8*'Equity and Bond Returns'!EA5)</f>
        <v>0.10273962954442108</v>
      </c>
      <c r="R5" s="119">
        <f ca="1">(Dashboard!$C$7*'Equity and Bond Returns'!AD5)+(Dashboard!$C$8*'Equity and Bond Returns'!EB5)</f>
        <v>0.11819886233460372</v>
      </c>
      <c r="S5" s="119">
        <f ca="1">(Dashboard!$C$7*'Equity and Bond Returns'!AE5)+(Dashboard!$C$8*'Equity and Bond Returns'!EC5)</f>
        <v>8.9186579251278528E-2</v>
      </c>
      <c r="T5" s="119">
        <f ca="1">(Dashboard!$C$7*'Equity and Bond Returns'!AF5)+(Dashboard!$C$8*'Equity and Bond Returns'!ED5)</f>
        <v>0.21669629252098283</v>
      </c>
      <c r="U5" s="119">
        <f ca="1">(Dashboard!$C$7*'Equity and Bond Returns'!AG5)+(Dashboard!$C$8*'Equity and Bond Returns'!EE5)</f>
        <v>8.379372504327473E-2</v>
      </c>
      <c r="V5" s="119">
        <f ca="1">(Dashboard!$C$7*'Equity and Bond Returns'!AH5)+(Dashboard!$C$8*'Equity and Bond Returns'!EF5)</f>
        <v>-5.2575988578654337E-3</v>
      </c>
      <c r="W5" s="119">
        <f ca="1">(Dashboard!$C$7*'Equity and Bond Returns'!AI5)+(Dashboard!$C$8*'Equity and Bond Returns'!EG5)</f>
        <v>4.8367654622356947E-2</v>
      </c>
      <c r="X5" s="119">
        <f ca="1">(Dashboard!$C$7*'Equity and Bond Returns'!AJ5)+(Dashboard!$C$8*'Equity and Bond Returns'!EH5)</f>
        <v>0.1243469247384531</v>
      </c>
      <c r="Y5" s="119">
        <f ca="1">(Dashboard!$C$7*'Equity and Bond Returns'!AK5)+(Dashboard!$C$8*'Equity and Bond Returns'!EI5)</f>
        <v>0.11166530088374446</v>
      </c>
      <c r="Z5" s="119">
        <f ca="1">(Dashboard!$C$7*'Equity and Bond Returns'!AL5)+(Dashboard!$C$8*'Equity and Bond Returns'!EJ5)</f>
        <v>0.24194710400500505</v>
      </c>
      <c r="AA5" s="119">
        <f ca="1">(Dashboard!$C$7*'Equity and Bond Returns'!AM5)+(Dashboard!$C$8*'Equity and Bond Returns'!EK5)</f>
        <v>-8.1661881751516716E-2</v>
      </c>
      <c r="AB5" s="119">
        <f ca="1">(Dashboard!$C$7*'Equity and Bond Returns'!AN5)+(Dashboard!$C$8*'Equity and Bond Returns'!EL5)</f>
        <v>-4.9647696457786335E-2</v>
      </c>
      <c r="AC5" s="119">
        <f ca="1">(Dashboard!$C$7*'Equity and Bond Returns'!AO5)+(Dashboard!$C$8*'Equity and Bond Returns'!EM5)</f>
        <v>0.1417248044166847</v>
      </c>
      <c r="AD5" s="119">
        <f ca="1">(Dashboard!$C$7*'Equity and Bond Returns'!AP5)+(Dashboard!$C$8*'Equity and Bond Returns'!EN5)</f>
        <v>0.14088547202754112</v>
      </c>
      <c r="AE5" s="119">
        <f ca="1">(Dashboard!$C$7*'Equity and Bond Returns'!AQ5)+(Dashboard!$C$8*'Equity and Bond Returns'!EO5)</f>
        <v>0.18137154828166707</v>
      </c>
      <c r="AF5" s="119">
        <f ca="1">(Dashboard!$C$7*'Equity and Bond Returns'!AR5)+(Dashboard!$C$8*'Equity and Bond Returns'!EP5)</f>
        <v>6.0732789034511292E-2</v>
      </c>
      <c r="AG5" s="119">
        <f ca="1">(Dashboard!$C$7*'Equity and Bond Returns'!AS5)+(Dashboard!$C$8*'Equity and Bond Returns'!EQ5)</f>
        <v>0.31972332998515807</v>
      </c>
      <c r="AH5" s="119">
        <f ca="1">(Dashboard!$C$7*'Equity and Bond Returns'!AT5)+(Dashboard!$C$8*'Equity and Bond Returns'!ER5)</f>
        <v>6.4987760265295458E-2</v>
      </c>
      <c r="AI5" s="119">
        <f ca="1">(Dashboard!$C$7*'Equity and Bond Returns'!AU5)+(Dashboard!$C$8*'Equity and Bond Returns'!ES5)</f>
        <v>-3.986187622079114E-2</v>
      </c>
      <c r="AJ5" s="119">
        <f ca="1">(Dashboard!$C$7*'Equity and Bond Returns'!AV5)+(Dashboard!$C$8*'Equity and Bond Returns'!ET5)</f>
        <v>-0.21091083757587448</v>
      </c>
      <c r="AK5" s="119">
        <f ca="1">(Dashboard!$C$7*'Equity and Bond Returns'!AW5)+(Dashboard!$C$8*'Equity and Bond Returns'!EU5)</f>
        <v>0.36053112632743228</v>
      </c>
      <c r="AL5" s="119">
        <f ca="1">(Dashboard!$C$7*'Equity and Bond Returns'!AX5)+(Dashboard!$C$8*'Equity and Bond Returns'!EV5)</f>
        <v>6.1166577420068147E-2</v>
      </c>
      <c r="AM5" s="119">
        <f ca="1">(Dashboard!$C$7*'Equity and Bond Returns'!AY5)+(Dashboard!$C$8*'Equity and Bond Returns'!EW5)</f>
        <v>-7.6363302675947452E-3</v>
      </c>
      <c r="AN5" s="119">
        <f ca="1">(Dashboard!$C$7*'Equity and Bond Returns'!AZ5)+(Dashboard!$C$8*'Equity and Bond Returns'!EX5)</f>
        <v>1.2266102846811268E-2</v>
      </c>
      <c r="AO5" s="119">
        <f ca="1">(Dashboard!$C$7*'Equity and Bond Returns'!BA5)+(Dashboard!$C$8*'Equity and Bond Returns'!EY5)</f>
        <v>8.0075931771133022E-2</v>
      </c>
      <c r="AP5" s="119">
        <f ca="1">(Dashboard!$C$7*'Equity and Bond Returns'!BB5)+(Dashboard!$C$8*'Equity and Bond Returns'!EZ5)</f>
        <v>9.8694477856290513E-2</v>
      </c>
      <c r="AQ5" s="119">
        <f ca="1">(Dashboard!$C$7*'Equity and Bond Returns'!BC5)+(Dashboard!$C$8*'Equity and Bond Returns'!FA5)</f>
        <v>0.27777295288926623</v>
      </c>
      <c r="AR5" s="119">
        <f ca="1">(Dashboard!$C$7*'Equity and Bond Returns'!BD5)+(Dashboard!$C$8*'Equity and Bond Returns'!FB5)</f>
        <v>0.1507012361652505</v>
      </c>
      <c r="AS5" s="119">
        <f ca="1">(Dashboard!$C$7*'Equity and Bond Returns'!BE5)+(Dashboard!$C$8*'Equity and Bond Returns'!FC5)</f>
        <v>-4.88178583495473E-3</v>
      </c>
      <c r="AT5" s="119">
        <f ca="1">(Dashboard!$C$7*'Equity and Bond Returns'!BF5)+(Dashboard!$C$8*'Equity and Bond Returns'!FD5)</f>
        <v>1.0847162906898909E-2</v>
      </c>
      <c r="AU5" s="119">
        <f ca="1">(Dashboard!$C$7*'Equity and Bond Returns'!BG5)+(Dashboard!$C$8*'Equity and Bond Returns'!FE5)</f>
        <v>3.5282058516602748E-3</v>
      </c>
      <c r="AV5" s="119">
        <f ca="1">(Dashboard!$C$7*'Equity and Bond Returns'!BH5)+(Dashboard!$C$8*'Equity and Bond Returns'!FF5)</f>
        <v>0.31399104837307668</v>
      </c>
      <c r="AW5" s="119">
        <f ca="1">(Dashboard!$C$7*'Equity and Bond Returns'!BI5)+(Dashboard!$C$8*'Equity and Bond Returns'!FG5)</f>
        <v>1.8267254331101455E-2</v>
      </c>
      <c r="AX5" s="119">
        <f ca="1">(Dashboard!$C$7*'Equity and Bond Returns'!BJ5)+(Dashboard!$C$8*'Equity and Bond Returns'!FH5)</f>
        <v>0.44694545180411155</v>
      </c>
      <c r="AY5" s="119">
        <f ca="1">(Dashboard!$C$7*'Equity and Bond Returns'!BK5)+(Dashboard!$C$8*'Equity and Bond Returns'!FI5)</f>
        <v>0.12959730396381294</v>
      </c>
      <c r="AZ5" s="119">
        <f ca="1">(Dashboard!$C$7*'Equity and Bond Returns'!BL5)+(Dashboard!$C$8*'Equity and Bond Returns'!FJ5)</f>
        <v>0.12563271909218637</v>
      </c>
      <c r="BA5" s="119">
        <f ca="1">(Dashboard!$C$7*'Equity and Bond Returns'!BM5)+(Dashboard!$C$8*'Equity and Bond Returns'!FK5)</f>
        <v>5.611766728374664E-2</v>
      </c>
      <c r="BB5" s="119">
        <f ca="1">(Dashboard!$C$7*'Equity and Bond Returns'!BN5)+(Dashboard!$C$8*'Equity and Bond Returns'!FL5)</f>
        <v>4.021444280373393E-2</v>
      </c>
      <c r="BC5" s="119">
        <f ca="1">(Dashboard!$C$7*'Equity and Bond Returns'!BO5)+(Dashboard!$C$8*'Equity and Bond Returns'!FM5)</f>
        <v>0.29909999219959027</v>
      </c>
      <c r="BD5" s="119">
        <f ca="1">(Dashboard!$C$7*'Equity and Bond Returns'!BP5)+(Dashboard!$C$8*'Equity and Bond Returns'!FN5)</f>
        <v>6.4724693742947998E-3</v>
      </c>
      <c r="BE5" s="119">
        <f ca="1">(Dashboard!$C$7*'Equity and Bond Returns'!BQ5)+(Dashboard!$C$8*'Equity and Bond Returns'!FO5)</f>
        <v>0.25240640218748894</v>
      </c>
      <c r="BF5" s="119">
        <f ca="1">(Dashboard!$C$7*'Equity and Bond Returns'!BR5)+(Dashboard!$C$8*'Equity and Bond Returns'!FP5)</f>
        <v>0.24895506785178653</v>
      </c>
      <c r="BG5" s="119">
        <f ca="1">(Dashboard!$C$7*'Equity and Bond Returns'!BS5)+(Dashboard!$C$8*'Equity and Bond Returns'!FQ5)</f>
        <v>0.10481837845531368</v>
      </c>
      <c r="BH5" s="119">
        <f ca="1">(Dashboard!$C$7*'Equity and Bond Returns'!BT5)+(Dashboard!$C$8*'Equity and Bond Returns'!FR5)</f>
        <v>0.16426831074130274</v>
      </c>
      <c r="BI5" s="119">
        <f ca="1">(Dashboard!$C$7*'Equity and Bond Returns'!BU5)+(Dashboard!$C$8*'Equity and Bond Returns'!FS5)</f>
        <v>-1.4982684360217588E-2</v>
      </c>
      <c r="BJ5" s="119">
        <f ca="1">(Dashboard!$C$7*'Equity and Bond Returns'!BV5)+(Dashboard!$C$8*'Equity and Bond Returns'!FT5)</f>
        <v>-5.6760648825945038E-2</v>
      </c>
      <c r="BK5" s="119">
        <f ca="1">(Dashboard!$C$7*'Equity and Bond Returns'!BW5)+(Dashboard!$C$8*'Equity and Bond Returns'!FU5)</f>
        <v>0.23032718003624733</v>
      </c>
      <c r="BL5" s="119">
        <f ca="1">(Dashboard!$C$7*'Equity and Bond Returns'!BX5)+(Dashboard!$C$8*'Equity and Bond Returns'!FV5)</f>
        <v>0.43484686343949053</v>
      </c>
      <c r="BM5" s="119">
        <f ca="1">(Dashboard!$C$7*'Equity and Bond Returns'!BY5)+(Dashboard!$C$8*'Equity and Bond Returns'!FW5)</f>
        <v>6.3396856510519656E-2</v>
      </c>
      <c r="BN5" s="119">
        <f ca="1">(Dashboard!$C$7*'Equity and Bond Returns'!BZ5)+(Dashboard!$C$8*'Equity and Bond Returns'!FX5)</f>
        <v>0.12489827592638511</v>
      </c>
      <c r="BO5" s="119">
        <f ca="1">(Dashboard!$C$7*'Equity and Bond Returns'!CA5)+(Dashboard!$C$8*'Equity and Bond Returns'!FY5)</f>
        <v>-0.16354583016470436</v>
      </c>
      <c r="BP5" s="119">
        <f ca="1">(Dashboard!$C$7*'Equity and Bond Returns'!CB5)+(Dashboard!$C$8*'Equity and Bond Returns'!FZ5)</f>
        <v>0.242483858509251</v>
      </c>
      <c r="BQ5" s="119">
        <f ca="1">(Dashboard!$C$7*'Equity and Bond Returns'!CC5)+(Dashboard!$C$8*'Equity and Bond Returns'!GA5)</f>
        <v>5.8127880080643235E-2</v>
      </c>
      <c r="BR5" s="119">
        <f ca="1">(Dashboard!$C$7*'Equity and Bond Returns'!CD5)+(Dashboard!$C$8*'Equity and Bond Returns'!GB5)</f>
        <v>0.37186473927805674</v>
      </c>
      <c r="BS5" s="119">
        <f ca="1">(Dashboard!$C$7*'Equity and Bond Returns'!CE5)+(Dashboard!$C$8*'Equity and Bond Returns'!GC5)</f>
        <v>0.42104697770608485</v>
      </c>
      <c r="BT5" s="119">
        <f ca="1">(Dashboard!$C$7*'Equity and Bond Returns'!CF5)+(Dashboard!$C$8*'Equity and Bond Returns'!GD5)</f>
        <v>0.10898447672717473</v>
      </c>
      <c r="BU5" s="119">
        <f ca="1">(Dashboard!$C$7*'Equity and Bond Returns'!CG5)+(Dashboard!$C$8*'Equity and Bond Returns'!GE5)</f>
        <v>-0.11359600346937057</v>
      </c>
      <c r="BV5" s="119">
        <f ca="1">(Dashboard!$C$7*'Equity and Bond Returns'!CH5)+(Dashboard!$C$8*'Equity and Bond Returns'!GF5)</f>
        <v>0.38241327711215978</v>
      </c>
      <c r="BW5" s="119">
        <f ca="1">(Dashboard!$C$7*'Equity and Bond Returns'!CI5)+(Dashboard!$C$8*'Equity and Bond Returns'!GG5)</f>
        <v>-0.31274993732209005</v>
      </c>
      <c r="BX5" s="119">
        <f ca="1">(Dashboard!$C$7*'Equity and Bond Returns'!CJ5)+(Dashboard!$C$8*'Equity and Bond Returns'!GH5)</f>
        <v>0.13969850414230345</v>
      </c>
      <c r="BY5" s="119">
        <f ca="1">(Dashboard!$C$7*'Equity and Bond Returns'!CK5)+(Dashboard!$C$8*'Equity and Bond Returns'!GI5)</f>
        <v>0.21231897081895898</v>
      </c>
      <c r="BZ5" s="119">
        <f ca="1">(Dashboard!$C$7*'Equity and Bond Returns'!CL5)+(Dashboard!$C$8*'Equity and Bond Returns'!GJ5)</f>
        <v>-0.11113820805163011</v>
      </c>
      <c r="CA5" s="119">
        <f ca="1">(Dashboard!$C$7*'Equity and Bond Returns'!CM5)+(Dashboard!$C$8*'Equity and Bond Returns'!GK5)</f>
        <v>0.15747412868906055</v>
      </c>
      <c r="CB5" s="119">
        <f ca="1">(Dashboard!$C$7*'Equity and Bond Returns'!CN5)+(Dashboard!$C$8*'Equity and Bond Returns'!GL5)</f>
        <v>0.17057455360146986</v>
      </c>
      <c r="CC5" s="119">
        <f ca="1">(Dashboard!$C$7*'Equity and Bond Returns'!CO5)+(Dashboard!$C$8*'Equity and Bond Returns'!GM5)</f>
        <v>0.19273837374581906</v>
      </c>
      <c r="CD5" s="119">
        <f ca="1">(Dashboard!$C$7*'Equity and Bond Returns'!CP5)+(Dashboard!$C$8*'Equity and Bond Returns'!GN5)</f>
        <v>-2.1352381079918981E-2</v>
      </c>
      <c r="CE5" s="119">
        <f ca="1">(Dashboard!$C$7*'Equity and Bond Returns'!CQ5)+(Dashboard!$C$8*'Equity and Bond Returns'!GO5)</f>
        <v>-3.9882005561420145E-2</v>
      </c>
      <c r="CF5" s="119">
        <f ca="1">(Dashboard!$C$7*'Equity and Bond Returns'!CR5)+(Dashboard!$C$8*'Equity and Bond Returns'!GP5)</f>
        <v>4.2319554676212678E-2</v>
      </c>
      <c r="CG5" s="119">
        <f ca="1">(Dashboard!$C$7*'Equity and Bond Returns'!CS5)+(Dashboard!$C$8*'Equity and Bond Returns'!GQ5)</f>
        <v>0.3171735420767583</v>
      </c>
      <c r="CH5" s="119">
        <f ca="1">(Dashboard!$C$7*'Equity and Bond Returns'!CT5)+(Dashboard!$C$8*'Equity and Bond Returns'!GR5)</f>
        <v>-7.9454810572814588E-2</v>
      </c>
      <c r="CI5" s="119">
        <f ca="1">(Dashboard!$C$7*'Equity and Bond Returns'!CU5)+(Dashboard!$C$8*'Equity and Bond Returns'!GS5)</f>
        <v>-0.13171008373441709</v>
      </c>
      <c r="CJ5" s="119">
        <f ca="1">(Dashboard!$C$7*'Equity and Bond Returns'!CV5)+(Dashboard!$C$8*'Equity and Bond Returns'!GT5)</f>
        <v>0.12592206934225825</v>
      </c>
      <c r="CK5" s="119">
        <f ca="1">(Dashboard!$C$7*'Equity and Bond Returns'!CW5)+(Dashboard!$C$8*'Equity and Bond Returns'!GU5)</f>
        <v>0.2355658763927872</v>
      </c>
      <c r="CL5" s="119">
        <f ca="1">(Dashboard!$C$7*'Equity and Bond Returns'!CX5)+(Dashboard!$C$8*'Equity and Bond Returns'!GV5)</f>
        <v>0.36222721481468667</v>
      </c>
      <c r="CM5" s="119">
        <f ca="1">(Dashboard!$C$7*'Equity and Bond Returns'!CY5)+(Dashboard!$C$8*'Equity and Bond Returns'!GW5)</f>
        <v>0.29290038839651727</v>
      </c>
      <c r="CN5" s="119">
        <f ca="1">(Dashboard!$C$7*'Equity and Bond Returns'!CZ5)+(Dashboard!$C$8*'Equity and Bond Returns'!GX5)</f>
        <v>0.14593224523830217</v>
      </c>
      <c r="CO5" s="119">
        <f ca="1">(Dashboard!$C$7*'Equity and Bond Returns'!DA5)+(Dashboard!$C$8*'Equity and Bond Returns'!GY5)</f>
        <v>5.7442455094370778E-3</v>
      </c>
      <c r="CP5" s="119">
        <f ca="1">(Dashboard!$C$7*'Equity and Bond Returns'!DB5)+(Dashboard!$C$8*'Equity and Bond Returns'!GZ5)</f>
        <v>0.19687087025499272</v>
      </c>
      <c r="CQ5" s="119">
        <f ca="1">(Dashboard!$C$7*'Equity and Bond Returns'!DC5)+(Dashboard!$C$8*'Equity and Bond Returns'!HA5)</f>
        <v>-1.6976622922339965E-3</v>
      </c>
      <c r="CR5" s="119">
        <f ca="1">(Dashboard!$C$7*'Equity and Bond Returns'!DD5)+(Dashboard!$C$8*'Equity and Bond Returns'!HB5)</f>
        <v>0.16639523126631142</v>
      </c>
      <c r="CS5" s="119">
        <f ca="1">(Dashboard!$C$7*'Equity and Bond Returns'!DE5)+(Dashboard!$C$8*'Equity and Bond Returns'!HC5)</f>
        <v>-4.9972263172961384E-2</v>
      </c>
      <c r="CT5" s="119">
        <f ca="1">(Dashboard!$C$7*'Equity and Bond Returns'!DF5)+(Dashboard!$C$8*'Equity and Bond Returns'!HD5)</f>
        <v>3.2631768954848962E-2</v>
      </c>
      <c r="CU5" s="119">
        <f ca="1">(Dashboard!$C$7*'Equity and Bond Returns'!DG5)+(Dashboard!$C$8*'Equity and Bond Returns'!HE5)</f>
        <v>-1.3494423049022332E-2</v>
      </c>
      <c r="CV5" s="119">
        <f ca="1">(Dashboard!$C$7*'Equity and Bond Returns'!DH5)+(Dashboard!$C$8*'Equity and Bond Returns'!HF5)</f>
        <v>-0.17662079827304852</v>
      </c>
      <c r="CW5" s="119">
        <f ca="1">(Dashboard!$C$7*'Equity and Bond Returns'!DI5)+(Dashboard!$C$8*'Equity and Bond Returns'!HG5)</f>
        <v>-0.43907284555798953</v>
      </c>
      <c r="CY5" s="147">
        <f t="shared" ref="CY5:CY51" si="5">CY4+1</f>
        <v>54</v>
      </c>
      <c r="CZ5" s="147">
        <v>4</v>
      </c>
      <c r="DA5" s="126">
        <f ca="1">MAX(DA4*(1+B5)-(Dashboard!$C$11)/(1-Dashboard!$C$17)*((1+Dashboard!$C$12)^$CZ5),0)</f>
        <v>640531.33706787031</v>
      </c>
      <c r="DB5" s="126">
        <f ca="1">MAX(DB4*(1+C5)-(Dashboard!$C$11)/(1-Dashboard!$C$17)*((1+Dashboard!$C$12)^$CZ5),0)</f>
        <v>749595.5675564413</v>
      </c>
      <c r="DC5" s="126">
        <f ca="1">MAX(DC4*(1+D5)-(Dashboard!$C$11)/(1-Dashboard!$C$17)*((1+Dashboard!$C$12)^$CZ5),0)</f>
        <v>557704.5276237902</v>
      </c>
      <c r="DD5" s="126">
        <f ca="1">MAX(DD4*(1+E5)-(Dashboard!$C$11)/(1-Dashboard!$C$17)*((1+Dashboard!$C$12)^$CZ5),0)</f>
        <v>748684.46542616189</v>
      </c>
      <c r="DE5" s="126">
        <f ca="1">MAX(DE4*(1+F5)-(Dashboard!$C$11)/(1-Dashboard!$C$17)*((1+Dashboard!$C$12)^$CZ5),0)</f>
        <v>884199.75691575545</v>
      </c>
      <c r="DF5" s="126">
        <f ca="1">MAX(DF4*(1+G5)-(Dashboard!$C$11)/(1-Dashboard!$C$17)*((1+Dashboard!$C$12)^$CZ5),0)</f>
        <v>954118.83777174552</v>
      </c>
      <c r="DG5" s="126">
        <f ca="1">MAX(DG4*(1+H5)-(Dashboard!$C$11)/(1-Dashboard!$C$17)*((1+Dashboard!$C$12)^$CZ5),0)</f>
        <v>576999.39157317951</v>
      </c>
      <c r="DH5" s="126">
        <f ca="1">MAX(DH4*(1+I5)-(Dashboard!$C$11)/(1-Dashboard!$C$17)*((1+Dashboard!$C$12)^$CZ5),0)</f>
        <v>951696.43998432218</v>
      </c>
      <c r="DI5" s="126">
        <f ca="1">MAX(DI4*(1+J5)-(Dashboard!$C$11)/(1-Dashboard!$C$17)*((1+Dashboard!$C$12)^$CZ5),0)</f>
        <v>654484.03470816801</v>
      </c>
      <c r="DJ5" s="126">
        <f ca="1">MAX(DJ4*(1+K5)-(Dashboard!$C$11)/(1-Dashboard!$C$17)*((1+Dashboard!$C$12)^$CZ5),0)</f>
        <v>876236.28255129012</v>
      </c>
      <c r="DK5" s="126">
        <f ca="1">MAX(DK4*(1+L5)-(Dashboard!$C$11)/(1-Dashboard!$C$17)*((1+Dashboard!$C$12)^$CZ5),0)</f>
        <v>589686.67775268911</v>
      </c>
      <c r="DL5" s="126">
        <f ca="1">MAX(DL4*(1+M5)-(Dashboard!$C$11)/(1-Dashboard!$C$17)*((1+Dashboard!$C$12)^$CZ5),0)</f>
        <v>1021553.1268379017</v>
      </c>
      <c r="DM5" s="126">
        <f ca="1">MAX(DM4*(1+N5)-(Dashboard!$C$11)/(1-Dashboard!$C$17)*((1+Dashboard!$C$12)^$CZ5),0)</f>
        <v>721517.04803585715</v>
      </c>
      <c r="DN5" s="126">
        <f ca="1">MAX(DN4*(1+O5)-(Dashboard!$C$11)/(1-Dashboard!$C$17)*((1+Dashboard!$C$12)^$CZ5),0)</f>
        <v>942749.78876509587</v>
      </c>
      <c r="DO5" s="126">
        <f ca="1">MAX(DO4*(1+P5)-(Dashboard!$C$11)/(1-Dashboard!$C$17)*((1+Dashboard!$C$12)^$CZ5),0)</f>
        <v>880988.18549287203</v>
      </c>
      <c r="DP5" s="126">
        <f ca="1">MAX(DP4*(1+Q5)-(Dashboard!$C$11)/(1-Dashboard!$C$17)*((1+Dashboard!$C$12)^$CZ5),0)</f>
        <v>574303.64991487982</v>
      </c>
      <c r="DQ5" s="126">
        <f ca="1">MAX(DQ4*(1+R5)-(Dashboard!$C$11)/(1-Dashboard!$C$17)*((1+Dashboard!$C$12)^$CZ5),0)</f>
        <v>708969.05837996677</v>
      </c>
      <c r="DR5" s="126">
        <f ca="1">MAX(DR4*(1+S5)-(Dashboard!$C$11)/(1-Dashboard!$C$17)*((1+Dashboard!$C$12)^$CZ5),0)</f>
        <v>765092.94441578584</v>
      </c>
      <c r="DS5" s="126">
        <f ca="1">MAX(DS4*(1+T5)-(Dashboard!$C$11)/(1-Dashboard!$C$17)*((1+Dashboard!$C$12)^$CZ5),0)</f>
        <v>840251.68544749357</v>
      </c>
      <c r="DT5" s="126">
        <f ca="1">MAX(DT4*(1+U5)-(Dashboard!$C$11)/(1-Dashboard!$C$17)*((1+Dashboard!$C$12)^$CZ5),0)</f>
        <v>827987.2241156128</v>
      </c>
      <c r="DU5" s="126">
        <f ca="1">MAX(DU4*(1+V5)-(Dashboard!$C$11)/(1-Dashboard!$C$17)*((1+Dashboard!$C$12)^$CZ5),0)</f>
        <v>715563.97800538351</v>
      </c>
      <c r="DV5" s="126">
        <f ca="1">MAX(DV4*(1+W5)-(Dashboard!$C$11)/(1-Dashboard!$C$17)*((1+Dashboard!$C$12)^$CZ5),0)</f>
        <v>766582.24543045636</v>
      </c>
      <c r="DW5" s="126">
        <f ca="1">MAX(DW4*(1+X5)-(Dashboard!$C$11)/(1-Dashboard!$C$17)*((1+Dashboard!$C$12)^$CZ5),0)</f>
        <v>763800.96394323674</v>
      </c>
      <c r="DX5" s="126">
        <f ca="1">MAX(DX4*(1+Y5)-(Dashboard!$C$11)/(1-Dashboard!$C$17)*((1+Dashboard!$C$12)^$CZ5),0)</f>
        <v>672148.83489876811</v>
      </c>
      <c r="DY5" s="126">
        <f ca="1">MAX(DY4*(1+Z5)-(Dashboard!$C$11)/(1-Dashboard!$C$17)*((1+Dashboard!$C$12)^$CZ5),0)</f>
        <v>889308.64030577592</v>
      </c>
      <c r="DZ5" s="126">
        <f ca="1">MAX(DZ4*(1+AA5)-(Dashboard!$C$11)/(1-Dashboard!$C$17)*((1+Dashboard!$C$12)^$CZ5),0)</f>
        <v>654564.04168404406</v>
      </c>
      <c r="EA5" s="126">
        <f ca="1">MAX(EA4*(1+AB5)-(Dashboard!$C$11)/(1-Dashboard!$C$17)*((1+Dashboard!$C$12)^$CZ5),0)</f>
        <v>623136.13820064801</v>
      </c>
      <c r="EB5" s="126">
        <f ca="1">MAX(EB4*(1+AC5)-(Dashboard!$C$11)/(1-Dashboard!$C$17)*((1+Dashboard!$C$12)^$CZ5),0)</f>
        <v>691980.65251658286</v>
      </c>
      <c r="EC5" s="126">
        <f ca="1">MAX(EC4*(1+AD5)-(Dashboard!$C$11)/(1-Dashboard!$C$17)*((1+Dashboard!$C$12)^$CZ5),0)</f>
        <v>820407.07940529205</v>
      </c>
      <c r="ED5" s="126">
        <f ca="1">MAX(ED4*(1+AE5)-(Dashboard!$C$11)/(1-Dashboard!$C$17)*((1+Dashboard!$C$12)^$CZ5),0)</f>
        <v>810732.81015665422</v>
      </c>
      <c r="EE5" s="126">
        <f ca="1">MAX(EE4*(1+AF5)-(Dashboard!$C$11)/(1-Dashboard!$C$17)*((1+Dashboard!$C$12)^$CZ5),0)</f>
        <v>708200.74785562151</v>
      </c>
      <c r="EF5" s="126">
        <f ca="1">MAX(EF4*(1+AG5)-(Dashboard!$C$11)/(1-Dashboard!$C$17)*((1+Dashboard!$C$12)^$CZ5),0)</f>
        <v>842127.83892460505</v>
      </c>
      <c r="EG5" s="126">
        <f ca="1">MAX(EG4*(1+AH5)-(Dashboard!$C$11)/(1-Dashboard!$C$17)*((1+Dashboard!$C$12)^$CZ5),0)</f>
        <v>816347.98563354334</v>
      </c>
      <c r="EH5" s="126">
        <f ca="1">MAX(EH4*(1+AI5)-(Dashboard!$C$11)/(1-Dashboard!$C$17)*((1+Dashboard!$C$12)^$CZ5),0)</f>
        <v>699318.02023087954</v>
      </c>
      <c r="EI5" s="126">
        <f ca="1">MAX(EI4*(1+AJ5)-(Dashboard!$C$11)/(1-Dashboard!$C$17)*((1+Dashboard!$C$12)^$CZ5),0)</f>
        <v>545716.41088089591</v>
      </c>
      <c r="EJ5" s="126">
        <f ca="1">MAX(EJ4*(1+AK5)-(Dashboard!$C$11)/(1-Dashboard!$C$17)*((1+Dashboard!$C$12)^$CZ5),0)</f>
        <v>1044316.8892313892</v>
      </c>
      <c r="EK5" s="126">
        <f ca="1">MAX(EK4*(1+AL5)-(Dashboard!$C$11)/(1-Dashboard!$C$17)*((1+Dashboard!$C$12)^$CZ5),0)</f>
        <v>814899.92228434118</v>
      </c>
      <c r="EL5" s="126">
        <f ca="1">MAX(EL4*(1+AM5)-(Dashboard!$C$11)/(1-Dashboard!$C$17)*((1+Dashboard!$C$12)^$CZ5),0)</f>
        <v>682950.45312571689</v>
      </c>
      <c r="EM5" s="126">
        <f ca="1">MAX(EM4*(1+AN5)-(Dashboard!$C$11)/(1-Dashboard!$C$17)*((1+Dashboard!$C$12)^$CZ5),0)</f>
        <v>799436.92824072798</v>
      </c>
      <c r="EN5" s="126">
        <f ca="1">MAX(EN4*(1+AO5)-(Dashboard!$C$11)/(1-Dashboard!$C$17)*((1+Dashboard!$C$12)^$CZ5),0)</f>
        <v>923845.26225860219</v>
      </c>
      <c r="EO5" s="126">
        <f ca="1">MAX(EO4*(1+AP5)-(Dashboard!$C$11)/(1-Dashboard!$C$17)*((1+Dashboard!$C$12)^$CZ5),0)</f>
        <v>779290.0261960756</v>
      </c>
      <c r="EP5" s="126">
        <f ca="1">MAX(EP4*(1+AQ5)-(Dashboard!$C$11)/(1-Dashboard!$C$17)*((1+Dashboard!$C$12)^$CZ5),0)</f>
        <v>887572.77021575882</v>
      </c>
      <c r="EQ5" s="126">
        <f ca="1">MAX(EQ4*(1+AR5)-(Dashboard!$C$11)/(1-Dashboard!$C$17)*((1+Dashboard!$C$12)^$CZ5),0)</f>
        <v>625080.49276626494</v>
      </c>
      <c r="ER5" s="126">
        <f ca="1">MAX(ER4*(1+AS5)-(Dashboard!$C$11)/(1-Dashboard!$C$17)*((1+Dashboard!$C$12)^$CZ5),0)</f>
        <v>725615.83145345608</v>
      </c>
      <c r="ES5" s="126">
        <f ca="1">MAX(ES4*(1+AT5)-(Dashboard!$C$11)/(1-Dashboard!$C$17)*((1+Dashboard!$C$12)^$CZ5),0)</f>
        <v>573069.98852212157</v>
      </c>
      <c r="ET5" s="126">
        <f ca="1">MAX(ET4*(1+AU5)-(Dashboard!$C$11)/(1-Dashboard!$C$17)*((1+Dashboard!$C$12)^$CZ5),0)</f>
        <v>698959.12953806377</v>
      </c>
      <c r="EU5" s="126">
        <f ca="1">MAX(EU4*(1+AV5)-(Dashboard!$C$11)/(1-Dashboard!$C$17)*((1+Dashboard!$C$12)^$CZ5),0)</f>
        <v>812396.26694404124</v>
      </c>
      <c r="EV5" s="126">
        <f ca="1">MAX(EV4*(1+AW5)-(Dashboard!$C$11)/(1-Dashboard!$C$17)*((1+Dashboard!$C$12)^$CZ5),0)</f>
        <v>845330.07318798045</v>
      </c>
      <c r="EW5" s="126">
        <f ca="1">MAX(EW4*(1+AX5)-(Dashboard!$C$11)/(1-Dashboard!$C$17)*((1+Dashboard!$C$12)^$CZ5),0)</f>
        <v>927166.54526596086</v>
      </c>
      <c r="EX5" s="126">
        <f ca="1">MAX(EX4*(1+AY5)-(Dashboard!$C$11)/(1-Dashboard!$C$17)*((1+Dashboard!$C$12)^$CZ5),0)</f>
        <v>641573.57498465583</v>
      </c>
      <c r="EY5" s="126">
        <f ca="1">MAX(EY4*(1+AZ5)-(Dashboard!$C$11)/(1-Dashboard!$C$17)*((1+Dashboard!$C$12)^$CZ5),0)</f>
        <v>708159.79476652935</v>
      </c>
      <c r="EZ5" s="126">
        <f ca="1">MAX(EZ4*(1+BA5)-(Dashboard!$C$11)/(1-Dashboard!$C$17)*((1+Dashboard!$C$12)^$CZ5),0)</f>
        <v>784783.98252008983</v>
      </c>
      <c r="FA5" s="126">
        <f ca="1">MAX(FA4*(1+BB5)-(Dashboard!$C$11)/(1-Dashboard!$C$17)*((1+Dashboard!$C$12)^$CZ5),0)</f>
        <v>696168.99122341105</v>
      </c>
      <c r="FB5" s="126">
        <f ca="1">MAX(FB4*(1+BC5)-(Dashboard!$C$11)/(1-Dashboard!$C$17)*((1+Dashboard!$C$12)^$CZ5),0)</f>
        <v>1005977.8713464297</v>
      </c>
      <c r="FC5" s="126">
        <f ca="1">MAX(FC4*(1+BD5)-(Dashboard!$C$11)/(1-Dashboard!$C$17)*((1+Dashboard!$C$12)^$CZ5),0)</f>
        <v>832293.88662381691</v>
      </c>
      <c r="FD5" s="126">
        <f ca="1">MAX(FD4*(1+BE5)-(Dashboard!$C$11)/(1-Dashboard!$C$17)*((1+Dashboard!$C$12)^$CZ5),0)</f>
        <v>1129561.565965049</v>
      </c>
      <c r="FE5" s="126">
        <f ca="1">MAX(FE4*(1+BF5)-(Dashboard!$C$11)/(1-Dashboard!$C$17)*((1+Dashboard!$C$12)^$CZ5),0)</f>
        <v>963540.35276779381</v>
      </c>
      <c r="FF5" s="126">
        <f ca="1">MAX(FF4*(1+BG5)-(Dashboard!$C$11)/(1-Dashboard!$C$17)*((1+Dashboard!$C$12)^$CZ5),0)</f>
        <v>665308.84453445324</v>
      </c>
      <c r="FG5" s="126">
        <f ca="1">MAX(FG4*(1+BH5)-(Dashboard!$C$11)/(1-Dashboard!$C$17)*((1+Dashboard!$C$12)^$CZ5),0)</f>
        <v>857681.7235542587</v>
      </c>
      <c r="FH5" s="126">
        <f ca="1">MAX(FH4*(1+BI5)-(Dashboard!$C$11)/(1-Dashboard!$C$17)*((1+Dashboard!$C$12)^$CZ5),0)</f>
        <v>680740.97547289589</v>
      </c>
      <c r="FI5" s="126">
        <f ca="1">MAX(FI4*(1+BJ5)-(Dashboard!$C$11)/(1-Dashboard!$C$17)*((1+Dashboard!$C$12)^$CZ5),0)</f>
        <v>822247.16098167794</v>
      </c>
      <c r="FJ5" s="126">
        <f ca="1">MAX(FJ4*(1+BK5)-(Dashboard!$C$11)/(1-Dashboard!$C$17)*((1+Dashboard!$C$12)^$CZ5),0)</f>
        <v>780210.60986363073</v>
      </c>
      <c r="FK5" s="126">
        <f ca="1">MAX(FK4*(1+BL5)-(Dashboard!$C$11)/(1-Dashboard!$C$17)*((1+Dashboard!$C$12)^$CZ5),0)</f>
        <v>797384.04192503484</v>
      </c>
      <c r="FL5" s="126">
        <f ca="1">MAX(FL4*(1+BM5)-(Dashboard!$C$11)/(1-Dashboard!$C$17)*((1+Dashboard!$C$12)^$CZ5),0)</f>
        <v>804009.91421852668</v>
      </c>
      <c r="FM5" s="126">
        <f ca="1">MAX(FM4*(1+BN5)-(Dashboard!$C$11)/(1-Dashboard!$C$17)*((1+Dashboard!$C$12)^$CZ5),0)</f>
        <v>614228.62535039452</v>
      </c>
      <c r="FN5" s="126">
        <f ca="1">MAX(FN4*(1+BO5)-(Dashboard!$C$11)/(1-Dashboard!$C$17)*((1+Dashboard!$C$12)^$CZ5),0)</f>
        <v>535509.90730648744</v>
      </c>
      <c r="FO5" s="126">
        <f ca="1">MAX(FO4*(1+BP5)-(Dashboard!$C$11)/(1-Dashboard!$C$17)*((1+Dashboard!$C$12)^$CZ5),0)</f>
        <v>740708.08503993403</v>
      </c>
      <c r="FP5" s="126">
        <f ca="1">MAX(FP4*(1+BQ5)-(Dashboard!$C$11)/(1-Dashboard!$C$17)*((1+Dashboard!$C$12)^$CZ5),0)</f>
        <v>616835.74460367113</v>
      </c>
      <c r="FQ5" s="126">
        <f ca="1">MAX(FQ4*(1+BR5)-(Dashboard!$C$11)/(1-Dashboard!$C$17)*((1+Dashboard!$C$12)^$CZ5),0)</f>
        <v>1138739.289166945</v>
      </c>
      <c r="FR5" s="126">
        <f ca="1">MAX(FR4*(1+BS5)-(Dashboard!$C$11)/(1-Dashboard!$C$17)*((1+Dashboard!$C$12)^$CZ5),0)</f>
        <v>1089522.5266999283</v>
      </c>
      <c r="FS5" s="126">
        <f ca="1">MAX(FS4*(1+BT5)-(Dashboard!$C$11)/(1-Dashboard!$C$17)*((1+Dashboard!$C$12)^$CZ5),0)</f>
        <v>704358.28974409029</v>
      </c>
      <c r="FT5" s="126">
        <f ca="1">MAX(FT4*(1+BU5)-(Dashboard!$C$11)/(1-Dashboard!$C$17)*((1+Dashboard!$C$12)^$CZ5),0)</f>
        <v>574261.98360359145</v>
      </c>
      <c r="FU5" s="126">
        <f ca="1">MAX(FU4*(1+BV5)-(Dashboard!$C$11)/(1-Dashboard!$C$17)*((1+Dashboard!$C$12)^$CZ5),0)</f>
        <v>956034.68317327718</v>
      </c>
      <c r="FV5" s="126">
        <f ca="1">MAX(FV4*(1+BW5)-(Dashboard!$C$11)/(1-Dashboard!$C$17)*((1+Dashboard!$C$12)^$CZ5),0)</f>
        <v>358176.08985722187</v>
      </c>
      <c r="FW5" s="126">
        <f ca="1">MAX(FW4*(1+BX5)-(Dashboard!$C$11)/(1-Dashboard!$C$17)*((1+Dashboard!$C$12)^$CZ5),0)</f>
        <v>573870.49142353085</v>
      </c>
      <c r="FX5" s="126">
        <f ca="1">MAX(FX4*(1+BY5)-(Dashboard!$C$11)/(1-Dashboard!$C$17)*((1+Dashboard!$C$12)^$CZ5),0)</f>
        <v>735087.67828802462</v>
      </c>
      <c r="FY5" s="126">
        <f ca="1">MAX(FY4*(1+BZ5)-(Dashboard!$C$11)/(1-Dashboard!$C$17)*((1+Dashboard!$C$12)^$CZ5),0)</f>
        <v>660083.54832691734</v>
      </c>
      <c r="FZ5" s="126">
        <f ca="1">MAX(FZ4*(1+CA5)-(Dashboard!$C$11)/(1-Dashboard!$C$17)*((1+Dashboard!$C$12)^$CZ5),0)</f>
        <v>736666.52708627784</v>
      </c>
      <c r="GA5" s="126">
        <f ca="1">MAX(GA4*(1+CB5)-(Dashboard!$C$11)/(1-Dashboard!$C$17)*((1+Dashboard!$C$12)^$CZ5),0)</f>
        <v>812811.72660063894</v>
      </c>
      <c r="GB5" s="126">
        <f ca="1">MAX(GB4*(1+CC5)-(Dashboard!$C$11)/(1-Dashboard!$C$17)*((1+Dashboard!$C$12)^$CZ5),0)</f>
        <v>925159.36572877096</v>
      </c>
      <c r="GC5" s="126">
        <f ca="1">MAX(GC4*(1+CD5)-(Dashboard!$C$11)/(1-Dashboard!$C$17)*((1+Dashboard!$C$12)^$CZ5),0)</f>
        <v>747914.44501313928</v>
      </c>
      <c r="GD5" s="126">
        <f ca="1">MAX(GD4*(1+CE5)-(Dashboard!$C$11)/(1-Dashboard!$C$17)*((1+Dashboard!$C$12)^$CZ5),0)</f>
        <v>639630.64621260832</v>
      </c>
      <c r="GE5" s="126">
        <f ca="1">MAX(GE4*(1+CF5)-(Dashboard!$C$11)/(1-Dashboard!$C$17)*((1+Dashboard!$C$12)^$CZ5),0)</f>
        <v>796238.25686669</v>
      </c>
      <c r="GF5" s="126">
        <f ca="1">MAX(GF4*(1+CG5)-(Dashboard!$C$11)/(1-Dashboard!$C$17)*((1+Dashboard!$C$12)^$CZ5),0)</f>
        <v>1067835.7880841026</v>
      </c>
      <c r="GG5" s="126">
        <f ca="1">MAX(GG4*(1+CH5)-(Dashboard!$C$11)/(1-Dashboard!$C$17)*((1+Dashboard!$C$12)^$CZ5),0)</f>
        <v>648887.17519055097</v>
      </c>
      <c r="GH5" s="126">
        <f ca="1">MAX(GH4*(1+CI5)-(Dashboard!$C$11)/(1-Dashboard!$C$17)*((1+Dashboard!$C$12)^$CZ5),0)</f>
        <v>568496.71134135663</v>
      </c>
      <c r="GI5" s="126">
        <f ca="1">MAX(GI4*(1+CJ5)-(Dashboard!$C$11)/(1-Dashboard!$C$17)*((1+Dashboard!$C$12)^$CZ5),0)</f>
        <v>871903.93356809637</v>
      </c>
      <c r="GJ5" s="126">
        <f ca="1">MAX(GJ4*(1+CK5)-(Dashboard!$C$11)/(1-Dashboard!$C$17)*((1+Dashboard!$C$12)^$CZ5),0)</f>
        <v>708399.05386828876</v>
      </c>
      <c r="GK5" s="126">
        <f ca="1">MAX(GK4*(1+CL5)-(Dashboard!$C$11)/(1-Dashboard!$C$17)*((1+Dashboard!$C$12)^$CZ5),0)</f>
        <v>1025616.4838647656</v>
      </c>
      <c r="GL5" s="126">
        <f ca="1">MAX(GL4*(1+CM5)-(Dashboard!$C$11)/(1-Dashboard!$C$17)*((1+Dashboard!$C$12)^$CZ5),0)</f>
        <v>934499.25354616612</v>
      </c>
      <c r="GM5" s="126">
        <f ca="1">MAX(GM4*(1+CN5)-(Dashboard!$C$11)/(1-Dashboard!$C$17)*((1+Dashboard!$C$12)^$CZ5),0)</f>
        <v>1082081.8160734104</v>
      </c>
      <c r="GN5" s="126">
        <f ca="1">MAX(GN4*(1+CO5)-(Dashboard!$C$11)/(1-Dashboard!$C$17)*((1+Dashboard!$C$12)^$CZ5),0)</f>
        <v>649853.29787551891</v>
      </c>
      <c r="GO5" s="126">
        <f ca="1">MAX(GO4*(1+CP5)-(Dashboard!$C$11)/(1-Dashboard!$C$17)*((1+Dashboard!$C$12)^$CZ5),0)</f>
        <v>574863.37423710502</v>
      </c>
      <c r="GP5" s="126">
        <f ca="1">MAX(GP4*(1+CQ5)-(Dashboard!$C$11)/(1-Dashboard!$C$17)*((1+Dashboard!$C$12)^$CZ5),0)</f>
        <v>814615.648735745</v>
      </c>
      <c r="GQ5" s="126">
        <f ca="1">MAX(GQ4*(1+CR5)-(Dashboard!$C$11)/(1-Dashboard!$C$17)*((1+Dashboard!$C$12)^$CZ5),0)</f>
        <v>729109.44637797459</v>
      </c>
      <c r="GR5" s="126">
        <f ca="1">MAX(GR4*(1+CS5)-(Dashboard!$C$11)/(1-Dashboard!$C$17)*((1+Dashboard!$C$12)^$CZ5),0)</f>
        <v>705700.07895619702</v>
      </c>
      <c r="GS5" s="126">
        <f ca="1">MAX(GS4*(1+CT5)-(Dashboard!$C$11)/(1-Dashboard!$C$17)*((1+Dashboard!$C$12)^$CZ5),0)</f>
        <v>833054.96836760396</v>
      </c>
      <c r="GT5" s="126">
        <f ca="1">MAX(GT4*(1+CU5)-(Dashboard!$C$11)/(1-Dashboard!$C$17)*((1+Dashboard!$C$12)^$CZ5),0)</f>
        <v>718189.75160070206</v>
      </c>
      <c r="GU5" s="126">
        <f ca="1">MAX(GU4*(1+CV5)-(Dashboard!$C$11)/(1-Dashboard!$C$17)*((1+Dashboard!$C$12)^$CZ5),0)</f>
        <v>442801.65180581971</v>
      </c>
      <c r="GV5" s="126">
        <f ca="1">MAX(GV4*(1+CW5)-(Dashboard!$C$11)/(1-Dashboard!$C$17)*((1+Dashboard!$C$12)^$CZ5),0)</f>
        <v>330740.12584363873</v>
      </c>
      <c r="GW5" s="115">
        <f t="shared" si="4"/>
        <v>54</v>
      </c>
      <c r="GX5" s="130">
        <f t="shared" ca="1" si="2"/>
        <v>100</v>
      </c>
      <c r="HC5" s="130">
        <f t="shared" si="0"/>
        <v>54</v>
      </c>
      <c r="HD5" s="137">
        <f t="shared" ca="1" si="1"/>
        <v>654504.03645213705</v>
      </c>
      <c r="HE5" s="137">
        <f t="shared" ca="1" si="1"/>
        <v>748299.45521965064</v>
      </c>
      <c r="HF5" s="137">
        <f t="shared" ca="1" si="1"/>
        <v>844529.5146221366</v>
      </c>
    </row>
    <row r="6" spans="1:214" ht="16">
      <c r="A6" s="145">
        <f t="shared" si="3"/>
        <v>55</v>
      </c>
      <c r="B6" s="119">
        <f ca="1">(Dashboard!$C$7*'Equity and Bond Returns'!N6)+(Dashboard!$C$8*'Equity and Bond Returns'!DL6)</f>
        <v>0.12356963070614796</v>
      </c>
      <c r="C6" s="119">
        <f ca="1">(Dashboard!$C$7*'Equity and Bond Returns'!O6)+(Dashboard!$C$8*'Equity and Bond Returns'!DM6)</f>
        <v>5.1784077848599348E-2</v>
      </c>
      <c r="D6" s="119">
        <f ca="1">(Dashboard!$C$7*'Equity and Bond Returns'!P6)+(Dashboard!$C$8*'Equity and Bond Returns'!DN6)</f>
        <v>0.25837426314521206</v>
      </c>
      <c r="E6" s="119">
        <f ca="1">(Dashboard!$C$7*'Equity and Bond Returns'!Q6)+(Dashboard!$C$8*'Equity and Bond Returns'!DO6)</f>
        <v>0.16849617394022101</v>
      </c>
      <c r="F6" s="119">
        <f ca="1">(Dashboard!$C$7*'Equity and Bond Returns'!R6)+(Dashboard!$C$8*'Equity and Bond Returns'!DP6)</f>
        <v>-5.0854058530166613E-2</v>
      </c>
      <c r="G6" s="119">
        <f ca="1">(Dashboard!$C$7*'Equity and Bond Returns'!S6)+(Dashboard!$C$8*'Equity and Bond Returns'!DQ6)</f>
        <v>-1.8464987511560685E-2</v>
      </c>
      <c r="H6" s="119">
        <f ca="1">(Dashboard!$C$7*'Equity and Bond Returns'!T6)+(Dashboard!$C$8*'Equity and Bond Returns'!DR6)</f>
        <v>-0.16333426333752787</v>
      </c>
      <c r="I6" s="119">
        <f ca="1">(Dashboard!$C$7*'Equity and Bond Returns'!U6)+(Dashboard!$C$8*'Equity and Bond Returns'!DS6)</f>
        <v>-5.6858844725485365E-2</v>
      </c>
      <c r="J6" s="119">
        <f ca="1">(Dashboard!$C$7*'Equity and Bond Returns'!V6)+(Dashboard!$C$8*'Equity and Bond Returns'!DT6)</f>
        <v>0.40759718112797505</v>
      </c>
      <c r="K6" s="119">
        <f ca="1">(Dashboard!$C$7*'Equity and Bond Returns'!W6)+(Dashboard!$C$8*'Equity and Bond Returns'!DU6)</f>
        <v>0.16113819618500361</v>
      </c>
      <c r="L6" s="119">
        <f ca="1">(Dashboard!$C$7*'Equity and Bond Returns'!X6)+(Dashboard!$C$8*'Equity and Bond Returns'!DV6)</f>
        <v>0.21238279224010437</v>
      </c>
      <c r="M6" s="119">
        <f ca="1">(Dashboard!$C$7*'Equity and Bond Returns'!Y6)+(Dashboard!$C$8*'Equity and Bond Returns'!DW6)</f>
        <v>8.3097468903306979E-2</v>
      </c>
      <c r="N6" s="119">
        <f ca="1">(Dashboard!$C$7*'Equity and Bond Returns'!Z6)+(Dashboard!$C$8*'Equity and Bond Returns'!DX6)</f>
        <v>0.12862796476251429</v>
      </c>
      <c r="O6" s="119">
        <f ca="1">(Dashboard!$C$7*'Equity and Bond Returns'!AA6)+(Dashboard!$C$8*'Equity and Bond Returns'!DY6)</f>
        <v>0.20606269504796682</v>
      </c>
      <c r="P6" s="119">
        <f ca="1">(Dashboard!$C$7*'Equity and Bond Returns'!AB6)+(Dashboard!$C$8*'Equity and Bond Returns'!DZ6)</f>
        <v>-3.6059775563770505E-2</v>
      </c>
      <c r="Q6" s="119">
        <f ca="1">(Dashboard!$C$7*'Equity and Bond Returns'!AC6)+(Dashboard!$C$8*'Equity and Bond Returns'!EA6)</f>
        <v>0.23750651641483969</v>
      </c>
      <c r="R6" s="119">
        <f ca="1">(Dashboard!$C$7*'Equity and Bond Returns'!AD6)+(Dashboard!$C$8*'Equity and Bond Returns'!EB6)</f>
        <v>0.23108580522462846</v>
      </c>
      <c r="S6" s="119">
        <f ca="1">(Dashboard!$C$7*'Equity and Bond Returns'!AE6)+(Dashboard!$C$8*'Equity and Bond Returns'!EC6)</f>
        <v>-3.4317317149611351E-2</v>
      </c>
      <c r="T6" s="119">
        <f ca="1">(Dashboard!$C$7*'Equity and Bond Returns'!AF6)+(Dashboard!$C$8*'Equity and Bond Returns'!ED6)</f>
        <v>5.2510049020888218E-2</v>
      </c>
      <c r="U6" s="119">
        <f ca="1">(Dashboard!$C$7*'Equity and Bond Returns'!AG6)+(Dashboard!$C$8*'Equity and Bond Returns'!EE6)</f>
        <v>-7.6086143137279474E-2</v>
      </c>
      <c r="V6" s="119">
        <f ca="1">(Dashboard!$C$7*'Equity and Bond Returns'!AH6)+(Dashboard!$C$8*'Equity and Bond Returns'!EF6)</f>
        <v>0.13195858305064151</v>
      </c>
      <c r="W6" s="119">
        <f ca="1">(Dashboard!$C$7*'Equity and Bond Returns'!AI6)+(Dashboard!$C$8*'Equity and Bond Returns'!EG6)</f>
        <v>7.0643931914714644E-2</v>
      </c>
      <c r="X6" s="119">
        <f ca="1">(Dashboard!$C$7*'Equity and Bond Returns'!AJ6)+(Dashboard!$C$8*'Equity and Bond Returns'!EH6)</f>
        <v>0.18838556866153364</v>
      </c>
      <c r="Y6" s="119">
        <f ca="1">(Dashboard!$C$7*'Equity and Bond Returns'!AK6)+(Dashboard!$C$8*'Equity and Bond Returns'!EI6)</f>
        <v>3.735471845535146E-2</v>
      </c>
      <c r="Z6" s="119">
        <f ca="1">(Dashboard!$C$7*'Equity and Bond Returns'!AL6)+(Dashboard!$C$8*'Equity and Bond Returns'!EJ6)</f>
        <v>0.32189304302441829</v>
      </c>
      <c r="AA6" s="119">
        <f ca="1">(Dashboard!$C$7*'Equity and Bond Returns'!AM6)+(Dashboard!$C$8*'Equity and Bond Returns'!EK6)</f>
        <v>0.2438894677405731</v>
      </c>
      <c r="AB6" s="119">
        <f ca="1">(Dashboard!$C$7*'Equity and Bond Returns'!AN6)+(Dashboard!$C$8*'Equity and Bond Returns'!EL6)</f>
        <v>-1.7474096280121754E-3</v>
      </c>
      <c r="AC6" s="119">
        <f ca="1">(Dashboard!$C$7*'Equity and Bond Returns'!AO6)+(Dashboard!$C$8*'Equity and Bond Returns'!EM6)</f>
        <v>0.14309876231722182</v>
      </c>
      <c r="AD6" s="119">
        <f ca="1">(Dashboard!$C$7*'Equity and Bond Returns'!AP6)+(Dashboard!$C$8*'Equity and Bond Returns'!EN6)</f>
        <v>6.8073139188496973E-2</v>
      </c>
      <c r="AE6" s="119">
        <f ca="1">(Dashboard!$C$7*'Equity and Bond Returns'!AQ6)+(Dashboard!$C$8*'Equity and Bond Returns'!EO6)</f>
        <v>0.15035309004573766</v>
      </c>
      <c r="AF6" s="119">
        <f ca="1">(Dashboard!$C$7*'Equity and Bond Returns'!AR6)+(Dashboard!$C$8*'Equity and Bond Returns'!EP6)</f>
        <v>0.11552064958222337</v>
      </c>
      <c r="AG6" s="119">
        <f ca="1">(Dashboard!$C$7*'Equity and Bond Returns'!AS6)+(Dashboard!$C$8*'Equity and Bond Returns'!EQ6)</f>
        <v>-0.12587548906595364</v>
      </c>
      <c r="AH6" s="119">
        <f ca="1">(Dashboard!$C$7*'Equity and Bond Returns'!AT6)+(Dashboard!$C$8*'Equity and Bond Returns'!ER6)</f>
        <v>0.16748464702718266</v>
      </c>
      <c r="AI6" s="119">
        <f ca="1">(Dashboard!$C$7*'Equity and Bond Returns'!AU6)+(Dashboard!$C$8*'Equity and Bond Returns'!ES6)</f>
        <v>0.12887618701771464</v>
      </c>
      <c r="AJ6" s="119">
        <f ca="1">(Dashboard!$C$7*'Equity and Bond Returns'!AV6)+(Dashboard!$C$8*'Equity and Bond Returns'!ET6)</f>
        <v>5.6210900567652822E-2</v>
      </c>
      <c r="AK6" s="119">
        <f ca="1">(Dashboard!$C$7*'Equity and Bond Returns'!AW6)+(Dashboard!$C$8*'Equity and Bond Returns'!EU6)</f>
        <v>0.19199568921967958</v>
      </c>
      <c r="AL6" s="119">
        <f ca="1">(Dashboard!$C$7*'Equity and Bond Returns'!AX6)+(Dashboard!$C$8*'Equity and Bond Returns'!EV6)</f>
        <v>-2.0703582543075943E-2</v>
      </c>
      <c r="AM6" s="119">
        <f ca="1">(Dashboard!$C$7*'Equity and Bond Returns'!AY6)+(Dashboard!$C$8*'Equity and Bond Returns'!EW6)</f>
        <v>0.24663174569852303</v>
      </c>
      <c r="AN6" s="119">
        <f ca="1">(Dashboard!$C$7*'Equity and Bond Returns'!AZ6)+(Dashboard!$C$8*'Equity and Bond Returns'!EX6)</f>
        <v>8.8469282775938254E-2</v>
      </c>
      <c r="AO6" s="119">
        <f ca="1">(Dashboard!$C$7*'Equity and Bond Returns'!BA6)+(Dashboard!$C$8*'Equity and Bond Returns'!EY6)</f>
        <v>0.28502440100320786</v>
      </c>
      <c r="AP6" s="119">
        <f ca="1">(Dashboard!$C$7*'Equity and Bond Returns'!BB6)+(Dashboard!$C$8*'Equity and Bond Returns'!EZ6)</f>
        <v>-0.12434841536440285</v>
      </c>
      <c r="AQ6" s="119">
        <f ca="1">(Dashboard!$C$7*'Equity and Bond Returns'!BC6)+(Dashboard!$C$8*'Equity and Bond Returns'!FA6)</f>
        <v>-8.6066064896885619E-2</v>
      </c>
      <c r="AR6" s="119">
        <f ca="1">(Dashboard!$C$7*'Equity and Bond Returns'!BD6)+(Dashboard!$C$8*'Equity and Bond Returns'!FB6)</f>
        <v>-3.8360458135643982E-2</v>
      </c>
      <c r="AS6" s="119">
        <f ca="1">(Dashboard!$C$7*'Equity and Bond Returns'!BE6)+(Dashboard!$C$8*'Equity and Bond Returns'!FC6)</f>
        <v>-0.11852301128750428</v>
      </c>
      <c r="AT6" s="119">
        <f ca="1">(Dashboard!$C$7*'Equity and Bond Returns'!BF6)+(Dashboard!$C$8*'Equity and Bond Returns'!FD6)</f>
        <v>0.17722675680138475</v>
      </c>
      <c r="AU6" s="119">
        <f ca="1">(Dashboard!$C$7*'Equity and Bond Returns'!BG6)+(Dashboard!$C$8*'Equity and Bond Returns'!FE6)</f>
        <v>8.45544998445866E-2</v>
      </c>
      <c r="AV6" s="119">
        <f ca="1">(Dashboard!$C$7*'Equity and Bond Returns'!BH6)+(Dashboard!$C$8*'Equity and Bond Returns'!FF6)</f>
        <v>0.14615300428711009</v>
      </c>
      <c r="AW6" s="119">
        <f ca="1">(Dashboard!$C$7*'Equity and Bond Returns'!BI6)+(Dashboard!$C$8*'Equity and Bond Returns'!FG6)</f>
        <v>0.28075958713095833</v>
      </c>
      <c r="AX6" s="119">
        <f ca="1">(Dashboard!$C$7*'Equity and Bond Returns'!BJ6)+(Dashboard!$C$8*'Equity and Bond Returns'!FH6)</f>
        <v>0.1288227481179198</v>
      </c>
      <c r="AY6" s="119">
        <f ca="1">(Dashboard!$C$7*'Equity and Bond Returns'!BK6)+(Dashboard!$C$8*'Equity and Bond Returns'!FI6)</f>
        <v>0.20206691630580198</v>
      </c>
      <c r="AZ6" s="119">
        <f ca="1">(Dashboard!$C$7*'Equity and Bond Returns'!BL6)+(Dashboard!$C$8*'Equity and Bond Returns'!FJ6)</f>
        <v>0.12728262724802059</v>
      </c>
      <c r="BA6" s="119">
        <f ca="1">(Dashboard!$C$7*'Equity and Bond Returns'!BM6)+(Dashboard!$C$8*'Equity and Bond Returns'!FK6)</f>
        <v>-8.0779898226461741E-2</v>
      </c>
      <c r="BB6" s="119">
        <f ca="1">(Dashboard!$C$7*'Equity and Bond Returns'!BN6)+(Dashboard!$C$8*'Equity and Bond Returns'!FL6)</f>
        <v>0.20355568620012715</v>
      </c>
      <c r="BC6" s="119">
        <f ca="1">(Dashboard!$C$7*'Equity and Bond Returns'!BO6)+(Dashboard!$C$8*'Equity and Bond Returns'!FM6)</f>
        <v>4.6489937386511325E-2</v>
      </c>
      <c r="BD6" s="119">
        <f ca="1">(Dashboard!$C$7*'Equity and Bond Returns'!BP6)+(Dashboard!$C$8*'Equity and Bond Returns'!FN6)</f>
        <v>4.6289770932646815E-2</v>
      </c>
      <c r="BE6" s="119">
        <f ca="1">(Dashboard!$C$7*'Equity and Bond Returns'!BQ6)+(Dashboard!$C$8*'Equity and Bond Returns'!FO6)</f>
        <v>-3.4376055738293818E-2</v>
      </c>
      <c r="BF6" s="119">
        <f ca="1">(Dashboard!$C$7*'Equity and Bond Returns'!BR6)+(Dashboard!$C$8*'Equity and Bond Returns'!FP6)</f>
        <v>5.602351343724668E-2</v>
      </c>
      <c r="BG6" s="119">
        <f ca="1">(Dashboard!$C$7*'Equity and Bond Returns'!BS6)+(Dashboard!$C$8*'Equity and Bond Returns'!FQ6)</f>
        <v>-2.7095561299231394E-2</v>
      </c>
      <c r="BH6" s="119">
        <f ca="1">(Dashboard!$C$7*'Equity and Bond Returns'!BT6)+(Dashboard!$C$8*'Equity and Bond Returns'!FR6)</f>
        <v>2.4111529185610471E-2</v>
      </c>
      <c r="BI6" s="119">
        <f ca="1">(Dashboard!$C$7*'Equity and Bond Returns'!BU6)+(Dashboard!$C$8*'Equity and Bond Returns'!FS6)</f>
        <v>0.10322007367264734</v>
      </c>
      <c r="BJ6" s="119">
        <f ca="1">(Dashboard!$C$7*'Equity and Bond Returns'!BV6)+(Dashboard!$C$8*'Equity and Bond Returns'!FT6)</f>
        <v>0.1960506050507686</v>
      </c>
      <c r="BK6" s="119">
        <f ca="1">(Dashboard!$C$7*'Equity and Bond Returns'!BW6)+(Dashboard!$C$8*'Equity and Bond Returns'!FU6)</f>
        <v>-4.8182612772289649E-2</v>
      </c>
      <c r="BL6" s="119">
        <f ca="1">(Dashboard!$C$7*'Equity and Bond Returns'!BX6)+(Dashboard!$C$8*'Equity and Bond Returns'!FV6)</f>
        <v>-0.21688472164630906</v>
      </c>
      <c r="BM6" s="119">
        <f ca="1">(Dashboard!$C$7*'Equity and Bond Returns'!BY6)+(Dashboard!$C$8*'Equity and Bond Returns'!FW6)</f>
        <v>0.10776817923136686</v>
      </c>
      <c r="BN6" s="119">
        <f ca="1">(Dashboard!$C$7*'Equity and Bond Returns'!BZ6)+(Dashboard!$C$8*'Equity and Bond Returns'!FX6)</f>
        <v>0.13971612256269145</v>
      </c>
      <c r="BO6" s="119">
        <f ca="1">(Dashboard!$C$7*'Equity and Bond Returns'!CA6)+(Dashboard!$C$8*'Equity and Bond Returns'!FY6)</f>
        <v>0.14845292086672909</v>
      </c>
      <c r="BP6" s="119">
        <f ca="1">(Dashboard!$C$7*'Equity and Bond Returns'!CB6)+(Dashboard!$C$8*'Equity and Bond Returns'!FZ6)</f>
        <v>0.17387549771825328</v>
      </c>
      <c r="BQ6" s="119">
        <f ca="1">(Dashboard!$C$7*'Equity and Bond Returns'!CC6)+(Dashboard!$C$8*'Equity and Bond Returns'!GA6)</f>
        <v>5.5585556162184149E-2</v>
      </c>
      <c r="BR6" s="119">
        <f ca="1">(Dashboard!$C$7*'Equity and Bond Returns'!CD6)+(Dashboard!$C$8*'Equity and Bond Returns'!GB6)</f>
        <v>-0.10267371267401412</v>
      </c>
      <c r="BS6" s="119">
        <f ca="1">(Dashboard!$C$7*'Equity and Bond Returns'!CE6)+(Dashboard!$C$8*'Equity and Bond Returns'!GC6)</f>
        <v>0.16169640453328563</v>
      </c>
      <c r="BT6" s="119">
        <f ca="1">(Dashboard!$C$7*'Equity and Bond Returns'!CF6)+(Dashboard!$C$8*'Equity and Bond Returns'!GD6)</f>
        <v>0.37853247224599501</v>
      </c>
      <c r="BU6" s="119">
        <f ca="1">(Dashboard!$C$7*'Equity and Bond Returns'!CG6)+(Dashboard!$C$8*'Equity and Bond Returns'!GE6)</f>
        <v>3.2997214976620871E-2</v>
      </c>
      <c r="BV6" s="119">
        <f ca="1">(Dashboard!$C$7*'Equity and Bond Returns'!CH6)+(Dashboard!$C$8*'Equity and Bond Returns'!GF6)</f>
        <v>1.5413474474187464E-3</v>
      </c>
      <c r="BW6" s="119">
        <f ca="1">(Dashboard!$C$7*'Equity and Bond Returns'!CI6)+(Dashboard!$C$8*'Equity and Bond Returns'!GG6)</f>
        <v>0.1411059525527916</v>
      </c>
      <c r="BX6" s="119">
        <f ca="1">(Dashboard!$C$7*'Equity and Bond Returns'!CJ6)+(Dashboard!$C$8*'Equity and Bond Returns'!GH6)</f>
        <v>0.23192250063926845</v>
      </c>
      <c r="BY6" s="119">
        <f ca="1">(Dashboard!$C$7*'Equity and Bond Returns'!CK6)+(Dashboard!$C$8*'Equity and Bond Returns'!GI6)</f>
        <v>9.4663991395450814E-2</v>
      </c>
      <c r="BZ6" s="119">
        <f ca="1">(Dashboard!$C$7*'Equity and Bond Returns'!CL6)+(Dashboard!$C$8*'Equity and Bond Returns'!GJ6)</f>
        <v>6.3424453344568976E-2</v>
      </c>
      <c r="CA6" s="119">
        <f ca="1">(Dashboard!$C$7*'Equity and Bond Returns'!CM6)+(Dashboard!$C$8*'Equity and Bond Returns'!GK6)</f>
        <v>-7.1458176713147109E-2</v>
      </c>
      <c r="CB6" s="119">
        <f ca="1">(Dashboard!$C$7*'Equity and Bond Returns'!CN6)+(Dashboard!$C$8*'Equity and Bond Returns'!GL6)</f>
        <v>0.17846285982678051</v>
      </c>
      <c r="CC6" s="119">
        <f ca="1">(Dashboard!$C$7*'Equity and Bond Returns'!CO6)+(Dashboard!$C$8*'Equity and Bond Returns'!GM6)</f>
        <v>-0.25135512941418592</v>
      </c>
      <c r="CD6" s="119">
        <f ca="1">(Dashboard!$C$7*'Equity and Bond Returns'!CP6)+(Dashboard!$C$8*'Equity and Bond Returns'!GN6)</f>
        <v>6.3137890164032359E-2</v>
      </c>
      <c r="CE6" s="119">
        <f ca="1">(Dashboard!$C$7*'Equity and Bond Returns'!CQ6)+(Dashboard!$C$8*'Equity and Bond Returns'!GO6)</f>
        <v>2.2884410845288347E-2</v>
      </c>
      <c r="CF6" s="119">
        <f ca="1">(Dashboard!$C$7*'Equity and Bond Returns'!CR6)+(Dashboard!$C$8*'Equity and Bond Returns'!GP6)</f>
        <v>-0.18975494036056212</v>
      </c>
      <c r="CG6" s="119">
        <f ca="1">(Dashboard!$C$7*'Equity and Bond Returns'!CS6)+(Dashboard!$C$8*'Equity and Bond Returns'!GQ6)</f>
        <v>-4.521648519768065E-2</v>
      </c>
      <c r="CH6" s="119">
        <f ca="1">(Dashboard!$C$7*'Equity and Bond Returns'!CT6)+(Dashboard!$C$8*'Equity and Bond Returns'!GR6)</f>
        <v>0.20948686385069534</v>
      </c>
      <c r="CI6" s="119">
        <f ca="1">(Dashboard!$C$7*'Equity and Bond Returns'!CU6)+(Dashboard!$C$8*'Equity and Bond Returns'!GS6)</f>
        <v>0.20562861530121018</v>
      </c>
      <c r="CJ6" s="119">
        <f ca="1">(Dashboard!$C$7*'Equity and Bond Returns'!CV6)+(Dashboard!$C$8*'Equity and Bond Returns'!GT6)</f>
        <v>9.2634855980251365E-3</v>
      </c>
      <c r="CK6" s="119">
        <f ca="1">(Dashboard!$C$7*'Equity and Bond Returns'!CW6)+(Dashboard!$C$8*'Equity and Bond Returns'!GU6)</f>
        <v>0.15042709254005604</v>
      </c>
      <c r="CL6" s="119">
        <f ca="1">(Dashboard!$C$7*'Equity and Bond Returns'!CX6)+(Dashboard!$C$8*'Equity and Bond Returns'!GV6)</f>
        <v>0.19888463759223451</v>
      </c>
      <c r="CM6" s="119">
        <f ca="1">(Dashboard!$C$7*'Equity and Bond Returns'!CY6)+(Dashboard!$C$8*'Equity and Bond Returns'!GW6)</f>
        <v>4.1235620198797153E-2</v>
      </c>
      <c r="CN6" s="119">
        <f ca="1">(Dashboard!$C$7*'Equity and Bond Returns'!CZ6)+(Dashboard!$C$8*'Equity and Bond Returns'!GX6)</f>
        <v>0.14624576656393215</v>
      </c>
      <c r="CO6" s="119">
        <f ca="1">(Dashboard!$C$7*'Equity and Bond Returns'!DA6)+(Dashboard!$C$8*'Equity and Bond Returns'!GY6)</f>
        <v>-0.15186354600972002</v>
      </c>
      <c r="CP6" s="119">
        <f ca="1">(Dashboard!$C$7*'Equity and Bond Returns'!DB6)+(Dashboard!$C$8*'Equity and Bond Returns'!GZ6)</f>
        <v>0.22191559328124727</v>
      </c>
      <c r="CQ6" s="119">
        <f ca="1">(Dashboard!$C$7*'Equity and Bond Returns'!DC6)+(Dashboard!$C$8*'Equity and Bond Returns'!HA6)</f>
        <v>-0.16308328453937432</v>
      </c>
      <c r="CR6" s="119">
        <f ca="1">(Dashboard!$C$7*'Equity and Bond Returns'!DD6)+(Dashboard!$C$8*'Equity and Bond Returns'!HB6)</f>
        <v>3.6129779084985263E-3</v>
      </c>
      <c r="CS6" s="119">
        <f ca="1">(Dashboard!$C$7*'Equity and Bond Returns'!DE6)+(Dashboard!$C$8*'Equity and Bond Returns'!HC6)</f>
        <v>-0.14543382495511781</v>
      </c>
      <c r="CT6" s="119">
        <f ca="1">(Dashboard!$C$7*'Equity and Bond Returns'!DF6)+(Dashboard!$C$8*'Equity and Bond Returns'!HD6)</f>
        <v>8.7272216829802726E-2</v>
      </c>
      <c r="CU6" s="119">
        <f ca="1">(Dashboard!$C$7*'Equity and Bond Returns'!DG6)+(Dashboard!$C$8*'Equity and Bond Returns'!HE6)</f>
        <v>6.2850292861290791E-2</v>
      </c>
      <c r="CV6" s="119">
        <f ca="1">(Dashboard!$C$7*'Equity and Bond Returns'!DH6)+(Dashboard!$C$8*'Equity and Bond Returns'!HF6)</f>
        <v>0.2380961724206368</v>
      </c>
      <c r="CW6" s="119">
        <f ca="1">(Dashboard!$C$7*'Equity and Bond Returns'!DI6)+(Dashboard!$C$8*'Equity and Bond Returns'!HG6)</f>
        <v>3.0565239619783705E-3</v>
      </c>
      <c r="CY6" s="147">
        <f t="shared" si="5"/>
        <v>55</v>
      </c>
      <c r="CZ6" s="147">
        <v>5</v>
      </c>
      <c r="DA6" s="126">
        <f ca="1">MAX(DA5*(1+B6)-(Dashboard!$C$11)/(1-Dashboard!$C$17)*((1+Dashboard!$C$12)^$CZ6),0)</f>
        <v>695771.53006262472</v>
      </c>
      <c r="DB6" s="126">
        <f ca="1">MAX(DB5*(1+C6)-(Dashboard!$C$11)/(1-Dashboard!$C$17)*((1+Dashboard!$C$12)^$CZ6),0)</f>
        <v>764502.65499931155</v>
      </c>
      <c r="DC6" s="126">
        <f ca="1">MAX(DC5*(1+D6)-(Dashboard!$C$11)/(1-Dashboard!$C$17)*((1+Dashboard!$C$12)^$CZ6),0)</f>
        <v>677890.9962188981</v>
      </c>
      <c r="DD6" s="126">
        <f ca="1">MAX(DD5*(1+E6)-(Dashboard!$C$11)/(1-Dashboard!$C$17)*((1+Dashboard!$C$12)^$CZ6),0)</f>
        <v>850924.90555651241</v>
      </c>
      <c r="DE6" s="126">
        <f ca="1">MAX(DE5*(1+F6)-(Dashboard!$C$11)/(1-Dashboard!$C$17)*((1+Dashboard!$C$12)^$CZ6),0)</f>
        <v>815324.58294276497</v>
      </c>
      <c r="DF6" s="126">
        <f ca="1">MAX(DF5*(1+G6)-(Dashboard!$C$11)/(1-Dashboard!$C$17)*((1+Dashboard!$C$12)^$CZ6),0)</f>
        <v>912591.01756530791</v>
      </c>
      <c r="DG6" s="126">
        <f ca="1">MAX(DG5*(1+H6)-(Dashboard!$C$11)/(1-Dashboard!$C$17)*((1+Dashboard!$C$12)^$CZ6),0)</f>
        <v>458845.59322193492</v>
      </c>
      <c r="DH6" s="126">
        <f ca="1">MAX(DH5*(1+I6)-(Dashboard!$C$11)/(1-Dashboard!$C$17)*((1+Dashboard!$C$12)^$CZ6),0)</f>
        <v>873674.05209501879</v>
      </c>
      <c r="DI6" s="126">
        <f ca="1">MAX(DI5*(1+J6)-(Dashboard!$C$11)/(1-Dashboard!$C$17)*((1+Dashboard!$C$12)^$CZ6),0)</f>
        <v>897339.85456604359</v>
      </c>
      <c r="DJ6" s="126">
        <f ca="1">MAX(DJ5*(1+K6)-(Dashboard!$C$11)/(1-Dashboard!$C$17)*((1+Dashboard!$C$12)^$CZ6),0)</f>
        <v>993521.38877102057</v>
      </c>
      <c r="DK6" s="126">
        <f ca="1">MAX(DK5*(1+L6)-(Dashboard!$C$11)/(1-Dashboard!$C$17)*((1+Dashboard!$C$12)^$CZ6),0)</f>
        <v>691015.95313815842</v>
      </c>
      <c r="DL6" s="126">
        <f ca="1">MAX(DL5*(1+M6)-(Dashboard!$C$11)/(1-Dashboard!$C$17)*((1+Dashboard!$C$12)^$CZ6),0)</f>
        <v>1082531.578245953</v>
      </c>
      <c r="DM6" s="126">
        <f ca="1">MAX(DM5*(1+N6)-(Dashboard!$C$11)/(1-Dashboard!$C$17)*((1+Dashboard!$C$12)^$CZ6),0)</f>
        <v>790414.28968372929</v>
      </c>
      <c r="DN6" s="126">
        <f ca="1">MAX(DN5*(1+O6)-(Dashboard!$C$11)/(1-Dashboard!$C$17)*((1+Dashboard!$C$12)^$CZ6),0)</f>
        <v>1113105.3232114958</v>
      </c>
      <c r="DO6" s="126">
        <f ca="1">MAX(DO5*(1+P6)-(Dashboard!$C$11)/(1-Dashboard!$C$17)*((1+Dashboard!$C$12)^$CZ6),0)</f>
        <v>825309.92146722809</v>
      </c>
      <c r="DP6" s="126">
        <f ca="1">MAX(DP5*(1+Q6)-(Dashboard!$C$11)/(1-Dashboard!$C$17)*((1+Dashboard!$C$12)^$CZ6),0)</f>
        <v>686794.48138805316</v>
      </c>
      <c r="DQ6" s="126">
        <f ca="1">MAX(DQ5*(1+R6)-(Dashboard!$C$11)/(1-Dashboard!$C$17)*((1+Dashboard!$C$12)^$CZ6),0)</f>
        <v>848891.71633261058</v>
      </c>
      <c r="DR6" s="126">
        <f ca="1">MAX(DR5*(1+S6)-(Dashboard!$C$11)/(1-Dashboard!$C$17)*((1+Dashboard!$C$12)^$CZ6),0)</f>
        <v>714926.97941090178</v>
      </c>
      <c r="DS6" s="126">
        <f ca="1">MAX(DS5*(1+T6)-(Dashboard!$C$11)/(1-Dashboard!$C$17)*((1+Dashboard!$C$12)^$CZ6),0)</f>
        <v>860463.31485778792</v>
      </c>
      <c r="DT6" s="126">
        <f ca="1">MAX(DT5*(1+U6)-(Dashboard!$C$11)/(1-Dashboard!$C$17)*((1+Dashboard!$C$12)^$CZ6),0)</f>
        <v>741078.84188327612</v>
      </c>
      <c r="DU6" s="126">
        <f ca="1">MAX(DU5*(1+V6)-(Dashboard!$C$11)/(1-Dashboard!$C$17)*((1+Dashboard!$C$12)^$CZ6),0)</f>
        <v>786078.75884261681</v>
      </c>
      <c r="DV6" s="126">
        <f ca="1">MAX(DV5*(1+W6)-(Dashboard!$C$11)/(1-Dashboard!$C$17)*((1+Dashboard!$C$12)^$CZ6),0)</f>
        <v>796826.6016012372</v>
      </c>
      <c r="DW6" s="126">
        <f ca="1">MAX(DW5*(1+X6)-(Dashboard!$C$11)/(1-Dashboard!$C$17)*((1+Dashboard!$C$12)^$CZ6),0)</f>
        <v>883780.0150974734</v>
      </c>
      <c r="DX6" s="126">
        <f ca="1">MAX(DX5*(1+Y6)-(Dashboard!$C$11)/(1-Dashboard!$C$17)*((1+Dashboard!$C$12)^$CZ6),0)</f>
        <v>673346.73760406661</v>
      </c>
      <c r="DY6" s="126">
        <f ca="1">MAX(DY5*(1+Z6)-(Dashboard!$C$11)/(1-Dashboard!$C$17)*((1+Dashboard!$C$12)^$CZ6),0)</f>
        <v>1151660.8769392725</v>
      </c>
      <c r="DZ6" s="126">
        <f ca="1">MAX(DZ5*(1+AA6)-(Dashboard!$C$11)/(1-Dashboard!$C$17)*((1+Dashboard!$C$12)^$CZ6),0)</f>
        <v>790295.28963004646</v>
      </c>
      <c r="EA6" s="126">
        <f ca="1">MAX(EA5*(1+AB6)-(Dashboard!$C$11)/(1-Dashboard!$C$17)*((1+Dashboard!$C$12)^$CZ6),0)</f>
        <v>598137.23633075645</v>
      </c>
      <c r="EB6" s="126">
        <f ca="1">MAX(EB5*(1+AC6)-(Dashboard!$C$11)/(1-Dashboard!$C$17)*((1+Dashboard!$C$12)^$CZ6),0)</f>
        <v>767092.1996567318</v>
      </c>
      <c r="EC6" s="126">
        <f ca="1">MAX(EC5*(1+AD6)-(Dashboard!$C$11)/(1-Dashboard!$C$17)*((1+Dashboard!$C$12)^$CZ6),0)</f>
        <v>852344.73693043925</v>
      </c>
      <c r="ED6" s="126">
        <f ca="1">MAX(ED5*(1+AE6)-(Dashboard!$C$11)/(1-Dashboard!$C$17)*((1+Dashboard!$C$12)^$CZ6),0)</f>
        <v>908718.96558273409</v>
      </c>
      <c r="EE6" s="126">
        <f ca="1">MAX(EE5*(1+AF6)-(Dashboard!$C$11)/(1-Dashboard!$C$17)*((1+Dashboard!$C$12)^$CZ6),0)</f>
        <v>766102.53050008183</v>
      </c>
      <c r="EF6" s="126">
        <f ca="1">MAX(EF5*(1+AG6)-(Dashboard!$C$11)/(1-Dashboard!$C$17)*((1+Dashboard!$C$12)^$CZ6),0)</f>
        <v>712214.55756147823</v>
      </c>
      <c r="EG6" s="126">
        <f ca="1">MAX(EG5*(1+AH6)-(Dashboard!$C$11)/(1-Dashboard!$C$17)*((1+Dashboard!$C$12)^$CZ6),0)</f>
        <v>929163.71207629144</v>
      </c>
      <c r="EH6" s="126">
        <f ca="1">MAX(EH5*(1+AI6)-(Dashboard!$C$11)/(1-Dashboard!$C$17)*((1+Dashboard!$C$12)^$CZ6),0)</f>
        <v>765533.43240857485</v>
      </c>
      <c r="EI6" s="126">
        <f ca="1">MAX(EI5*(1+AJ6)-(Dashboard!$C$11)/(1-Dashboard!$C$17)*((1+Dashboard!$C$12)^$CZ6),0)</f>
        <v>552481.59400862083</v>
      </c>
      <c r="EJ6" s="126">
        <f ca="1">MAX(EJ5*(1+AK6)-(Dashboard!$C$11)/(1-Dashboard!$C$17)*((1+Dashboard!$C$12)^$CZ6),0)</f>
        <v>1220911.2023606841</v>
      </c>
      <c r="EK6" s="126">
        <f ca="1">MAX(EK5*(1+AL6)-(Dashboard!$C$11)/(1-Dashboard!$C$17)*((1+Dashboard!$C$12)^$CZ6),0)</f>
        <v>774118.54669654369</v>
      </c>
      <c r="EL6" s="126">
        <f ca="1">MAX(EL5*(1+AM6)-(Dashboard!$C$11)/(1-Dashboard!$C$17)*((1+Dashboard!$C$12)^$CZ6),0)</f>
        <v>827477.68782327219</v>
      </c>
      <c r="EM6" s="126">
        <f ca="1">MAX(EM5*(1+AN6)-(Dashboard!$C$11)/(1-Dashboard!$C$17)*((1+Dashboard!$C$12)^$CZ6),0)</f>
        <v>846252.51212434692</v>
      </c>
      <c r="EN6" s="126">
        <f ca="1">MAX(EN5*(1+AO6)-(Dashboard!$C$11)/(1-Dashboard!$C$17)*((1+Dashboard!$C$12)^$CZ6),0)</f>
        <v>1163253.6769710744</v>
      </c>
      <c r="EO6" s="126">
        <f ca="1">MAX(EO5*(1+AP6)-(Dashboard!$C$11)/(1-Dashboard!$C$17)*((1+Dashboard!$C$12)^$CZ6),0)</f>
        <v>658476.51854687207</v>
      </c>
      <c r="EP6" s="126">
        <f ca="1">MAX(EP5*(1+AQ6)-(Dashboard!$C$11)/(1-Dashboard!$C$17)*((1+Dashboard!$C$12)^$CZ6),0)</f>
        <v>787272.84679122327</v>
      </c>
      <c r="EQ6" s="126">
        <f ca="1">MAX(EQ5*(1+AR6)-(Dashboard!$C$11)/(1-Dashboard!$C$17)*((1+Dashboard!$C$12)^$CZ6),0)</f>
        <v>577192.0909096594</v>
      </c>
      <c r="ER6" s="126">
        <f ca="1">MAX(ER5*(1+AS6)-(Dashboard!$C$11)/(1-Dashboard!$C$17)*((1+Dashboard!$C$12)^$CZ6),0)</f>
        <v>615703.6302892688</v>
      </c>
      <c r="ES6" s="126">
        <f ca="1">MAX(ES5*(1+AT6)-(Dashboard!$C$11)/(1-Dashboard!$C$17)*((1+Dashboard!$C$12)^$CZ6),0)</f>
        <v>650723.29622566642</v>
      </c>
      <c r="ET6" s="126">
        <f ca="1">MAX(ET5*(1+AU6)-(Dashboard!$C$11)/(1-Dashboard!$C$17)*((1+Dashboard!$C$12)^$CZ6),0)</f>
        <v>734149.24136552494</v>
      </c>
      <c r="EU6" s="126">
        <f ca="1">MAX(EU5*(1+AV6)-(Dashboard!$C$11)/(1-Dashboard!$C$17)*((1+Dashboard!$C$12)^$CZ6),0)</f>
        <v>907220.39424710849</v>
      </c>
      <c r="EV6" s="126">
        <f ca="1">MAX(EV5*(1+AW6)-(Dashboard!$C$11)/(1-Dashboard!$C$17)*((1+Dashboard!$C$12)^$CZ6),0)</f>
        <v>1058754.5677431831</v>
      </c>
      <c r="EW6" s="126">
        <f ca="1">MAX(EW5*(1+AX6)-(Dashboard!$C$11)/(1-Dashboard!$C$17)*((1+Dashboard!$C$12)^$CZ6),0)</f>
        <v>1022696.6598076822</v>
      </c>
      <c r="EX6" s="126">
        <f ca="1">MAX(EX5*(1+AY6)-(Dashboard!$C$11)/(1-Dashboard!$C$17)*((1+Dashboard!$C$12)^$CZ6),0)</f>
        <v>747304.34108265699</v>
      </c>
      <c r="EY6" s="126">
        <f ca="1">MAX(EY5*(1+AZ6)-(Dashboard!$C$11)/(1-Dashboard!$C$17)*((1+Dashboard!$C$12)^$CZ6),0)</f>
        <v>774386.20617339469</v>
      </c>
      <c r="EZ6" s="126">
        <f ca="1">MAX(EZ5*(1+BA6)-(Dashboard!$C$11)/(1-Dashboard!$C$17)*((1+Dashboard!$C$12)^$CZ6),0)</f>
        <v>697479.18449992221</v>
      </c>
      <c r="FA6" s="126">
        <f ca="1">MAX(FA5*(1+BB6)-(Dashboard!$C$11)/(1-Dashboard!$C$17)*((1+Dashboard!$C$12)^$CZ6),0)</f>
        <v>813968.12016070529</v>
      </c>
      <c r="FB6" s="126">
        <f ca="1">MAX(FB5*(1+BC6)-(Dashboard!$C$11)/(1-Dashboard!$C$17)*((1+Dashboard!$C$12)^$CZ6),0)</f>
        <v>1028835.6918151035</v>
      </c>
      <c r="FC6" s="126">
        <f ca="1">MAX(FC5*(1+BD6)-(Dashboard!$C$11)/(1-Dashboard!$C$17)*((1+Dashboard!$C$12)^$CZ6),0)</f>
        <v>846910.55220183823</v>
      </c>
      <c r="FD6" s="126">
        <f ca="1">MAX(FD5*(1+BE6)-(Dashboard!$C$11)/(1-Dashboard!$C$17)*((1+Dashboard!$C$12)^$CZ6),0)</f>
        <v>1066821.6668311625</v>
      </c>
      <c r="FE6" s="126">
        <f ca="1">MAX(FE5*(1+BF6)-(Dashboard!$C$11)/(1-Dashboard!$C$17)*((1+Dashboard!$C$12)^$CZ6),0)</f>
        <v>993611.24088597216</v>
      </c>
      <c r="FF6" s="126">
        <f ca="1">MAX(FF5*(1+BG6)-(Dashboard!$C$11)/(1-Dashboard!$C$17)*((1+Dashboard!$C$12)^$CZ6),0)</f>
        <v>623371.90017201158</v>
      </c>
      <c r="FG6" s="126">
        <f ca="1">MAX(FG5*(1+BH6)-(Dashboard!$C$11)/(1-Dashboard!$C$17)*((1+Dashboard!$C$12)^$CZ6),0)</f>
        <v>854451.71368126431</v>
      </c>
      <c r="FH6" s="126">
        <f ca="1">MAX(FH5*(1+BI6)-(Dashboard!$C$11)/(1-Dashboard!$C$17)*((1+Dashboard!$C$12)^$CZ6),0)</f>
        <v>727097.08133076061</v>
      </c>
      <c r="FI6" s="126">
        <f ca="1">MAX(FI5*(1+BJ6)-(Dashboard!$C$11)/(1-Dashboard!$C$17)*((1+Dashboard!$C$12)^$CZ6),0)</f>
        <v>959539.18661097519</v>
      </c>
      <c r="FJ6" s="126">
        <f ca="1">MAX(FJ5*(1+BK6)-(Dashboard!$C$11)/(1-Dashboard!$C$17)*((1+Dashboard!$C$12)^$CZ6),0)</f>
        <v>718707.99638530193</v>
      </c>
      <c r="FK6" s="126">
        <f ca="1">MAX(FK5*(1+BL6)-(Dashboard!$C$11)/(1-Dashboard!$C$17)*((1+Dashboard!$C$12)^$CZ6),0)</f>
        <v>600533.59816447739</v>
      </c>
      <c r="FL6" s="126">
        <f ca="1">MAX(FL5*(1+BM6)-(Dashboard!$C$11)/(1-Dashboard!$C$17)*((1+Dashboard!$C$12)^$CZ6),0)</f>
        <v>866746.57097538735</v>
      </c>
      <c r="FM6" s="126">
        <f ca="1">MAX(FM5*(1+BN6)-(Dashboard!$C$11)/(1-Dashboard!$C$17)*((1+Dashboard!$C$12)^$CZ6),0)</f>
        <v>676136.23946892621</v>
      </c>
      <c r="FN6" s="126">
        <f ca="1">MAX(FN5*(1+BO6)-(Dashboard!$C$11)/(1-Dashboard!$C$17)*((1+Dashboard!$C$12)^$CZ6),0)</f>
        <v>591097.88941676938</v>
      </c>
      <c r="FO6" s="126">
        <f ca="1">MAX(FO5*(1+BP6)-(Dashboard!$C$11)/(1-Dashboard!$C$17)*((1+Dashboard!$C$12)^$CZ6),0)</f>
        <v>845589.04420774931</v>
      </c>
      <c r="FP6" s="126">
        <f ca="1">MAX(FP5*(1+BQ6)-(Dashboard!$C$11)/(1-Dashboard!$C$17)*((1+Dashboard!$C$12)^$CZ6),0)</f>
        <v>627212.87474574358</v>
      </c>
      <c r="FQ6" s="126">
        <f ca="1">MAX(FQ5*(1+BR6)-(Dashboard!$C$11)/(1-Dashboard!$C$17)*((1+Dashboard!$C$12)^$CZ6),0)</f>
        <v>997910.67079796945</v>
      </c>
      <c r="FR6" s="126">
        <f ca="1">MAX(FR5*(1+BS6)-(Dashboard!$C$11)/(1-Dashboard!$C$17)*((1+Dashboard!$C$12)^$CZ6),0)</f>
        <v>1241784.3741428901</v>
      </c>
      <c r="FS6" s="126">
        <f ca="1">MAX(FS5*(1+BT6)-(Dashboard!$C$11)/(1-Dashboard!$C$17)*((1+Dashboard!$C$12)^$CZ6),0)</f>
        <v>947070.74672544422</v>
      </c>
      <c r="FT6" s="126">
        <f ca="1">MAX(FT5*(1+BU6)-(Dashboard!$C$11)/(1-Dashboard!$C$17)*((1+Dashboard!$C$12)^$CZ6),0)</f>
        <v>569301.00194702239</v>
      </c>
      <c r="FU6" s="126">
        <f ca="1">MAX(FU5*(1+BV6)-(Dashboard!$C$11)/(1-Dashboard!$C$17)*((1+Dashboard!$C$12)^$CZ6),0)</f>
        <v>933598.2370093927</v>
      </c>
      <c r="FV6" s="126">
        <f ca="1">MAX(FV5*(1+BW6)-(Dashboard!$C$11)/(1-Dashboard!$C$17)*((1+Dashboard!$C$12)^$CZ6),0)</f>
        <v>384806.84041572193</v>
      </c>
      <c r="FW6" s="126">
        <f ca="1">MAX(FW5*(1+BX6)-(Dashboard!$C$11)/(1-Dashboard!$C$17)*((1+Dashboard!$C$12)^$CZ6),0)</f>
        <v>683053.94305512449</v>
      </c>
      <c r="FX6" s="126">
        <f ca="1">MAX(FX5*(1+BY6)-(Dashboard!$C$11)/(1-Dashboard!$C$17)*((1+Dashboard!$C$12)^$CZ6),0)</f>
        <v>780763.98415794654</v>
      </c>
      <c r="FY6" s="126">
        <f ca="1">MAX(FY5*(1+BZ6)-(Dashboard!$C$11)/(1-Dashboard!$C$17)*((1+Dashboard!$C$12)^$CZ6),0)</f>
        <v>678038.95875885792</v>
      </c>
      <c r="FZ6" s="126">
        <f ca="1">MAX(FZ5*(1+CA6)-(Dashboard!$C$11)/(1-Dashboard!$C$17)*((1+Dashboard!$C$12)^$CZ6),0)</f>
        <v>660115.6524326487</v>
      </c>
      <c r="GA6" s="126">
        <f ca="1">MAX(GA5*(1+CB6)-(Dashboard!$C$11)/(1-Dashboard!$C$17)*((1+Dashboard!$C$12)^$CZ6),0)</f>
        <v>933958.40404809476</v>
      </c>
      <c r="GB6" s="126">
        <f ca="1">MAX(GB5*(1+CC6)-(Dashboard!$C$11)/(1-Dashboard!$C$17)*((1+Dashboard!$C$12)^$CZ6),0)</f>
        <v>668705.78584483208</v>
      </c>
      <c r="GC6" s="126">
        <f ca="1">MAX(GC5*(1+CD6)-(Dashboard!$C$11)/(1-Dashboard!$C$17)*((1+Dashboard!$C$12)^$CZ6),0)</f>
        <v>771226.15731203451</v>
      </c>
      <c r="GD6" s="126">
        <f ca="1">MAX(GD5*(1+CE6)-(Dashboard!$C$11)/(1-Dashboard!$C$17)*((1+Dashboard!$C$12)^$CZ6),0)</f>
        <v>630358.18892733741</v>
      </c>
      <c r="GE6" s="126">
        <f ca="1">MAX(GE5*(1+CF6)-(Dashboard!$C$11)/(1-Dashboard!$C$17)*((1+Dashboard!$C$12)^$CZ6),0)</f>
        <v>621238.08613971586</v>
      </c>
      <c r="GF6" s="126">
        <f ca="1">MAX(GF5*(1+CG6)-(Dashboard!$C$11)/(1-Dashboard!$C$17)*((1+Dashboard!$C$12)^$CZ6),0)</f>
        <v>995641.97919620655</v>
      </c>
      <c r="GG6" s="126">
        <f ca="1">MAX(GG5*(1+CH6)-(Dashboard!$C$11)/(1-Dashboard!$C$17)*((1+Dashboard!$C$12)^$CZ6),0)</f>
        <v>760910.48673171864</v>
      </c>
      <c r="GH6" s="126">
        <f ca="1">MAX(GH5*(1+CI6)-(Dashboard!$C$11)/(1-Dashboard!$C$17)*((1+Dashboard!$C$12)^$CZ6),0)</f>
        <v>661485.87511533406</v>
      </c>
      <c r="GI6" s="126">
        <f ca="1">MAX(GI5*(1+CJ6)-(Dashboard!$C$11)/(1-Dashboard!$C$17)*((1+Dashboard!$C$12)^$CZ6),0)</f>
        <v>856070.7753171284</v>
      </c>
      <c r="GJ6" s="126">
        <f ca="1">MAX(GJ5*(1+CK6)-(Dashboard!$C$11)/(1-Dashboard!$C$17)*((1+Dashboard!$C$12)^$CZ6),0)</f>
        <v>791051.43611738458</v>
      </c>
      <c r="GK6" s="126">
        <f ca="1">MAX(GK5*(1+CL6)-(Dashboard!$C$11)/(1-Dashboard!$C$17)*((1+Dashboard!$C$12)^$CZ6),0)</f>
        <v>1205685.8187843941</v>
      </c>
      <c r="GL6" s="126">
        <f ca="1">MAX(GL5*(1+CM6)-(Dashboard!$C$11)/(1-Dashboard!$C$17)*((1+Dashboard!$C$12)^$CZ6),0)</f>
        <v>949123.88205901778</v>
      </c>
      <c r="GM6" s="126">
        <f ca="1">MAX(GM5*(1+CN6)-(Dashboard!$C$11)/(1-Dashboard!$C$17)*((1+Dashboard!$C$12)^$CZ6),0)</f>
        <v>1216421.6729675208</v>
      </c>
      <c r="GN6" s="126">
        <f ca="1">MAX(GN5*(1+CO6)-(Dashboard!$C$11)/(1-Dashboard!$C$17)*((1+Dashboard!$C$12)^$CZ6),0)</f>
        <v>527254.24389159423</v>
      </c>
      <c r="GO6" s="126">
        <f ca="1">MAX(GO5*(1+CP6)-(Dashboard!$C$11)/(1-Dashboard!$C$17)*((1+Dashboard!$C$12)^$CZ6),0)</f>
        <v>678524.49320415442</v>
      </c>
      <c r="GP6" s="126">
        <f ca="1">MAX(GP5*(1+CQ6)-(Dashboard!$C$11)/(1-Dashboard!$C$17)*((1+Dashboard!$C$12)^$CZ6),0)</f>
        <v>657855.42532030889</v>
      </c>
      <c r="GQ6" s="126">
        <f ca="1">MAX(GQ5*(1+CR6)-(Dashboard!$C$11)/(1-Dashboard!$C$17)*((1+Dashboard!$C$12)^$CZ6),0)</f>
        <v>707833.67491817835</v>
      </c>
      <c r="GR6" s="126">
        <f ca="1">MAX(GR5*(1+CS6)-(Dashboard!$C$11)/(1-Dashboard!$C$17)*((1+Dashboard!$C$12)^$CZ6),0)</f>
        <v>579157.3894200311</v>
      </c>
      <c r="GS6" s="126">
        <f ca="1">MAX(GS5*(1+CT6)-(Dashboard!$C$11)/(1-Dashboard!$C$17)*((1+Dashboard!$C$12)^$CZ6),0)</f>
        <v>881847.49441568844</v>
      </c>
      <c r="GT6" s="126">
        <f ca="1">MAX(GT5*(1+CU6)-(Dashboard!$C$11)/(1-Dashboard!$C$17)*((1+Dashboard!$C$12)^$CZ6),0)</f>
        <v>739418.16003634641</v>
      </c>
      <c r="GU6" s="126">
        <f ca="1">MAX(GU5*(1+CV6)-(Dashboard!$C$11)/(1-Dashboard!$C$17)*((1+Dashboard!$C$12)^$CZ6),0)</f>
        <v>524321.00245988346</v>
      </c>
      <c r="GV6" s="126">
        <f ca="1">MAX(GV5*(1+CW6)-(Dashboard!$C$11)/(1-Dashboard!$C$17)*((1+Dashboard!$C$12)^$CZ6),0)</f>
        <v>307841.01318103005</v>
      </c>
      <c r="GW6" s="115">
        <f t="shared" si="4"/>
        <v>55</v>
      </c>
      <c r="GX6" s="130">
        <f t="shared" ca="1" si="2"/>
        <v>100</v>
      </c>
      <c r="HC6" s="130">
        <f t="shared" si="0"/>
        <v>55</v>
      </c>
      <c r="HD6" s="137">
        <f t="shared" ca="1" si="1"/>
        <v>674044.11307028146</v>
      </c>
      <c r="HE6" s="137">
        <f t="shared" ca="1" si="1"/>
        <v>774252.37643496925</v>
      </c>
      <c r="HF6" s="137">
        <f t="shared" ca="1" si="1"/>
        <v>893949.8946989011</v>
      </c>
    </row>
    <row r="7" spans="1:214" ht="16">
      <c r="A7" s="145">
        <f t="shared" si="3"/>
        <v>56</v>
      </c>
      <c r="B7" s="119">
        <f ca="1">(Dashboard!$C$7*'Equity and Bond Returns'!N7)+(Dashboard!$C$8*'Equity and Bond Returns'!DL7)</f>
        <v>3.6749583743919616E-2</v>
      </c>
      <c r="C7" s="119">
        <f ca="1">(Dashboard!$C$7*'Equity and Bond Returns'!O7)+(Dashboard!$C$8*'Equity and Bond Returns'!DM7)</f>
        <v>-0.28524666068090027</v>
      </c>
      <c r="D7" s="119">
        <f ca="1">(Dashboard!$C$7*'Equity and Bond Returns'!P7)+(Dashboard!$C$8*'Equity and Bond Returns'!DN7)</f>
        <v>0.2734554353887666</v>
      </c>
      <c r="E7" s="119">
        <f ca="1">(Dashboard!$C$7*'Equity and Bond Returns'!Q7)+(Dashboard!$C$8*'Equity and Bond Returns'!DO7)</f>
        <v>1.0392199812278596E-2</v>
      </c>
      <c r="F7" s="119">
        <f ca="1">(Dashboard!$C$7*'Equity and Bond Returns'!R7)+(Dashboard!$C$8*'Equity and Bond Returns'!DP7)</f>
        <v>4.3220812543659712E-2</v>
      </c>
      <c r="G7" s="119">
        <f ca="1">(Dashboard!$C$7*'Equity and Bond Returns'!S7)+(Dashboard!$C$8*'Equity and Bond Returns'!DQ7)</f>
        <v>0.30011006072152968</v>
      </c>
      <c r="H7" s="119">
        <f ca="1">(Dashboard!$C$7*'Equity and Bond Returns'!T7)+(Dashboard!$C$8*'Equity and Bond Returns'!DR7)</f>
        <v>-0.14076430715029503</v>
      </c>
      <c r="I7" s="119">
        <f ca="1">(Dashboard!$C$7*'Equity and Bond Returns'!U7)+(Dashboard!$C$8*'Equity and Bond Returns'!DS7)</f>
        <v>0.13942160207750687</v>
      </c>
      <c r="J7" s="119">
        <f ca="1">(Dashboard!$C$7*'Equity and Bond Returns'!V7)+(Dashboard!$C$8*'Equity and Bond Returns'!DT7)</f>
        <v>3.7135667746190315E-2</v>
      </c>
      <c r="K7" s="119">
        <f ca="1">(Dashboard!$C$7*'Equity and Bond Returns'!W7)+(Dashboard!$C$8*'Equity and Bond Returns'!DU7)</f>
        <v>-6.0917676334069575E-2</v>
      </c>
      <c r="L7" s="119">
        <f ca="1">(Dashboard!$C$7*'Equity and Bond Returns'!X7)+(Dashboard!$C$8*'Equity and Bond Returns'!DV7)</f>
        <v>0.34665027418271677</v>
      </c>
      <c r="M7" s="119">
        <f ca="1">(Dashboard!$C$7*'Equity and Bond Returns'!Y7)+(Dashboard!$C$8*'Equity and Bond Returns'!DW7)</f>
        <v>0.34738838653393289</v>
      </c>
      <c r="N7" s="119">
        <f ca="1">(Dashboard!$C$7*'Equity and Bond Returns'!Z7)+(Dashboard!$C$8*'Equity and Bond Returns'!DX7)</f>
        <v>0.17764447416098125</v>
      </c>
      <c r="O7" s="119">
        <f ca="1">(Dashboard!$C$7*'Equity and Bond Returns'!AA7)+(Dashboard!$C$8*'Equity and Bond Returns'!DY7)</f>
        <v>0.32380029952487621</v>
      </c>
      <c r="P7" s="119">
        <f ca="1">(Dashboard!$C$7*'Equity and Bond Returns'!AB7)+(Dashboard!$C$8*'Equity and Bond Returns'!DZ7)</f>
        <v>0.13394364558820349</v>
      </c>
      <c r="Q7" s="119">
        <f ca="1">(Dashboard!$C$7*'Equity and Bond Returns'!AC7)+(Dashboard!$C$8*'Equity and Bond Returns'!EA7)</f>
        <v>5.206901406315486E-2</v>
      </c>
      <c r="R7" s="119">
        <f ca="1">(Dashboard!$C$7*'Equity and Bond Returns'!AD7)+(Dashboard!$C$8*'Equity and Bond Returns'!EB7)</f>
        <v>0.16472223683199308</v>
      </c>
      <c r="S7" s="119">
        <f ca="1">(Dashboard!$C$7*'Equity and Bond Returns'!AE7)+(Dashboard!$C$8*'Equity and Bond Returns'!EC7)</f>
        <v>-0.11721281798385651</v>
      </c>
      <c r="T7" s="119">
        <f ca="1">(Dashboard!$C$7*'Equity and Bond Returns'!AF7)+(Dashboard!$C$8*'Equity and Bond Returns'!ED7)</f>
        <v>4.0557175803802373E-3</v>
      </c>
      <c r="U7" s="119">
        <f ca="1">(Dashboard!$C$7*'Equity and Bond Returns'!AG7)+(Dashboard!$C$8*'Equity and Bond Returns'!EE7)</f>
        <v>-1.765423979190802E-2</v>
      </c>
      <c r="V7" s="119">
        <f ca="1">(Dashboard!$C$7*'Equity and Bond Returns'!AH7)+(Dashboard!$C$8*'Equity and Bond Returns'!EF7)</f>
        <v>0.26426467829268768</v>
      </c>
      <c r="W7" s="119">
        <f ca="1">(Dashboard!$C$7*'Equity and Bond Returns'!AI7)+(Dashboard!$C$8*'Equity and Bond Returns'!EG7)</f>
        <v>0.16821461362939905</v>
      </c>
      <c r="X7" s="119">
        <f ca="1">(Dashboard!$C$7*'Equity and Bond Returns'!AJ7)+(Dashboard!$C$8*'Equity and Bond Returns'!EH7)</f>
        <v>0.22551377452579999</v>
      </c>
      <c r="Y7" s="119">
        <f ca="1">(Dashboard!$C$7*'Equity and Bond Returns'!AK7)+(Dashboard!$C$8*'Equity and Bond Returns'!EI7)</f>
        <v>8.7307423639343226E-2</v>
      </c>
      <c r="Z7" s="119">
        <f ca="1">(Dashboard!$C$7*'Equity and Bond Returns'!AL7)+(Dashboard!$C$8*'Equity and Bond Returns'!EJ7)</f>
        <v>5.0248668668907988E-2</v>
      </c>
      <c r="AA7" s="119">
        <f ca="1">(Dashboard!$C$7*'Equity and Bond Returns'!AM7)+(Dashboard!$C$8*'Equity and Bond Returns'!EK7)</f>
        <v>-0.23017650478796575</v>
      </c>
      <c r="AB7" s="119">
        <f ca="1">(Dashboard!$C$7*'Equity and Bond Returns'!AN7)+(Dashboard!$C$8*'Equity and Bond Returns'!EL7)</f>
        <v>-1.2988189564816677E-2</v>
      </c>
      <c r="AC7" s="119">
        <f ca="1">(Dashboard!$C$7*'Equity and Bond Returns'!AO7)+(Dashboard!$C$8*'Equity and Bond Returns'!EM7)</f>
        <v>0.22188484207225953</v>
      </c>
      <c r="AD7" s="119">
        <f ca="1">(Dashboard!$C$7*'Equity and Bond Returns'!AP7)+(Dashboard!$C$8*'Equity and Bond Returns'!EN7)</f>
        <v>-0.12827585910641262</v>
      </c>
      <c r="AE7" s="119">
        <f ca="1">(Dashboard!$C$7*'Equity and Bond Returns'!AQ7)+(Dashboard!$C$8*'Equity and Bond Returns'!EO7)</f>
        <v>8.934498778684577E-2</v>
      </c>
      <c r="AF7" s="119">
        <f ca="1">(Dashboard!$C$7*'Equity and Bond Returns'!AR7)+(Dashboard!$C$8*'Equity and Bond Returns'!EP7)</f>
        <v>0.25294480576733908</v>
      </c>
      <c r="AG7" s="119">
        <f ca="1">(Dashboard!$C$7*'Equity and Bond Returns'!AS7)+(Dashboard!$C$8*'Equity and Bond Returns'!EQ7)</f>
        <v>0.23666376793009111</v>
      </c>
      <c r="AH7" s="119">
        <f ca="1">(Dashboard!$C$7*'Equity and Bond Returns'!AT7)+(Dashboard!$C$8*'Equity and Bond Returns'!ER7)</f>
        <v>0.21633510956999935</v>
      </c>
      <c r="AI7" s="119">
        <f ca="1">(Dashboard!$C$7*'Equity and Bond Returns'!AU7)+(Dashboard!$C$8*'Equity and Bond Returns'!ES7)</f>
        <v>-4.8990637495769984E-2</v>
      </c>
      <c r="AJ7" s="119">
        <f ca="1">(Dashboard!$C$7*'Equity and Bond Returns'!AV7)+(Dashboard!$C$8*'Equity and Bond Returns'!ET7)</f>
        <v>-0.13554072879371756</v>
      </c>
      <c r="AK7" s="119">
        <f ca="1">(Dashboard!$C$7*'Equity and Bond Returns'!AW7)+(Dashboard!$C$8*'Equity and Bond Returns'!EU7)</f>
        <v>-6.7160330813159419E-2</v>
      </c>
      <c r="AL7" s="119">
        <f ca="1">(Dashboard!$C$7*'Equity and Bond Returns'!AX7)+(Dashboard!$C$8*'Equity and Bond Returns'!EV7)</f>
        <v>9.4146130902607206E-2</v>
      </c>
      <c r="AM7" s="119">
        <f ca="1">(Dashboard!$C$7*'Equity and Bond Returns'!AY7)+(Dashboard!$C$8*'Equity and Bond Returns'!EW7)</f>
        <v>0.16176019346165157</v>
      </c>
      <c r="AN7" s="119">
        <f ca="1">(Dashboard!$C$7*'Equity and Bond Returns'!AZ7)+(Dashboard!$C$8*'Equity and Bond Returns'!EX7)</f>
        <v>0.10906317836669843</v>
      </c>
      <c r="AO7" s="119">
        <f ca="1">(Dashboard!$C$7*'Equity and Bond Returns'!BA7)+(Dashboard!$C$8*'Equity and Bond Returns'!EY7)</f>
        <v>0.26341574453692768</v>
      </c>
      <c r="AP7" s="119">
        <f ca="1">(Dashboard!$C$7*'Equity and Bond Returns'!BB7)+(Dashboard!$C$8*'Equity and Bond Returns'!EZ7)</f>
        <v>-0.25785003895333758</v>
      </c>
      <c r="AQ7" s="119">
        <f ca="1">(Dashboard!$C$7*'Equity and Bond Returns'!BC7)+(Dashboard!$C$8*'Equity and Bond Returns'!FA7)</f>
        <v>-0.11412780194652</v>
      </c>
      <c r="AR7" s="119">
        <f ca="1">(Dashboard!$C$7*'Equity and Bond Returns'!BD7)+(Dashboard!$C$8*'Equity and Bond Returns'!FB7)</f>
        <v>-6.2459046508261902E-2</v>
      </c>
      <c r="AS7" s="119">
        <f ca="1">(Dashboard!$C$7*'Equity and Bond Returns'!BE7)+(Dashboard!$C$8*'Equity and Bond Returns'!FC7)</f>
        <v>0.10527148991192001</v>
      </c>
      <c r="AT7" s="119">
        <f ca="1">(Dashboard!$C$7*'Equity and Bond Returns'!BF7)+(Dashboard!$C$8*'Equity and Bond Returns'!FD7)</f>
        <v>-0.10123380506684872</v>
      </c>
      <c r="AU7" s="119">
        <f ca="1">(Dashboard!$C$7*'Equity and Bond Returns'!BG7)+(Dashboard!$C$8*'Equity and Bond Returns'!FE7)</f>
        <v>0.18546541852907772</v>
      </c>
      <c r="AV7" s="119">
        <f ca="1">(Dashboard!$C$7*'Equity and Bond Returns'!BH7)+(Dashboard!$C$8*'Equity and Bond Returns'!FF7)</f>
        <v>-0.12613629658432901</v>
      </c>
      <c r="AW7" s="119">
        <f ca="1">(Dashboard!$C$7*'Equity and Bond Returns'!BI7)+(Dashboard!$C$8*'Equity and Bond Returns'!FG7)</f>
        <v>0.42698241901845457</v>
      </c>
      <c r="AX7" s="119">
        <f ca="1">(Dashboard!$C$7*'Equity and Bond Returns'!BJ7)+(Dashboard!$C$8*'Equity and Bond Returns'!FH7)</f>
        <v>0.11775071609703966</v>
      </c>
      <c r="AY7" s="119">
        <f ca="1">(Dashboard!$C$7*'Equity and Bond Returns'!BK7)+(Dashboard!$C$8*'Equity and Bond Returns'!FI7)</f>
        <v>0.39684460766150653</v>
      </c>
      <c r="AZ7" s="119">
        <f ca="1">(Dashboard!$C$7*'Equity and Bond Returns'!BL7)+(Dashboard!$C$8*'Equity and Bond Returns'!FJ7)</f>
        <v>0.11058036983739966</v>
      </c>
      <c r="BA7" s="119">
        <f ca="1">(Dashboard!$C$7*'Equity and Bond Returns'!BM7)+(Dashboard!$C$8*'Equity and Bond Returns'!FK7)</f>
        <v>-0.15995744922084329</v>
      </c>
      <c r="BB7" s="119">
        <f ca="1">(Dashboard!$C$7*'Equity and Bond Returns'!BN7)+(Dashboard!$C$8*'Equity and Bond Returns'!FL7)</f>
        <v>-3.9071347417885212E-2</v>
      </c>
      <c r="BC7" s="119">
        <f ca="1">(Dashboard!$C$7*'Equity and Bond Returns'!BO7)+(Dashboard!$C$8*'Equity and Bond Returns'!FM7)</f>
        <v>0.18726565072966389</v>
      </c>
      <c r="BD7" s="119">
        <f ca="1">(Dashboard!$C$7*'Equity and Bond Returns'!BP7)+(Dashboard!$C$8*'Equity and Bond Returns'!FN7)</f>
        <v>-9.2478859377034706E-2</v>
      </c>
      <c r="BE7" s="119">
        <f ca="1">(Dashboard!$C$7*'Equity and Bond Returns'!BQ7)+(Dashboard!$C$8*'Equity and Bond Returns'!FO7)</f>
        <v>7.4394366878210827E-2</v>
      </c>
      <c r="BF7" s="119">
        <f ca="1">(Dashboard!$C$7*'Equity and Bond Returns'!BR7)+(Dashboard!$C$8*'Equity and Bond Returns'!FP7)</f>
        <v>2.3512739321609639E-2</v>
      </c>
      <c r="BG7" s="119">
        <f ca="1">(Dashboard!$C$7*'Equity and Bond Returns'!BS7)+(Dashboard!$C$8*'Equity and Bond Returns'!FQ7)</f>
        <v>0.32582830528751738</v>
      </c>
      <c r="BH7" s="119">
        <f ca="1">(Dashboard!$C$7*'Equity and Bond Returns'!BT7)+(Dashboard!$C$8*'Equity and Bond Returns'!FR7)</f>
        <v>0.20062248866979862</v>
      </c>
      <c r="BI7" s="119">
        <f ca="1">(Dashboard!$C$7*'Equity and Bond Returns'!BU7)+(Dashboard!$C$8*'Equity and Bond Returns'!FS7)</f>
        <v>9.8634658340587045E-2</v>
      </c>
      <c r="BJ7" s="119">
        <f ca="1">(Dashboard!$C$7*'Equity and Bond Returns'!BV7)+(Dashboard!$C$8*'Equity and Bond Returns'!FT7)</f>
        <v>1.3692989677023057E-2</v>
      </c>
      <c r="BK7" s="119">
        <f ca="1">(Dashboard!$C$7*'Equity and Bond Returns'!BW7)+(Dashboard!$C$8*'Equity and Bond Returns'!FU7)</f>
        <v>-6.2626781627865447E-2</v>
      </c>
      <c r="BL7" s="119">
        <f ca="1">(Dashboard!$C$7*'Equity and Bond Returns'!BX7)+(Dashboard!$C$8*'Equity and Bond Returns'!FV7)</f>
        <v>8.4239759898669983E-2</v>
      </c>
      <c r="BM7" s="119">
        <f ca="1">(Dashboard!$C$7*'Equity and Bond Returns'!BY7)+(Dashboard!$C$8*'Equity and Bond Returns'!FW7)</f>
        <v>0.14514888990395494</v>
      </c>
      <c r="BN7" s="119">
        <f ca="1">(Dashboard!$C$7*'Equity and Bond Returns'!BZ7)+(Dashboard!$C$8*'Equity and Bond Returns'!FX7)</f>
        <v>7.9516845282356766E-2</v>
      </c>
      <c r="BO7" s="119">
        <f ca="1">(Dashboard!$C$7*'Equity and Bond Returns'!CA7)+(Dashboard!$C$8*'Equity and Bond Returns'!FY7)</f>
        <v>-2.5134124995378815E-2</v>
      </c>
      <c r="BP7" s="119">
        <f ca="1">(Dashboard!$C$7*'Equity and Bond Returns'!CB7)+(Dashboard!$C$8*'Equity and Bond Returns'!FZ7)</f>
        <v>0.2598715767436735</v>
      </c>
      <c r="BQ7" s="119">
        <f ca="1">(Dashboard!$C$7*'Equity and Bond Returns'!CC7)+(Dashboard!$C$8*'Equity and Bond Returns'!GA7)</f>
        <v>-2.1808724014174816E-2</v>
      </c>
      <c r="BR7" s="119">
        <f ca="1">(Dashboard!$C$7*'Equity and Bond Returns'!CD7)+(Dashboard!$C$8*'Equity and Bond Returns'!GB7)</f>
        <v>9.1082875966359667E-2</v>
      </c>
      <c r="BS7" s="119">
        <f ca="1">(Dashboard!$C$7*'Equity and Bond Returns'!CE7)+(Dashboard!$C$8*'Equity and Bond Returns'!GC7)</f>
        <v>0.1086187109081193</v>
      </c>
      <c r="BT7" s="119">
        <f ca="1">(Dashboard!$C$7*'Equity and Bond Returns'!CF7)+(Dashboard!$C$8*'Equity and Bond Returns'!GD7)</f>
        <v>4.1099520328724895E-2</v>
      </c>
      <c r="BU7" s="119">
        <f ca="1">(Dashboard!$C$7*'Equity and Bond Returns'!CG7)+(Dashboard!$C$8*'Equity and Bond Returns'!GE7)</f>
        <v>0.29909064718576472</v>
      </c>
      <c r="BV7" s="119">
        <f ca="1">(Dashboard!$C$7*'Equity and Bond Returns'!CH7)+(Dashboard!$C$8*'Equity and Bond Returns'!GF7)</f>
        <v>4.8266142258324596E-2</v>
      </c>
      <c r="BW7" s="119">
        <f ca="1">(Dashboard!$C$7*'Equity and Bond Returns'!CI7)+(Dashboard!$C$8*'Equity and Bond Returns'!GG7)</f>
        <v>9.0012666235543631E-2</v>
      </c>
      <c r="BX7" s="119">
        <f ca="1">(Dashboard!$C$7*'Equity and Bond Returns'!CJ7)+(Dashboard!$C$8*'Equity and Bond Returns'!GH7)</f>
        <v>0.43348159190781393</v>
      </c>
      <c r="BY7" s="119">
        <f ca="1">(Dashboard!$C$7*'Equity and Bond Returns'!CK7)+(Dashboard!$C$8*'Equity and Bond Returns'!GI7)</f>
        <v>3.1927525204643765E-2</v>
      </c>
      <c r="BZ7" s="119">
        <f ca="1">(Dashboard!$C$7*'Equity and Bond Returns'!CL7)+(Dashboard!$C$8*'Equity and Bond Returns'!GJ7)</f>
        <v>1.842058337217832E-2</v>
      </c>
      <c r="CA7" s="119">
        <f ca="1">(Dashboard!$C$7*'Equity and Bond Returns'!CM7)+(Dashboard!$C$8*'Equity and Bond Returns'!GK7)</f>
        <v>0.10154017058122068</v>
      </c>
      <c r="CB7" s="119">
        <f ca="1">(Dashboard!$C$7*'Equity and Bond Returns'!CN7)+(Dashboard!$C$8*'Equity and Bond Returns'!GL7)</f>
        <v>0.27148966869462704</v>
      </c>
      <c r="CC7" s="119">
        <f ca="1">(Dashboard!$C$7*'Equity and Bond Returns'!CO7)+(Dashboard!$C$8*'Equity and Bond Returns'!GM7)</f>
        <v>0.10630437887775332</v>
      </c>
      <c r="CD7" s="119">
        <f ca="1">(Dashboard!$C$7*'Equity and Bond Returns'!CP7)+(Dashboard!$C$8*'Equity and Bond Returns'!GN7)</f>
        <v>0.35718332333702812</v>
      </c>
      <c r="CE7" s="119">
        <f ca="1">(Dashboard!$C$7*'Equity and Bond Returns'!CQ7)+(Dashboard!$C$8*'Equity and Bond Returns'!GO7)</f>
        <v>2.5403133697677265E-2</v>
      </c>
      <c r="CF7" s="119">
        <f ca="1">(Dashboard!$C$7*'Equity and Bond Returns'!CR7)+(Dashboard!$C$8*'Equity and Bond Returns'!GP7)</f>
        <v>0.25893677349701982</v>
      </c>
      <c r="CG7" s="119">
        <f ca="1">(Dashboard!$C$7*'Equity and Bond Returns'!CS7)+(Dashboard!$C$8*'Equity and Bond Returns'!GQ7)</f>
        <v>0.18895077551253903</v>
      </c>
      <c r="CH7" s="119">
        <f ca="1">(Dashboard!$C$7*'Equity and Bond Returns'!CT7)+(Dashboard!$C$8*'Equity and Bond Returns'!GR7)</f>
        <v>-8.3241606397447251E-2</v>
      </c>
      <c r="CI7" s="119">
        <f ca="1">(Dashboard!$C$7*'Equity and Bond Returns'!CU7)+(Dashboard!$C$8*'Equity and Bond Returns'!GS7)</f>
        <v>3.8244630044056753E-2</v>
      </c>
      <c r="CJ7" s="119">
        <f ca="1">(Dashboard!$C$7*'Equity and Bond Returns'!CV7)+(Dashboard!$C$8*'Equity and Bond Returns'!GT7)</f>
        <v>-0.28799678564004283</v>
      </c>
      <c r="CK7" s="119">
        <f ca="1">(Dashboard!$C$7*'Equity and Bond Returns'!CW7)+(Dashboard!$C$8*'Equity and Bond Returns'!GU7)</f>
        <v>6.4605603089083391E-2</v>
      </c>
      <c r="CL7" s="119">
        <f ca="1">(Dashboard!$C$7*'Equity and Bond Returns'!CX7)+(Dashboard!$C$8*'Equity and Bond Returns'!GV7)</f>
        <v>0.11696279423151333</v>
      </c>
      <c r="CM7" s="119">
        <f ca="1">(Dashboard!$C$7*'Equity and Bond Returns'!CY7)+(Dashboard!$C$8*'Equity and Bond Returns'!GW7)</f>
        <v>0.18832787601653769</v>
      </c>
      <c r="CN7" s="119">
        <f ca="1">(Dashboard!$C$7*'Equity and Bond Returns'!CZ7)+(Dashboard!$C$8*'Equity and Bond Returns'!GX7)</f>
        <v>-0.3153421513641963</v>
      </c>
      <c r="CO7" s="119">
        <f ca="1">(Dashboard!$C$7*'Equity and Bond Returns'!DA7)+(Dashboard!$C$8*'Equity and Bond Returns'!GY7)</f>
        <v>0.14931489109697732</v>
      </c>
      <c r="CP7" s="119">
        <f ca="1">(Dashboard!$C$7*'Equity and Bond Returns'!DB7)+(Dashboard!$C$8*'Equity and Bond Returns'!GZ7)</f>
        <v>-1.5388449551380363E-2</v>
      </c>
      <c r="CQ7" s="119">
        <f ca="1">(Dashboard!$C$7*'Equity and Bond Returns'!DC7)+(Dashboard!$C$8*'Equity and Bond Returns'!HA7)</f>
        <v>0.34500822356189148</v>
      </c>
      <c r="CR7" s="119">
        <f ca="1">(Dashboard!$C$7*'Equity and Bond Returns'!DD7)+(Dashboard!$C$8*'Equity and Bond Returns'!HB7)</f>
        <v>-0.14809964047584176</v>
      </c>
      <c r="CS7" s="119">
        <f ca="1">(Dashboard!$C$7*'Equity and Bond Returns'!DE7)+(Dashboard!$C$8*'Equity and Bond Returns'!HC7)</f>
        <v>0.23011269597283973</v>
      </c>
      <c r="CT7" s="119">
        <f ca="1">(Dashboard!$C$7*'Equity and Bond Returns'!DF7)+(Dashboard!$C$8*'Equity and Bond Returns'!HD7)</f>
        <v>5.7479123598518429E-2</v>
      </c>
      <c r="CU7" s="119">
        <f ca="1">(Dashboard!$C$7*'Equity and Bond Returns'!DG7)+(Dashboard!$C$8*'Equity and Bond Returns'!HE7)</f>
        <v>0.21864722642993764</v>
      </c>
      <c r="CV7" s="119">
        <f ca="1">(Dashboard!$C$7*'Equity and Bond Returns'!DH7)+(Dashboard!$C$8*'Equity and Bond Returns'!HF7)</f>
        <v>-5.4298310161530541E-2</v>
      </c>
      <c r="CW7" s="119">
        <f ca="1">(Dashboard!$C$7*'Equity and Bond Returns'!DI7)+(Dashboard!$C$8*'Equity and Bond Returns'!HG7)</f>
        <v>-8.2142272031663577E-2</v>
      </c>
      <c r="CY7" s="147">
        <f t="shared" si="5"/>
        <v>56</v>
      </c>
      <c r="CZ7" s="147">
        <v>6</v>
      </c>
      <c r="DA7" s="126">
        <f ca="1">MAX(DA6*(1+B7)-(Dashboard!$C$11)/(1-Dashboard!$C$17)*((1+Dashboard!$C$12)^$CZ7),0)</f>
        <v>696713.51555738563</v>
      </c>
      <c r="DB7" s="126">
        <f ca="1">MAX(DB6*(1+C7)-(Dashboard!$C$11)/(1-Dashboard!$C$17)*((1+Dashboard!$C$12)^$CZ7),0)</f>
        <v>521803.49696316489</v>
      </c>
      <c r="DC7" s="126">
        <f ca="1">MAX(DC6*(1+D7)-(Dashboard!$C$11)/(1-Dashboard!$C$17)*((1+Dashboard!$C$12)^$CZ7),0)</f>
        <v>838636.64512015099</v>
      </c>
      <c r="DD7" s="126">
        <f ca="1">MAX(DD6*(1+E7)-(Dashboard!$C$11)/(1-Dashboard!$C$17)*((1+Dashboard!$C$12)^$CZ7),0)</f>
        <v>835140.55858438939</v>
      </c>
      <c r="DE7" s="126">
        <f ca="1">MAX(DE6*(1+F7)-(Dashboard!$C$11)/(1-Dashboard!$C$17)*((1+Dashboard!$C$12)^$CZ7),0)</f>
        <v>825936.24528846121</v>
      </c>
      <c r="DF7" s="126">
        <f ca="1">MAX(DF6*(1+G7)-(Dashboard!$C$11)/(1-Dashboard!$C$17)*((1+Dashboard!$C$12)^$CZ7),0)</f>
        <v>1161841.4346448444</v>
      </c>
      <c r="DG7" s="126">
        <f ca="1">MAX(DG6*(1+H7)-(Dashboard!$C$11)/(1-Dashboard!$C$17)*((1+Dashboard!$C$12)^$CZ7),0)</f>
        <v>369629.18258717249</v>
      </c>
      <c r="DH7" s="126">
        <f ca="1">MAX(DH6*(1+I7)-(Dashboard!$C$11)/(1-Dashboard!$C$17)*((1+Dashboard!$C$12)^$CZ7),0)</f>
        <v>970855.759515743</v>
      </c>
      <c r="DI7" s="126">
        <f ca="1">MAX(DI6*(1+J7)-(Dashboard!$C$11)/(1-Dashboard!$C$17)*((1+Dashboard!$C$12)^$CZ7),0)</f>
        <v>906035.84064471233</v>
      </c>
      <c r="DJ7" s="126">
        <f ca="1">MAX(DJ6*(1+K7)-(Dashboard!$C$11)/(1-Dashboard!$C$17)*((1+Dashboard!$C$12)^$CZ7),0)</f>
        <v>908371.04576298164</v>
      </c>
      <c r="DK7" s="126">
        <f ca="1">MAX(DK6*(1+L7)-(Dashboard!$C$11)/(1-Dashboard!$C$17)*((1+Dashboard!$C$12)^$CZ7),0)</f>
        <v>905929.49414222187</v>
      </c>
      <c r="DL7" s="126">
        <f ca="1">MAX(DL6*(1+M7)-(Dashboard!$C$11)/(1-Dashboard!$C$17)*((1+Dashboard!$C$12)^$CZ7),0)</f>
        <v>1433963.1479689358</v>
      </c>
      <c r="DM7" s="126">
        <f ca="1">MAX(DM6*(1+N7)-(Dashboard!$C$11)/(1-Dashboard!$C$17)*((1+Dashboard!$C$12)^$CZ7),0)</f>
        <v>906199.69192801032</v>
      </c>
      <c r="DN7" s="126">
        <f ca="1">MAX(DN6*(1+O7)-(Dashboard!$C$11)/(1-Dashboard!$C$17)*((1+Dashboard!$C$12)^$CZ7),0)</f>
        <v>1448901.8316542017</v>
      </c>
      <c r="DO7" s="126">
        <f ca="1">MAX(DO6*(1+P7)-(Dashboard!$C$11)/(1-Dashboard!$C$17)*((1+Dashboard!$C$12)^$CZ7),0)</f>
        <v>911227.61247275199</v>
      </c>
      <c r="DP7" s="126">
        <f ca="1">MAX(DP6*(1+Q7)-(Dashboard!$C$11)/(1-Dashboard!$C$17)*((1+Dashboard!$C$12)^$CZ7),0)</f>
        <v>697927.86428203422</v>
      </c>
      <c r="DQ7" s="126">
        <f ca="1">MAX(DQ6*(1+R7)-(Dashboard!$C$11)/(1-Dashboard!$C$17)*((1+Dashboard!$C$12)^$CZ7),0)</f>
        <v>964095.73005915736</v>
      </c>
      <c r="DR7" s="126">
        <f ca="1">MAX(DR6*(1+S7)-(Dashboard!$C$11)/(1-Dashboard!$C$17)*((1+Dashboard!$C$12)^$CZ7),0)</f>
        <v>606501.04488555284</v>
      </c>
      <c r="DS7" s="126">
        <f ca="1">MAX(DS6*(1+T7)-(Dashboard!$C$11)/(1-Dashboard!$C$17)*((1+Dashboard!$C$12)^$CZ7),0)</f>
        <v>839325.78243521822</v>
      </c>
      <c r="DT7" s="126">
        <f ca="1">MAX(DT6*(1+U7)-(Dashboard!$C$11)/(1-Dashboard!$C$17)*((1+Dashboard!$C$12)^$CZ7),0)</f>
        <v>703368.32968804869</v>
      </c>
      <c r="DU7" s="126">
        <f ca="1">MAX(DU6*(1+V7)-(Dashboard!$C$11)/(1-Dashboard!$C$17)*((1+Dashboard!$C$12)^$CZ7),0)</f>
        <v>969184.28054496553</v>
      </c>
      <c r="DV7" s="126">
        <f ca="1">MAX(DV6*(1+W7)-(Dashboard!$C$11)/(1-Dashboard!$C$17)*((1+Dashboard!$C$12)^$CZ7),0)</f>
        <v>906237.1519033059</v>
      </c>
      <c r="DW7" s="126">
        <f ca="1">MAX(DW6*(1+X7)-(Dashboard!$C$11)/(1-Dashboard!$C$17)*((1+Dashboard!$C$12)^$CZ7),0)</f>
        <v>1058457.2535366626</v>
      </c>
      <c r="DX7" s="126">
        <f ca="1">MAX(DX6*(1+Y7)-(Dashboard!$C$11)/(1-Dashboard!$C$17)*((1+Dashboard!$C$12)^$CZ7),0)</f>
        <v>707507.57786432386</v>
      </c>
      <c r="DY7" s="126">
        <f ca="1">MAX(DY6*(1+Z7)-(Dashboard!$C$11)/(1-Dashboard!$C$17)*((1+Dashboard!$C$12)^$CZ7),0)</f>
        <v>1184902.9741476276</v>
      </c>
      <c r="DZ7" s="126">
        <f ca="1">MAX(DZ6*(1+AA7)-(Dashboard!$C$11)/(1-Dashboard!$C$17)*((1+Dashboard!$C$12)^$CZ7),0)</f>
        <v>583760.55349669862</v>
      </c>
      <c r="EA7" s="126">
        <f ca="1">MAX(EA6*(1+AB7)-(Dashboard!$C$11)/(1-Dashboard!$C$17)*((1+Dashboard!$C$12)^$CZ7),0)</f>
        <v>565741.18790360645</v>
      </c>
      <c r="EB7" s="126">
        <f ca="1">MAX(EB6*(1+AC7)-(Dashboard!$C$11)/(1-Dashboard!$C$17)*((1+Dashboard!$C$12)^$CZ7),0)</f>
        <v>912671.00261651725</v>
      </c>
      <c r="EC7" s="126">
        <f ca="1">MAX(EC6*(1+AD7)-(Dashboard!$C$11)/(1-Dashboard!$C$17)*((1+Dashboard!$C$12)^$CZ7),0)</f>
        <v>718382.15492994734</v>
      </c>
      <c r="ED7" s="126">
        <f ca="1">MAX(ED6*(1+AE7)-(Dashboard!$C$11)/(1-Dashboard!$C$17)*((1+Dashboard!$C$12)^$CZ7),0)</f>
        <v>965281.12184848799</v>
      </c>
      <c r="EE7" s="126">
        <f ca="1">MAX(EE6*(1+AF7)-(Dashboard!$C$11)/(1-Dashboard!$C$17)*((1+Dashboard!$C$12)^$CZ7),0)</f>
        <v>935256.85765938147</v>
      </c>
      <c r="EF7" s="126">
        <f ca="1">MAX(EF6*(1+AG7)-(Dashboard!$C$11)/(1-Dashboard!$C$17)*((1+Dashboard!$C$12)^$CZ7),0)</f>
        <v>856142.60971272981</v>
      </c>
      <c r="EG7" s="126">
        <f ca="1">MAX(EG6*(1+AH7)-(Dashboard!$C$11)/(1-Dashboard!$C$17)*((1+Dashboard!$C$12)^$CZ7),0)</f>
        <v>1105547.1169208726</v>
      </c>
      <c r="EH7" s="126">
        <f ca="1">MAX(EH6*(1+AI7)-(Dashboard!$C$11)/(1-Dashboard!$C$17)*((1+Dashboard!$C$12)^$CZ7),0)</f>
        <v>703402.13291464315</v>
      </c>
      <c r="EI7" s="126">
        <f ca="1">MAX(EI6*(1+AJ7)-(Dashboard!$C$11)/(1-Dashboard!$C$17)*((1+Dashboard!$C$12)^$CZ7),0)</f>
        <v>452970.50749566697</v>
      </c>
      <c r="EJ7" s="126">
        <f ca="1">MAX(EJ6*(1+AK7)-(Dashboard!$C$11)/(1-Dashboard!$C$17)*((1+Dashboard!$C$12)^$CZ7),0)</f>
        <v>1114287.0735007378</v>
      </c>
      <c r="EK7" s="126">
        <f ca="1">MAX(EK6*(1+AL7)-(Dashboard!$C$11)/(1-Dashboard!$C$17)*((1+Dashboard!$C$12)^$CZ7),0)</f>
        <v>822371.48411206203</v>
      </c>
      <c r="EL7" s="126">
        <f ca="1">MAX(EL6*(1+AM7)-(Dashboard!$C$11)/(1-Dashboard!$C$17)*((1+Dashboard!$C$12)^$CZ7),0)</f>
        <v>936703.31007485418</v>
      </c>
      <c r="EM7" s="126">
        <f ca="1">MAX(EM6*(1+AN7)-(Dashboard!$C$11)/(1-Dashboard!$C$17)*((1+Dashboard!$C$12)^$CZ7),0)</f>
        <v>913920.17218152061</v>
      </c>
      <c r="EN7" s="126">
        <f ca="1">MAX(EN6*(1+AO7)-(Dashboard!$C$11)/(1-Dashboard!$C$17)*((1+Dashboard!$C$12)^$CZ7),0)</f>
        <v>1445045.681759818</v>
      </c>
      <c r="EO7" s="126">
        <f ca="1">MAX(EO6*(1+AP7)-(Dashboard!$C$11)/(1-Dashboard!$C$17)*((1+Dashboard!$C$12)^$CZ7),0)</f>
        <v>464060.99397379241</v>
      </c>
      <c r="EP7" s="126">
        <f ca="1">MAX(EP6*(1+AQ7)-(Dashboard!$C$11)/(1-Dashboard!$C$17)*((1+Dashboard!$C$12)^$CZ7),0)</f>
        <v>672795.79863885103</v>
      </c>
      <c r="EQ7" s="126">
        <f ca="1">MAX(EQ6*(1+AR7)-(Dashboard!$C$11)/(1-Dashboard!$C$17)*((1+Dashboard!$C$12)^$CZ7),0)</f>
        <v>516513.8946434214</v>
      </c>
      <c r="ER7" s="126">
        <f ca="1">MAX(ER6*(1+AS7)-(Dashboard!$C$11)/(1-Dashboard!$C$17)*((1+Dashboard!$C$12)^$CZ7),0)</f>
        <v>655892.34017808747</v>
      </c>
      <c r="ES7" s="126">
        <f ca="1">MAX(ES6*(1+AT7)-(Dashboard!$C$11)/(1-Dashboard!$C$17)*((1+Dashboard!$C$12)^$CZ7),0)</f>
        <v>560220.77228718938</v>
      </c>
      <c r="ET7" s="126">
        <f ca="1">MAX(ET6*(1+AU7)-(Dashboard!$C$11)/(1-Dashboard!$C$17)*((1+Dashboard!$C$12)^$CZ7),0)</f>
        <v>845681.20906227641</v>
      </c>
      <c r="EU7" s="126">
        <f ca="1">MAX(EU6*(1+AV7)-(Dashboard!$C$11)/(1-Dashboard!$C$17)*((1+Dashboard!$C$12)^$CZ7),0)</f>
        <v>768159.64491509274</v>
      </c>
      <c r="EV7" s="126">
        <f ca="1">MAX(EV6*(1+AW7)-(Dashboard!$C$11)/(1-Dashboard!$C$17)*((1+Dashboard!$C$12)^$CZ7),0)</f>
        <v>1486196.8256090952</v>
      </c>
      <c r="EW7" s="126">
        <f ca="1">MAX(EW6*(1+AX7)-(Dashboard!$C$11)/(1-Dashboard!$C$17)*((1+Dashboard!$C$12)^$CZ7),0)</f>
        <v>1118492.5952341766</v>
      </c>
      <c r="EX7" s="126">
        <f ca="1">MAX(EX6*(1+AY7)-(Dashboard!$C$11)/(1-Dashboard!$C$17)*((1+Dashboard!$C$12)^$CZ7),0)</f>
        <v>1019240.7105074341</v>
      </c>
      <c r="EY7" s="126">
        <f ca="1">MAX(EY6*(1+AZ7)-(Dashboard!$C$11)/(1-Dashboard!$C$17)*((1+Dashboard!$C$12)^$CZ7),0)</f>
        <v>835390.79063311894</v>
      </c>
      <c r="EZ7" s="126">
        <f ca="1">MAX(EZ6*(1+BA7)-(Dashboard!$C$11)/(1-Dashboard!$C$17)*((1+Dashboard!$C$12)^$CZ7),0)</f>
        <v>561284.86464677006</v>
      </c>
      <c r="FA7" s="126">
        <f ca="1">MAX(FA6*(1+BB7)-(Dashboard!$C$11)/(1-Dashboard!$C$17)*((1+Dashboard!$C$12)^$CZ7),0)</f>
        <v>757537.96033491287</v>
      </c>
      <c r="FB7" s="126">
        <f ca="1">MAX(FB6*(1+BC7)-(Dashboard!$C$11)/(1-Dashboard!$C$17)*((1+Dashboard!$C$12)^$CZ7),0)</f>
        <v>1196873.9485208523</v>
      </c>
      <c r="FC7" s="126">
        <f ca="1">MAX(FC6*(1+BD7)-(Dashboard!$C$11)/(1-Dashboard!$C$17)*((1+Dashboard!$C$12)^$CZ7),0)</f>
        <v>743961.901723927</v>
      </c>
      <c r="FD7" s="126">
        <f ca="1">MAX(FD6*(1+BE7)-(Dashboard!$C$11)/(1-Dashboard!$C$17)*((1+Dashboard!$C$12)^$CZ7),0)</f>
        <v>1121559.8606911139</v>
      </c>
      <c r="FE7" s="126">
        <f ca="1">MAX(FE6*(1+BF7)-(Dashboard!$C$11)/(1-Dashboard!$C$17)*((1+Dashboard!$C$12)^$CZ7),0)</f>
        <v>992346.43436403456</v>
      </c>
      <c r="FF7" s="126">
        <f ca="1">MAX(FF6*(1+BG7)-(Dashboard!$C$11)/(1-Dashboard!$C$17)*((1+Dashboard!$C$12)^$CZ7),0)</f>
        <v>801856.78135300707</v>
      </c>
      <c r="FG7" s="126">
        <f ca="1">MAX(FG6*(1+BH7)-(Dashboard!$C$11)/(1-Dashboard!$C$17)*((1+Dashboard!$C$12)^$CZ7),0)</f>
        <v>1001246.6143122632</v>
      </c>
      <c r="FH7" s="126">
        <f ca="1">MAX(FH6*(1+BI7)-(Dashboard!$C$11)/(1-Dashboard!$C$17)*((1+Dashboard!$C$12)^$CZ7),0)</f>
        <v>774186.72491234762</v>
      </c>
      <c r="FI7" s="126">
        <f ca="1">MAX(FI6*(1+BJ7)-(Dashboard!$C$11)/(1-Dashboard!$C$17)*((1+Dashboard!$C$12)^$CZ7),0)</f>
        <v>948050.81817202771</v>
      </c>
      <c r="FJ7" s="126">
        <f ca="1">MAX(FJ6*(1+BK7)-(Dashboard!$C$11)/(1-Dashboard!$C$17)*((1+Dashboard!$C$12)^$CZ7),0)</f>
        <v>649070.2990255683</v>
      </c>
      <c r="FK7" s="126">
        <f ca="1">MAX(FK6*(1+BL7)-(Dashboard!$C$11)/(1-Dashboard!$C$17)*((1+Dashboard!$C$12)^$CZ7),0)</f>
        <v>626495.0756690267</v>
      </c>
      <c r="FL7" s="126">
        <f ca="1">MAX(FL6*(1+BM7)-(Dashboard!$C$11)/(1-Dashboard!$C$17)*((1+Dashboard!$C$12)^$CZ7),0)</f>
        <v>967926.54496461374</v>
      </c>
      <c r="FM7" s="126">
        <f ca="1">MAX(FM6*(1+BN7)-(Dashboard!$C$11)/(1-Dashboard!$C$17)*((1+Dashboard!$C$12)^$CZ7),0)</f>
        <v>705273.13159666071</v>
      </c>
      <c r="FN7" s="126">
        <f ca="1">MAX(FN6*(1+BO7)-(Dashboard!$C$11)/(1-Dashboard!$C$17)*((1+Dashboard!$C$12)^$CZ7),0)</f>
        <v>551613.83256375312</v>
      </c>
      <c r="FO7" s="126">
        <f ca="1">MAX(FO6*(1+BP7)-(Dashboard!$C$11)/(1-Dashboard!$C$17)*((1+Dashboard!$C$12)^$CZ7),0)</f>
        <v>1040706.2737872824</v>
      </c>
      <c r="FP7" s="126">
        <f ca="1">MAX(FP6*(1+BQ7)-(Dashboard!$C$11)/(1-Dashboard!$C$17)*((1+Dashboard!$C$12)^$CZ7),0)</f>
        <v>588906.83364636591</v>
      </c>
      <c r="FQ7" s="126">
        <f ca="1">MAX(FQ6*(1+BR7)-(Dashboard!$C$11)/(1-Dashboard!$C$17)*((1+Dashboard!$C$12)^$CZ7),0)</f>
        <v>1064175.9160358571</v>
      </c>
      <c r="FR7" s="126">
        <f ca="1">MAX(FR6*(1+BS7)-(Dashboard!$C$11)/(1-Dashboard!$C$17)*((1+Dashboard!$C$12)^$CZ7),0)</f>
        <v>1352038.063472226</v>
      </c>
      <c r="FS7" s="126">
        <f ca="1">MAX(FS6*(1+BT7)-(Dashboard!$C$11)/(1-Dashboard!$C$17)*((1+Dashboard!$C$12)^$CZ7),0)</f>
        <v>961367.57151731674</v>
      </c>
      <c r="FT7" s="126">
        <f ca="1">MAX(FT6*(1+BU7)-(Dashboard!$C$11)/(1-Dashboard!$C$17)*((1+Dashboard!$C$12)^$CZ7),0)</f>
        <v>714946.27844695095</v>
      </c>
      <c r="FU7" s="126">
        <f ca="1">MAX(FU6*(1+BV7)-(Dashboard!$C$11)/(1-Dashboard!$C$17)*((1+Dashboard!$C$12)^$CZ7),0)</f>
        <v>954032.09371309844</v>
      </c>
      <c r="FV7" s="126">
        <f ca="1">MAX(FV6*(1+BW7)-(Dashboard!$C$11)/(1-Dashboard!$C$17)*((1+Dashboard!$C$12)^$CZ7),0)</f>
        <v>394817.00149130583</v>
      </c>
      <c r="FW7" s="126">
        <f ca="1">MAX(FW6*(1+BX7)-(Dashboard!$C$11)/(1-Dashboard!$C$17)*((1+Dashboard!$C$12)^$CZ7),0)</f>
        <v>954517.92503365851</v>
      </c>
      <c r="FX7" s="126">
        <f ca="1">MAX(FX6*(1+BY7)-(Dashboard!$C$11)/(1-Dashboard!$C$17)*((1+Dashboard!$C$12)^$CZ7),0)</f>
        <v>781064.5173251169</v>
      </c>
      <c r="FY7" s="126">
        <f ca="1">MAX(FY6*(1+BZ7)-(Dashboard!$C$11)/(1-Dashboard!$C$17)*((1+Dashboard!$C$12)^$CZ7),0)</f>
        <v>665901.50331234979</v>
      </c>
      <c r="FZ7" s="126">
        <f ca="1">MAX(FZ6*(1+CA7)-(Dashboard!$C$11)/(1-Dashboard!$C$17)*((1+Dashboard!$C$12)^$CZ7),0)</f>
        <v>702516.57976808306</v>
      </c>
      <c r="GA7" s="126">
        <f ca="1">MAX(GA6*(1+CB7)-(Dashboard!$C$11)/(1-Dashboard!$C$17)*((1+Dashboard!$C$12)^$CZ7),0)</f>
        <v>1162891.1331217641</v>
      </c>
      <c r="GB7" s="126">
        <f ca="1">MAX(GB6*(1+CC7)-(Dashboard!$C$11)/(1-Dashboard!$C$17)*((1+Dashboard!$C$12)^$CZ7),0)</f>
        <v>715164.81044511625</v>
      </c>
      <c r="GC7" s="126">
        <f ca="1">MAX(GC6*(1+CD7)-(Dashboard!$C$11)/(1-Dashboard!$C$17)*((1+Dashboard!$C$12)^$CZ7),0)</f>
        <v>1022067.950609282</v>
      </c>
      <c r="GD7" s="126">
        <f ca="1">MAX(GD6*(1+CE7)-(Dashboard!$C$11)/(1-Dashboard!$C$17)*((1+Dashboard!$C$12)^$CZ7),0)</f>
        <v>621743.93366217369</v>
      </c>
      <c r="GE7" s="126">
        <f ca="1">MAX(GE6*(1+CF7)-(Dashboard!$C$11)/(1-Dashboard!$C$17)*((1+Dashboard!$C$12)^$CZ7),0)</f>
        <v>757472.143122287</v>
      </c>
      <c r="GF7" s="126">
        <f ca="1">MAX(GF6*(1+CG7)-(Dashboard!$C$11)/(1-Dashboard!$C$17)*((1+Dashboard!$C$12)^$CZ7),0)</f>
        <v>1159141.9746822584</v>
      </c>
      <c r="GG7" s="126">
        <f ca="1">MAX(GG6*(1+CH7)-(Dashboard!$C$11)/(1-Dashboard!$C$17)*((1+Dashboard!$C$12)^$CZ7),0)</f>
        <v>672943.74687559635</v>
      </c>
      <c r="GH7" s="126">
        <f ca="1">MAX(GH6*(1+CI7)-(Dashboard!$C$11)/(1-Dashboard!$C$17)*((1+Dashboard!$C$12)^$CZ7),0)</f>
        <v>662156.82907257846</v>
      </c>
      <c r="GI7" s="126">
        <f ca="1">MAX(GI6*(1+CJ7)-(Dashboard!$C$11)/(1-Dashboard!$C$17)*((1+Dashboard!$C$12)^$CZ7),0)</f>
        <v>584897.81512950547</v>
      </c>
      <c r="GJ7" s="126">
        <f ca="1">MAX(GJ6*(1+CK7)-(Dashboard!$C$11)/(1-Dashboard!$C$17)*((1+Dashboard!$C$12)^$CZ7),0)</f>
        <v>817530.46260632307</v>
      </c>
      <c r="GK7" s="126">
        <f ca="1">MAX(GK6*(1+CL7)-(Dashboard!$C$11)/(1-Dashboard!$C$17)*((1+Dashboard!$C$12)^$CZ7),0)</f>
        <v>1322078.8724988161</v>
      </c>
      <c r="GL7" s="126">
        <f ca="1">MAX(GL6*(1+CM7)-(Dashboard!$C$11)/(1-Dashboard!$C$17)*((1+Dashboard!$C$12)^$CZ7),0)</f>
        <v>1103243.0382278529</v>
      </c>
      <c r="GM7" s="126">
        <f ca="1">MAX(GM6*(1+CN7)-(Dashboard!$C$11)/(1-Dashboard!$C$17)*((1+Dashboard!$C$12)^$CZ7),0)</f>
        <v>808205.31703199737</v>
      </c>
      <c r="GN7" s="126">
        <f ca="1">MAX(GN6*(1+CO7)-(Dashboard!$C$11)/(1-Dashboard!$C$17)*((1+Dashboard!$C$12)^$CZ7),0)</f>
        <v>581353.82528277615</v>
      </c>
      <c r="GO7" s="126">
        <f ca="1">MAX(GO6*(1+CP7)-(Dashboard!$C$11)/(1-Dashboard!$C$17)*((1+Dashboard!$C$12)^$CZ7),0)</f>
        <v>643455.72465519572</v>
      </c>
      <c r="GP7" s="126">
        <f ca="1">MAX(GP6*(1+CQ7)-(Dashboard!$C$11)/(1-Dashboard!$C$17)*((1+Dashboard!$C$12)^$CZ7),0)</f>
        <v>860193.62835471053</v>
      </c>
      <c r="GQ7" s="126">
        <f ca="1">MAX(GQ6*(1+CR7)-(Dashboard!$C$11)/(1-Dashboard!$C$17)*((1+Dashboard!$C$12)^$CZ7),0)</f>
        <v>578376.43353019166</v>
      </c>
      <c r="GR7" s="126">
        <f ca="1">MAX(GR6*(1+CS7)-(Dashboard!$C$11)/(1-Dashboard!$C$17)*((1+Dashboard!$C$12)^$CZ7),0)</f>
        <v>687801.52907615562</v>
      </c>
      <c r="GS7" s="126">
        <f ca="1">MAX(GS6*(1+CT7)-(Dashboard!$C$11)/(1-Dashboard!$C$17)*((1+Dashboard!$C$12)^$CZ7),0)</f>
        <v>907907.98692634096</v>
      </c>
      <c r="GT7" s="126">
        <f ca="1">MAX(GT6*(1+CU7)-(Dashboard!$C$11)/(1-Dashboard!$C$17)*((1+Dashboard!$C$12)^$CZ7),0)</f>
        <v>876462.56128431077</v>
      </c>
      <c r="GU7" s="126">
        <f ca="1">MAX(GU6*(1+CV7)-(Dashboard!$C$11)/(1-Dashboard!$C$17)*((1+Dashboard!$C$12)^$CZ7),0)</f>
        <v>471223.92942820146</v>
      </c>
      <c r="GV7" s="126">
        <f ca="1">MAX(GV6*(1+CW7)-(Dashboard!$C$11)/(1-Dashboard!$C$17)*((1+Dashboard!$C$12)^$CZ7),0)</f>
        <v>257926.9243179003</v>
      </c>
      <c r="GW7" s="115">
        <f t="shared" si="4"/>
        <v>56</v>
      </c>
      <c r="GX7" s="130">
        <f t="shared" ca="1" si="2"/>
        <v>100</v>
      </c>
      <c r="HC7" s="130">
        <f t="shared" si="0"/>
        <v>56</v>
      </c>
      <c r="HD7" s="137">
        <f t="shared" ca="1" si="1"/>
        <v>663092.99763252132</v>
      </c>
      <c r="HE7" s="137">
        <f t="shared" ca="1" si="1"/>
        <v>830538.40193642536</v>
      </c>
      <c r="HF7" s="137">
        <f t="shared" ca="1" si="1"/>
        <v>967265.18918558233</v>
      </c>
    </row>
    <row r="8" spans="1:214" ht="16">
      <c r="A8" s="145">
        <f t="shared" si="3"/>
        <v>57</v>
      </c>
      <c r="B8" s="119">
        <f ca="1">(Dashboard!$C$7*'Equity and Bond Returns'!N8)+(Dashboard!$C$8*'Equity and Bond Returns'!DL8)</f>
        <v>0.19332012803456533</v>
      </c>
      <c r="C8" s="119">
        <f ca="1">(Dashboard!$C$7*'Equity and Bond Returns'!O8)+(Dashboard!$C$8*'Equity and Bond Returns'!DM8)</f>
        <v>-0.1470605970143411</v>
      </c>
      <c r="D8" s="119">
        <f ca="1">(Dashboard!$C$7*'Equity and Bond Returns'!P8)+(Dashboard!$C$8*'Equity and Bond Returns'!DN8)</f>
        <v>-0.10365323908378306</v>
      </c>
      <c r="E8" s="119">
        <f ca="1">(Dashboard!$C$7*'Equity and Bond Returns'!Q8)+(Dashboard!$C$8*'Equity and Bond Returns'!DO8)</f>
        <v>-7.3624838273199308E-2</v>
      </c>
      <c r="F8" s="119">
        <f ca="1">(Dashboard!$C$7*'Equity and Bond Returns'!R8)+(Dashboard!$C$8*'Equity and Bond Returns'!DP8)</f>
        <v>4.0171276292453123E-2</v>
      </c>
      <c r="G8" s="119">
        <f ca="1">(Dashboard!$C$7*'Equity and Bond Returns'!S8)+(Dashboard!$C$8*'Equity and Bond Returns'!DQ8)</f>
        <v>0.30952295446908812</v>
      </c>
      <c r="H8" s="119">
        <f ca="1">(Dashboard!$C$7*'Equity and Bond Returns'!T8)+(Dashboard!$C$8*'Equity and Bond Returns'!DR8)</f>
        <v>9.4752125834846573E-2</v>
      </c>
      <c r="I8" s="119">
        <f ca="1">(Dashboard!$C$7*'Equity and Bond Returns'!U8)+(Dashboard!$C$8*'Equity and Bond Returns'!DS8)</f>
        <v>-7.2275540467383659E-2</v>
      </c>
      <c r="J8" s="119">
        <f ca="1">(Dashboard!$C$7*'Equity and Bond Returns'!V8)+(Dashboard!$C$8*'Equity and Bond Returns'!DT8)</f>
        <v>-2.1438041783948425E-2</v>
      </c>
      <c r="K8" s="119">
        <f ca="1">(Dashboard!$C$7*'Equity and Bond Returns'!W8)+(Dashboard!$C$8*'Equity and Bond Returns'!DU8)</f>
        <v>9.1729733058176333E-2</v>
      </c>
      <c r="L8" s="119">
        <f ca="1">(Dashboard!$C$7*'Equity and Bond Returns'!X8)+(Dashboard!$C$8*'Equity and Bond Returns'!DV8)</f>
        <v>4.1549755499281554E-2</v>
      </c>
      <c r="M8" s="119">
        <f ca="1">(Dashboard!$C$7*'Equity and Bond Returns'!Y8)+(Dashboard!$C$8*'Equity and Bond Returns'!DW8)</f>
        <v>-0.12171504186223484</v>
      </c>
      <c r="N8" s="119">
        <f ca="1">(Dashboard!$C$7*'Equity and Bond Returns'!Z8)+(Dashboard!$C$8*'Equity and Bond Returns'!DX8)</f>
        <v>0.29633881040564103</v>
      </c>
      <c r="O8" s="119">
        <f ca="1">(Dashboard!$C$7*'Equity and Bond Returns'!AA8)+(Dashboard!$C$8*'Equity and Bond Returns'!DY8)</f>
        <v>0.32893627739194642</v>
      </c>
      <c r="P8" s="119">
        <f ca="1">(Dashboard!$C$7*'Equity and Bond Returns'!AB8)+(Dashboard!$C$8*'Equity and Bond Returns'!DZ8)</f>
        <v>0.17738526482824515</v>
      </c>
      <c r="Q8" s="119">
        <f ca="1">(Dashboard!$C$7*'Equity and Bond Returns'!AC8)+(Dashboard!$C$8*'Equity and Bond Returns'!EA8)</f>
        <v>0.14929499377812933</v>
      </c>
      <c r="R8" s="119">
        <f ca="1">(Dashboard!$C$7*'Equity and Bond Returns'!AD8)+(Dashboard!$C$8*'Equity and Bond Returns'!EB8)</f>
        <v>-0.17381601233074417</v>
      </c>
      <c r="S8" s="119">
        <f ca="1">(Dashboard!$C$7*'Equity and Bond Returns'!AE8)+(Dashboard!$C$8*'Equity and Bond Returns'!EC8)</f>
        <v>-4.6206728894437089E-2</v>
      </c>
      <c r="T8" s="119">
        <f ca="1">(Dashboard!$C$7*'Equity and Bond Returns'!AF8)+(Dashboard!$C$8*'Equity and Bond Returns'!ED8)</f>
        <v>0.17953104638842995</v>
      </c>
      <c r="U8" s="119">
        <f ca="1">(Dashboard!$C$7*'Equity and Bond Returns'!AG8)+(Dashboard!$C$8*'Equity and Bond Returns'!EE8)</f>
        <v>0.31722675282801949</v>
      </c>
      <c r="V8" s="119">
        <f ca="1">(Dashboard!$C$7*'Equity and Bond Returns'!AH8)+(Dashboard!$C$8*'Equity and Bond Returns'!EF8)</f>
        <v>-8.1706830174658549E-3</v>
      </c>
      <c r="W8" s="119">
        <f ca="1">(Dashboard!$C$7*'Equity and Bond Returns'!AI8)+(Dashboard!$C$8*'Equity and Bond Returns'!EG8)</f>
        <v>0.2440142718033351</v>
      </c>
      <c r="X8" s="119">
        <f ca="1">(Dashboard!$C$7*'Equity and Bond Returns'!AJ8)+(Dashboard!$C$8*'Equity and Bond Returns'!EH8)</f>
        <v>0.20553922496642657</v>
      </c>
      <c r="Y8" s="119">
        <f ca="1">(Dashboard!$C$7*'Equity and Bond Returns'!AK8)+(Dashboard!$C$8*'Equity and Bond Returns'!EI8)</f>
        <v>4.5029678687676475E-2</v>
      </c>
      <c r="Z8" s="119">
        <f ca="1">(Dashboard!$C$7*'Equity and Bond Returns'!AL8)+(Dashboard!$C$8*'Equity and Bond Returns'!EJ8)</f>
        <v>7.5790707931457646E-2</v>
      </c>
      <c r="AA8" s="119">
        <f ca="1">(Dashboard!$C$7*'Equity and Bond Returns'!AM8)+(Dashboard!$C$8*'Equity and Bond Returns'!EK8)</f>
        <v>-8.4753691054599165E-2</v>
      </c>
      <c r="AB8" s="119">
        <f ca="1">(Dashboard!$C$7*'Equity and Bond Returns'!AN8)+(Dashboard!$C$8*'Equity and Bond Returns'!EL8)</f>
        <v>-5.9537419823617301E-2</v>
      </c>
      <c r="AC8" s="119">
        <f ca="1">(Dashboard!$C$7*'Equity and Bond Returns'!AO8)+(Dashboard!$C$8*'Equity and Bond Returns'!EM8)</f>
        <v>2.9338275754046267E-2</v>
      </c>
      <c r="AD8" s="119">
        <f ca="1">(Dashboard!$C$7*'Equity and Bond Returns'!AP8)+(Dashboard!$C$8*'Equity and Bond Returns'!EN8)</f>
        <v>0.16047566920384837</v>
      </c>
      <c r="AE8" s="119">
        <f ca="1">(Dashboard!$C$7*'Equity and Bond Returns'!AQ8)+(Dashboard!$C$8*'Equity and Bond Returns'!EO8)</f>
        <v>0.13982616549527857</v>
      </c>
      <c r="AF8" s="119">
        <f ca="1">(Dashboard!$C$7*'Equity and Bond Returns'!AR8)+(Dashboard!$C$8*'Equity and Bond Returns'!EP8)</f>
        <v>0.14788690544211908</v>
      </c>
      <c r="AG8" s="119">
        <f ca="1">(Dashboard!$C$7*'Equity and Bond Returns'!AS8)+(Dashboard!$C$8*'Equity and Bond Returns'!EQ8)</f>
        <v>5.2671467482043252E-3</v>
      </c>
      <c r="AH8" s="119">
        <f ca="1">(Dashboard!$C$7*'Equity and Bond Returns'!AT8)+(Dashboard!$C$8*'Equity and Bond Returns'!ER8)</f>
        <v>7.0452761878845888E-2</v>
      </c>
      <c r="AI8" s="119">
        <f ca="1">(Dashboard!$C$7*'Equity and Bond Returns'!AU8)+(Dashboard!$C$8*'Equity and Bond Returns'!ES8)</f>
        <v>9.1186767246741546E-2</v>
      </c>
      <c r="AJ8" s="119">
        <f ca="1">(Dashboard!$C$7*'Equity and Bond Returns'!AV8)+(Dashboard!$C$8*'Equity and Bond Returns'!ET8)</f>
        <v>0.2241496266506342</v>
      </c>
      <c r="AK8" s="119">
        <f ca="1">(Dashboard!$C$7*'Equity and Bond Returns'!AW8)+(Dashboard!$C$8*'Equity and Bond Returns'!EU8)</f>
        <v>-0.11444105269796288</v>
      </c>
      <c r="AL8" s="119">
        <f ca="1">(Dashboard!$C$7*'Equity and Bond Returns'!AX8)+(Dashboard!$C$8*'Equity and Bond Returns'!EV8)</f>
        <v>6.7227542631327741E-2</v>
      </c>
      <c r="AM8" s="119">
        <f ca="1">(Dashboard!$C$7*'Equity and Bond Returns'!AY8)+(Dashboard!$C$8*'Equity and Bond Returns'!EW8)</f>
        <v>2.0764721861951718E-2</v>
      </c>
      <c r="AN8" s="119">
        <f ca="1">(Dashboard!$C$7*'Equity and Bond Returns'!AZ8)+(Dashboard!$C$8*'Equity and Bond Returns'!EX8)</f>
        <v>0.11357273288582456</v>
      </c>
      <c r="AO8" s="119">
        <f ca="1">(Dashboard!$C$7*'Equity and Bond Returns'!BA8)+(Dashboard!$C$8*'Equity and Bond Returns'!EY8)</f>
        <v>2.7622010491265756E-2</v>
      </c>
      <c r="AP8" s="119">
        <f ca="1">(Dashboard!$C$7*'Equity and Bond Returns'!BB8)+(Dashboard!$C$8*'Equity and Bond Returns'!EZ8)</f>
        <v>0.14188314779053027</v>
      </c>
      <c r="AQ8" s="119">
        <f ca="1">(Dashboard!$C$7*'Equity and Bond Returns'!BC8)+(Dashboard!$C$8*'Equity and Bond Returns'!FA8)</f>
        <v>8.0042247317679019E-2</v>
      </c>
      <c r="AR8" s="119">
        <f ca="1">(Dashboard!$C$7*'Equity and Bond Returns'!BD8)+(Dashboard!$C$8*'Equity and Bond Returns'!FB8)</f>
        <v>0.12485987481199379</v>
      </c>
      <c r="AS8" s="119">
        <f ca="1">(Dashboard!$C$7*'Equity and Bond Returns'!BE8)+(Dashboard!$C$8*'Equity and Bond Returns'!FC8)</f>
        <v>-0.13602506626771579</v>
      </c>
      <c r="AT8" s="119">
        <f ca="1">(Dashboard!$C$7*'Equity and Bond Returns'!BF8)+(Dashboard!$C$8*'Equity and Bond Returns'!FD8)</f>
        <v>0.12845098429702234</v>
      </c>
      <c r="AU8" s="119">
        <f ca="1">(Dashboard!$C$7*'Equity and Bond Returns'!BG8)+(Dashboard!$C$8*'Equity and Bond Returns'!FE8)</f>
        <v>0.24374010061384752</v>
      </c>
      <c r="AV8" s="119">
        <f ca="1">(Dashboard!$C$7*'Equity and Bond Returns'!BH8)+(Dashboard!$C$8*'Equity and Bond Returns'!FF8)</f>
        <v>7.5398784430778895E-2</v>
      </c>
      <c r="AW8" s="119">
        <f ca="1">(Dashboard!$C$7*'Equity and Bond Returns'!BI8)+(Dashboard!$C$8*'Equity and Bond Returns'!FG8)</f>
        <v>1.0373454881569884E-2</v>
      </c>
      <c r="AX8" s="119">
        <f ca="1">(Dashboard!$C$7*'Equity and Bond Returns'!BJ8)+(Dashboard!$C$8*'Equity and Bond Returns'!FH8)</f>
        <v>0.1828467871477652</v>
      </c>
      <c r="AY8" s="119">
        <f ca="1">(Dashboard!$C$7*'Equity and Bond Returns'!BK8)+(Dashboard!$C$8*'Equity and Bond Returns'!FI8)</f>
        <v>0.11019290243138495</v>
      </c>
      <c r="AZ8" s="119">
        <f ca="1">(Dashboard!$C$7*'Equity and Bond Returns'!BL8)+(Dashboard!$C$8*'Equity and Bond Returns'!FJ8)</f>
        <v>0.3959128352428728</v>
      </c>
      <c r="BA8" s="119">
        <f ca="1">(Dashboard!$C$7*'Equity and Bond Returns'!BM8)+(Dashboard!$C$8*'Equity and Bond Returns'!FK8)</f>
        <v>0.13997608049701746</v>
      </c>
      <c r="BB8" s="119">
        <f ca="1">(Dashboard!$C$7*'Equity and Bond Returns'!BN8)+(Dashboard!$C$8*'Equity and Bond Returns'!FL8)</f>
        <v>0.17808137400815188</v>
      </c>
      <c r="BC8" s="119">
        <f ca="1">(Dashboard!$C$7*'Equity and Bond Returns'!BO8)+(Dashboard!$C$8*'Equity and Bond Returns'!FM8)</f>
        <v>-0.23240789877923898</v>
      </c>
      <c r="BD8" s="119">
        <f ca="1">(Dashboard!$C$7*'Equity and Bond Returns'!BP8)+(Dashboard!$C$8*'Equity and Bond Returns'!FN8)</f>
        <v>0.33230025724448575</v>
      </c>
      <c r="BE8" s="119">
        <f ca="1">(Dashboard!$C$7*'Equity and Bond Returns'!BQ8)+(Dashboard!$C$8*'Equity and Bond Returns'!FO8)</f>
        <v>-0.19926355719166025</v>
      </c>
      <c r="BF8" s="119">
        <f ca="1">(Dashboard!$C$7*'Equity and Bond Returns'!BR8)+(Dashboard!$C$8*'Equity and Bond Returns'!FP8)</f>
        <v>5.0726671242275173E-2</v>
      </c>
      <c r="BG8" s="119">
        <f ca="1">(Dashboard!$C$7*'Equity and Bond Returns'!BS8)+(Dashboard!$C$8*'Equity and Bond Returns'!FQ8)</f>
        <v>0.3343820584270486</v>
      </c>
      <c r="BH8" s="119">
        <f ca="1">(Dashboard!$C$7*'Equity and Bond Returns'!BT8)+(Dashboard!$C$8*'Equity and Bond Returns'!FR8)</f>
        <v>-8.9177767477462908E-2</v>
      </c>
      <c r="BI8" s="119">
        <f ca="1">(Dashboard!$C$7*'Equity and Bond Returns'!BU8)+(Dashboard!$C$8*'Equity and Bond Returns'!FS8)</f>
        <v>0.21020727879639592</v>
      </c>
      <c r="BJ8" s="119">
        <f ca="1">(Dashboard!$C$7*'Equity and Bond Returns'!BV8)+(Dashboard!$C$8*'Equity and Bond Returns'!FT8)</f>
        <v>9.3426007162476704E-2</v>
      </c>
      <c r="BK8" s="119">
        <f ca="1">(Dashboard!$C$7*'Equity and Bond Returns'!BW8)+(Dashboard!$C$8*'Equity and Bond Returns'!FU8)</f>
        <v>-9.5753338502027927E-2</v>
      </c>
      <c r="BL8" s="119">
        <f ca="1">(Dashboard!$C$7*'Equity and Bond Returns'!BX8)+(Dashboard!$C$8*'Equity and Bond Returns'!FV8)</f>
        <v>-1.3256004593740094E-2</v>
      </c>
      <c r="BM8" s="119">
        <f ca="1">(Dashboard!$C$7*'Equity and Bond Returns'!BY8)+(Dashboard!$C$8*'Equity and Bond Returns'!FW8)</f>
        <v>0.1222731874640971</v>
      </c>
      <c r="BN8" s="119">
        <f ca="1">(Dashboard!$C$7*'Equity and Bond Returns'!BZ8)+(Dashboard!$C$8*'Equity and Bond Returns'!FX8)</f>
        <v>-2.7149272463323545E-2</v>
      </c>
      <c r="BO8" s="119">
        <f ca="1">(Dashboard!$C$7*'Equity and Bond Returns'!CA8)+(Dashboard!$C$8*'Equity and Bond Returns'!FY8)</f>
        <v>9.3295071976981239E-2</v>
      </c>
      <c r="BP8" s="119">
        <f ca="1">(Dashboard!$C$7*'Equity and Bond Returns'!CB8)+(Dashboard!$C$8*'Equity and Bond Returns'!FZ8)</f>
        <v>-3.3615652341467045E-2</v>
      </c>
      <c r="BQ8" s="119">
        <f ca="1">(Dashboard!$C$7*'Equity and Bond Returns'!CC8)+(Dashboard!$C$8*'Equity and Bond Returns'!GA8)</f>
        <v>0.4330038663882152</v>
      </c>
      <c r="BR8" s="119">
        <f ca="1">(Dashboard!$C$7*'Equity and Bond Returns'!CD8)+(Dashboard!$C$8*'Equity and Bond Returns'!GB8)</f>
        <v>8.935567968039021E-2</v>
      </c>
      <c r="BS8" s="119">
        <f ca="1">(Dashboard!$C$7*'Equity and Bond Returns'!CE8)+(Dashboard!$C$8*'Equity and Bond Returns'!GC8)</f>
        <v>0.22670779311184053</v>
      </c>
      <c r="BT8" s="119">
        <f ca="1">(Dashboard!$C$7*'Equity and Bond Returns'!CF8)+(Dashboard!$C$8*'Equity and Bond Returns'!GD8)</f>
        <v>-0.11663921555560024</v>
      </c>
      <c r="BU8" s="119">
        <f ca="1">(Dashboard!$C$7*'Equity and Bond Returns'!CG8)+(Dashboard!$C$8*'Equity and Bond Returns'!GE8)</f>
        <v>-0.10483114176802708</v>
      </c>
      <c r="BV8" s="119">
        <f ca="1">(Dashboard!$C$7*'Equity and Bond Returns'!CH8)+(Dashboard!$C$8*'Equity and Bond Returns'!GF8)</f>
        <v>0.3950635201626389</v>
      </c>
      <c r="BW8" s="119">
        <f ca="1">(Dashboard!$C$7*'Equity and Bond Returns'!CI8)+(Dashboard!$C$8*'Equity and Bond Returns'!GG8)</f>
        <v>-4.3293035245631613E-2</v>
      </c>
      <c r="BX8" s="119">
        <f ca="1">(Dashboard!$C$7*'Equity and Bond Returns'!CJ8)+(Dashboard!$C$8*'Equity and Bond Returns'!GH8)</f>
        <v>0.11074201811996418</v>
      </c>
      <c r="BY8" s="119">
        <f ca="1">(Dashboard!$C$7*'Equity and Bond Returns'!CK8)+(Dashboard!$C$8*'Equity and Bond Returns'!GI8)</f>
        <v>-0.12781183494731241</v>
      </c>
      <c r="BZ8" s="119">
        <f ca="1">(Dashboard!$C$7*'Equity and Bond Returns'!CL8)+(Dashboard!$C$8*'Equity and Bond Returns'!GJ8)</f>
        <v>-0.16885770135991374</v>
      </c>
      <c r="CA8" s="119">
        <f ca="1">(Dashboard!$C$7*'Equity and Bond Returns'!CM8)+(Dashboard!$C$8*'Equity and Bond Returns'!GK8)</f>
        <v>5.7338629074422498E-2</v>
      </c>
      <c r="CB8" s="119">
        <f ca="1">(Dashboard!$C$7*'Equity and Bond Returns'!CN8)+(Dashboard!$C$8*'Equity and Bond Returns'!GL8)</f>
        <v>0.34379671416587643</v>
      </c>
      <c r="CC8" s="119">
        <f ca="1">(Dashboard!$C$7*'Equity and Bond Returns'!CO8)+(Dashboard!$C$8*'Equity and Bond Returns'!GM8)</f>
        <v>0.22846535724074554</v>
      </c>
      <c r="CD8" s="119">
        <f ca="1">(Dashboard!$C$7*'Equity and Bond Returns'!CP8)+(Dashboard!$C$8*'Equity and Bond Returns'!GN8)</f>
        <v>-4.6071021945059909E-2</v>
      </c>
      <c r="CE8" s="119">
        <f ca="1">(Dashboard!$C$7*'Equity and Bond Returns'!CQ8)+(Dashboard!$C$8*'Equity and Bond Returns'!GO8)</f>
        <v>5.987216021670376E-2</v>
      </c>
      <c r="CF8" s="119">
        <f ca="1">(Dashboard!$C$7*'Equity and Bond Returns'!CR8)+(Dashboard!$C$8*'Equity and Bond Returns'!GP8)</f>
        <v>-3.4377808361255847E-2</v>
      </c>
      <c r="CG8" s="119">
        <f ca="1">(Dashboard!$C$7*'Equity and Bond Returns'!CS8)+(Dashboard!$C$8*'Equity and Bond Returns'!GQ8)</f>
        <v>-3.6487085016661119E-3</v>
      </c>
      <c r="CH8" s="119">
        <f ca="1">(Dashboard!$C$7*'Equity and Bond Returns'!CT8)+(Dashboard!$C$8*'Equity and Bond Returns'!GR8)</f>
        <v>-0.16202892980632427</v>
      </c>
      <c r="CI8" s="119">
        <f ca="1">(Dashboard!$C$7*'Equity and Bond Returns'!CU8)+(Dashboard!$C$8*'Equity and Bond Returns'!GS8)</f>
        <v>-0.13571085528699808</v>
      </c>
      <c r="CJ8" s="119">
        <f ca="1">(Dashboard!$C$7*'Equity and Bond Returns'!CV8)+(Dashboard!$C$8*'Equity and Bond Returns'!GT8)</f>
        <v>-4.1728189549984404E-2</v>
      </c>
      <c r="CK8" s="119">
        <f ca="1">(Dashboard!$C$7*'Equity and Bond Returns'!CW8)+(Dashboard!$C$8*'Equity and Bond Returns'!GU8)</f>
        <v>0.12929056266698188</v>
      </c>
      <c r="CL8" s="119">
        <f ca="1">(Dashboard!$C$7*'Equity and Bond Returns'!CX8)+(Dashboard!$C$8*'Equity and Bond Returns'!GV8)</f>
        <v>4.622328785515576E-2</v>
      </c>
      <c r="CM8" s="119">
        <f ca="1">(Dashboard!$C$7*'Equity and Bond Returns'!CY8)+(Dashboard!$C$8*'Equity and Bond Returns'!GW8)</f>
        <v>5.3270087040365309E-2</v>
      </c>
      <c r="CN8" s="119">
        <f ca="1">(Dashboard!$C$7*'Equity and Bond Returns'!CZ8)+(Dashboard!$C$8*'Equity and Bond Returns'!GX8)</f>
        <v>-8.1169856249828448E-2</v>
      </c>
      <c r="CO8" s="119">
        <f ca="1">(Dashboard!$C$7*'Equity and Bond Returns'!DA8)+(Dashboard!$C$8*'Equity and Bond Returns'!GY8)</f>
        <v>-0.23046021019308638</v>
      </c>
      <c r="CP8" s="119">
        <f ca="1">(Dashboard!$C$7*'Equity and Bond Returns'!DB8)+(Dashboard!$C$8*'Equity and Bond Returns'!GZ8)</f>
        <v>0.17697514627585761</v>
      </c>
      <c r="CQ8" s="119">
        <f ca="1">(Dashboard!$C$7*'Equity and Bond Returns'!DC8)+(Dashboard!$C$8*'Equity and Bond Returns'!HA8)</f>
        <v>-0.23511265090659794</v>
      </c>
      <c r="CR8" s="119">
        <f ca="1">(Dashboard!$C$7*'Equity and Bond Returns'!DD8)+(Dashboard!$C$8*'Equity and Bond Returns'!HB8)</f>
        <v>0.10214603581965967</v>
      </c>
      <c r="CS8" s="119">
        <f ca="1">(Dashboard!$C$7*'Equity and Bond Returns'!DE8)+(Dashboard!$C$8*'Equity and Bond Returns'!HC8)</f>
        <v>0.15489715189941961</v>
      </c>
      <c r="CT8" s="119">
        <f ca="1">(Dashboard!$C$7*'Equity and Bond Returns'!DF8)+(Dashboard!$C$8*'Equity and Bond Returns'!HD8)</f>
        <v>7.9186962558491975E-2</v>
      </c>
      <c r="CU8" s="119">
        <f ca="1">(Dashboard!$C$7*'Equity and Bond Returns'!DG8)+(Dashboard!$C$8*'Equity and Bond Returns'!HE8)</f>
        <v>2.1092618242745678E-2</v>
      </c>
      <c r="CV8" s="119">
        <f ca="1">(Dashboard!$C$7*'Equity and Bond Returns'!DH8)+(Dashboard!$C$8*'Equity and Bond Returns'!HF8)</f>
        <v>-5.8949283508218556E-2</v>
      </c>
      <c r="CW8" s="119">
        <f ca="1">(Dashboard!$C$7*'Equity and Bond Returns'!DI8)+(Dashboard!$C$8*'Equity and Bond Returns'!HG8)</f>
        <v>0.30531411171312728</v>
      </c>
      <c r="CY8" s="147">
        <f t="shared" si="5"/>
        <v>57</v>
      </c>
      <c r="CZ8" s="147">
        <v>7</v>
      </c>
      <c r="DA8" s="126">
        <f ca="1">MAX(DA7*(1+B8)-(Dashboard!$C$11)/(1-Dashboard!$C$17)*((1+Dashboard!$C$12)^$CZ8),0)</f>
        <v>806036.11311396363</v>
      </c>
      <c r="DB8" s="126">
        <f ca="1">MAX(DB7*(1+C8)-(Dashboard!$C$11)/(1-Dashboard!$C$17)*((1+Dashboard!$C$12)^$CZ8),0)</f>
        <v>419700.61470120301</v>
      </c>
      <c r="DC8" s="126">
        <f ca="1">MAX(DC7*(1+D8)-(Dashboard!$C$11)/(1-Dashboard!$C$17)*((1+Dashboard!$C$12)^$CZ8),0)</f>
        <v>726343.09196470224</v>
      </c>
      <c r="DD8" s="126">
        <f ca="1">MAX(DD7*(1+E8)-(Dashboard!$C$11)/(1-Dashboard!$C$17)*((1+Dashboard!$C$12)^$CZ8),0)</f>
        <v>748287.32154883642</v>
      </c>
      <c r="DE8" s="126">
        <f ca="1">MAX(DE7*(1+F8)-(Dashboard!$C$11)/(1-Dashboard!$C$17)*((1+Dashboard!$C$12)^$CZ8),0)</f>
        <v>833749.00992350734</v>
      </c>
      <c r="DF8" s="126">
        <f ca="1">MAX(DF7*(1+G8)-(Dashboard!$C$11)/(1-Dashboard!$C$17)*((1+Dashboard!$C$12)^$CZ8),0)</f>
        <v>1496091.8796463325</v>
      </c>
      <c r="DG8" s="126">
        <f ca="1">MAX(DG7*(1+H8)-(Dashboard!$C$11)/(1-Dashboard!$C$17)*((1+Dashboard!$C$12)^$CZ8),0)</f>
        <v>379286.18493351579</v>
      </c>
      <c r="DH8" s="126">
        <f ca="1">MAX(DH7*(1+I8)-(Dashboard!$C$11)/(1-Dashboard!$C$17)*((1+Dashboard!$C$12)^$CZ8),0)</f>
        <v>875320.48630648258</v>
      </c>
      <c r="DI8" s="126">
        <f ca="1">MAX(DI7*(1+J8)-(Dashboard!$C$11)/(1-Dashboard!$C$17)*((1+Dashboard!$C$12)^$CZ8),0)</f>
        <v>861246.0579608283</v>
      </c>
      <c r="DJ8" s="126">
        <f ca="1">MAX(DJ7*(1+K8)-(Dashboard!$C$11)/(1-Dashboard!$C$17)*((1+Dashboard!$C$12)^$CZ8),0)</f>
        <v>966329.53083420848</v>
      </c>
      <c r="DK8" s="126">
        <f ca="1">MAX(DK7*(1+L8)-(Dashboard!$C$11)/(1-Dashboard!$C$17)*((1+Dashboard!$C$12)^$CZ8),0)</f>
        <v>918204.4946490312</v>
      </c>
      <c r="DL8" s="126">
        <f ca="1">MAX(DL7*(1+M8)-(Dashboard!$C$11)/(1-Dashboard!$C$17)*((1+Dashboard!$C$12)^$CZ8),0)</f>
        <v>1234062.1149106068</v>
      </c>
      <c r="DM8" s="126">
        <f ca="1">MAX(DM7*(1+N8)-(Dashboard!$C$11)/(1-Dashboard!$C$17)*((1+Dashboard!$C$12)^$CZ8),0)</f>
        <v>1149375.6821495271</v>
      </c>
      <c r="DN8" s="126">
        <f ca="1">MAX(DN7*(1+O8)-(Dashboard!$C$11)/(1-Dashboard!$C$17)*((1+Dashboard!$C$12)^$CZ8),0)</f>
        <v>1900132.0579905193</v>
      </c>
      <c r="DO8" s="126">
        <f ca="1">MAX(DO7*(1+P8)-(Dashboard!$C$11)/(1-Dashboard!$C$17)*((1+Dashboard!$C$12)^$CZ8),0)</f>
        <v>1047499.8153556528</v>
      </c>
      <c r="DP8" s="126">
        <f ca="1">MAX(DP7*(1+Q8)-(Dashboard!$C$11)/(1-Dashboard!$C$17)*((1+Dashboard!$C$12)^$CZ8),0)</f>
        <v>776758.85196321574</v>
      </c>
      <c r="DQ8" s="126">
        <f ca="1">MAX(DQ7*(1+R8)-(Dashboard!$C$11)/(1-Dashboard!$C$17)*((1+Dashboard!$C$12)^$CZ8),0)</f>
        <v>771154.30628078908</v>
      </c>
      <c r="DR8" s="126">
        <f ca="1">MAX(DR7*(1+S8)-(Dashboard!$C$11)/(1-Dashboard!$C$17)*((1+Dashboard!$C$12)^$CZ8),0)</f>
        <v>553110.46705594531</v>
      </c>
      <c r="DS8" s="126">
        <f ca="1">MAX(DS7*(1+T8)-(Dashboard!$C$11)/(1-Dashboard!$C$17)*((1+Dashboard!$C$12)^$CZ8),0)</f>
        <v>964644.66994221264</v>
      </c>
      <c r="DT8" s="126">
        <f ca="1">MAX(DT7*(1+U8)-(Dashboard!$C$11)/(1-Dashboard!$C$17)*((1+Dashboard!$C$12)^$CZ8),0)</f>
        <v>901129.43248266832</v>
      </c>
      <c r="DU8" s="126">
        <f ca="1">MAX(DU7*(1+V8)-(Dashboard!$C$11)/(1-Dashboard!$C$17)*((1+Dashboard!$C$12)^$CZ8),0)</f>
        <v>935899.234528734</v>
      </c>
      <c r="DV8" s="126">
        <f ca="1">MAX(DV7*(1+W8)-(Dashboard!$C$11)/(1-Dashboard!$C$17)*((1+Dashboard!$C$12)^$CZ8),0)</f>
        <v>1102005.8021317315</v>
      </c>
      <c r="DW8" s="126">
        <f ca="1">MAX(DW7*(1+X8)-(Dashboard!$C$11)/(1-Dashboard!$C$17)*((1+Dashboard!$C$12)^$CZ8),0)</f>
        <v>1250645.5886142924</v>
      </c>
      <c r="DX8" s="126">
        <f ca="1">MAX(DX7*(1+Y8)-(Dashboard!$C$11)/(1-Dashboard!$C$17)*((1+Dashboard!$C$12)^$CZ8),0)</f>
        <v>714000.26829026267</v>
      </c>
      <c r="DY8" s="126">
        <f ca="1">MAX(DY7*(1+Z8)-(Dashboard!$C$11)/(1-Dashboard!$C$17)*((1+Dashboard!$C$12)^$CZ8),0)</f>
        <v>1249341.4609139781</v>
      </c>
      <c r="DZ8" s="126">
        <f ca="1">MAX(DZ7*(1+AA8)-(Dashboard!$C$11)/(1-Dashboard!$C$17)*((1+Dashboard!$C$12)^$CZ8),0)</f>
        <v>508918.54342138965</v>
      </c>
      <c r="EA8" s="126">
        <f ca="1">MAX(EA7*(1+AB8)-(Dashboard!$C$11)/(1-Dashboard!$C$17)*((1+Dashboard!$C$12)^$CZ8),0)</f>
        <v>506692.26881348959</v>
      </c>
      <c r="EB8" s="126">
        <f ca="1">MAX(EB7*(1+AC8)-(Dashboard!$C$11)/(1-Dashboard!$C$17)*((1+Dashboard!$C$12)^$CZ8),0)</f>
        <v>914081.0476896147</v>
      </c>
      <c r="EC8" s="126">
        <f ca="1">MAX(EC7*(1+AD8)-(Dashboard!$C$11)/(1-Dashboard!$C$17)*((1+Dashboard!$C$12)^$CZ8),0)</f>
        <v>808298.86351204535</v>
      </c>
      <c r="ED8" s="126">
        <f ca="1">MAX(ED7*(1+AE8)-(Dashboard!$C$11)/(1-Dashboard!$C$17)*((1+Dashboard!$C$12)^$CZ8),0)</f>
        <v>1074886.5312671547</v>
      </c>
      <c r="EE8" s="126">
        <f ca="1">MAX(EE7*(1+AF8)-(Dashboard!$C$11)/(1-Dashboard!$C$17)*((1+Dashboard!$C$12)^$CZ8),0)</f>
        <v>1048202.9516577598</v>
      </c>
      <c r="EF8" s="126">
        <f ca="1">MAX(EF7*(1+AG8)-(Dashboard!$C$11)/(1-Dashboard!$C$17)*((1+Dashboard!$C$12)^$CZ8),0)</f>
        <v>835285.89000108954</v>
      </c>
      <c r="EG8" s="126">
        <f ca="1">MAX(EG7*(1+AH8)-(Dashboard!$C$11)/(1-Dashboard!$C$17)*((1+Dashboard!$C$12)^$CZ8),0)</f>
        <v>1158069.8162207555</v>
      </c>
      <c r="EH8" s="126">
        <f ca="1">MAX(EH7*(1+AI8)-(Dashboard!$C$11)/(1-Dashboard!$C$17)*((1+Dashboard!$C$12)^$CZ8),0)</f>
        <v>742176.95101520431</v>
      </c>
      <c r="EI8" s="126">
        <f ca="1">MAX(EI7*(1+AJ8)-(Dashboard!$C$11)/(1-Dashboard!$C$17)*((1+Dashboard!$C$12)^$CZ8),0)</f>
        <v>529137.52916018106</v>
      </c>
      <c r="EJ8" s="126">
        <f ca="1">MAX(EJ7*(1+AK8)-(Dashboard!$C$11)/(1-Dashboard!$C$17)*((1+Dashboard!$C$12)^$CZ8),0)</f>
        <v>961400.73932719301</v>
      </c>
      <c r="EK8" s="126">
        <f ca="1">MAX(EK7*(1+AL8)-(Dashboard!$C$11)/(1-Dashboard!$C$17)*((1+Dashboard!$C$12)^$CZ8),0)</f>
        <v>852291.349644606</v>
      </c>
      <c r="EL8" s="126">
        <f ca="1">MAX(EL7*(1+AM8)-(Dashboard!$C$11)/(1-Dashboard!$C$17)*((1+Dashboard!$C$12)^$CZ8),0)</f>
        <v>930787.54530134017</v>
      </c>
      <c r="EM8" s="126">
        <f ca="1">MAX(EM7*(1+AN8)-(Dashboard!$C$11)/(1-Dashboard!$C$17)*((1+Dashboard!$C$12)^$CZ8),0)</f>
        <v>992350.43530127127</v>
      </c>
      <c r="EN8" s="126">
        <f ca="1">MAX(EN7*(1+AO8)-(Dashboard!$C$11)/(1-Dashboard!$C$17)*((1+Dashboard!$C$12)^$CZ8),0)</f>
        <v>1459594.6002673579</v>
      </c>
      <c r="EO8" s="126">
        <f ca="1">MAX(EO7*(1+AP8)-(Dashboard!$C$11)/(1-Dashboard!$C$17)*((1+Dashboard!$C$12)^$CZ8),0)</f>
        <v>504537.28009120841</v>
      </c>
      <c r="EP8" s="126">
        <f ca="1">MAX(EP7*(1+AQ8)-(Dashboard!$C$11)/(1-Dashboard!$C$17)*((1+Dashboard!$C$12)^$CZ8),0)</f>
        <v>701281.73787340929</v>
      </c>
      <c r="EQ8" s="126">
        <f ca="1">MAX(EQ7*(1+AR8)-(Dashboard!$C$11)/(1-Dashboard!$C$17)*((1+Dashboard!$C$12)^$CZ8),0)</f>
        <v>555639.60639286635</v>
      </c>
      <c r="ER8" s="126">
        <f ca="1">MAX(ER7*(1+AS8)-(Dashboard!$C$11)/(1-Dashboard!$C$17)*((1+Dashboard!$C$12)^$CZ8),0)</f>
        <v>541308.39266648795</v>
      </c>
      <c r="ES8" s="126">
        <f ca="1">MAX(ES7*(1+AT8)-(Dashboard!$C$11)/(1-Dashboard!$C$17)*((1+Dashboard!$C$12)^$CZ8),0)</f>
        <v>606815.53343672887</v>
      </c>
      <c r="ET8" s="126">
        <f ca="1">MAX(ET7*(1+AU8)-(Dashboard!$C$11)/(1-Dashboard!$C$17)*((1+Dashboard!$C$12)^$CZ8),0)</f>
        <v>1026441.4835719679</v>
      </c>
      <c r="EU8" s="126">
        <f ca="1">MAX(EU7*(1+AV8)-(Dashboard!$C$11)/(1-Dashboard!$C$17)*((1+Dashboard!$C$12)^$CZ8),0)</f>
        <v>800711.79991608148</v>
      </c>
      <c r="EV8" s="126">
        <f ca="1">MAX(EV7*(1+AW8)-(Dashboard!$C$11)/(1-Dashboard!$C$17)*((1+Dashboard!$C$12)^$CZ8),0)</f>
        <v>1476247.6728502954</v>
      </c>
      <c r="EW8" s="126">
        <f ca="1">MAX(EW7*(1+AX8)-(Dashboard!$C$11)/(1-Dashboard!$C$17)*((1+Dashboard!$C$12)^$CZ8),0)</f>
        <v>1297639.2242469236</v>
      </c>
      <c r="EX8" s="126">
        <f ca="1">MAX(EX7*(1+AY8)-(Dashboard!$C$11)/(1-Dashboard!$C$17)*((1+Dashboard!$C$12)^$CZ8),0)</f>
        <v>1106187.6542000873</v>
      </c>
      <c r="EY8" s="126">
        <f ca="1">MAX(EY7*(1+AZ8)-(Dashboard!$C$11)/(1-Dashboard!$C$17)*((1+Dashboard!$C$12)^$CZ8),0)</f>
        <v>1140766.578614074</v>
      </c>
      <c r="EZ8" s="126">
        <f ca="1">MAX(EZ7*(1+BA8)-(Dashboard!$C$11)/(1-Dashboard!$C$17)*((1+Dashboard!$C$12)^$CZ8),0)</f>
        <v>614485.17156793596</v>
      </c>
      <c r="FA8" s="126">
        <f ca="1">MAX(FA7*(1+BB8)-(Dashboard!$C$11)/(1-Dashboard!$C$17)*((1+Dashboard!$C$12)^$CZ8),0)</f>
        <v>867075.2127002991</v>
      </c>
      <c r="FB8" s="126">
        <f ca="1">MAX(FB7*(1+BC8)-(Dashboard!$C$11)/(1-Dashboard!$C$17)*((1+Dashboard!$C$12)^$CZ8),0)</f>
        <v>893344.84056712198</v>
      </c>
      <c r="FC8" s="126">
        <f ca="1">MAX(FC7*(1+BD8)-(Dashboard!$C$11)/(1-Dashboard!$C$17)*((1+Dashboard!$C$12)^$CZ8),0)</f>
        <v>965814.48457249685</v>
      </c>
      <c r="FD8" s="126">
        <f ca="1">MAX(FD7*(1+BE8)-(Dashboard!$C$11)/(1-Dashboard!$C$17)*((1+Dashboard!$C$12)^$CZ8),0)</f>
        <v>872707.70477203163</v>
      </c>
      <c r="FE8" s="126">
        <f ca="1">MAX(FE7*(1+BF8)-(Dashboard!$C$11)/(1-Dashboard!$C$17)*((1+Dashboard!$C$12)^$CZ8),0)</f>
        <v>1017318.717224075</v>
      </c>
      <c r="FF8" s="126">
        <f ca="1">MAX(FF7*(1+BG8)-(Dashboard!$C$11)/(1-Dashboard!$C$17)*((1+Dashboard!$C$12)^$CZ8),0)</f>
        <v>1044617.1539911256</v>
      </c>
      <c r="FG8" s="126">
        <f ca="1">MAX(FG7*(1+BH8)-(Dashboard!$C$11)/(1-Dashboard!$C$17)*((1+Dashboard!$C$12)^$CZ8),0)</f>
        <v>886591.5280791393</v>
      </c>
      <c r="FH8" s="126">
        <f ca="1">MAX(FH7*(1+BI8)-(Dashboard!$C$11)/(1-Dashboard!$C$17)*((1+Dashboard!$C$12)^$CZ8),0)</f>
        <v>911560.26116207824</v>
      </c>
      <c r="FI8" s="126">
        <f ca="1">MAX(FI7*(1+BJ8)-(Dashboard!$C$11)/(1-Dashboard!$C$17)*((1+Dashboard!$C$12)^$CZ8),0)</f>
        <v>1011257.2722265715</v>
      </c>
      <c r="FJ8" s="126">
        <f ca="1">MAX(FJ7*(1+BK8)-(Dashboard!$C$11)/(1-Dashboard!$C$17)*((1+Dashboard!$C$12)^$CZ8),0)</f>
        <v>561553.50249697256</v>
      </c>
      <c r="FK8" s="126">
        <f ca="1">MAX(FK7*(1+BL8)-(Dashboard!$C$11)/(1-Dashboard!$C$17)*((1+Dashboard!$C$12)^$CZ8),0)</f>
        <v>592824.10559361463</v>
      </c>
      <c r="FL8" s="126">
        <f ca="1">MAX(FL7*(1+BM8)-(Dashboard!$C$11)/(1-Dashboard!$C$17)*((1+Dashboard!$C$12)^$CZ8),0)</f>
        <v>1060911.8603741596</v>
      </c>
      <c r="FM8" s="126">
        <f ca="1">MAX(FM7*(1+BN8)-(Dashboard!$C$11)/(1-Dashboard!$C$17)*((1+Dashboard!$C$12)^$CZ8),0)</f>
        <v>660759.33071149362</v>
      </c>
      <c r="FN8" s="126">
        <f ca="1">MAX(FN7*(1+BO8)-(Dashboard!$C$11)/(1-Dashboard!$C$17)*((1+Dashboard!$C$12)^$CZ8),0)</f>
        <v>577710.536301899</v>
      </c>
      <c r="FO8" s="126">
        <f ca="1">MAX(FO7*(1+BP8)-(Dashboard!$C$11)/(1-Dashboard!$C$17)*((1+Dashboard!$C$12)^$CZ8),0)</f>
        <v>980356.10502367758</v>
      </c>
      <c r="FP8" s="126">
        <f ca="1">MAX(FP7*(1+BQ8)-(Dashboard!$C$11)/(1-Dashboard!$C$17)*((1+Dashboard!$C$12)^$CZ8),0)</f>
        <v>818539.6210832959</v>
      </c>
      <c r="FQ8" s="126">
        <f ca="1">MAX(FQ7*(1+BR8)-(Dashboard!$C$11)/(1-Dashboard!$C$17)*((1+Dashboard!$C$12)^$CZ8),0)</f>
        <v>1133899.9298383549</v>
      </c>
      <c r="FR8" s="126">
        <f ca="1">MAX(FR7*(1+BS8)-(Dashboard!$C$11)/(1-Dashboard!$C$17)*((1+Dashboard!$C$12)^$CZ8),0)</f>
        <v>1633189.4805708327</v>
      </c>
      <c r="FS8" s="126">
        <f ca="1">MAX(FS7*(1+BT8)-(Dashboard!$C$11)/(1-Dashboard!$C$17)*((1+Dashboard!$C$12)^$CZ8),0)</f>
        <v>823868.2636405566</v>
      </c>
      <c r="FT8" s="126">
        <f ca="1">MAX(FT7*(1+BU8)-(Dashboard!$C$11)/(1-Dashboard!$C$17)*((1+Dashboard!$C$12)^$CZ8),0)</f>
        <v>614631.49530016736</v>
      </c>
      <c r="FU8" s="126">
        <f ca="1">MAX(FU7*(1+BV8)-(Dashboard!$C$11)/(1-Dashboard!$C$17)*((1+Dashboard!$C$12)^$CZ8),0)</f>
        <v>1305569.2225291396</v>
      </c>
      <c r="FV8" s="126">
        <f ca="1">MAX(FV7*(1+BW8)-(Dashboard!$C$11)/(1-Dashboard!$C$17)*((1+Dashboard!$C$12)^$CZ8),0)</f>
        <v>352358.02665578015</v>
      </c>
      <c r="FW8" s="126">
        <f ca="1">MAX(FW7*(1+BX8)-(Dashboard!$C$11)/(1-Dashboard!$C$17)*((1+Dashboard!$C$12)^$CZ8),0)</f>
        <v>1034857.0179091784</v>
      </c>
      <c r="FX8" s="126">
        <f ca="1">MAX(FX7*(1+BY8)-(Dashboard!$C$11)/(1-Dashboard!$C$17)*((1+Dashboard!$C$12)^$CZ8),0)</f>
        <v>655869.07967916888</v>
      </c>
      <c r="FY8" s="126">
        <f ca="1">MAX(FY7*(1+BZ8)-(Dashboard!$C$11)/(1-Dashboard!$C$17)*((1+Dashboard!$C$12)^$CZ8),0)</f>
        <v>528092.75765652745</v>
      </c>
      <c r="FZ8" s="126">
        <f ca="1">MAX(FZ7*(1+CA8)-(Dashboard!$C$11)/(1-Dashboard!$C$17)*((1+Dashboard!$C$12)^$CZ8),0)</f>
        <v>717431.76887964911</v>
      </c>
      <c r="GA8" s="126">
        <f ca="1">MAX(GA7*(1+CB8)-(Dashboard!$C$11)/(1-Dashboard!$C$17)*((1+Dashboard!$C$12)^$CZ8),0)</f>
        <v>1537323.1351472712</v>
      </c>
      <c r="GB8" s="126">
        <f ca="1">MAX(GB7*(1+CC8)-(Dashboard!$C$11)/(1-Dashboard!$C$17)*((1+Dashboard!$C$12)^$CZ8),0)</f>
        <v>853189.04587508191</v>
      </c>
      <c r="GC8" s="126">
        <f ca="1">MAX(GC7*(1+CD8)-(Dashboard!$C$11)/(1-Dashboard!$C$17)*((1+Dashboard!$C$12)^$CZ8),0)</f>
        <v>949614.08715303137</v>
      </c>
      <c r="GD8" s="126">
        <f ca="1">MAX(GD7*(1+CE8)-(Dashboard!$C$11)/(1-Dashboard!$C$17)*((1+Dashboard!$C$12)^$CZ8),0)</f>
        <v>633602.93759777106</v>
      </c>
      <c r="GE8" s="126">
        <f ca="1">MAX(GE7*(1+CF8)-(Dashboard!$C$11)/(1-Dashboard!$C$17)*((1+Dashboard!$C$12)^$CZ8),0)</f>
        <v>706065.76247265132</v>
      </c>
      <c r="GF8" s="126">
        <f ca="1">MAX(GF7*(1+CG8)-(Dashboard!$C$11)/(1-Dashboard!$C$17)*((1+Dashboard!$C$12)^$CZ8),0)</f>
        <v>1129546.4550302092</v>
      </c>
      <c r="GG8" s="126">
        <f ca="1">MAX(GG7*(1+CH8)-(Dashboard!$C$11)/(1-Dashboard!$C$17)*((1+Dashboard!$C$12)^$CZ8),0)</f>
        <v>538541.24327509757</v>
      </c>
      <c r="GH8" s="126">
        <f ca="1">MAX(GH7*(1+CI8)-(Dashboard!$C$11)/(1-Dashboard!$C$17)*((1+Dashboard!$C$12)^$CZ8),0)</f>
        <v>546928.81099062425</v>
      </c>
      <c r="GI8" s="126">
        <f ca="1">MAX(GI7*(1+CJ8)-(Dashboard!$C$11)/(1-Dashboard!$C$17)*((1+Dashboard!$C$12)^$CZ8),0)</f>
        <v>535124.93975802185</v>
      </c>
      <c r="GJ8" s="126">
        <f ca="1">MAX(GJ7*(1+CK8)-(Dashboard!$C$11)/(1-Dashboard!$C$17)*((1+Dashboard!$C$12)^$CZ8),0)</f>
        <v>897863.28763970453</v>
      </c>
      <c r="GK8" s="126">
        <f ca="1">MAX(GK7*(1+CL8)-(Dashboard!$C$11)/(1-Dashboard!$C$17)*((1+Dashboard!$C$12)^$CZ8),0)</f>
        <v>1357823.5563151606</v>
      </c>
      <c r="GL8" s="126">
        <f ca="1">MAX(GL7*(1+CM8)-(Dashboard!$C$11)/(1-Dashboard!$C$17)*((1+Dashboard!$C$12)^$CZ8),0)</f>
        <v>1136646.7424265395</v>
      </c>
      <c r="GM8" s="126">
        <f ca="1">MAX(GM7*(1+CN8)-(Dashboard!$C$11)/(1-Dashboard!$C$17)*((1+Dashboard!$C$12)^$CZ8),0)</f>
        <v>717237.25915377517</v>
      </c>
      <c r="GN8" s="126">
        <f ca="1">MAX(GN7*(1+CO8)-(Dashboard!$C$11)/(1-Dashboard!$C$17)*((1+Dashboard!$C$12)^$CZ8),0)</f>
        <v>422008.75203716481</v>
      </c>
      <c r="GO8" s="126">
        <f ca="1">MAX(GO7*(1+CP8)-(Dashboard!$C$11)/(1-Dashboard!$C$17)*((1+Dashboard!$C$12)^$CZ8),0)</f>
        <v>731965.24717369897</v>
      </c>
      <c r="GP8" s="126">
        <f ca="1">MAX(GP7*(1+CQ8)-(Dashboard!$C$11)/(1-Dashboard!$C$17)*((1+Dashboard!$C$12)^$CZ8),0)</f>
        <v>632585.07562488166</v>
      </c>
      <c r="GQ8" s="126">
        <f ca="1">MAX(GQ7*(1+CR8)-(Dashboard!$C$11)/(1-Dashboard!$C$17)*((1+Dashboard!$C$12)^$CZ8),0)</f>
        <v>612089.14495242573</v>
      </c>
      <c r="GR8" s="126">
        <f ca="1">MAX(GR7*(1+CS8)-(Dashboard!$C$11)/(1-Dashboard!$C$17)*((1+Dashboard!$C$12)^$CZ8),0)</f>
        <v>768973.87852773</v>
      </c>
      <c r="GS8" s="126">
        <f ca="1">MAX(GS7*(1+CT8)-(Dashboard!$C$11)/(1-Dashboard!$C$17)*((1+Dashboard!$C$12)^$CZ8),0)</f>
        <v>954436.31421924499</v>
      </c>
      <c r="GT8" s="126">
        <f ca="1">MAX(GT7*(1+CU8)-(Dashboard!$C$11)/(1-Dashboard!$C$17)*((1+Dashboard!$C$12)^$CZ8),0)</f>
        <v>869583.30301915202</v>
      </c>
      <c r="GU8" s="126">
        <f ca="1">MAX(GU7*(1+CV8)-(Dashboard!$C$11)/(1-Dashboard!$C$17)*((1+Dashboard!$C$12)^$CZ8),0)</f>
        <v>418079.46794209367</v>
      </c>
      <c r="GV8" s="126">
        <f ca="1">MAX(GV7*(1+CW8)-(Dashboard!$C$11)/(1-Dashboard!$C$17)*((1+Dashboard!$C$12)^$CZ8),0)</f>
        <v>311309.5056285311</v>
      </c>
      <c r="GW8" s="115">
        <f t="shared" si="4"/>
        <v>57</v>
      </c>
      <c r="GX8" s="130">
        <f t="shared" ca="1" si="2"/>
        <v>100</v>
      </c>
      <c r="HC8" s="130">
        <f t="shared" si="0"/>
        <v>57</v>
      </c>
      <c r="HD8" s="137">
        <f t="shared" ca="1" si="1"/>
        <v>619119.89038134599</v>
      </c>
      <c r="HE8" s="137">
        <f t="shared" ca="1" si="1"/>
        <v>857217.55191795505</v>
      </c>
      <c r="HF8" s="137">
        <f t="shared" ca="1" si="1"/>
        <v>1032753.1343248758</v>
      </c>
    </row>
    <row r="9" spans="1:214" ht="16">
      <c r="A9" s="145">
        <f t="shared" si="3"/>
        <v>58</v>
      </c>
      <c r="B9" s="119">
        <f ca="1">(Dashboard!$C$7*'Equity and Bond Returns'!N9)+(Dashboard!$C$8*'Equity and Bond Returns'!DL9)</f>
        <v>0.32206886672592411</v>
      </c>
      <c r="C9" s="119">
        <f ca="1">(Dashboard!$C$7*'Equity and Bond Returns'!O9)+(Dashboard!$C$8*'Equity and Bond Returns'!DM9)</f>
        <v>-4.7550738956740522E-2</v>
      </c>
      <c r="D9" s="119">
        <f ca="1">(Dashboard!$C$7*'Equity and Bond Returns'!P9)+(Dashboard!$C$8*'Equity and Bond Returns'!DN9)</f>
        <v>-1.4705616470536653E-2</v>
      </c>
      <c r="E9" s="119">
        <f ca="1">(Dashboard!$C$7*'Equity and Bond Returns'!Q9)+(Dashboard!$C$8*'Equity and Bond Returns'!DO9)</f>
        <v>-0.13441621258376696</v>
      </c>
      <c r="F9" s="119">
        <f ca="1">(Dashboard!$C$7*'Equity and Bond Returns'!R9)+(Dashboard!$C$8*'Equity and Bond Returns'!DP9)</f>
        <v>8.8456998920607335E-2</v>
      </c>
      <c r="G9" s="119">
        <f ca="1">(Dashboard!$C$7*'Equity and Bond Returns'!S9)+(Dashboard!$C$8*'Equity and Bond Returns'!DQ9)</f>
        <v>0.16334355122877037</v>
      </c>
      <c r="H9" s="119">
        <f ca="1">(Dashboard!$C$7*'Equity and Bond Returns'!T9)+(Dashboard!$C$8*'Equity and Bond Returns'!DR9)</f>
        <v>8.2012560077349556E-2</v>
      </c>
      <c r="I9" s="119">
        <f ca="1">(Dashboard!$C$7*'Equity and Bond Returns'!U9)+(Dashboard!$C$8*'Equity and Bond Returns'!DS9)</f>
        <v>0.1188519128883079</v>
      </c>
      <c r="J9" s="119">
        <f ca="1">(Dashboard!$C$7*'Equity and Bond Returns'!V9)+(Dashboard!$C$8*'Equity and Bond Returns'!DT9)</f>
        <v>-0.10046931920547228</v>
      </c>
      <c r="K9" s="119">
        <f ca="1">(Dashboard!$C$7*'Equity and Bond Returns'!W9)+(Dashboard!$C$8*'Equity and Bond Returns'!DU9)</f>
        <v>0.11762693094339459</v>
      </c>
      <c r="L9" s="119">
        <f ca="1">(Dashboard!$C$7*'Equity and Bond Returns'!X9)+(Dashboard!$C$8*'Equity and Bond Returns'!DV9)</f>
        <v>0.53979812079525169</v>
      </c>
      <c r="M9" s="119">
        <f ca="1">(Dashboard!$C$7*'Equity and Bond Returns'!Y9)+(Dashboard!$C$8*'Equity and Bond Returns'!DW9)</f>
        <v>0.28525498391146709</v>
      </c>
      <c r="N9" s="119">
        <f ca="1">(Dashboard!$C$7*'Equity and Bond Returns'!Z9)+(Dashboard!$C$8*'Equity and Bond Returns'!DX9)</f>
        <v>-5.0973684951805733E-3</v>
      </c>
      <c r="O9" s="119">
        <f ca="1">(Dashboard!$C$7*'Equity and Bond Returns'!AA9)+(Dashboard!$C$8*'Equity and Bond Returns'!DY9)</f>
        <v>0.32832810414627761</v>
      </c>
      <c r="P9" s="119">
        <f ca="1">(Dashboard!$C$7*'Equity and Bond Returns'!AB9)+(Dashboard!$C$8*'Equity and Bond Returns'!DZ9)</f>
        <v>0.24240685053122285</v>
      </c>
      <c r="Q9" s="119">
        <f ca="1">(Dashboard!$C$7*'Equity and Bond Returns'!AC9)+(Dashboard!$C$8*'Equity and Bond Returns'!EA9)</f>
        <v>4.9645399757665146E-2</v>
      </c>
      <c r="R9" s="119">
        <f ca="1">(Dashboard!$C$7*'Equity and Bond Returns'!AD9)+(Dashboard!$C$8*'Equity and Bond Returns'!EB9)</f>
        <v>0.31587967025256247</v>
      </c>
      <c r="S9" s="119">
        <f ca="1">(Dashboard!$C$7*'Equity and Bond Returns'!AE9)+(Dashboard!$C$8*'Equity and Bond Returns'!EC9)</f>
        <v>0.36551452742113244</v>
      </c>
      <c r="T9" s="119">
        <f ca="1">(Dashboard!$C$7*'Equity and Bond Returns'!AF9)+(Dashboard!$C$8*'Equity and Bond Returns'!ED9)</f>
        <v>5.5837413973337635E-2</v>
      </c>
      <c r="U9" s="119">
        <f ca="1">(Dashboard!$C$7*'Equity and Bond Returns'!AG9)+(Dashboard!$C$8*'Equity and Bond Returns'!EE9)</f>
        <v>-0.11328528104757263</v>
      </c>
      <c r="V9" s="119">
        <f ca="1">(Dashboard!$C$7*'Equity and Bond Returns'!AH9)+(Dashboard!$C$8*'Equity and Bond Returns'!EF9)</f>
        <v>0.15075172538784298</v>
      </c>
      <c r="W9" s="119">
        <f ca="1">(Dashboard!$C$7*'Equity and Bond Returns'!AI9)+(Dashboard!$C$8*'Equity and Bond Returns'!EG9)</f>
        <v>0.22775754885898578</v>
      </c>
      <c r="X9" s="119">
        <f ca="1">(Dashboard!$C$7*'Equity and Bond Returns'!AJ9)+(Dashboard!$C$8*'Equity and Bond Returns'!EH9)</f>
        <v>-0.10299867091883756</v>
      </c>
      <c r="Y9" s="119">
        <f ca="1">(Dashboard!$C$7*'Equity and Bond Returns'!AK9)+(Dashboard!$C$8*'Equity and Bond Returns'!EI9)</f>
        <v>-0.11003012589953098</v>
      </c>
      <c r="Z9" s="119">
        <f ca="1">(Dashboard!$C$7*'Equity and Bond Returns'!AL9)+(Dashboard!$C$8*'Equity and Bond Returns'!EJ9)</f>
        <v>0.28953796027933837</v>
      </c>
      <c r="AA9" s="119">
        <f ca="1">(Dashboard!$C$7*'Equity and Bond Returns'!AM9)+(Dashboard!$C$8*'Equity and Bond Returns'!EK9)</f>
        <v>0.13848550612793012</v>
      </c>
      <c r="AB9" s="119">
        <f ca="1">(Dashboard!$C$7*'Equity and Bond Returns'!AN9)+(Dashboard!$C$8*'Equity and Bond Returns'!EL9)</f>
        <v>8.1691003693227307E-2</v>
      </c>
      <c r="AC9" s="119">
        <f ca="1">(Dashboard!$C$7*'Equity and Bond Returns'!AO9)+(Dashboard!$C$8*'Equity and Bond Returns'!EM9)</f>
        <v>-6.7489196694756393E-2</v>
      </c>
      <c r="AD9" s="119">
        <f ca="1">(Dashboard!$C$7*'Equity and Bond Returns'!AP9)+(Dashboard!$C$8*'Equity and Bond Returns'!EN9)</f>
        <v>0.15798347925629083</v>
      </c>
      <c r="AE9" s="119">
        <f ca="1">(Dashboard!$C$7*'Equity and Bond Returns'!AQ9)+(Dashboard!$C$8*'Equity and Bond Returns'!EO9)</f>
        <v>0.23044263685353789</v>
      </c>
      <c r="AF9" s="119">
        <f ca="1">(Dashboard!$C$7*'Equity and Bond Returns'!AR9)+(Dashboard!$C$8*'Equity and Bond Returns'!EP9)</f>
        <v>8.4834874038589345E-2</v>
      </c>
      <c r="AG9" s="119">
        <f ca="1">(Dashboard!$C$7*'Equity and Bond Returns'!AS9)+(Dashboard!$C$8*'Equity and Bond Returns'!EQ9)</f>
        <v>3.3746717478141553E-3</v>
      </c>
      <c r="AH9" s="119">
        <f ca="1">(Dashboard!$C$7*'Equity and Bond Returns'!AT9)+(Dashboard!$C$8*'Equity and Bond Returns'!ER9)</f>
        <v>0.19971736955014291</v>
      </c>
      <c r="AI9" s="119">
        <f ca="1">(Dashboard!$C$7*'Equity and Bond Returns'!AU9)+(Dashboard!$C$8*'Equity and Bond Returns'!ES9)</f>
        <v>-2.2396783460556825E-2</v>
      </c>
      <c r="AJ9" s="119">
        <f ca="1">(Dashboard!$C$7*'Equity and Bond Returns'!AV9)+(Dashboard!$C$8*'Equity and Bond Returns'!ET9)</f>
        <v>-0.24195223956235609</v>
      </c>
      <c r="AK9" s="119">
        <f ca="1">(Dashboard!$C$7*'Equity and Bond Returns'!AW9)+(Dashboard!$C$8*'Equity and Bond Returns'!EU9)</f>
        <v>-7.3362878684894148E-2</v>
      </c>
      <c r="AL9" s="119">
        <f ca="1">(Dashboard!$C$7*'Equity and Bond Returns'!AX9)+(Dashboard!$C$8*'Equity and Bond Returns'!EV9)</f>
        <v>5.6888211501602413E-2</v>
      </c>
      <c r="AM9" s="119">
        <f ca="1">(Dashboard!$C$7*'Equity and Bond Returns'!AY9)+(Dashboard!$C$8*'Equity and Bond Returns'!EW9)</f>
        <v>2.3095892676188126E-2</v>
      </c>
      <c r="AN9" s="119">
        <f ca="1">(Dashboard!$C$7*'Equity and Bond Returns'!AZ9)+(Dashboard!$C$8*'Equity and Bond Returns'!EX9)</f>
        <v>0.30700028065993273</v>
      </c>
      <c r="AO9" s="119">
        <f ca="1">(Dashboard!$C$7*'Equity and Bond Returns'!BA9)+(Dashboard!$C$8*'Equity and Bond Returns'!EY9)</f>
        <v>0.35109239808454268</v>
      </c>
      <c r="AP9" s="119">
        <f ca="1">(Dashboard!$C$7*'Equity and Bond Returns'!BB9)+(Dashboard!$C$8*'Equity and Bond Returns'!EZ9)</f>
        <v>-2.2104469079134707E-2</v>
      </c>
      <c r="AQ9" s="119">
        <f ca="1">(Dashboard!$C$7*'Equity and Bond Returns'!BC9)+(Dashboard!$C$8*'Equity and Bond Returns'!FA9)</f>
        <v>0.22165055156908803</v>
      </c>
      <c r="AR9" s="119">
        <f ca="1">(Dashboard!$C$7*'Equity and Bond Returns'!BD9)+(Dashboard!$C$8*'Equity and Bond Returns'!FB9)</f>
        <v>0.16538374916131421</v>
      </c>
      <c r="AS9" s="119">
        <f ca="1">(Dashboard!$C$7*'Equity and Bond Returns'!BE9)+(Dashboard!$C$8*'Equity and Bond Returns'!FC9)</f>
        <v>0.35382055938847218</v>
      </c>
      <c r="AT9" s="119">
        <f ca="1">(Dashboard!$C$7*'Equity and Bond Returns'!BF9)+(Dashboard!$C$8*'Equity and Bond Returns'!FD9)</f>
        <v>-1.9358488321211981E-2</v>
      </c>
      <c r="AU9" s="119">
        <f ca="1">(Dashboard!$C$7*'Equity and Bond Returns'!BG9)+(Dashboard!$C$8*'Equity and Bond Returns'!FE9)</f>
        <v>9.6140048545732174E-2</v>
      </c>
      <c r="AV9" s="119">
        <f ca="1">(Dashboard!$C$7*'Equity and Bond Returns'!BH9)+(Dashboard!$C$8*'Equity and Bond Returns'!FF9)</f>
        <v>4.1427938128178979E-2</v>
      </c>
      <c r="AW9" s="119">
        <f ca="1">(Dashboard!$C$7*'Equity and Bond Returns'!BI9)+(Dashboard!$C$8*'Equity and Bond Returns'!FG9)</f>
        <v>0.2021232079008583</v>
      </c>
      <c r="AX9" s="119">
        <f ca="1">(Dashboard!$C$7*'Equity and Bond Returns'!BJ9)+(Dashboard!$C$8*'Equity and Bond Returns'!FH9)</f>
        <v>-0.10030351968026142</v>
      </c>
      <c r="AY9" s="119">
        <f ca="1">(Dashboard!$C$7*'Equity and Bond Returns'!BK9)+(Dashboard!$C$8*'Equity and Bond Returns'!FI9)</f>
        <v>0.17560626078871416</v>
      </c>
      <c r="AZ9" s="119">
        <f ca="1">(Dashboard!$C$7*'Equity and Bond Returns'!BL9)+(Dashboard!$C$8*'Equity and Bond Returns'!FJ9)</f>
        <v>0.25346574117297188</v>
      </c>
      <c r="BA9" s="119">
        <f ca="1">(Dashboard!$C$7*'Equity and Bond Returns'!BM9)+(Dashboard!$C$8*'Equity and Bond Returns'!FK9)</f>
        <v>-0.25678205493290351</v>
      </c>
      <c r="BB9" s="119">
        <f ca="1">(Dashboard!$C$7*'Equity and Bond Returns'!BN9)+(Dashboard!$C$8*'Equity and Bond Returns'!FL9)</f>
        <v>0.24494525802141051</v>
      </c>
      <c r="BC9" s="119">
        <f ca="1">(Dashboard!$C$7*'Equity and Bond Returns'!BO9)+(Dashboard!$C$8*'Equity and Bond Returns'!FM9)</f>
        <v>4.464055142660258E-2</v>
      </c>
      <c r="BD9" s="119">
        <f ca="1">(Dashboard!$C$7*'Equity and Bond Returns'!BP9)+(Dashboard!$C$8*'Equity and Bond Returns'!FN9)</f>
        <v>-7.7796531819082235E-2</v>
      </c>
      <c r="BE9" s="119">
        <f ca="1">(Dashboard!$C$7*'Equity and Bond Returns'!BQ9)+(Dashboard!$C$8*'Equity and Bond Returns'!FO9)</f>
        <v>0.24908334022349685</v>
      </c>
      <c r="BF9" s="119">
        <f ca="1">(Dashboard!$C$7*'Equity and Bond Returns'!BR9)+(Dashboard!$C$8*'Equity and Bond Returns'!FP9)</f>
        <v>-2.1702203730271472E-2</v>
      </c>
      <c r="BG9" s="119">
        <f ca="1">(Dashboard!$C$7*'Equity and Bond Returns'!BS9)+(Dashboard!$C$8*'Equity and Bond Returns'!FQ9)</f>
        <v>0.16528856837553635</v>
      </c>
      <c r="BH9" s="119">
        <f ca="1">(Dashboard!$C$7*'Equity and Bond Returns'!BT9)+(Dashboard!$C$8*'Equity and Bond Returns'!FR9)</f>
        <v>0.15552896260222879</v>
      </c>
      <c r="BI9" s="119">
        <f ca="1">(Dashboard!$C$7*'Equity and Bond Returns'!BU9)+(Dashboard!$C$8*'Equity and Bond Returns'!FS9)</f>
        <v>-0.11543884651223119</v>
      </c>
      <c r="BJ9" s="119">
        <f ca="1">(Dashboard!$C$7*'Equity and Bond Returns'!BV9)+(Dashboard!$C$8*'Equity and Bond Returns'!FT9)</f>
        <v>-8.9276190606566941E-2</v>
      </c>
      <c r="BK9" s="119">
        <f ca="1">(Dashboard!$C$7*'Equity and Bond Returns'!BW9)+(Dashboard!$C$8*'Equity and Bond Returns'!FU9)</f>
        <v>6.6854313383192532E-3</v>
      </c>
      <c r="BL9" s="119">
        <f ca="1">(Dashboard!$C$7*'Equity and Bond Returns'!BX9)+(Dashboard!$C$8*'Equity and Bond Returns'!FV9)</f>
        <v>0.24459067355954967</v>
      </c>
      <c r="BM9" s="119">
        <f ca="1">(Dashboard!$C$7*'Equity and Bond Returns'!BY9)+(Dashboard!$C$8*'Equity and Bond Returns'!FW9)</f>
        <v>0.4007450723472723</v>
      </c>
      <c r="BN9" s="119">
        <f ca="1">(Dashboard!$C$7*'Equity and Bond Returns'!BZ9)+(Dashboard!$C$8*'Equity and Bond Returns'!FX9)</f>
        <v>0.3444068854396643</v>
      </c>
      <c r="BO9" s="119">
        <f ca="1">(Dashboard!$C$7*'Equity and Bond Returns'!CA9)+(Dashboard!$C$8*'Equity and Bond Returns'!FY9)</f>
        <v>5.9877361344855551E-3</v>
      </c>
      <c r="BP9" s="119">
        <f ca="1">(Dashboard!$C$7*'Equity and Bond Returns'!CB9)+(Dashboard!$C$8*'Equity and Bond Returns'!FZ9)</f>
        <v>4.911217739815351E-2</v>
      </c>
      <c r="BQ9" s="119">
        <f ca="1">(Dashboard!$C$7*'Equity and Bond Returns'!CC9)+(Dashboard!$C$8*'Equity and Bond Returns'!GA9)</f>
        <v>0.28568684145057499</v>
      </c>
      <c r="BR9" s="119">
        <f ca="1">(Dashboard!$C$7*'Equity and Bond Returns'!CD9)+(Dashboard!$C$8*'Equity and Bond Returns'!GB9)</f>
        <v>6.0492323805991191E-2</v>
      </c>
      <c r="BS9" s="119">
        <f ca="1">(Dashboard!$C$7*'Equity and Bond Returns'!CE9)+(Dashboard!$C$8*'Equity and Bond Returns'!GC9)</f>
        <v>0.16358794839516763</v>
      </c>
      <c r="BT9" s="119">
        <f ca="1">(Dashboard!$C$7*'Equity and Bond Returns'!CF9)+(Dashboard!$C$8*'Equity and Bond Returns'!GD9)</f>
        <v>0.19412940352816321</v>
      </c>
      <c r="BU9" s="119">
        <f ca="1">(Dashboard!$C$7*'Equity and Bond Returns'!CG9)+(Dashboard!$C$8*'Equity and Bond Returns'!GE9)</f>
        <v>0.16273079757090236</v>
      </c>
      <c r="BV9" s="119">
        <f ca="1">(Dashboard!$C$7*'Equity and Bond Returns'!CH9)+(Dashboard!$C$8*'Equity and Bond Returns'!GF9)</f>
        <v>0.13057574490369686</v>
      </c>
      <c r="BW9" s="119">
        <f ca="1">(Dashboard!$C$7*'Equity and Bond Returns'!CI9)+(Dashboard!$C$8*'Equity and Bond Returns'!GG9)</f>
        <v>0.19292505056893439</v>
      </c>
      <c r="BX9" s="119">
        <f ca="1">(Dashboard!$C$7*'Equity and Bond Returns'!CJ9)+(Dashboard!$C$8*'Equity and Bond Returns'!GH9)</f>
        <v>-6.9372748501729642E-2</v>
      </c>
      <c r="BY9" s="119">
        <f ca="1">(Dashboard!$C$7*'Equity and Bond Returns'!CK9)+(Dashboard!$C$8*'Equity and Bond Returns'!GI9)</f>
        <v>-3.2471619728808535E-2</v>
      </c>
      <c r="BZ9" s="119">
        <f ca="1">(Dashboard!$C$7*'Equity and Bond Returns'!CL9)+(Dashboard!$C$8*'Equity and Bond Returns'!GJ9)</f>
        <v>7.8547395002285025E-2</v>
      </c>
      <c r="CA9" s="119">
        <f ca="1">(Dashboard!$C$7*'Equity and Bond Returns'!CM9)+(Dashboard!$C$8*'Equity and Bond Returns'!GK9)</f>
        <v>-9.4367317390830985E-2</v>
      </c>
      <c r="CB9" s="119">
        <f ca="1">(Dashboard!$C$7*'Equity and Bond Returns'!CN9)+(Dashboard!$C$8*'Equity and Bond Returns'!GL9)</f>
        <v>0.27399423861056854</v>
      </c>
      <c r="CC9" s="119">
        <f ca="1">(Dashboard!$C$7*'Equity and Bond Returns'!CO9)+(Dashboard!$C$8*'Equity and Bond Returns'!GM9)</f>
        <v>0.20194280563867092</v>
      </c>
      <c r="CD9" s="119">
        <f ca="1">(Dashboard!$C$7*'Equity and Bond Returns'!CP9)+(Dashboard!$C$8*'Equity and Bond Returns'!GN9)</f>
        <v>8.2250128738954265E-2</v>
      </c>
      <c r="CE9" s="119">
        <f ca="1">(Dashboard!$C$7*'Equity and Bond Returns'!CQ9)+(Dashboard!$C$8*'Equity and Bond Returns'!GO9)</f>
        <v>0.11880744863724119</v>
      </c>
      <c r="CF9" s="119">
        <f ca="1">(Dashboard!$C$7*'Equity and Bond Returns'!CR9)+(Dashboard!$C$8*'Equity and Bond Returns'!GP9)</f>
        <v>7.0369520179475648E-2</v>
      </c>
      <c r="CG9" s="119">
        <f ca="1">(Dashboard!$C$7*'Equity and Bond Returns'!CS9)+(Dashboard!$C$8*'Equity and Bond Returns'!GQ9)</f>
        <v>-0.11544648805412923</v>
      </c>
      <c r="CH9" s="119">
        <f ca="1">(Dashboard!$C$7*'Equity and Bond Returns'!CT9)+(Dashboard!$C$8*'Equity and Bond Returns'!GR9)</f>
        <v>-0.1064561729516115</v>
      </c>
      <c r="CI9" s="119">
        <f ca="1">(Dashboard!$C$7*'Equity and Bond Returns'!CU9)+(Dashboard!$C$8*'Equity and Bond Returns'!GS9)</f>
        <v>-3.9354049762899773E-2</v>
      </c>
      <c r="CJ9" s="119">
        <f ca="1">(Dashboard!$C$7*'Equity and Bond Returns'!CV9)+(Dashboard!$C$8*'Equity and Bond Returns'!GT9)</f>
        <v>-7.690080205631919E-2</v>
      </c>
      <c r="CK9" s="119">
        <f ca="1">(Dashboard!$C$7*'Equity and Bond Returns'!CW9)+(Dashboard!$C$8*'Equity and Bond Returns'!GU9)</f>
        <v>0.1549236132813781</v>
      </c>
      <c r="CL9" s="119">
        <f ca="1">(Dashboard!$C$7*'Equity and Bond Returns'!CX9)+(Dashboard!$C$8*'Equity and Bond Returns'!GV9)</f>
        <v>0.31484411515604555</v>
      </c>
      <c r="CM9" s="119">
        <f ca="1">(Dashboard!$C$7*'Equity and Bond Returns'!CY9)+(Dashboard!$C$8*'Equity and Bond Returns'!GW9)</f>
        <v>0.38099644936343185</v>
      </c>
      <c r="CN9" s="119">
        <f ca="1">(Dashboard!$C$7*'Equity and Bond Returns'!CZ9)+(Dashboard!$C$8*'Equity and Bond Returns'!GX9)</f>
        <v>7.9739925256238825E-2</v>
      </c>
      <c r="CO9" s="119">
        <f ca="1">(Dashboard!$C$7*'Equity and Bond Returns'!DA9)+(Dashboard!$C$8*'Equity and Bond Returns'!GY9)</f>
        <v>-2.0639774872083946E-2</v>
      </c>
      <c r="CP9" s="119">
        <f ca="1">(Dashboard!$C$7*'Equity and Bond Returns'!DB9)+(Dashboard!$C$8*'Equity and Bond Returns'!GZ9)</f>
        <v>0.1080022285758727</v>
      </c>
      <c r="CQ9" s="119">
        <f ca="1">(Dashboard!$C$7*'Equity and Bond Returns'!DC9)+(Dashboard!$C$8*'Equity and Bond Returns'!HA9)</f>
        <v>2.2079107696862849E-2</v>
      </c>
      <c r="CR9" s="119">
        <f ca="1">(Dashboard!$C$7*'Equity and Bond Returns'!DD9)+(Dashboard!$C$8*'Equity and Bond Returns'!HB9)</f>
        <v>-7.003872837897003E-2</v>
      </c>
      <c r="CS9" s="119">
        <f ca="1">(Dashboard!$C$7*'Equity and Bond Returns'!DE9)+(Dashboard!$C$8*'Equity and Bond Returns'!HC9)</f>
        <v>-5.0136096177838471E-2</v>
      </c>
      <c r="CT9" s="119">
        <f ca="1">(Dashboard!$C$7*'Equity and Bond Returns'!DF9)+(Dashboard!$C$8*'Equity and Bond Returns'!HD9)</f>
        <v>0.14527138323888092</v>
      </c>
      <c r="CU9" s="119">
        <f ca="1">(Dashboard!$C$7*'Equity and Bond Returns'!DG9)+(Dashboard!$C$8*'Equity and Bond Returns'!HE9)</f>
        <v>0.23423636999977851</v>
      </c>
      <c r="CV9" s="119">
        <f ca="1">(Dashboard!$C$7*'Equity and Bond Returns'!DH9)+(Dashboard!$C$8*'Equity and Bond Returns'!HF9)</f>
        <v>0.2228279439371168</v>
      </c>
      <c r="CW9" s="119">
        <f ca="1">(Dashboard!$C$7*'Equity and Bond Returns'!DI9)+(Dashboard!$C$8*'Equity and Bond Returns'!HG9)</f>
        <v>0.29130421627844649</v>
      </c>
      <c r="CY9" s="147">
        <f t="shared" si="5"/>
        <v>58</v>
      </c>
      <c r="CZ9" s="147">
        <v>8</v>
      </c>
      <c r="DA9" s="126">
        <f ca="1">MAX(DA8*(1+B9)-(Dashboard!$C$11)/(1-Dashboard!$C$17)*((1+Dashboard!$C$12)^$CZ9),0)</f>
        <v>1039508.117676127</v>
      </c>
      <c r="DB9" s="126">
        <f ca="1">MAX(DB8*(1+C9)-(Dashboard!$C$11)/(1-Dashboard!$C$17)*((1+Dashboard!$C$12)^$CZ9),0)</f>
        <v>373616.407402943</v>
      </c>
      <c r="DC9" s="126">
        <f ca="1">MAX(DC8*(1+D9)-(Dashboard!$C$11)/(1-Dashboard!$C$17)*((1+Dashboard!$C$12)^$CZ9),0)</f>
        <v>689534.63609962596</v>
      </c>
      <c r="DD9" s="126">
        <f ca="1">MAX(DD8*(1+E9)-(Dashboard!$C$11)/(1-Dashboard!$C$17)*((1+Dashboard!$C$12)^$CZ9),0)</f>
        <v>621578.24093317089</v>
      </c>
      <c r="DE9" s="126">
        <f ca="1">MAX(DE8*(1+F9)-(Dashboard!$C$11)/(1-Dashboard!$C$17)*((1+Dashboard!$C$12)^$CZ9),0)</f>
        <v>881372.81226574897</v>
      </c>
      <c r="DF9" s="126">
        <f ca="1">MAX(DF8*(1+G9)-(Dashboard!$C$11)/(1-Dashboard!$C$17)*((1+Dashboard!$C$12)^$CZ9),0)</f>
        <v>1714341.7073036709</v>
      </c>
      <c r="DG9" s="126">
        <f ca="1">MAX(DG8*(1+H9)-(Dashboard!$C$11)/(1-Dashboard!$C$17)*((1+Dashboard!$C$12)^$CZ9),0)</f>
        <v>384265.28303326492</v>
      </c>
      <c r="DH9" s="126">
        <f ca="1">MAX(DH8*(1+I9)-(Dashboard!$C$11)/(1-Dashboard!$C$17)*((1+Dashboard!$C$12)^$CZ9),0)</f>
        <v>953226.86756571231</v>
      </c>
      <c r="DI9" s="126">
        <f ca="1">MAX(DI8*(1+J9)-(Dashboard!$C$11)/(1-Dashboard!$C$17)*((1+Dashboard!$C$12)^$CZ9),0)</f>
        <v>748590.11992048752</v>
      </c>
      <c r="DJ9" s="126">
        <f ca="1">MAX(DJ8*(1+K9)-(Dashboard!$C$11)/(1-Dashboard!$C$17)*((1+Dashboard!$C$12)^$CZ9),0)</f>
        <v>1053868.7748975873</v>
      </c>
      <c r="DK9" s="126">
        <f ca="1">MAX(DK8*(1+L9)-(Dashboard!$C$11)/(1-Dashboard!$C$17)*((1+Dashboard!$C$12)^$CZ9),0)</f>
        <v>1387722.4224377126</v>
      </c>
      <c r="DL9" s="126">
        <f ca="1">MAX(DL8*(1+M9)-(Dashboard!$C$11)/(1-Dashboard!$C$17)*((1+Dashboard!$C$12)^$CZ9),0)</f>
        <v>1559957.3507165634</v>
      </c>
      <c r="DM9" s="126">
        <f ca="1">MAX(DM8*(1+N9)-(Dashboard!$C$11)/(1-Dashboard!$C$17)*((1+Dashboard!$C$12)^$CZ9),0)</f>
        <v>1117389.7578295919</v>
      </c>
      <c r="DN9" s="126">
        <f ca="1">MAX(DN8*(1+O9)-(Dashboard!$C$11)/(1-Dashboard!$C$17)*((1+Dashboard!$C$12)^$CZ9),0)</f>
        <v>2497871.6812894917</v>
      </c>
      <c r="DO9" s="126">
        <f ca="1">MAX(DO8*(1+P9)-(Dashboard!$C$11)/(1-Dashboard!$C$17)*((1+Dashboard!$C$12)^$CZ9),0)</f>
        <v>1275293.8135994344</v>
      </c>
      <c r="DP9" s="126">
        <f ca="1">MAX(DP8*(1+Q9)-(Dashboard!$C$11)/(1-Dashboard!$C$17)*((1+Dashboard!$C$12)^$CZ9),0)</f>
        <v>789194.22275561502</v>
      </c>
      <c r="DQ9" s="126">
        <f ca="1">MAX(DQ8*(1+R9)-(Dashboard!$C$11)/(1-Dashboard!$C$17)*((1+Dashboard!$C$12)^$CZ9),0)</f>
        <v>988619.14133398875</v>
      </c>
      <c r="DR9" s="126">
        <f ca="1">MAX(DR8*(1+S9)-(Dashboard!$C$11)/(1-Dashboard!$C$17)*((1+Dashboard!$C$12)^$CZ9),0)</f>
        <v>729153.24510496133</v>
      </c>
      <c r="DS9" s="126">
        <f ca="1">MAX(DS8*(1+T9)-(Dashboard!$C$11)/(1-Dashboard!$C$17)*((1+Dashboard!$C$12)^$CZ9),0)</f>
        <v>992380.80078633013</v>
      </c>
      <c r="DT9" s="126">
        <f ca="1">MAX(DT8*(1+U9)-(Dashboard!$C$11)/(1-Dashboard!$C$17)*((1+Dashboard!$C$12)^$CZ9),0)</f>
        <v>772917.59853501001</v>
      </c>
      <c r="DU9" s="126">
        <f ca="1">MAX(DU8*(1+V9)-(Dashboard!$C$11)/(1-Dashboard!$C$17)*((1+Dashboard!$C$12)^$CZ9),0)</f>
        <v>1050860.5259944825</v>
      </c>
      <c r="DV9" s="126">
        <f ca="1">MAX(DV8*(1+W9)-(Dashboard!$C$11)/(1-Dashboard!$C$17)*((1+Dashboard!$C$12)^$CZ9),0)</f>
        <v>1326868.8095250155</v>
      </c>
      <c r="DW9" s="126">
        <f ca="1">MAX(DW8*(1+X9)-(Dashboard!$C$11)/(1-Dashboard!$C$17)*((1+Dashboard!$C$12)^$CZ9),0)</f>
        <v>1095703.6222678935</v>
      </c>
      <c r="DX9" s="126">
        <f ca="1">MAX(DX8*(1+Y9)-(Dashboard!$C$11)/(1-Dashboard!$C$17)*((1+Dashboard!$C$12)^$CZ9),0)</f>
        <v>609311.59594936657</v>
      </c>
      <c r="DY9" s="126">
        <f ca="1">MAX(DY8*(1+Z9)-(Dashboard!$C$11)/(1-Dashboard!$C$17)*((1+Dashboard!$C$12)^$CZ9),0)</f>
        <v>1584946.1062708003</v>
      </c>
      <c r="DZ9" s="126">
        <f ca="1">MAX(DZ8*(1+AA9)-(Dashboard!$C$11)/(1-Dashboard!$C$17)*((1+Dashboard!$C$12)^$CZ9),0)</f>
        <v>553269.25255637022</v>
      </c>
      <c r="EA9" s="126">
        <f ca="1">MAX(EA8*(1+AB9)-(Dashboard!$C$11)/(1-Dashboard!$C$17)*((1+Dashboard!$C$12)^$CZ9),0)</f>
        <v>521957.33588784252</v>
      </c>
      <c r="EB9" s="126">
        <f ca="1">MAX(EB8*(1+AC9)-(Dashboard!$C$11)/(1-Dashboard!$C$17)*((1+Dashboard!$C$12)^$CZ9),0)</f>
        <v>826263.31913852168</v>
      </c>
      <c r="EC9" s="126">
        <f ca="1">MAX(EC8*(1+AD9)-(Dashboard!$C$11)/(1-Dashboard!$C$17)*((1+Dashboard!$C$12)^$CZ9),0)</f>
        <v>909869.59731996444</v>
      </c>
      <c r="ED9" s="126">
        <f ca="1">MAX(ED8*(1+AE9)-(Dashboard!$C$11)/(1-Dashboard!$C$17)*((1+Dashboard!$C$12)^$CZ9),0)</f>
        <v>1296459.0849220911</v>
      </c>
      <c r="EE9" s="126">
        <f ca="1">MAX(EE8*(1+AF9)-(Dashboard!$C$11)/(1-Dashboard!$C$17)*((1+Dashboard!$C$12)^$CZ9),0)</f>
        <v>1110999.9840999038</v>
      </c>
      <c r="EF9" s="126">
        <f ca="1">MAX(EF8*(1+AG9)-(Dashboard!$C$11)/(1-Dashboard!$C$17)*((1+Dashboard!$C$12)^$CZ9),0)</f>
        <v>811977.57276680449</v>
      </c>
      <c r="EG9" s="126">
        <f ca="1">MAX(EG8*(1+AH9)-(Dashboard!$C$11)/(1-Dashboard!$C$17)*((1+Dashboard!$C$12)^$CZ9),0)</f>
        <v>1363229.3407431624</v>
      </c>
      <c r="EH9" s="126">
        <f ca="1">MAX(EH8*(1+AI9)-(Dashboard!$C$11)/(1-Dashboard!$C$17)*((1+Dashboard!$C$12)^$CZ9),0)</f>
        <v>699427.44162528089</v>
      </c>
      <c r="EI9" s="126">
        <f ca="1">MAX(EI8*(1+AJ9)-(Dashboard!$C$11)/(1-Dashboard!$C$17)*((1+Dashboard!$C$12)^$CZ9),0)</f>
        <v>374984.38601476414</v>
      </c>
      <c r="EJ9" s="126">
        <f ca="1">MAX(EJ8*(1+AK9)-(Dashboard!$C$11)/(1-Dashboard!$C$17)*((1+Dashboard!$C$12)^$CZ9),0)</f>
        <v>864742.480591745</v>
      </c>
      <c r="EK9" s="126">
        <f ca="1">MAX(EK8*(1+AL9)-(Dashboard!$C$11)/(1-Dashboard!$C$17)*((1+Dashboard!$C$12)^$CZ9),0)</f>
        <v>874649.54727555497</v>
      </c>
      <c r="EL9" s="126">
        <f ca="1">MAX(EL8*(1+AM9)-(Dashboard!$C$11)/(1-Dashboard!$C$17)*((1+Dashboard!$C$12)^$CZ9),0)</f>
        <v>926157.78162333288</v>
      </c>
      <c r="EM9" s="126">
        <f ca="1">MAX(EM8*(1+AN9)-(Dashboard!$C$11)/(1-Dashboard!$C$17)*((1+Dashboard!$C$12)^$CZ9),0)</f>
        <v>1270875.1645231484</v>
      </c>
      <c r="EN9" s="126">
        <f ca="1">MAX(EN8*(1+AO9)-(Dashboard!$C$11)/(1-Dashboard!$C$17)*((1+Dashboard!$C$12)^$CZ9),0)</f>
        <v>1945920.0357778543</v>
      </c>
      <c r="EO9" s="126">
        <f ca="1">MAX(EO8*(1+AP9)-(Dashboard!$C$11)/(1-Dashboard!$C$17)*((1+Dashboard!$C$12)^$CZ9),0)</f>
        <v>467257.61845554202</v>
      </c>
      <c r="EP9" s="126">
        <f ca="1">MAX(EP8*(1+AQ9)-(Dashboard!$C$11)/(1-Dashboard!$C$17)*((1+Dashboard!$C$12)^$CZ9),0)</f>
        <v>830594.08894975949</v>
      </c>
      <c r="EQ9" s="126">
        <f ca="1">MAX(EQ8*(1+AR9)-(Dashboard!$C$11)/(1-Dashboard!$C$17)*((1+Dashboard!$C$12)^$CZ9),0)</f>
        <v>621406.23475201591</v>
      </c>
      <c r="ER9" s="126">
        <f ca="1">MAX(ER8*(1+AS9)-(Dashboard!$C$11)/(1-Dashboard!$C$17)*((1+Dashboard!$C$12)^$CZ9),0)</f>
        <v>706707.29803279985</v>
      </c>
      <c r="ES9" s="126">
        <f ca="1">MAX(ES8*(1+AT9)-(Dashboard!$C$11)/(1-Dashboard!$C$17)*((1+Dashboard!$C$12)^$CZ9),0)</f>
        <v>568941.3690909443</v>
      </c>
      <c r="ET9" s="126">
        <f ca="1">MAX(ET8*(1+AU9)-(Dashboard!$C$11)/(1-Dashboard!$C$17)*((1+Dashboard!$C$12)^$CZ9),0)</f>
        <v>1098996.4847033108</v>
      </c>
      <c r="EU9" s="126">
        <f ca="1">MAX(EU8*(1+AV9)-(Dashboard!$C$11)/(1-Dashboard!$C$17)*((1+Dashboard!$C$12)^$CZ9),0)</f>
        <v>807756.50589288818</v>
      </c>
      <c r="EV9" s="126">
        <f ca="1">MAX(EV8*(1+AW9)-(Dashboard!$C$11)/(1-Dashboard!$C$17)*((1+Dashboard!$C$12)^$CZ9),0)</f>
        <v>1748504.4552143544</v>
      </c>
      <c r="EW9" s="126">
        <f ca="1">MAX(EW8*(1+AX9)-(Dashboard!$C$11)/(1-Dashboard!$C$17)*((1+Dashboard!$C$12)^$CZ9),0)</f>
        <v>1141354.3098511735</v>
      </c>
      <c r="EX9" s="126">
        <f ca="1">MAX(EX8*(1+AY9)-(Dashboard!$C$11)/(1-Dashboard!$C$17)*((1+Dashboard!$C$12)^$CZ9),0)</f>
        <v>1274313.9989561841</v>
      </c>
      <c r="EY9" s="126">
        <f ca="1">MAX(EY8*(1+AZ9)-(Dashboard!$C$11)/(1-Dashboard!$C$17)*((1+Dashboard!$C$12)^$CZ9),0)</f>
        <v>1403784.6920392259</v>
      </c>
      <c r="EZ9" s="126">
        <f ca="1">MAX(EZ8*(1+BA9)-(Dashboard!$C$11)/(1-Dashboard!$C$17)*((1+Dashboard!$C$12)^$CZ9),0)</f>
        <v>430569.273558304</v>
      </c>
      <c r="FA9" s="126">
        <f ca="1">MAX(FA8*(1+BB9)-(Dashboard!$C$11)/(1-Dashboard!$C$17)*((1+Dashboard!$C$12)^$CZ9),0)</f>
        <v>1053334.0414705235</v>
      </c>
      <c r="FB9" s="126">
        <f ca="1">MAX(FB8*(1+BC9)-(Dashboard!$C$11)/(1-Dashboard!$C$17)*((1+Dashboard!$C$12)^$CZ9),0)</f>
        <v>907097.11393552902</v>
      </c>
      <c r="FC9" s="126">
        <f ca="1">MAX(FC8*(1+BD9)-(Dashboard!$C$11)/(1-Dashboard!$C$17)*((1+Dashboard!$C$12)^$CZ9),0)</f>
        <v>864550.33436350245</v>
      </c>
      <c r="FD9" s="126">
        <f ca="1">MAX(FD8*(1+BE9)-(Dashboard!$C$11)/(1-Dashboard!$C$17)*((1+Dashboard!$C$12)^$CZ9),0)</f>
        <v>1063957.521986811</v>
      </c>
      <c r="FE9" s="126">
        <f ca="1">MAX(FE8*(1+BF9)-(Dashboard!$C$11)/(1-Dashboard!$C$17)*((1+Dashboard!$C$12)^$CZ9),0)</f>
        <v>969113.52623564005</v>
      </c>
      <c r="FF9" s="126">
        <f ca="1">MAX(FF8*(1+BG9)-(Dashboard!$C$11)/(1-Dashboard!$C$17)*((1+Dashboard!$C$12)^$CZ9),0)</f>
        <v>1191153.2949462263</v>
      </c>
      <c r="FG9" s="126">
        <f ca="1">MAX(FG8*(1+BH9)-(Dashboard!$C$11)/(1-Dashboard!$C$17)*((1+Dashboard!$C$12)^$CZ9),0)</f>
        <v>998355.05576459295</v>
      </c>
      <c r="FH9" s="126">
        <f ca="1">MAX(FH8*(1+BI9)-(Dashboard!$C$11)/(1-Dashboard!$C$17)*((1+Dashboard!$C$12)^$CZ9),0)</f>
        <v>780203.66315852012</v>
      </c>
      <c r="FI9" s="126">
        <f ca="1">MAX(FI8*(1+BJ9)-(Dashboard!$C$11)/(1-Dashboard!$C$17)*((1+Dashboard!$C$12)^$CZ9),0)</f>
        <v>894848.94231037551</v>
      </c>
      <c r="FJ9" s="126">
        <f ca="1">MAX(FJ8*(1+BK9)-(Dashboard!$C$11)/(1-Dashboard!$C$17)*((1+Dashboard!$C$12)^$CZ9),0)</f>
        <v>539180.59695208922</v>
      </c>
      <c r="FK9" s="126">
        <f ca="1">MAX(FK8*(1+BL9)-(Dashboard!$C$11)/(1-Dashboard!$C$17)*((1+Dashboard!$C$12)^$CZ9),0)</f>
        <v>711696.21995447471</v>
      </c>
      <c r="FL9" s="126">
        <f ca="1">MAX(FL8*(1+BM9)-(Dashboard!$C$11)/(1-Dashboard!$C$17)*((1+Dashboard!$C$12)^$CZ9),0)</f>
        <v>1459939.9276852619</v>
      </c>
      <c r="FM9" s="126">
        <f ca="1">MAX(FM8*(1+BN9)-(Dashboard!$C$11)/(1-Dashboard!$C$17)*((1+Dashboard!$C$12)^$CZ9),0)</f>
        <v>862202.26089841663</v>
      </c>
      <c r="FN9" s="126">
        <f ca="1">MAX(FN8*(1+BO9)-(Dashboard!$C$11)/(1-Dashboard!$C$17)*((1+Dashboard!$C$12)^$CZ9),0)</f>
        <v>555042.58162676729</v>
      </c>
      <c r="FO9" s="126">
        <f ca="1">MAX(FO8*(1+BP9)-(Dashboard!$C$11)/(1-Dashboard!$C$17)*((1+Dashboard!$C$12)^$CZ9),0)</f>
        <v>1002376.3950383436</v>
      </c>
      <c r="FP9" s="126">
        <f ca="1">MAX(FP8*(1+BQ9)-(Dashboard!$C$11)/(1-Dashboard!$C$17)*((1+Dashboard!$C$12)^$CZ9),0)</f>
        <v>1026258.4871041137</v>
      </c>
      <c r="FQ9" s="126">
        <f ca="1">MAX(FQ8*(1+BR9)-(Dashboard!$C$11)/(1-Dashboard!$C$17)*((1+Dashboard!$C$12)^$CZ9),0)</f>
        <v>1176365.0386291076</v>
      </c>
      <c r="FR9" s="126">
        <f ca="1">MAX(FR8*(1+BS9)-(Dashboard!$C$11)/(1-Dashboard!$C$17)*((1+Dashboard!$C$12)^$CZ9),0)</f>
        <v>1874232.4641093651</v>
      </c>
      <c r="FS9" s="126">
        <f ca="1">MAX(FS8*(1+BT9)-(Dashboard!$C$11)/(1-Dashboard!$C$17)*((1+Dashboard!$C$12)^$CZ9),0)</f>
        <v>957678.18531826162</v>
      </c>
      <c r="FT9" s="126">
        <f ca="1">MAX(FT8*(1+BU9)-(Dashboard!$C$11)/(1-Dashboard!$C$17)*((1+Dashboard!$C$12)^$CZ9),0)</f>
        <v>688523.83581394039</v>
      </c>
      <c r="FU9" s="126">
        <f ca="1">MAX(FU8*(1+BV9)-(Dashboard!$C$11)/(1-Dashboard!$C$17)*((1+Dashboard!$C$12)^$CZ9),0)</f>
        <v>1449917.7633556027</v>
      </c>
      <c r="FV9" s="126">
        <f ca="1">MAX(FV8*(1+BW9)-(Dashboard!$C$11)/(1-Dashboard!$C$17)*((1+Dashboard!$C$12)^$CZ9),0)</f>
        <v>394209.58383809688</v>
      </c>
      <c r="FW9" s="126">
        <f ca="1">MAX(FW8*(1+BX9)-(Dashboard!$C$11)/(1-Dashboard!$C$17)*((1+Dashboard!$C$12)^$CZ9),0)</f>
        <v>936939.00934189535</v>
      </c>
      <c r="FX9" s="126">
        <f ca="1">MAX(FX8*(1+BY9)-(Dashboard!$C$11)/(1-Dashboard!$C$17)*((1+Dashboard!$C$12)^$CZ9),0)</f>
        <v>608444.81540332362</v>
      </c>
      <c r="FY9" s="126">
        <f ca="1">MAX(FY8*(1+BZ9)-(Dashboard!$C$11)/(1-Dashboard!$C$17)*((1+Dashboard!$C$12)^$CZ9),0)</f>
        <v>543445.93516140105</v>
      </c>
      <c r="FZ9" s="126">
        <f ca="1">MAX(FZ8*(1+CA9)-(Dashboard!$C$11)/(1-Dashboard!$C$17)*((1+Dashboard!$C$12)^$CZ9),0)</f>
        <v>623602.52451089828</v>
      </c>
      <c r="GA9" s="126">
        <f ca="1">MAX(GA8*(1+CB9)-(Dashboard!$C$11)/(1-Dashboard!$C$17)*((1+Dashboard!$C$12)^$CZ9),0)</f>
        <v>1932413.6841317401</v>
      </c>
      <c r="GB9" s="126">
        <f ca="1">MAX(GB8*(1+CC9)-(Dashboard!$C$11)/(1-Dashboard!$C$17)*((1+Dashboard!$C$12)^$CZ9),0)</f>
        <v>999357.30261065706</v>
      </c>
      <c r="GC9" s="126">
        <f ca="1">MAX(GC8*(1+CD9)-(Dashboard!$C$11)/(1-Dashboard!$C$17)*((1+Dashboard!$C$12)^$CZ9),0)</f>
        <v>1001592.8351450731</v>
      </c>
      <c r="GD9" s="126">
        <f ca="1">MAX(GD8*(1+CE9)-(Dashboard!$C$11)/(1-Dashboard!$C$17)*((1+Dashboard!$C$12)^$CZ9),0)</f>
        <v>682752.55313420377</v>
      </c>
      <c r="GE9" s="126">
        <f ca="1">MAX(GE8*(1+CF9)-(Dashboard!$C$11)/(1-Dashboard!$C$17)*((1+Dashboard!$C$12)^$CZ9),0)</f>
        <v>729624.13846438774</v>
      </c>
      <c r="GF9" s="126">
        <f ca="1">MAX(GF8*(1+CG9)-(Dashboard!$C$11)/(1-Dashboard!$C$17)*((1+Dashboard!$C$12)^$CZ9),0)</f>
        <v>973017.1507743604</v>
      </c>
      <c r="GG9" s="126">
        <f ca="1">MAX(GG8*(1+CH9)-(Dashboard!$C$11)/(1-Dashboard!$C$17)*((1+Dashboard!$C$12)^$CZ9),0)</f>
        <v>455083.07061080833</v>
      </c>
      <c r="GH9" s="126">
        <f ca="1">MAX(GH8*(1+CI9)-(Dashboard!$C$11)/(1-Dashboard!$C$17)*((1+Dashboard!$C$12)^$CZ9),0)</f>
        <v>499277.81441751606</v>
      </c>
      <c r="GI9" s="126">
        <f ca="1">MAX(GI8*(1+CJ9)-(Dashboard!$C$11)/(1-Dashboard!$C$17)*((1+Dashboard!$C$12)^$CZ9),0)</f>
        <v>467846.2697616709</v>
      </c>
      <c r="GJ9" s="126">
        <f ca="1">MAX(GJ8*(1+CK9)-(Dashboard!$C$11)/(1-Dashboard!$C$17)*((1+Dashboard!$C$12)^$CZ9),0)</f>
        <v>1010836.3794649252</v>
      </c>
      <c r="GK9" s="126">
        <f ca="1">MAX(GK8*(1+CL9)-(Dashboard!$C$11)/(1-Dashboard!$C$17)*((1+Dashboard!$C$12)^$CZ9),0)</f>
        <v>1759199.1795126225</v>
      </c>
      <c r="GL9" s="126">
        <f ca="1">MAX(GL8*(1+CM9)-(Dashboard!$C$11)/(1-Dashboard!$C$17)*((1+Dashboard!$C$12)^$CZ9),0)</f>
        <v>1543577.9825429427</v>
      </c>
      <c r="GM9" s="126">
        <f ca="1">MAX(GM8*(1+CN9)-(Dashboard!$C$11)/(1-Dashboard!$C$17)*((1+Dashboard!$C$12)^$CZ9),0)</f>
        <v>748302.57166106708</v>
      </c>
      <c r="GN9" s="126">
        <f ca="1">MAX(GN8*(1+CO9)-(Dashboard!$C$11)/(1-Dashboard!$C$17)*((1+Dashboard!$C$12)^$CZ9),0)</f>
        <v>387171.45347244909</v>
      </c>
      <c r="GO9" s="126">
        <f ca="1">MAX(GO8*(1+CP9)-(Dashboard!$C$11)/(1-Dashboard!$C$17)*((1+Dashboard!$C$12)^$CZ9),0)</f>
        <v>784891.99217992823</v>
      </c>
      <c r="GP9" s="126">
        <f ca="1">MAX(GP8*(1+CQ9)-(Dashboard!$C$11)/(1-Dashboard!$C$17)*((1+Dashboard!$C$12)^$CZ9),0)</f>
        <v>620424.85670841194</v>
      </c>
      <c r="GQ9" s="126">
        <f ca="1">MAX(GQ8*(1+CR9)-(Dashboard!$C$11)/(1-Dashboard!$C$17)*((1+Dashboard!$C$12)^$CZ9),0)</f>
        <v>543092.06665676716</v>
      </c>
      <c r="GR9" s="126">
        <f ca="1">MAX(GR8*(1+CS9)-(Dashboard!$C$11)/(1-Dashboard!$C$17)*((1+Dashboard!$C$12)^$CZ9),0)</f>
        <v>704293.39726699865</v>
      </c>
      <c r="GS9" s="126">
        <f ca="1">MAX(GS8*(1+CT9)-(Dashboard!$C$11)/(1-Dashboard!$C$17)*((1+Dashboard!$C$12)^$CZ9),0)</f>
        <v>1066961.4648706743</v>
      </c>
      <c r="GT9" s="126">
        <f ca="1">MAX(GT8*(1+CU9)-(Dashboard!$C$11)/(1-Dashboard!$C$17)*((1+Dashboard!$C$12)^$CZ9),0)</f>
        <v>1047144.206402156</v>
      </c>
      <c r="GU9" s="126">
        <f ca="1">MAX(GU8*(1+CV9)-(Dashboard!$C$11)/(1-Dashboard!$C$17)*((1+Dashboard!$C$12)^$CZ9),0)</f>
        <v>485112.12325733458</v>
      </c>
      <c r="GV9" s="126">
        <f ca="1">MAX(GV8*(1+CW9)-(Dashboard!$C$11)/(1-Dashboard!$C$17)*((1+Dashboard!$C$12)^$CZ9),0)</f>
        <v>375868.14425706142</v>
      </c>
      <c r="GW9" s="115">
        <f t="shared" si="4"/>
        <v>58</v>
      </c>
      <c r="GX9" s="130">
        <f t="shared" ca="1" si="2"/>
        <v>100</v>
      </c>
      <c r="HC9" s="130">
        <f t="shared" si="0"/>
        <v>58</v>
      </c>
      <c r="HD9" s="137">
        <f t="shared" ca="1" si="1"/>
        <v>622084.3118276028</v>
      </c>
      <c r="HE9" s="137">
        <f t="shared" ca="1" si="1"/>
        <v>888110.87728806224</v>
      </c>
      <c r="HF9" s="137">
        <f t="shared" ca="1" si="1"/>
        <v>1098173.2690944565</v>
      </c>
    </row>
    <row r="10" spans="1:214" ht="16">
      <c r="A10" s="145">
        <f t="shared" si="3"/>
        <v>59</v>
      </c>
      <c r="B10" s="119">
        <f ca="1">(Dashboard!$C$7*'Equity and Bond Returns'!N10)+(Dashboard!$C$8*'Equity and Bond Returns'!DL10)</f>
        <v>0.2529773692615383</v>
      </c>
      <c r="C10" s="119">
        <f ca="1">(Dashboard!$C$7*'Equity and Bond Returns'!O10)+(Dashboard!$C$8*'Equity and Bond Returns'!DM10)</f>
        <v>0.1362113510833084</v>
      </c>
      <c r="D10" s="119">
        <f ca="1">(Dashboard!$C$7*'Equity and Bond Returns'!P10)+(Dashboard!$C$8*'Equity and Bond Returns'!DN10)</f>
        <v>-0.14227356423043566</v>
      </c>
      <c r="E10" s="119">
        <f ca="1">(Dashboard!$C$7*'Equity and Bond Returns'!Q10)+(Dashboard!$C$8*'Equity and Bond Returns'!DO10)</f>
        <v>-0.13363044429728538</v>
      </c>
      <c r="F10" s="119">
        <f ca="1">(Dashboard!$C$7*'Equity and Bond Returns'!R10)+(Dashboard!$C$8*'Equity and Bond Returns'!DP10)</f>
        <v>1.0954334718103403E-2</v>
      </c>
      <c r="G10" s="119">
        <f ca="1">(Dashboard!$C$7*'Equity and Bond Returns'!S10)+(Dashboard!$C$8*'Equity and Bond Returns'!DQ10)</f>
        <v>0.19299536050186472</v>
      </c>
      <c r="H10" s="119">
        <f ca="1">(Dashboard!$C$7*'Equity and Bond Returns'!T10)+(Dashboard!$C$8*'Equity and Bond Returns'!DR10)</f>
        <v>-0.17338056685619235</v>
      </c>
      <c r="I10" s="119">
        <f ca="1">(Dashboard!$C$7*'Equity and Bond Returns'!U10)+(Dashboard!$C$8*'Equity and Bond Returns'!DS10)</f>
        <v>6.22176356620135E-2</v>
      </c>
      <c r="J10" s="119">
        <f ca="1">(Dashboard!$C$7*'Equity and Bond Returns'!V10)+(Dashboard!$C$8*'Equity and Bond Returns'!DT10)</f>
        <v>0.16560665550292958</v>
      </c>
      <c r="K10" s="119">
        <f ca="1">(Dashboard!$C$7*'Equity and Bond Returns'!W10)+(Dashboard!$C$8*'Equity and Bond Returns'!DU10)</f>
        <v>6.9462339052627511E-2</v>
      </c>
      <c r="L10" s="119">
        <f ca="1">(Dashboard!$C$7*'Equity and Bond Returns'!X10)+(Dashboard!$C$8*'Equity and Bond Returns'!DV10)</f>
        <v>0.10174144692859227</v>
      </c>
      <c r="M10" s="119">
        <f ca="1">(Dashboard!$C$7*'Equity and Bond Returns'!Y10)+(Dashboard!$C$8*'Equity and Bond Returns'!DW10)</f>
        <v>-0.17163385698825101</v>
      </c>
      <c r="N10" s="119">
        <f ca="1">(Dashboard!$C$7*'Equity and Bond Returns'!Z10)+(Dashboard!$C$8*'Equity and Bond Returns'!DX10)</f>
        <v>-1.1552477721919526E-2</v>
      </c>
      <c r="O10" s="119">
        <f ca="1">(Dashboard!$C$7*'Equity and Bond Returns'!AA10)+(Dashboard!$C$8*'Equity and Bond Returns'!DY10)</f>
        <v>0.17343314980199068</v>
      </c>
      <c r="P10" s="119">
        <f ca="1">(Dashboard!$C$7*'Equity and Bond Returns'!AB10)+(Dashboard!$C$8*'Equity and Bond Returns'!DZ10)</f>
        <v>-0.11683681162878785</v>
      </c>
      <c r="Q10" s="119">
        <f ca="1">(Dashboard!$C$7*'Equity and Bond Returns'!AC10)+(Dashboard!$C$8*'Equity and Bond Returns'!EA10)</f>
        <v>-7.4418274553265606E-2</v>
      </c>
      <c r="R10" s="119">
        <f ca="1">(Dashboard!$C$7*'Equity and Bond Returns'!AD10)+(Dashboard!$C$8*'Equity and Bond Returns'!EB10)</f>
        <v>-7.9135173102548695E-2</v>
      </c>
      <c r="S10" s="119">
        <f ca="1">(Dashboard!$C$7*'Equity and Bond Returns'!AE10)+(Dashboard!$C$8*'Equity and Bond Returns'!EC10)</f>
        <v>0.12741266618347341</v>
      </c>
      <c r="T10" s="119">
        <f ca="1">(Dashboard!$C$7*'Equity and Bond Returns'!AF10)+(Dashboard!$C$8*'Equity and Bond Returns'!ED10)</f>
        <v>5.3372138384917646E-2</v>
      </c>
      <c r="U10" s="119">
        <f ca="1">(Dashboard!$C$7*'Equity and Bond Returns'!AG10)+(Dashboard!$C$8*'Equity and Bond Returns'!EE10)</f>
        <v>-1.5408798492785253E-2</v>
      </c>
      <c r="V10" s="119">
        <f ca="1">(Dashboard!$C$7*'Equity and Bond Returns'!AH10)+(Dashboard!$C$8*'Equity and Bond Returns'!EF10)</f>
        <v>5.5510469743559977E-2</v>
      </c>
      <c r="W10" s="119">
        <f ca="1">(Dashboard!$C$7*'Equity and Bond Returns'!AI10)+(Dashboard!$C$8*'Equity and Bond Returns'!EG10)</f>
        <v>7.325804193570179E-2</v>
      </c>
      <c r="X10" s="119">
        <f ca="1">(Dashboard!$C$7*'Equity and Bond Returns'!AJ10)+(Dashboard!$C$8*'Equity and Bond Returns'!EH10)</f>
        <v>0.19322999431910787</v>
      </c>
      <c r="Y10" s="119">
        <f ca="1">(Dashboard!$C$7*'Equity and Bond Returns'!AK10)+(Dashboard!$C$8*'Equity and Bond Returns'!EI10)</f>
        <v>-2.3321049674112103E-2</v>
      </c>
      <c r="Z10" s="119">
        <f ca="1">(Dashboard!$C$7*'Equity and Bond Returns'!AL10)+(Dashboard!$C$8*'Equity and Bond Returns'!EJ10)</f>
        <v>0.15536303570598489</v>
      </c>
      <c r="AA10" s="119">
        <f ca="1">(Dashboard!$C$7*'Equity and Bond Returns'!AM10)+(Dashboard!$C$8*'Equity and Bond Returns'!EK10)</f>
        <v>0.15016501464888043</v>
      </c>
      <c r="AB10" s="119">
        <f ca="1">(Dashboard!$C$7*'Equity and Bond Returns'!AN10)+(Dashboard!$C$8*'Equity and Bond Returns'!EL10)</f>
        <v>4.5134356853976529E-2</v>
      </c>
      <c r="AC10" s="119">
        <f ca="1">(Dashboard!$C$7*'Equity and Bond Returns'!AO10)+(Dashboard!$C$8*'Equity and Bond Returns'!EM10)</f>
        <v>-0.11693338584392972</v>
      </c>
      <c r="AD10" s="119">
        <f ca="1">(Dashboard!$C$7*'Equity and Bond Returns'!AP10)+(Dashboard!$C$8*'Equity and Bond Returns'!EN10)</f>
        <v>-1.5989434259172493E-2</v>
      </c>
      <c r="AE10" s="119">
        <f ca="1">(Dashboard!$C$7*'Equity and Bond Returns'!AQ10)+(Dashboard!$C$8*'Equity and Bond Returns'!EO10)</f>
        <v>3.2564869764319354E-2</v>
      </c>
      <c r="AF10" s="119">
        <f ca="1">(Dashboard!$C$7*'Equity and Bond Returns'!AR10)+(Dashboard!$C$8*'Equity and Bond Returns'!EP10)</f>
        <v>8.4232565415998939E-2</v>
      </c>
      <c r="AG10" s="119">
        <f ca="1">(Dashboard!$C$7*'Equity and Bond Returns'!AS10)+(Dashboard!$C$8*'Equity and Bond Returns'!EQ10)</f>
        <v>6.7268244319641762E-2</v>
      </c>
      <c r="AH10" s="119">
        <f ca="1">(Dashboard!$C$7*'Equity and Bond Returns'!AT10)+(Dashboard!$C$8*'Equity and Bond Returns'!ER10)</f>
        <v>-1.4959279742161298E-2</v>
      </c>
      <c r="AI10" s="119">
        <f ca="1">(Dashboard!$C$7*'Equity and Bond Returns'!AU10)+(Dashboard!$C$8*'Equity and Bond Returns'!ES10)</f>
        <v>9.9081629746069669E-2</v>
      </c>
      <c r="AJ10" s="119">
        <f ca="1">(Dashboard!$C$7*'Equity and Bond Returns'!AV10)+(Dashboard!$C$8*'Equity and Bond Returns'!ET10)</f>
        <v>0.35924907759189811</v>
      </c>
      <c r="AK10" s="119">
        <f ca="1">(Dashboard!$C$7*'Equity and Bond Returns'!AW10)+(Dashboard!$C$8*'Equity and Bond Returns'!EU10)</f>
        <v>-4.0301416810090265E-2</v>
      </c>
      <c r="AL10" s="119">
        <f ca="1">(Dashboard!$C$7*'Equity and Bond Returns'!AX10)+(Dashboard!$C$8*'Equity and Bond Returns'!EV10)</f>
        <v>0.29288308402121799</v>
      </c>
      <c r="AM10" s="119">
        <f ca="1">(Dashboard!$C$7*'Equity and Bond Returns'!AY10)+(Dashboard!$C$8*'Equity and Bond Returns'!EW10)</f>
        <v>1.570909597730593E-2</v>
      </c>
      <c r="AN10" s="119">
        <f ca="1">(Dashboard!$C$7*'Equity and Bond Returns'!AZ10)+(Dashboard!$C$8*'Equity and Bond Returns'!EX10)</f>
        <v>8.3023295152488449E-2</v>
      </c>
      <c r="AO10" s="119">
        <f ca="1">(Dashboard!$C$7*'Equity and Bond Returns'!BA10)+(Dashboard!$C$8*'Equity and Bond Returns'!EY10)</f>
        <v>-2.4537400235615611E-2</v>
      </c>
      <c r="AP10" s="119">
        <f ca="1">(Dashboard!$C$7*'Equity and Bond Returns'!BB10)+(Dashboard!$C$8*'Equity and Bond Returns'!EZ10)</f>
        <v>0.1535335313382811</v>
      </c>
      <c r="AQ10" s="119">
        <f ca="1">(Dashboard!$C$7*'Equity and Bond Returns'!BC10)+(Dashboard!$C$8*'Equity and Bond Returns'!FA10)</f>
        <v>0.19229411389505996</v>
      </c>
      <c r="AR10" s="119">
        <f ca="1">(Dashboard!$C$7*'Equity and Bond Returns'!BD10)+(Dashboard!$C$8*'Equity and Bond Returns'!FB10)</f>
        <v>9.0720112314303103E-2</v>
      </c>
      <c r="AS10" s="119">
        <f ca="1">(Dashboard!$C$7*'Equity and Bond Returns'!BE10)+(Dashboard!$C$8*'Equity and Bond Returns'!FC10)</f>
        <v>-1.7450346558824083E-2</v>
      </c>
      <c r="AT10" s="119">
        <f ca="1">(Dashboard!$C$7*'Equity and Bond Returns'!BF10)+(Dashboard!$C$8*'Equity and Bond Returns'!FD10)</f>
        <v>0.14330610534774149</v>
      </c>
      <c r="AU10" s="119">
        <f ca="1">(Dashboard!$C$7*'Equity and Bond Returns'!BG10)+(Dashboard!$C$8*'Equity and Bond Returns'!FE10)</f>
        <v>-1.7830708205658997E-2</v>
      </c>
      <c r="AV10" s="119">
        <f ca="1">(Dashboard!$C$7*'Equity and Bond Returns'!BH10)+(Dashboard!$C$8*'Equity and Bond Returns'!FF10)</f>
        <v>-9.0036552187948676E-2</v>
      </c>
      <c r="AW10" s="119">
        <f ca="1">(Dashboard!$C$7*'Equity and Bond Returns'!BI10)+(Dashboard!$C$8*'Equity and Bond Returns'!FG10)</f>
        <v>0.13649416477011411</v>
      </c>
      <c r="AX10" s="119">
        <f ca="1">(Dashboard!$C$7*'Equity and Bond Returns'!BJ10)+(Dashboard!$C$8*'Equity and Bond Returns'!FH10)</f>
        <v>-7.7541371265043568E-3</v>
      </c>
      <c r="AY10" s="119">
        <f ca="1">(Dashboard!$C$7*'Equity and Bond Returns'!BK10)+(Dashboard!$C$8*'Equity and Bond Returns'!FI10)</f>
        <v>0.21286462976105011</v>
      </c>
      <c r="AZ10" s="119">
        <f ca="1">(Dashboard!$C$7*'Equity and Bond Returns'!BL10)+(Dashboard!$C$8*'Equity and Bond Returns'!FJ10)</f>
        <v>7.9597455305414982E-2</v>
      </c>
      <c r="BA10" s="119">
        <f ca="1">(Dashboard!$C$7*'Equity and Bond Returns'!BM10)+(Dashboard!$C$8*'Equity and Bond Returns'!FK10)</f>
        <v>0.19559554822913819</v>
      </c>
      <c r="BB10" s="119">
        <f ca="1">(Dashboard!$C$7*'Equity and Bond Returns'!BN10)+(Dashboard!$C$8*'Equity and Bond Returns'!FL10)</f>
        <v>8.642150262545531E-2</v>
      </c>
      <c r="BC10" s="119">
        <f ca="1">(Dashboard!$C$7*'Equity and Bond Returns'!BO10)+(Dashboard!$C$8*'Equity and Bond Returns'!FM10)</f>
        <v>0.28153976045149776</v>
      </c>
      <c r="BD10" s="119">
        <f ca="1">(Dashboard!$C$7*'Equity and Bond Returns'!BP10)+(Dashboard!$C$8*'Equity and Bond Returns'!FN10)</f>
        <v>0.12784168614565056</v>
      </c>
      <c r="BE10" s="119">
        <f ca="1">(Dashboard!$C$7*'Equity and Bond Returns'!BQ10)+(Dashboard!$C$8*'Equity and Bond Returns'!FO10)</f>
        <v>0.15061362760625019</v>
      </c>
      <c r="BF10" s="119">
        <f ca="1">(Dashboard!$C$7*'Equity and Bond Returns'!BR10)+(Dashboard!$C$8*'Equity and Bond Returns'!FP10)</f>
        <v>8.7382592527400299E-2</v>
      </c>
      <c r="BG10" s="119">
        <f ca="1">(Dashboard!$C$7*'Equity and Bond Returns'!BS10)+(Dashboard!$C$8*'Equity and Bond Returns'!FQ10)</f>
        <v>0.15067367249189267</v>
      </c>
      <c r="BH10" s="119">
        <f ca="1">(Dashboard!$C$7*'Equity and Bond Returns'!BT10)+(Dashboard!$C$8*'Equity and Bond Returns'!FR10)</f>
        <v>0.20242227213658115</v>
      </c>
      <c r="BI10" s="119">
        <f ca="1">(Dashboard!$C$7*'Equity and Bond Returns'!BU10)+(Dashboard!$C$8*'Equity and Bond Returns'!FS10)</f>
        <v>0.29138329543011593</v>
      </c>
      <c r="BJ10" s="119">
        <f ca="1">(Dashboard!$C$7*'Equity and Bond Returns'!BV10)+(Dashboard!$C$8*'Equity and Bond Returns'!FT10)</f>
        <v>8.726819864533672E-2</v>
      </c>
      <c r="BK10" s="119">
        <f ca="1">(Dashboard!$C$7*'Equity and Bond Returns'!BW10)+(Dashboard!$C$8*'Equity and Bond Returns'!FU10)</f>
        <v>2.4242680176364904E-2</v>
      </c>
      <c r="BL10" s="119">
        <f ca="1">(Dashboard!$C$7*'Equity and Bond Returns'!BX10)+(Dashboard!$C$8*'Equity and Bond Returns'!FV10)</f>
        <v>0.23003806815076588</v>
      </c>
      <c r="BM10" s="119">
        <f ca="1">(Dashboard!$C$7*'Equity and Bond Returns'!BY10)+(Dashboard!$C$8*'Equity and Bond Returns'!FW10)</f>
        <v>4.1219891968132118E-2</v>
      </c>
      <c r="BN10" s="119">
        <f ca="1">(Dashboard!$C$7*'Equity and Bond Returns'!BZ10)+(Dashboard!$C$8*'Equity and Bond Returns'!FX10)</f>
        <v>0.33533563316620485</v>
      </c>
      <c r="BO10" s="119">
        <f ca="1">(Dashboard!$C$7*'Equity and Bond Returns'!CA10)+(Dashboard!$C$8*'Equity and Bond Returns'!FY10)</f>
        <v>0.20784781186693857</v>
      </c>
      <c r="BP10" s="119">
        <f ca="1">(Dashboard!$C$7*'Equity and Bond Returns'!CB10)+(Dashboard!$C$8*'Equity and Bond Returns'!FZ10)</f>
        <v>-8.058539940833058E-2</v>
      </c>
      <c r="BQ10" s="119">
        <f ca="1">(Dashboard!$C$7*'Equity and Bond Returns'!CC10)+(Dashboard!$C$8*'Equity and Bond Returns'!GA10)</f>
        <v>-0.15896282704972042</v>
      </c>
      <c r="BR10" s="119">
        <f ca="1">(Dashboard!$C$7*'Equity and Bond Returns'!CD10)+(Dashboard!$C$8*'Equity and Bond Returns'!GB10)</f>
        <v>0.28102985078951598</v>
      </c>
      <c r="BS10" s="119">
        <f ca="1">(Dashboard!$C$7*'Equity and Bond Returns'!CE10)+(Dashboard!$C$8*'Equity and Bond Returns'!GC10)</f>
        <v>0.12527822111823783</v>
      </c>
      <c r="BT10" s="119">
        <f ca="1">(Dashboard!$C$7*'Equity and Bond Returns'!CF10)+(Dashboard!$C$8*'Equity and Bond Returns'!GD10)</f>
        <v>0.1695614279060485</v>
      </c>
      <c r="BU10" s="119">
        <f ca="1">(Dashboard!$C$7*'Equity and Bond Returns'!CG10)+(Dashboard!$C$8*'Equity and Bond Returns'!GE10)</f>
        <v>9.981940086872905E-2</v>
      </c>
      <c r="BV10" s="119">
        <f ca="1">(Dashboard!$C$7*'Equity and Bond Returns'!CH10)+(Dashboard!$C$8*'Equity and Bond Returns'!GF10)</f>
        <v>4.8102411376156486E-2</v>
      </c>
      <c r="BW10" s="119">
        <f ca="1">(Dashboard!$C$7*'Equity and Bond Returns'!CI10)+(Dashboard!$C$8*'Equity and Bond Returns'!GG10)</f>
        <v>0.3464775691642778</v>
      </c>
      <c r="BX10" s="119">
        <f ca="1">(Dashboard!$C$7*'Equity and Bond Returns'!CJ10)+(Dashboard!$C$8*'Equity and Bond Returns'!GH10)</f>
        <v>0.21046721909914923</v>
      </c>
      <c r="BY10" s="119">
        <f ca="1">(Dashboard!$C$7*'Equity and Bond Returns'!CK10)+(Dashboard!$C$8*'Equity and Bond Returns'!GI10)</f>
        <v>3.9031849078470425E-2</v>
      </c>
      <c r="BZ10" s="119">
        <f ca="1">(Dashboard!$C$7*'Equity and Bond Returns'!CL10)+(Dashboard!$C$8*'Equity and Bond Returns'!GJ10)</f>
        <v>0.11128286502854777</v>
      </c>
      <c r="CA10" s="119">
        <f ca="1">(Dashboard!$C$7*'Equity and Bond Returns'!CM10)+(Dashboard!$C$8*'Equity and Bond Returns'!GK10)</f>
        <v>0.21139486344364389</v>
      </c>
      <c r="CB10" s="119">
        <f ca="1">(Dashboard!$C$7*'Equity and Bond Returns'!CN10)+(Dashboard!$C$8*'Equity and Bond Returns'!GL10)</f>
        <v>7.9303322217259956E-2</v>
      </c>
      <c r="CC10" s="119">
        <f ca="1">(Dashboard!$C$7*'Equity and Bond Returns'!CO10)+(Dashboard!$C$8*'Equity and Bond Returns'!GM10)</f>
        <v>5.389417768991208E-2</v>
      </c>
      <c r="CD10" s="119">
        <f ca="1">(Dashboard!$C$7*'Equity and Bond Returns'!CP10)+(Dashboard!$C$8*'Equity and Bond Returns'!GN10)</f>
        <v>9.1314845857470059E-2</v>
      </c>
      <c r="CE10" s="119">
        <f ca="1">(Dashboard!$C$7*'Equity and Bond Returns'!CQ10)+(Dashboard!$C$8*'Equity and Bond Returns'!GO10)</f>
        <v>0.16799739293777266</v>
      </c>
      <c r="CF10" s="119">
        <f ca="1">(Dashboard!$C$7*'Equity and Bond Returns'!CR10)+(Dashboard!$C$8*'Equity and Bond Returns'!GP10)</f>
        <v>3.0093617362897972E-2</v>
      </c>
      <c r="CG10" s="119">
        <f ca="1">(Dashboard!$C$7*'Equity and Bond Returns'!CS10)+(Dashboard!$C$8*'Equity and Bond Returns'!GQ10)</f>
        <v>0.47045889014177866</v>
      </c>
      <c r="CH10" s="119">
        <f ca="1">(Dashboard!$C$7*'Equity and Bond Returns'!CT10)+(Dashboard!$C$8*'Equity and Bond Returns'!GR10)</f>
        <v>5.9747305057600966E-2</v>
      </c>
      <c r="CI10" s="119">
        <f ca="1">(Dashboard!$C$7*'Equity and Bond Returns'!CU10)+(Dashboard!$C$8*'Equity and Bond Returns'!GS10)</f>
        <v>-1.7987338094536717E-2</v>
      </c>
      <c r="CJ10" s="119">
        <f ca="1">(Dashboard!$C$7*'Equity and Bond Returns'!CV10)+(Dashboard!$C$8*'Equity and Bond Returns'!GT10)</f>
        <v>5.2207621558482249E-2</v>
      </c>
      <c r="CK10" s="119">
        <f ca="1">(Dashboard!$C$7*'Equity and Bond Returns'!CW10)+(Dashboard!$C$8*'Equity and Bond Returns'!GU10)</f>
        <v>-3.7753331342234991E-2</v>
      </c>
      <c r="CL10" s="119">
        <f ca="1">(Dashboard!$C$7*'Equity and Bond Returns'!CX10)+(Dashboard!$C$8*'Equity and Bond Returns'!GV10)</f>
        <v>0.25283540556165229</v>
      </c>
      <c r="CM10" s="119">
        <f ca="1">(Dashboard!$C$7*'Equity and Bond Returns'!CY10)+(Dashboard!$C$8*'Equity and Bond Returns'!GW10)</f>
        <v>0.15030665296868728</v>
      </c>
      <c r="CN10" s="119">
        <f ca="1">(Dashboard!$C$7*'Equity and Bond Returns'!CZ10)+(Dashboard!$C$8*'Equity and Bond Returns'!GX10)</f>
        <v>-2.6349913188359858E-2</v>
      </c>
      <c r="CO10" s="119">
        <f ca="1">(Dashboard!$C$7*'Equity and Bond Returns'!DA10)+(Dashboard!$C$8*'Equity and Bond Returns'!GY10)</f>
        <v>-3.9204608264882007E-2</v>
      </c>
      <c r="CP10" s="119">
        <f ca="1">(Dashboard!$C$7*'Equity and Bond Returns'!DB10)+(Dashboard!$C$8*'Equity and Bond Returns'!GZ10)</f>
        <v>9.6315897608605233E-2</v>
      </c>
      <c r="CQ10" s="119">
        <f ca="1">(Dashboard!$C$7*'Equity and Bond Returns'!DC10)+(Dashboard!$C$8*'Equity and Bond Returns'!HA10)</f>
        <v>0.28794869800622158</v>
      </c>
      <c r="CR10" s="119">
        <f ca="1">(Dashboard!$C$7*'Equity and Bond Returns'!DD10)+(Dashboard!$C$8*'Equity and Bond Returns'!HB10)</f>
        <v>3.4503719637014221E-2</v>
      </c>
      <c r="CS10" s="119">
        <f ca="1">(Dashboard!$C$7*'Equity and Bond Returns'!DE10)+(Dashboard!$C$8*'Equity and Bond Returns'!HC10)</f>
        <v>9.7200414418180267E-2</v>
      </c>
      <c r="CT10" s="119">
        <f ca="1">(Dashboard!$C$7*'Equity and Bond Returns'!DF10)+(Dashboard!$C$8*'Equity and Bond Returns'!HD10)</f>
        <v>0.1130378925256518</v>
      </c>
      <c r="CU10" s="119">
        <f ca="1">(Dashboard!$C$7*'Equity and Bond Returns'!DG10)+(Dashboard!$C$8*'Equity and Bond Returns'!HE10)</f>
        <v>0.24657446284803827</v>
      </c>
      <c r="CV10" s="119">
        <f ca="1">(Dashboard!$C$7*'Equity and Bond Returns'!DH10)+(Dashboard!$C$8*'Equity and Bond Returns'!HF10)</f>
        <v>-6.0603466944255027E-3</v>
      </c>
      <c r="CW10" s="119">
        <f ca="1">(Dashboard!$C$7*'Equity and Bond Returns'!DI10)+(Dashboard!$C$8*'Equity and Bond Returns'!HG10)</f>
        <v>0.22884298131745479</v>
      </c>
      <c r="CY10" s="147">
        <f t="shared" si="5"/>
        <v>59</v>
      </c>
      <c r="CZ10" s="147">
        <v>9</v>
      </c>
      <c r="DA10" s="126">
        <f ca="1">MAX(DA9*(1+B10)-(Dashboard!$C$11)/(1-Dashboard!$C$17)*((1+Dashboard!$C$12)^$CZ10),0)</f>
        <v>1275569.199695369</v>
      </c>
      <c r="DB10" s="126">
        <f ca="1">MAX(DB9*(1+C10)-(Dashboard!$C$11)/(1-Dashboard!$C$17)*((1+Dashboard!$C$12)^$CZ10),0)</f>
        <v>397596.25612571154</v>
      </c>
      <c r="DC10" s="126">
        <f ca="1">MAX(DC9*(1+D10)-(Dashboard!$C$11)/(1-Dashboard!$C$17)*((1+Dashboard!$C$12)^$CZ10),0)</f>
        <v>564521.13884491753</v>
      </c>
      <c r="DD10" s="126">
        <f ca="1">MAX(DD9*(1+E10)-(Dashboard!$C$11)/(1-Dashboard!$C$17)*((1+Dashboard!$C$12)^$CZ10),0)</f>
        <v>511605.517515268</v>
      </c>
      <c r="DE10" s="126">
        <f ca="1">MAX(DE9*(1+F10)-(Dashboard!$C$11)/(1-Dashboard!$C$17)*((1+Dashboard!$C$12)^$CZ10),0)</f>
        <v>864116.71814626583</v>
      </c>
      <c r="DF10" s="126">
        <f ca="1">MAX(DF9*(1+G10)-(Dashboard!$C$11)/(1-Dashboard!$C$17)*((1+Dashboard!$C$12)^$CZ10),0)</f>
        <v>2018290.7562116468</v>
      </c>
      <c r="DG10" s="126">
        <f ca="1">MAX(DG9*(1+H10)-(Dashboard!$C$11)/(1-Dashboard!$C$17)*((1+Dashboard!$C$12)^$CZ10),0)</f>
        <v>290730.20352132409</v>
      </c>
      <c r="DH10" s="126">
        <f ca="1">MAX(DH9*(1+I10)-(Dashboard!$C$11)/(1-Dashboard!$C$17)*((1+Dashboard!$C$12)^$CZ10),0)</f>
        <v>985623.44259867992</v>
      </c>
      <c r="DI10" s="126">
        <f ca="1">MAX(DI9*(1+J10)-(Dashboard!$C$11)/(1-Dashboard!$C$17)*((1+Dashboard!$C$12)^$CZ10),0)</f>
        <v>845650.67910657823</v>
      </c>
      <c r="DJ10" s="126">
        <f ca="1">MAX(DJ9*(1+K10)-(Dashboard!$C$11)/(1-Dashboard!$C$17)*((1+Dashboard!$C$12)^$CZ10),0)</f>
        <v>1100162.0181400224</v>
      </c>
      <c r="DK10" s="126">
        <f ca="1">MAX(DK9*(1+L10)-(Dashboard!$C$11)/(1-Dashboard!$C$17)*((1+Dashboard!$C$12)^$CZ10),0)</f>
        <v>1502000.3627152983</v>
      </c>
      <c r="DL10" s="126">
        <f ca="1">MAX(DL9*(1+M10)-(Dashboard!$C$11)/(1-Dashboard!$C$17)*((1+Dashboard!$C$12)^$CZ10),0)</f>
        <v>1265304.9069594278</v>
      </c>
      <c r="DM10" s="126">
        <f ca="1">MAX(DM9*(1+N10)-(Dashboard!$C$11)/(1-Dashboard!$C$17)*((1+Dashboard!$C$12)^$CZ10),0)</f>
        <v>1077570.1906290862</v>
      </c>
      <c r="DN10" s="126">
        <f ca="1">MAX(DN9*(1+O10)-(Dashboard!$C$11)/(1-Dashboard!$C$17)*((1+Dashboard!$C$12)^$CZ10),0)</f>
        <v>2904174.4878602442</v>
      </c>
      <c r="DO10" s="126">
        <f ca="1">MAX(DO9*(1+P10)-(Dashboard!$C$11)/(1-Dashboard!$C$17)*((1+Dashboard!$C$12)^$CZ10),0)</f>
        <v>1099381.6036120804</v>
      </c>
      <c r="DP10" s="126">
        <f ca="1">MAX(DP9*(1+Q10)-(Dashboard!$C$11)/(1-Dashboard!$C$17)*((1+Dashboard!$C$12)^$CZ10),0)</f>
        <v>703552.80349425843</v>
      </c>
      <c r="DQ10" s="126">
        <f ca="1">MAX(DQ9*(1+R10)-(Dashboard!$C$11)/(1-Dashboard!$C$17)*((1+Dashboard!$C$12)^$CZ10),0)</f>
        <v>883473.64753555227</v>
      </c>
      <c r="DR10" s="126">
        <f ca="1">MAX(DR9*(1+S10)-(Dashboard!$C$11)/(1-Dashboard!$C$17)*((1+Dashboard!$C$12)^$CZ10),0)</f>
        <v>795145.65720363788</v>
      </c>
      <c r="DS10" s="126">
        <f ca="1">MAX(DS9*(1+T10)-(Dashboard!$C$11)/(1-Dashboard!$C$17)*((1+Dashboard!$C$12)^$CZ10),0)</f>
        <v>1018435.3392999554</v>
      </c>
      <c r="DT10" s="126">
        <f ca="1">MAX(DT9*(1+U10)-(Dashboard!$C$11)/(1-Dashboard!$C$17)*((1+Dashboard!$C$12)^$CZ10),0)</f>
        <v>734096.92009117838</v>
      </c>
      <c r="DU10" s="126">
        <f ca="1">MAX(DU9*(1+V10)-(Dashboard!$C$11)/(1-Dashboard!$C$17)*((1+Dashboard!$C$12)^$CZ10),0)</f>
        <v>1082283.3405109225</v>
      </c>
      <c r="DV10" s="126">
        <f ca="1">MAX(DV9*(1+W10)-(Dashboard!$C$11)/(1-Dashboard!$C$17)*((1+Dashboard!$C$12)^$CZ10),0)</f>
        <v>1397161.6734998957</v>
      </c>
      <c r="DW10" s="126">
        <f ca="1">MAX(DW9*(1+X10)-(Dashboard!$C$11)/(1-Dashboard!$C$17)*((1+Dashboard!$C$12)^$CZ10),0)</f>
        <v>1280515.4800576663</v>
      </c>
      <c r="DX10" s="126">
        <f ca="1">MAX(DX9*(1+Y10)-(Dashboard!$C$11)/(1-Dashboard!$C$17)*((1+Dashboard!$C$12)^$CZ10),0)</f>
        <v>568190.86303674069</v>
      </c>
      <c r="DY10" s="126">
        <f ca="1">MAX(DY9*(1+Z10)-(Dashboard!$C$11)/(1-Dashboard!$C$17)*((1+Dashboard!$C$12)^$CZ10),0)</f>
        <v>1804277.1978549343</v>
      </c>
      <c r="DZ10" s="126">
        <f ca="1">MAX(DZ9*(1+AA10)-(Dashboard!$C$11)/(1-Dashboard!$C$17)*((1+Dashboard!$C$12)^$CZ10),0)</f>
        <v>609439.99105479452</v>
      </c>
      <c r="EA10" s="126">
        <f ca="1">MAX(EA9*(1+AB10)-(Dashboard!$C$11)/(1-Dashboard!$C$17)*((1+Dashboard!$C$12)^$CZ10),0)</f>
        <v>518604.59763187711</v>
      </c>
      <c r="EB10" s="126">
        <f ca="1">MAX(EB9*(1+AC10)-(Dashboard!$C$11)/(1-Dashboard!$C$17)*((1+Dashboard!$C$12)^$CZ10),0)</f>
        <v>702734.60471653263</v>
      </c>
      <c r="EC10" s="126">
        <f ca="1">MAX(EC9*(1+AD10)-(Dashboard!$C$11)/(1-Dashboard!$C$17)*((1+Dashboard!$C$12)^$CZ10),0)</f>
        <v>868410.35029271885</v>
      </c>
      <c r="ED10" s="126">
        <f ca="1">MAX(ED9*(1+AE10)-(Dashboard!$C$11)/(1-Dashboard!$C$17)*((1+Dashboard!$C$12)^$CZ10),0)</f>
        <v>1311767.1592608693</v>
      </c>
      <c r="EE10" s="126">
        <f ca="1">MAX(EE9*(1+AF10)-(Dashboard!$C$11)/(1-Dashboard!$C$17)*((1+Dashboard!$C$12)^$CZ10),0)</f>
        <v>1177671.4160212947</v>
      </c>
      <c r="EF10" s="126">
        <f ca="1">MAX(EF9*(1+AG10)-(Dashboard!$C$11)/(1-Dashboard!$C$17)*((1+Dashboard!$C$12)^$CZ10),0)</f>
        <v>839686.93159727333</v>
      </c>
      <c r="EG10" s="126">
        <f ca="1">MAX(EG9*(1+AH10)-(Dashboard!$C$11)/(1-Dashboard!$C$17)*((1+Dashboard!$C$12)^$CZ10),0)</f>
        <v>1315925.4647657853</v>
      </c>
      <c r="EH10" s="126">
        <f ca="1">MAX(EH9*(1+AI10)-(Dashboard!$C$11)/(1-Dashboard!$C$17)*((1+Dashboard!$C$12)^$CZ10),0)</f>
        <v>741816.90551415959</v>
      </c>
      <c r="EI10" s="126">
        <f ca="1">MAX(EI9*(1+AJ10)-(Dashboard!$C$11)/(1-Dashboard!$C$17)*((1+Dashboard!$C$12)^$CZ10),0)</f>
        <v>482786.23388545425</v>
      </c>
      <c r="EJ10" s="126">
        <f ca="1">MAX(EJ9*(1+AK10)-(Dashboard!$C$11)/(1-Dashboard!$C$17)*((1+Dashboard!$C$12)^$CZ10),0)</f>
        <v>802981.18653154746</v>
      </c>
      <c r="EK10" s="126">
        <f ca="1">MAX(EK9*(1+AL10)-(Dashboard!$C$11)/(1-Dashboard!$C$17)*((1+Dashboard!$C$12)^$CZ10),0)</f>
        <v>1103908.6572029034</v>
      </c>
      <c r="EL10" s="126">
        <f ca="1">MAX(EL9*(1+AM10)-(Dashboard!$C$11)/(1-Dashboard!$C$17)*((1+Dashboard!$C$12)^$CZ10),0)</f>
        <v>913795.93618850422</v>
      </c>
      <c r="EM10" s="126">
        <f ca="1">MAX(EM9*(1+AN10)-(Dashboard!$C$11)/(1-Dashboard!$C$17)*((1+Dashboard!$C$12)^$CZ10),0)</f>
        <v>1349476.461492843</v>
      </c>
      <c r="EN10" s="126">
        <f ca="1">MAX(EN9*(1+AO10)-(Dashboard!$C$11)/(1-Dashboard!$C$17)*((1+Dashboard!$C$12)^$CZ10),0)</f>
        <v>1871261.2701169914</v>
      </c>
      <c r="EO10" s="126">
        <f ca="1">MAX(EO9*(1+AP10)-(Dashboard!$C$11)/(1-Dashboard!$C$17)*((1+Dashboard!$C$12)^$CZ10),0)</f>
        <v>512086.38374525838</v>
      </c>
      <c r="EP10" s="126">
        <f ca="1">MAX(EP9*(1+AQ10)-(Dashboard!$C$11)/(1-Dashboard!$C$17)*((1+Dashboard!$C$12)^$CZ10),0)</f>
        <v>963401.49637434992</v>
      </c>
      <c r="EQ10" s="126">
        <f ca="1">MAX(EQ9*(1+AR10)-(Dashboard!$C$11)/(1-Dashboard!$C$17)*((1+Dashboard!$C$12)^$CZ10),0)</f>
        <v>650869.33124504879</v>
      </c>
      <c r="ER10" s="126">
        <f ca="1">MAX(ER9*(1+AS10)-(Dashboard!$C$11)/(1-Dashboard!$C$17)*((1+Dashboard!$C$12)^$CZ10),0)</f>
        <v>667464.0638499991</v>
      </c>
      <c r="ES10" s="126">
        <f ca="1">MAX(ES9*(1+AT10)-(Dashboard!$C$11)/(1-Dashboard!$C$17)*((1+Dashboard!$C$12)^$CZ10),0)</f>
        <v>623563.19395010127</v>
      </c>
      <c r="ET10" s="126">
        <f ca="1">MAX(ET9*(1+AU10)-(Dashboard!$C$11)/(1-Dashboard!$C$17)*((1+Dashboard!$C$12)^$CZ10),0)</f>
        <v>1052489.6521490428</v>
      </c>
      <c r="EU10" s="126">
        <f ca="1">MAX(EU9*(1+AV10)-(Dashboard!$C$11)/(1-Dashboard!$C$17)*((1+Dashboard!$C$12)^$CZ10),0)</f>
        <v>708117.94817842986</v>
      </c>
      <c r="EV10" s="126">
        <f ca="1">MAX(EV9*(1+AW10)-(Dashboard!$C$11)/(1-Dashboard!$C$17)*((1+Dashboard!$C$12)^$CZ10),0)</f>
        <v>1960254.1635091829</v>
      </c>
      <c r="EW10" s="126">
        <f ca="1">MAX(EW9*(1+AX10)-(Dashboard!$C$11)/(1-Dashboard!$C$17)*((1+Dashboard!$C$12)^$CZ10),0)</f>
        <v>1105593.1451061824</v>
      </c>
      <c r="EX10" s="126">
        <f ca="1">MAX(EX9*(1+AY10)-(Dashboard!$C$11)/(1-Dashboard!$C$17)*((1+Dashboard!$C$12)^$CZ10),0)</f>
        <v>1518659.4296268374</v>
      </c>
      <c r="EY10" s="126">
        <f ca="1">MAX(EY9*(1+AZ10)-(Dashboard!$C$11)/(1-Dashboard!$C$17)*((1+Dashboard!$C$12)^$CZ10),0)</f>
        <v>1488611.434405766</v>
      </c>
      <c r="EZ10" s="126">
        <f ca="1">MAX(EZ9*(1+BA10)-(Dashboard!$C$11)/(1-Dashboard!$C$17)*((1+Dashboard!$C$12)^$CZ10),0)</f>
        <v>487875.75975408411</v>
      </c>
      <c r="FA10" s="126">
        <f ca="1">MAX(FA9*(1+BB10)-(Dashboard!$C$11)/(1-Dashboard!$C$17)*((1+Dashboard!$C$12)^$CZ10),0)</f>
        <v>1117453.8051844717</v>
      </c>
      <c r="FB10" s="126">
        <f ca="1">MAX(FB9*(1+BC10)-(Dashboard!$C$11)/(1-Dashboard!$C$17)*((1+Dashboard!$C$12)^$CZ10),0)</f>
        <v>1135570.0711827045</v>
      </c>
      <c r="FC10" s="126">
        <f ca="1">MAX(FC9*(1+BD10)-(Dashboard!$C$11)/(1-Dashboard!$C$17)*((1+Dashboard!$C$12)^$CZ10),0)</f>
        <v>948164.95994984044</v>
      </c>
      <c r="FD10" s="126">
        <f ca="1">MAX(FD9*(1+BE10)-(Dashboard!$C$11)/(1-Dashboard!$C$17)*((1+Dashboard!$C$12)^$CZ10),0)</f>
        <v>1197293.0770757231</v>
      </c>
      <c r="FE10" s="126">
        <f ca="1">MAX(FE9*(1+BF10)-(Dashboard!$C$11)/(1-Dashboard!$C$17)*((1+Dashboard!$C$12)^$CZ10),0)</f>
        <v>1026886.2316950029</v>
      </c>
      <c r="FF10" s="126">
        <f ca="1">MAX(FF9*(1+BG10)-(Dashboard!$C$11)/(1-Dashboard!$C$17)*((1+Dashboard!$C$12)^$CZ10),0)</f>
        <v>1343717.7894801146</v>
      </c>
      <c r="FG10" s="126">
        <f ca="1">MAX(FG9*(1+BH10)-(Dashboard!$C$11)/(1-Dashboard!$C$17)*((1+Dashboard!$C$12)^$CZ10),0)</f>
        <v>1173533.4076350268</v>
      </c>
      <c r="FH10" s="126">
        <f ca="1">MAX(FH9*(1+BI10)-(Dashboard!$C$11)/(1-Dashboard!$C$17)*((1+Dashboard!$C$12)^$CZ10),0)</f>
        <v>980631.0307198196</v>
      </c>
      <c r="FI10" s="126">
        <f ca="1">MAX(FI9*(1+BJ10)-(Dashboard!$C$11)/(1-Dashboard!$C$17)*((1+Dashboard!$C$12)^$CZ10),0)</f>
        <v>946029.85064900864</v>
      </c>
      <c r="FJ10" s="126">
        <f ca="1">MAX(FJ9*(1+BK10)-(Dashboard!$C$11)/(1-Dashboard!$C$17)*((1+Dashboard!$C$12)^$CZ10),0)</f>
        <v>525340.83280482201</v>
      </c>
      <c r="FK10" s="126">
        <f ca="1">MAX(FK9*(1+BL10)-(Dashboard!$C$11)/(1-Dashboard!$C$17)*((1+Dashboard!$C$12)^$CZ10),0)</f>
        <v>848502.49658652639</v>
      </c>
      <c r="FL10" s="126">
        <f ca="1">MAX(FL9*(1+BM10)-(Dashboard!$C$11)/(1-Dashboard!$C$17)*((1+Dashboard!$C$12)^$CZ10),0)</f>
        <v>1493207.5468679329</v>
      </c>
      <c r="FM10" s="126">
        <f ca="1">MAX(FM9*(1+BN10)-(Dashboard!$C$11)/(1-Dashboard!$C$17)*((1+Dashboard!$C$12)^$CZ10),0)</f>
        <v>1124418.4550576424</v>
      </c>
      <c r="FN10" s="126">
        <f ca="1">MAX(FN9*(1+BO10)-(Dashboard!$C$11)/(1-Dashboard!$C$17)*((1+Dashboard!$C$12)^$CZ10),0)</f>
        <v>643496.0207943893</v>
      </c>
      <c r="FO10" s="126">
        <f ca="1">MAX(FO9*(1+BP10)-(Dashboard!$C$11)/(1-Dashboard!$C$17)*((1+Dashboard!$C$12)^$CZ10),0)</f>
        <v>894688.54597021791</v>
      </c>
      <c r="FP10" s="126">
        <f ca="1">MAX(FP9*(1+BQ10)-(Dashboard!$C$11)/(1-Dashboard!$C$17)*((1+Dashboard!$C$12)^$CZ10),0)</f>
        <v>836210.58979379653</v>
      </c>
      <c r="FQ10" s="126">
        <f ca="1">MAX(FQ9*(1+BR10)-(Dashboard!$C$11)/(1-Dashboard!$C$17)*((1+Dashboard!$C$12)^$CZ10),0)</f>
        <v>1480047.7829925707</v>
      </c>
      <c r="FR10" s="126">
        <f ca="1">MAX(FR9*(1+BS10)-(Dashboard!$C$11)/(1-Dashboard!$C$17)*((1+Dashboard!$C$12)^$CZ10),0)</f>
        <v>2082122.0262585594</v>
      </c>
      <c r="FS10" s="126">
        <f ca="1">MAX(FS9*(1+BT10)-(Dashboard!$C$11)/(1-Dashboard!$C$17)*((1+Dashboard!$C$12)^$CZ10),0)</f>
        <v>1093152.5189788211</v>
      </c>
      <c r="FT10" s="126">
        <f ca="1">MAX(FT9*(1+BU10)-(Dashboard!$C$11)/(1-Dashboard!$C$17)*((1+Dashboard!$C$12)^$CZ10),0)</f>
        <v>730340.92567224882</v>
      </c>
      <c r="FU10" s="126">
        <f ca="1">MAX(FU9*(1+BV10)-(Dashboard!$C$11)/(1-Dashboard!$C$17)*((1+Dashboard!$C$12)^$CZ10),0)</f>
        <v>1492751.3571536525</v>
      </c>
      <c r="FV10" s="126">
        <f ca="1">MAX(FV9*(1+BW10)-(Dashboard!$C$11)/(1-Dashboard!$C$17)*((1+Dashboard!$C$12)^$CZ10),0)</f>
        <v>503883.41527110414</v>
      </c>
      <c r="FW10" s="126">
        <f ca="1">MAX(FW9*(1+BX10)-(Dashboard!$C$11)/(1-Dashboard!$C$17)*((1+Dashboard!$C$12)^$CZ10),0)</f>
        <v>1107223.0101871176</v>
      </c>
      <c r="FX10" s="126">
        <f ca="1">MAX(FX9*(1+BY10)-(Dashboard!$C$11)/(1-Dashboard!$C$17)*((1+Dashboard!$C$12)^$CZ10),0)</f>
        <v>605282.59469424572</v>
      </c>
      <c r="FY10" s="126">
        <f ca="1">MAX(FY9*(1+BZ10)-(Dashboard!$C$11)/(1-Dashboard!$C$17)*((1+Dashboard!$C$12)^$CZ10),0)</f>
        <v>577011.20889780193</v>
      </c>
      <c r="FZ10" s="126">
        <f ca="1">MAX(FZ9*(1+CA10)-(Dashboard!$C$11)/(1-Dashboard!$C$17)*((1+Dashboard!$C$12)^$CZ10),0)</f>
        <v>728517.94810651301</v>
      </c>
      <c r="GA10" s="126">
        <f ca="1">MAX(GA9*(1+CB10)-(Dashboard!$C$11)/(1-Dashboard!$C$17)*((1+Dashboard!$C$12)^$CZ10),0)</f>
        <v>2058749.5622650036</v>
      </c>
      <c r="GB10" s="126">
        <f ca="1">MAX(GB9*(1+CC10)-(Dashboard!$C$11)/(1-Dashboard!$C$17)*((1+Dashboard!$C$12)^$CZ10),0)</f>
        <v>1026305.8957367889</v>
      </c>
      <c r="GC10" s="126">
        <f ca="1">MAX(GC9*(1+CD10)-(Dashboard!$C$11)/(1-Dashboard!$C$17)*((1+Dashboard!$C$12)^$CZ10),0)</f>
        <v>1066142.1835818135</v>
      </c>
      <c r="GD10" s="126">
        <f ca="1">MAX(GD9*(1+CE10)-(Dashboard!$C$11)/(1-Dashboard!$C$17)*((1+Dashboard!$C$12)^$CZ10),0)</f>
        <v>770542.25516587996</v>
      </c>
      <c r="GE10" s="126">
        <f ca="1">MAX(GE9*(1+CF10)-(Dashboard!$C$11)/(1-Dashboard!$C$17)*((1+Dashboard!$C$12)^$CZ10),0)</f>
        <v>724670.22118959099</v>
      </c>
      <c r="GF10" s="126">
        <f ca="1">MAX(GF9*(1+CG10)-(Dashboard!$C$11)/(1-Dashboard!$C$17)*((1+Dashboard!$C$12)^$CZ10),0)</f>
        <v>1403870.7727001037</v>
      </c>
      <c r="GG10" s="126">
        <f ca="1">MAX(GG9*(1+CH10)-(Dashboard!$C$11)/(1-Dashboard!$C$17)*((1+Dashboard!$C$12)^$CZ10),0)</f>
        <v>455362.11074066389</v>
      </c>
      <c r="GH10" s="126">
        <f ca="1">MAX(GH9*(1+CI10)-(Dashboard!$C$11)/(1-Dashboard!$C$17)*((1+Dashboard!$C$12)^$CZ10),0)</f>
        <v>463386.1886500087</v>
      </c>
      <c r="GI10" s="126">
        <f ca="1">MAX(GI9*(1+CJ10)-(Dashboard!$C$11)/(1-Dashboard!$C$17)*((1+Dashboard!$C$12)^$CZ10),0)</f>
        <v>465360.4638444577</v>
      </c>
      <c r="GJ10" s="126">
        <f ca="1">MAX(GJ9*(1+CK10)-(Dashboard!$C$11)/(1-Dashboard!$C$17)*((1+Dashboard!$C$12)^$CZ10),0)</f>
        <v>945762.9917817224</v>
      </c>
      <c r="GK10" s="126">
        <f ca="1">MAX(GK9*(1+CL10)-(Dashboard!$C$11)/(1-Dashboard!$C$17)*((1+Dashboard!$C$12)^$CZ10),0)</f>
        <v>2177076.0706119444</v>
      </c>
      <c r="GL10" s="126">
        <f ca="1">MAX(GL9*(1+CM10)-(Dashboard!$C$11)/(1-Dashboard!$C$17)*((1+Dashboard!$C$12)^$CZ10),0)</f>
        <v>1748677.0757786529</v>
      </c>
      <c r="GM10" s="126">
        <f ca="1">MAX(GM9*(1+CN10)-(Dashboard!$C$11)/(1-Dashboard!$C$17)*((1+Dashboard!$C$12)^$CZ10),0)</f>
        <v>701673.91694269329</v>
      </c>
      <c r="GN10" s="126">
        <f ca="1">MAX(GN9*(1+CO10)-(Dashboard!$C$11)/(1-Dashboard!$C$17)*((1+Dashboard!$C$12)^$CZ10),0)</f>
        <v>345081.60139123857</v>
      </c>
      <c r="GO10" s="126">
        <f ca="1">MAX(GO9*(1+CP10)-(Dashboard!$C$11)/(1-Dashboard!$C$17)*((1+Dashboard!$C$12)^$CZ10),0)</f>
        <v>833578.6220160661</v>
      </c>
      <c r="GP10" s="126">
        <f ca="1">MAX(GP9*(1+CQ10)-(Dashboard!$C$11)/(1-Dashboard!$C$17)*((1+Dashboard!$C$12)^$CZ10),0)</f>
        <v>772164.43949181749</v>
      </c>
      <c r="GQ10" s="126">
        <f ca="1">MAX(GQ9*(1+CR10)-(Dashboard!$C$11)/(1-Dashboard!$C$17)*((1+Dashboard!$C$12)^$CZ10),0)</f>
        <v>534919.81614530063</v>
      </c>
      <c r="GR10" s="126">
        <f ca="1">MAX(GR9*(1+CS10)-(Dashboard!$C$11)/(1-Dashboard!$C$17)*((1+Dashboard!$C$12)^$CZ10),0)</f>
        <v>745840.06043686066</v>
      </c>
      <c r="GS10" s="126">
        <f ca="1">MAX(GS9*(1+CT10)-(Dashboard!$C$11)/(1-Dashboard!$C$17)*((1+Dashboard!$C$12)^$CZ10),0)</f>
        <v>1160657.5933492593</v>
      </c>
      <c r="GT10" s="126">
        <f ca="1">MAX(GT9*(1+CU10)-(Dashboard!$C$11)/(1-Dashboard!$C$17)*((1+Dashboard!$C$12)^$CZ10),0)</f>
        <v>1278432.2797037247</v>
      </c>
      <c r="GU10" s="126">
        <f ca="1">MAX(GU9*(1+CV10)-(Dashboard!$C$11)/(1-Dashboard!$C$17)*((1+Dashboard!$C$12)^$CZ10),0)</f>
        <v>455261.22868824808</v>
      </c>
      <c r="GV10" s="126">
        <f ca="1">MAX(GV9*(1+CW10)-(Dashboard!$C$11)/(1-Dashboard!$C$17)*((1+Dashboard!$C$12)^$CZ10),0)</f>
        <v>434971.98405462835</v>
      </c>
      <c r="GW10" s="115">
        <f t="shared" si="4"/>
        <v>59</v>
      </c>
      <c r="GX10" s="130">
        <f t="shared" ca="1" si="2"/>
        <v>100</v>
      </c>
      <c r="HC10" s="130">
        <f t="shared" si="0"/>
        <v>59</v>
      </c>
      <c r="HD10" s="137">
        <f t="shared" ca="1" si="1"/>
        <v>655018.01439628634</v>
      </c>
      <c r="HE10" s="137">
        <f t="shared" ca="1" si="1"/>
        <v>929779.46398511331</v>
      </c>
      <c r="HF10" s="137">
        <f t="shared" ca="1" si="1"/>
        <v>1192387.6618121159</v>
      </c>
    </row>
    <row r="11" spans="1:214" ht="16">
      <c r="A11" s="145">
        <f t="shared" si="3"/>
        <v>60</v>
      </c>
      <c r="B11" s="119">
        <f ca="1">(Dashboard!$C$7*'Equity and Bond Returns'!N11)+(Dashboard!$C$8*'Equity and Bond Returns'!DL11)</f>
        <v>0.13197665493650304</v>
      </c>
      <c r="C11" s="119">
        <f ca="1">(Dashboard!$C$7*'Equity and Bond Returns'!O11)+(Dashboard!$C$8*'Equity and Bond Returns'!DM11)</f>
        <v>-2.2175168616142049E-2</v>
      </c>
      <c r="D11" s="119">
        <f ca="1">(Dashboard!$C$7*'Equity and Bond Returns'!P11)+(Dashboard!$C$8*'Equity and Bond Returns'!DN11)</f>
        <v>0.12131997226493452</v>
      </c>
      <c r="E11" s="119">
        <f ca="1">(Dashboard!$C$7*'Equity and Bond Returns'!Q11)+(Dashboard!$C$8*'Equity and Bond Returns'!DO11)</f>
        <v>0.12467694250654625</v>
      </c>
      <c r="F11" s="119">
        <f ca="1">(Dashboard!$C$7*'Equity and Bond Returns'!R11)+(Dashboard!$C$8*'Equity and Bond Returns'!DP11)</f>
        <v>0.49290753135931475</v>
      </c>
      <c r="G11" s="119">
        <f ca="1">(Dashboard!$C$7*'Equity and Bond Returns'!S11)+(Dashboard!$C$8*'Equity and Bond Returns'!DQ11)</f>
        <v>2.6944537251926828E-2</v>
      </c>
      <c r="H11" s="119">
        <f ca="1">(Dashboard!$C$7*'Equity and Bond Returns'!T11)+(Dashboard!$C$8*'Equity and Bond Returns'!DR11)</f>
        <v>3.9415532281281501E-2</v>
      </c>
      <c r="I11" s="119">
        <f ca="1">(Dashboard!$C$7*'Equity and Bond Returns'!U11)+(Dashboard!$C$8*'Equity and Bond Returns'!DS11)</f>
        <v>4.9061854295939622E-2</v>
      </c>
      <c r="J11" s="119">
        <f ca="1">(Dashboard!$C$7*'Equity and Bond Returns'!V11)+(Dashboard!$C$8*'Equity and Bond Returns'!DT11)</f>
        <v>7.0474154917339979E-2</v>
      </c>
      <c r="K11" s="119">
        <f ca="1">(Dashboard!$C$7*'Equity and Bond Returns'!W11)+(Dashboard!$C$8*'Equity and Bond Returns'!DU11)</f>
        <v>0.21982442206275371</v>
      </c>
      <c r="L11" s="119">
        <f ca="1">(Dashboard!$C$7*'Equity and Bond Returns'!X11)+(Dashboard!$C$8*'Equity and Bond Returns'!DV11)</f>
        <v>-6.7428692088876641E-2</v>
      </c>
      <c r="M11" s="119">
        <f ca="1">(Dashboard!$C$7*'Equity and Bond Returns'!Y11)+(Dashboard!$C$8*'Equity and Bond Returns'!DW11)</f>
        <v>4.3382902500655823E-2</v>
      </c>
      <c r="N11" s="119">
        <f ca="1">(Dashboard!$C$7*'Equity and Bond Returns'!Z11)+(Dashboard!$C$8*'Equity and Bond Returns'!DX11)</f>
        <v>9.201713870014018E-2</v>
      </c>
      <c r="O11" s="119">
        <f ca="1">(Dashboard!$C$7*'Equity and Bond Returns'!AA11)+(Dashboard!$C$8*'Equity and Bond Returns'!DY11)</f>
        <v>0.15945140880849842</v>
      </c>
      <c r="P11" s="119">
        <f ca="1">(Dashboard!$C$7*'Equity and Bond Returns'!AB11)+(Dashboard!$C$8*'Equity and Bond Returns'!DZ11)</f>
        <v>0.22030273399913711</v>
      </c>
      <c r="Q11" s="119">
        <f ca="1">(Dashboard!$C$7*'Equity and Bond Returns'!AC11)+(Dashboard!$C$8*'Equity and Bond Returns'!EA11)</f>
        <v>0.18267102986132278</v>
      </c>
      <c r="R11" s="119">
        <f ca="1">(Dashboard!$C$7*'Equity and Bond Returns'!AD11)+(Dashboard!$C$8*'Equity and Bond Returns'!EB11)</f>
        <v>-5.4727285867835401E-2</v>
      </c>
      <c r="S11" s="119">
        <f ca="1">(Dashboard!$C$7*'Equity and Bond Returns'!AE11)+(Dashboard!$C$8*'Equity and Bond Returns'!EC11)</f>
        <v>1.6441435662504875E-2</v>
      </c>
      <c r="T11" s="119">
        <f ca="1">(Dashboard!$C$7*'Equity and Bond Returns'!AF11)+(Dashboard!$C$8*'Equity and Bond Returns'!ED11)</f>
        <v>-2.8639765272116979E-2</v>
      </c>
      <c r="U11" s="119">
        <f ca="1">(Dashboard!$C$7*'Equity and Bond Returns'!AG11)+(Dashboard!$C$8*'Equity and Bond Returns'!EE11)</f>
        <v>-7.1893634094194497E-2</v>
      </c>
      <c r="V11" s="119">
        <f ca="1">(Dashboard!$C$7*'Equity and Bond Returns'!AH11)+(Dashboard!$C$8*'Equity and Bond Returns'!EF11)</f>
        <v>2.9374600792657156E-2</v>
      </c>
      <c r="W11" s="119">
        <f ca="1">(Dashboard!$C$7*'Equity and Bond Returns'!AI11)+(Dashboard!$C$8*'Equity and Bond Returns'!EG11)</f>
        <v>-7.6908883880690004E-2</v>
      </c>
      <c r="X11" s="119">
        <f ca="1">(Dashboard!$C$7*'Equity and Bond Returns'!AJ11)+(Dashboard!$C$8*'Equity and Bond Returns'!EH11)</f>
        <v>0.18413673385949436</v>
      </c>
      <c r="Y11" s="119">
        <f ca="1">(Dashboard!$C$7*'Equity and Bond Returns'!AK11)+(Dashboard!$C$8*'Equity and Bond Returns'!EI11)</f>
        <v>-5.6105967374738535E-3</v>
      </c>
      <c r="Z11" s="119">
        <f ca="1">(Dashboard!$C$7*'Equity and Bond Returns'!AL11)+(Dashboard!$C$8*'Equity and Bond Returns'!EJ11)</f>
        <v>-8.3442343715904088E-2</v>
      </c>
      <c r="AA11" s="119">
        <f ca="1">(Dashboard!$C$7*'Equity and Bond Returns'!AM11)+(Dashboard!$C$8*'Equity and Bond Returns'!EK11)</f>
        <v>0.22500702912378967</v>
      </c>
      <c r="AB11" s="119">
        <f ca="1">(Dashboard!$C$7*'Equity and Bond Returns'!AN11)+(Dashboard!$C$8*'Equity and Bond Returns'!EL11)</f>
        <v>0.12946236105972941</v>
      </c>
      <c r="AC11" s="119">
        <f ca="1">(Dashboard!$C$7*'Equity and Bond Returns'!AO11)+(Dashboard!$C$8*'Equity and Bond Returns'!EM11)</f>
        <v>0.10943663809076024</v>
      </c>
      <c r="AD11" s="119">
        <f ca="1">(Dashboard!$C$7*'Equity and Bond Returns'!AP11)+(Dashboard!$C$8*'Equity and Bond Returns'!EN11)</f>
        <v>0.11344831300590928</v>
      </c>
      <c r="AE11" s="119">
        <f ca="1">(Dashboard!$C$7*'Equity and Bond Returns'!AQ11)+(Dashboard!$C$8*'Equity and Bond Returns'!EO11)</f>
        <v>0.11778051126841681</v>
      </c>
      <c r="AF11" s="119">
        <f ca="1">(Dashboard!$C$7*'Equity and Bond Returns'!AR11)+(Dashboard!$C$8*'Equity and Bond Returns'!EP11)</f>
        <v>6.9232934190387133E-2</v>
      </c>
      <c r="AG11" s="119">
        <f ca="1">(Dashboard!$C$7*'Equity and Bond Returns'!AS11)+(Dashboard!$C$8*'Equity and Bond Returns'!EQ11)</f>
        <v>0.26873227514005038</v>
      </c>
      <c r="AH11" s="119">
        <f ca="1">(Dashboard!$C$7*'Equity and Bond Returns'!AT11)+(Dashboard!$C$8*'Equity and Bond Returns'!ER11)</f>
        <v>-7.8090072676615066E-2</v>
      </c>
      <c r="AI11" s="119">
        <f ca="1">(Dashboard!$C$7*'Equity and Bond Returns'!AU11)+(Dashboard!$C$8*'Equity and Bond Returns'!ES11)</f>
        <v>5.1848216551101577E-2</v>
      </c>
      <c r="AJ11" s="119">
        <f ca="1">(Dashboard!$C$7*'Equity and Bond Returns'!AV11)+(Dashboard!$C$8*'Equity and Bond Returns'!ET11)</f>
        <v>0.11880513235992689</v>
      </c>
      <c r="AK11" s="119">
        <f ca="1">(Dashboard!$C$7*'Equity and Bond Returns'!AW11)+(Dashboard!$C$8*'Equity and Bond Returns'!EU11)</f>
        <v>0.43100942900163358</v>
      </c>
      <c r="AL11" s="119">
        <f ca="1">(Dashboard!$C$7*'Equity and Bond Returns'!AX11)+(Dashboard!$C$8*'Equity and Bond Returns'!EV11)</f>
        <v>0.18161326474263192</v>
      </c>
      <c r="AM11" s="119">
        <f ca="1">(Dashboard!$C$7*'Equity and Bond Returns'!AY11)+(Dashboard!$C$8*'Equity and Bond Returns'!EW11)</f>
        <v>9.1894842042354041E-2</v>
      </c>
      <c r="AN11" s="119">
        <f ca="1">(Dashboard!$C$7*'Equity and Bond Returns'!AZ11)+(Dashboard!$C$8*'Equity and Bond Returns'!EX11)</f>
        <v>0.1850138674037278</v>
      </c>
      <c r="AO11" s="119">
        <f ca="1">(Dashboard!$C$7*'Equity and Bond Returns'!BA11)+(Dashboard!$C$8*'Equity and Bond Returns'!EY11)</f>
        <v>9.9907056189758287E-2</v>
      </c>
      <c r="AP11" s="119">
        <f ca="1">(Dashboard!$C$7*'Equity and Bond Returns'!BB11)+(Dashboard!$C$8*'Equity and Bond Returns'!EZ11)</f>
        <v>0.1186091019068066</v>
      </c>
      <c r="AQ11" s="119">
        <f ca="1">(Dashboard!$C$7*'Equity and Bond Returns'!BC11)+(Dashboard!$C$8*'Equity and Bond Returns'!FA11)</f>
        <v>-3.7769797813108595E-2</v>
      </c>
      <c r="AR11" s="119">
        <f ca="1">(Dashboard!$C$7*'Equity and Bond Returns'!BD11)+(Dashboard!$C$8*'Equity and Bond Returns'!FB11)</f>
        <v>0.13900106896049375</v>
      </c>
      <c r="AS11" s="119">
        <f ca="1">(Dashboard!$C$7*'Equity and Bond Returns'!BE11)+(Dashboard!$C$8*'Equity and Bond Returns'!FC11)</f>
        <v>-0.16269065356777621</v>
      </c>
      <c r="AT11" s="119">
        <f ca="1">(Dashboard!$C$7*'Equity and Bond Returns'!BF11)+(Dashboard!$C$8*'Equity and Bond Returns'!FD11)</f>
        <v>0.19340252058742496</v>
      </c>
      <c r="AU11" s="119">
        <f ca="1">(Dashboard!$C$7*'Equity and Bond Returns'!BG11)+(Dashboard!$C$8*'Equity and Bond Returns'!FE11)</f>
        <v>-4.6108571683644912E-2</v>
      </c>
      <c r="AV11" s="119">
        <f ca="1">(Dashboard!$C$7*'Equity and Bond Returns'!BH11)+(Dashboard!$C$8*'Equity and Bond Returns'!FF11)</f>
        <v>-9.3406449850163588E-3</v>
      </c>
      <c r="AW11" s="119">
        <f ca="1">(Dashboard!$C$7*'Equity and Bond Returns'!BI11)+(Dashboard!$C$8*'Equity and Bond Returns'!FG11)</f>
        <v>1.6112958126565602E-2</v>
      </c>
      <c r="AX11" s="119">
        <f ca="1">(Dashboard!$C$7*'Equity and Bond Returns'!BJ11)+(Dashboard!$C$8*'Equity and Bond Returns'!FH11)</f>
        <v>-2.6910142984521129E-2</v>
      </c>
      <c r="AY11" s="119">
        <f ca="1">(Dashboard!$C$7*'Equity and Bond Returns'!BK11)+(Dashboard!$C$8*'Equity and Bond Returns'!FI11)</f>
        <v>-9.9096957084937529E-2</v>
      </c>
      <c r="AZ11" s="119">
        <f ca="1">(Dashboard!$C$7*'Equity and Bond Returns'!BL11)+(Dashboard!$C$8*'Equity and Bond Returns'!FJ11)</f>
        <v>4.2617876654557622E-2</v>
      </c>
      <c r="BA11" s="119">
        <f ca="1">(Dashboard!$C$7*'Equity and Bond Returns'!BM11)+(Dashboard!$C$8*'Equity and Bond Returns'!FK11)</f>
        <v>0.19963339614670952</v>
      </c>
      <c r="BB11" s="119">
        <f ca="1">(Dashboard!$C$7*'Equity and Bond Returns'!BN11)+(Dashboard!$C$8*'Equity and Bond Returns'!FL11)</f>
        <v>9.1460708449083133E-2</v>
      </c>
      <c r="BC11" s="119">
        <f ca="1">(Dashboard!$C$7*'Equity and Bond Returns'!BO11)+(Dashboard!$C$8*'Equity and Bond Returns'!FM11)</f>
        <v>4.9872938415227434E-2</v>
      </c>
      <c r="BD11" s="119">
        <f ca="1">(Dashboard!$C$7*'Equity and Bond Returns'!BP11)+(Dashboard!$C$8*'Equity and Bond Returns'!FN11)</f>
        <v>0.12270947516908508</v>
      </c>
      <c r="BE11" s="119">
        <f ca="1">(Dashboard!$C$7*'Equity and Bond Returns'!BQ11)+(Dashboard!$C$8*'Equity and Bond Returns'!FO11)</f>
        <v>0.10122642877172139</v>
      </c>
      <c r="BF11" s="119">
        <f ca="1">(Dashboard!$C$7*'Equity and Bond Returns'!BR11)+(Dashboard!$C$8*'Equity and Bond Returns'!FP11)</f>
        <v>3.3346540692308219E-3</v>
      </c>
      <c r="BG11" s="119">
        <f ca="1">(Dashboard!$C$7*'Equity and Bond Returns'!BS11)+(Dashboard!$C$8*'Equity and Bond Returns'!FQ11)</f>
        <v>-0.12208323726893909</v>
      </c>
      <c r="BH11" s="119">
        <f ca="1">(Dashboard!$C$7*'Equity and Bond Returns'!BT11)+(Dashboard!$C$8*'Equity and Bond Returns'!FR11)</f>
        <v>0.14315542285447586</v>
      </c>
      <c r="BI11" s="119">
        <f ca="1">(Dashboard!$C$7*'Equity and Bond Returns'!BU11)+(Dashboard!$C$8*'Equity and Bond Returns'!FS11)</f>
        <v>3.0044614571096834E-2</v>
      </c>
      <c r="BJ11" s="119">
        <f ca="1">(Dashboard!$C$7*'Equity and Bond Returns'!BV11)+(Dashboard!$C$8*'Equity and Bond Returns'!FT11)</f>
        <v>9.0570959291753877E-2</v>
      </c>
      <c r="BK11" s="119">
        <f ca="1">(Dashboard!$C$7*'Equity and Bond Returns'!BW11)+(Dashboard!$C$8*'Equity and Bond Returns'!FU11)</f>
        <v>-2.9436726257210936E-2</v>
      </c>
      <c r="BL11" s="119">
        <f ca="1">(Dashboard!$C$7*'Equity and Bond Returns'!BX11)+(Dashboard!$C$8*'Equity and Bond Returns'!FV11)</f>
        <v>0.19614058927907227</v>
      </c>
      <c r="BM11" s="119">
        <f ca="1">(Dashboard!$C$7*'Equity and Bond Returns'!BY11)+(Dashboard!$C$8*'Equity and Bond Returns'!FW11)</f>
        <v>-2.1712719165321165E-2</v>
      </c>
      <c r="BN11" s="119">
        <f ca="1">(Dashboard!$C$7*'Equity and Bond Returns'!BZ11)+(Dashboard!$C$8*'Equity and Bond Returns'!FX11)</f>
        <v>0.19192751002583991</v>
      </c>
      <c r="BO11" s="119">
        <f ca="1">(Dashboard!$C$7*'Equity and Bond Returns'!CA11)+(Dashboard!$C$8*'Equity and Bond Returns'!FY11)</f>
        <v>-1.1097947627976557E-3</v>
      </c>
      <c r="BP11" s="119">
        <f ca="1">(Dashboard!$C$7*'Equity and Bond Returns'!CB11)+(Dashboard!$C$8*'Equity and Bond Returns'!FZ11)</f>
        <v>0.26480100384602623</v>
      </c>
      <c r="BQ11" s="119">
        <f ca="1">(Dashboard!$C$7*'Equity and Bond Returns'!CC11)+(Dashboard!$C$8*'Equity and Bond Returns'!GA11)</f>
        <v>0.29139767503688219</v>
      </c>
      <c r="BR11" s="119">
        <f ca="1">(Dashboard!$C$7*'Equity and Bond Returns'!CD11)+(Dashboard!$C$8*'Equity and Bond Returns'!GB11)</f>
        <v>1.1229099045866615E-2</v>
      </c>
      <c r="BS11" s="119">
        <f ca="1">(Dashboard!$C$7*'Equity and Bond Returns'!CE11)+(Dashboard!$C$8*'Equity and Bond Returns'!GC11)</f>
        <v>-3.9838852823836528E-2</v>
      </c>
      <c r="BT11" s="119">
        <f ca="1">(Dashboard!$C$7*'Equity and Bond Returns'!CF11)+(Dashboard!$C$8*'Equity and Bond Returns'!GD11)</f>
        <v>0.31621750342794258</v>
      </c>
      <c r="BU11" s="119">
        <f ca="1">(Dashboard!$C$7*'Equity and Bond Returns'!CG11)+(Dashboard!$C$8*'Equity and Bond Returns'!GE11)</f>
        <v>-6.2963254199877888E-2</v>
      </c>
      <c r="BV11" s="119">
        <f ca="1">(Dashboard!$C$7*'Equity and Bond Returns'!CH11)+(Dashboard!$C$8*'Equity and Bond Returns'!GF11)</f>
        <v>8.081053831040759E-2</v>
      </c>
      <c r="BW11" s="119">
        <f ca="1">(Dashboard!$C$7*'Equity and Bond Returns'!CI11)+(Dashboard!$C$8*'Equity and Bond Returns'!GG11)</f>
        <v>-3.141004562767824E-2</v>
      </c>
      <c r="BX11" s="119">
        <f ca="1">(Dashboard!$C$7*'Equity and Bond Returns'!CJ11)+(Dashboard!$C$8*'Equity and Bond Returns'!GH11)</f>
        <v>2.779493092576386E-2</v>
      </c>
      <c r="BY11" s="119">
        <f ca="1">(Dashboard!$C$7*'Equity and Bond Returns'!CK11)+(Dashboard!$C$8*'Equity and Bond Returns'!GI11)</f>
        <v>0.30934692953872395</v>
      </c>
      <c r="BZ11" s="119">
        <f ca="1">(Dashboard!$C$7*'Equity and Bond Returns'!CL11)+(Dashboard!$C$8*'Equity and Bond Returns'!GJ11)</f>
        <v>-0.13540728583776568</v>
      </c>
      <c r="CA11" s="119">
        <f ca="1">(Dashboard!$C$7*'Equity and Bond Returns'!CM11)+(Dashboard!$C$8*'Equity and Bond Returns'!GK11)</f>
        <v>0.1699173529284515</v>
      </c>
      <c r="CB11" s="119">
        <f ca="1">(Dashboard!$C$7*'Equity and Bond Returns'!CN11)+(Dashboard!$C$8*'Equity and Bond Returns'!GL11)</f>
        <v>-3.7158260152355481E-2</v>
      </c>
      <c r="CC11" s="119">
        <f ca="1">(Dashboard!$C$7*'Equity and Bond Returns'!CO11)+(Dashboard!$C$8*'Equity and Bond Returns'!GM11)</f>
        <v>2.4601233307262656E-2</v>
      </c>
      <c r="CD11" s="119">
        <f ca="1">(Dashboard!$C$7*'Equity and Bond Returns'!CP11)+(Dashboard!$C$8*'Equity and Bond Returns'!GN11)</f>
        <v>0.2984407173821097</v>
      </c>
      <c r="CE11" s="119">
        <f ca="1">(Dashboard!$C$7*'Equity and Bond Returns'!CQ11)+(Dashboard!$C$8*'Equity and Bond Returns'!GO11)</f>
        <v>0.22742560052829083</v>
      </c>
      <c r="CF11" s="119">
        <f ca="1">(Dashboard!$C$7*'Equity and Bond Returns'!CR11)+(Dashboard!$C$8*'Equity and Bond Returns'!GP11)</f>
        <v>0.15742528461776975</v>
      </c>
      <c r="CG11" s="119">
        <f ca="1">(Dashboard!$C$7*'Equity and Bond Returns'!CS11)+(Dashboard!$C$8*'Equity and Bond Returns'!GQ11)</f>
        <v>0.1828796292809079</v>
      </c>
      <c r="CH11" s="119">
        <f ca="1">(Dashboard!$C$7*'Equity and Bond Returns'!CT11)+(Dashboard!$C$8*'Equity and Bond Returns'!GR11)</f>
        <v>4.8791010241923463E-2</v>
      </c>
      <c r="CI11" s="119">
        <f ca="1">(Dashboard!$C$7*'Equity and Bond Returns'!CU11)+(Dashboard!$C$8*'Equity and Bond Returns'!GS11)</f>
        <v>0.30206833839973413</v>
      </c>
      <c r="CJ11" s="119">
        <f ca="1">(Dashboard!$C$7*'Equity and Bond Returns'!CV11)+(Dashboard!$C$8*'Equity and Bond Returns'!GT11)</f>
        <v>8.9061319744590001E-2</v>
      </c>
      <c r="CK11" s="119">
        <f ca="1">(Dashboard!$C$7*'Equity and Bond Returns'!CW11)+(Dashboard!$C$8*'Equity and Bond Returns'!GU11)</f>
        <v>-0.16639496308976176</v>
      </c>
      <c r="CL11" s="119">
        <f ca="1">(Dashboard!$C$7*'Equity and Bond Returns'!CX11)+(Dashboard!$C$8*'Equity and Bond Returns'!GV11)</f>
        <v>-0.12401791976918189</v>
      </c>
      <c r="CM11" s="119">
        <f ca="1">(Dashboard!$C$7*'Equity and Bond Returns'!CY11)+(Dashboard!$C$8*'Equity and Bond Returns'!GW11)</f>
        <v>4.9860794828910933E-2</v>
      </c>
      <c r="CN11" s="119">
        <f ca="1">(Dashboard!$C$7*'Equity and Bond Returns'!CZ11)+(Dashboard!$C$8*'Equity and Bond Returns'!GX11)</f>
        <v>-1.4712575678947529E-2</v>
      </c>
      <c r="CO11" s="119">
        <f ca="1">(Dashboard!$C$7*'Equity and Bond Returns'!DA11)+(Dashboard!$C$8*'Equity and Bond Returns'!GY11)</f>
        <v>-3.2282160491069078E-2</v>
      </c>
      <c r="CP11" s="119">
        <f ca="1">(Dashboard!$C$7*'Equity and Bond Returns'!DB11)+(Dashboard!$C$8*'Equity and Bond Returns'!GZ11)</f>
        <v>-0.14369249229286712</v>
      </c>
      <c r="CQ11" s="119">
        <f ca="1">(Dashboard!$C$7*'Equity and Bond Returns'!DC11)+(Dashboard!$C$8*'Equity and Bond Returns'!HA11)</f>
        <v>6.7515664605947684E-2</v>
      </c>
      <c r="CR11" s="119">
        <f ca="1">(Dashboard!$C$7*'Equity and Bond Returns'!DD11)+(Dashboard!$C$8*'Equity and Bond Returns'!HB11)</f>
        <v>0.12337040300745286</v>
      </c>
      <c r="CS11" s="119">
        <f ca="1">(Dashboard!$C$7*'Equity and Bond Returns'!DE11)+(Dashboard!$C$8*'Equity and Bond Returns'!HC11)</f>
        <v>7.2428954827432016E-2</v>
      </c>
      <c r="CT11" s="119">
        <f ca="1">(Dashboard!$C$7*'Equity and Bond Returns'!DF11)+(Dashboard!$C$8*'Equity and Bond Returns'!HD11)</f>
        <v>0.17590487626997192</v>
      </c>
      <c r="CU11" s="119">
        <f ca="1">(Dashboard!$C$7*'Equity and Bond Returns'!DG11)+(Dashboard!$C$8*'Equity and Bond Returns'!HE11)</f>
        <v>-3.0272133436022454E-2</v>
      </c>
      <c r="CV11" s="119">
        <f ca="1">(Dashboard!$C$7*'Equity and Bond Returns'!DH11)+(Dashboard!$C$8*'Equity and Bond Returns'!HF11)</f>
        <v>9.2090231657617483E-2</v>
      </c>
      <c r="CW11" s="119">
        <f ca="1">(Dashboard!$C$7*'Equity and Bond Returns'!DI11)+(Dashboard!$C$8*'Equity and Bond Returns'!HG11)</f>
        <v>0.26903488743291354</v>
      </c>
      <c r="CY11" s="147">
        <f t="shared" si="5"/>
        <v>60</v>
      </c>
      <c r="CZ11" s="147">
        <v>10</v>
      </c>
      <c r="DA11" s="126">
        <f ca="1">MAX(DA10*(1+B11)-(Dashboard!$C$11)/(1-Dashboard!$C$17)*((1+Dashboard!$C$12)^$CZ11),0)</f>
        <v>1416196.2804872235</v>
      </c>
      <c r="DB11" s="126">
        <f ca="1">MAX(DB10*(1+C11)-(Dashboard!$C$11)/(1-Dashboard!$C$17)*((1+Dashboard!$C$12)^$CZ11),0)</f>
        <v>361061.21678100462</v>
      </c>
      <c r="DC11" s="126">
        <f ca="1">MAX(DC10*(1+D11)-(Dashboard!$C$11)/(1-Dashboard!$C$17)*((1+Dashboard!$C$12)^$CZ11),0)</f>
        <v>605290.55242857966</v>
      </c>
      <c r="DD11" s="126">
        <f ca="1">MAX(DD10*(1+E11)-(Dashboard!$C$11)/(1-Dashboard!$C$17)*((1+Dashboard!$C$12)^$CZ11),0)</f>
        <v>547672.65388457826</v>
      </c>
      <c r="DE11" s="126">
        <f ca="1">MAX(DE10*(1+F11)-(Dashboard!$C$11)/(1-Dashboard!$C$17)*((1+Dashboard!$C$12)^$CZ11),0)</f>
        <v>1262328.0811700819</v>
      </c>
      <c r="DF11" s="126">
        <f ca="1">MAX(DF10*(1+G11)-(Dashboard!$C$11)/(1-Dashboard!$C$17)*((1+Dashboard!$C$12)^$CZ11),0)</f>
        <v>2044954.3913536386</v>
      </c>
      <c r="DG11" s="126">
        <f ca="1">MAX(DG10*(1+H11)-(Dashboard!$C$11)/(1-Dashboard!$C$17)*((1+Dashboard!$C$12)^$CZ11),0)</f>
        <v>274471.21391938988</v>
      </c>
      <c r="DH11" s="126">
        <f ca="1">MAX(DH10*(1+I11)-(Dashboard!$C$11)/(1-Dashboard!$C$17)*((1+Dashboard!$C$12)^$CZ11),0)</f>
        <v>1006261.6810061461</v>
      </c>
      <c r="DI11" s="126">
        <f ca="1">MAX(DI10*(1+J11)-(Dashboard!$C$11)/(1-Dashboard!$C$17)*((1+Dashboard!$C$12)^$CZ11),0)</f>
        <v>877528.92074791645</v>
      </c>
      <c r="DJ11" s="126">
        <f ca="1">MAX(DJ10*(1+K11)-(Dashboard!$C$11)/(1-Dashboard!$C$17)*((1+Dashboard!$C$12)^$CZ11),0)</f>
        <v>1314286.2226290731</v>
      </c>
      <c r="DK11" s="126">
        <f ca="1">MAX(DK10*(1+L11)-(Dashboard!$C$11)/(1-Dashboard!$C$17)*((1+Dashboard!$C$12)^$CZ11),0)</f>
        <v>1373004.1674164147</v>
      </c>
      <c r="DL11" s="126">
        <f ca="1">MAX(DL10*(1+M11)-(Dashboard!$C$11)/(1-Dashboard!$C$17)*((1+Dashboard!$C$12)^$CZ11),0)</f>
        <v>1292479.2310476773</v>
      </c>
      <c r="DM11" s="126">
        <f ca="1">MAX(DM10*(1+N11)-(Dashboard!$C$11)/(1-Dashboard!$C$17)*((1+Dashboard!$C$12)^$CZ11),0)</f>
        <v>1149006.8409953669</v>
      </c>
      <c r="DN11" s="126">
        <f ca="1">MAX(DN10*(1+O11)-(Dashboard!$C$11)/(1-Dashboard!$C$17)*((1+Dashboard!$C$12)^$CZ11),0)</f>
        <v>3339530.926051287</v>
      </c>
      <c r="DO11" s="126">
        <f ca="1">MAX(DO10*(1+P11)-(Dashboard!$C$11)/(1-Dashboard!$C$17)*((1+Dashboard!$C$12)^$CZ11),0)</f>
        <v>1313860.1012722047</v>
      </c>
      <c r="DP11" s="126">
        <f ca="1">MAX(DP10*(1+Q11)-(Dashboard!$C$11)/(1-Dashboard!$C$17)*((1+Dashboard!$C$12)^$CZ11),0)</f>
        <v>804353.24334640289</v>
      </c>
      <c r="DQ11" s="126">
        <f ca="1">MAX(DQ10*(1+R11)-(Dashboard!$C$11)/(1-Dashboard!$C$17)*((1+Dashboard!$C$12)^$CZ11),0)</f>
        <v>807405.25734620239</v>
      </c>
      <c r="DR11" s="126">
        <f ca="1">MAX(DR10*(1+S11)-(Dashboard!$C$11)/(1-Dashboard!$C$17)*((1+Dashboard!$C$12)^$CZ11),0)</f>
        <v>780500.71804489917</v>
      </c>
      <c r="DS11" s="126">
        <f ca="1">MAX(DS10*(1+T11)-(Dashboard!$C$11)/(1-Dashboard!$C$17)*((1+Dashboard!$C$12)^$CZ11),0)</f>
        <v>961549.31491360324</v>
      </c>
      <c r="DT11" s="126">
        <f ca="1">MAX(DT10*(1+U11)-(Dashboard!$C$11)/(1-Dashboard!$C$17)*((1+Dashboard!$C$12)^$CZ11),0)</f>
        <v>653601.74940449558</v>
      </c>
      <c r="DU11" s="126">
        <f ca="1">MAX(DU10*(1+V11)-(Dashboard!$C$11)/(1-Dashboard!$C$17)*((1+Dashboard!$C$12)^$CZ11),0)</f>
        <v>1086356.7062590017</v>
      </c>
      <c r="DV11" s="126">
        <f ca="1">MAX(DV10*(1+W11)-(Dashboard!$C$11)/(1-Dashboard!$C$17)*((1+Dashboard!$C$12)^$CZ11),0)</f>
        <v>1261989.2532661692</v>
      </c>
      <c r="DW11" s="126">
        <f ca="1">MAX(DW10*(1+X11)-(Dashboard!$C$11)/(1-Dashboard!$C$17)*((1+Dashboard!$C$12)^$CZ11),0)</f>
        <v>1488587.1428880349</v>
      </c>
      <c r="DX11" s="126">
        <f ca="1">MAX(DX10*(1+Y11)-(Dashboard!$C$11)/(1-Dashboard!$C$17)*((1+Dashboard!$C$12)^$CZ11),0)</f>
        <v>537284.69791035168</v>
      </c>
      <c r="DY11" s="126">
        <f ca="1">MAX(DY10*(1+Z11)-(Dashboard!$C$11)/(1-Dashboard!$C$17)*((1+Dashboard!$C$12)^$CZ11),0)</f>
        <v>1626005.8044287821</v>
      </c>
      <c r="DZ11" s="126">
        <f ca="1">MAX(DZ10*(1+AA11)-(Dashboard!$C$11)/(1-Dashboard!$C$17)*((1+Dashboard!$C$12)^$CZ11),0)</f>
        <v>718849.99754729029</v>
      </c>
      <c r="EA11" s="126">
        <f ca="1">MAX(EA10*(1+AB11)-(Dashboard!$C$11)/(1-Dashboard!$C$17)*((1+Dashboard!$C$12)^$CZ11),0)</f>
        <v>558026.09797375835</v>
      </c>
      <c r="EB11" s="126">
        <f ca="1">MAX(EB10*(1+AC11)-(Dashboard!$C$11)/(1-Dashboard!$C$17)*((1+Dashboard!$C$12)^$CZ11),0)</f>
        <v>751921.24200277682</v>
      </c>
      <c r="EC11" s="126">
        <f ca="1">MAX(EC10*(1+AD11)-(Dashboard!$C$11)/(1-Dashboard!$C$17)*((1+Dashboard!$C$12)^$CZ11),0)</f>
        <v>939211.76420632587</v>
      </c>
      <c r="ED11" s="126">
        <f ca="1">MAX(ED10*(1+AE11)-(Dashboard!$C$11)/(1-Dashboard!$C$17)*((1+Dashboard!$C$12)^$CZ11),0)</f>
        <v>1438549.4906197605</v>
      </c>
      <c r="EE11" s="126">
        <f ca="1">MAX(EE10*(1+AF11)-(Dashboard!$C$11)/(1-Dashboard!$C$17)*((1+Dashboard!$C$12)^$CZ11),0)</f>
        <v>1231486.7883406244</v>
      </c>
      <c r="EF11" s="126">
        <f ca="1">MAX(EF10*(1+AG11)-(Dashboard!$C$11)/(1-Dashboard!$C$17)*((1+Dashboard!$C$12)^$CZ11),0)</f>
        <v>1037619.6358068038</v>
      </c>
      <c r="EG11" s="126">
        <f ca="1">MAX(EG10*(1+AH11)-(Dashboard!$C$11)/(1-Dashboard!$C$17)*((1+Dashboard!$C$12)^$CZ11),0)</f>
        <v>1185446.4742612441</v>
      </c>
      <c r="EH11" s="126">
        <f ca="1">MAX(EH10*(1+AI11)-(Dashboard!$C$11)/(1-Dashboard!$C$17)*((1+Dashboard!$C$12)^$CZ11),0)</f>
        <v>752560.51374855335</v>
      </c>
      <c r="EI11" s="126">
        <f ca="1">MAX(EI10*(1+AJ11)-(Dashboard!$C$11)/(1-Dashboard!$C$17)*((1+Dashboard!$C$12)^$CZ11),0)</f>
        <v>512425.44097979373</v>
      </c>
      <c r="EJ11" s="126">
        <f ca="1">MAX(EJ10*(1+AK11)-(Dashboard!$C$11)/(1-Dashboard!$C$17)*((1+Dashboard!$C$12)^$CZ11),0)</f>
        <v>1121355.3739135913</v>
      </c>
      <c r="EK11" s="126">
        <f ca="1">MAX(EK10*(1+AL11)-(Dashboard!$C$11)/(1-Dashboard!$C$17)*((1+Dashboard!$C$12)^$CZ11),0)</f>
        <v>1276674.8370912049</v>
      </c>
      <c r="EL11" s="126">
        <f ca="1">MAX(EL10*(1+AM11)-(Dashboard!$C$11)/(1-Dashboard!$C$17)*((1+Dashboard!$C$12)^$CZ11),0)</f>
        <v>970050.79407951934</v>
      </c>
      <c r="EM11" s="126">
        <f ca="1">MAX(EM10*(1+AN11)-(Dashboard!$C$11)/(1-Dashboard!$C$17)*((1+Dashboard!$C$12)^$CZ11),0)</f>
        <v>1571430.045279959</v>
      </c>
      <c r="EN11" s="126">
        <f ca="1">MAX(EN10*(1+AO11)-(Dashboard!$C$11)/(1-Dashboard!$C$17)*((1+Dashboard!$C$12)^$CZ11),0)</f>
        <v>2030495.1996523156</v>
      </c>
      <c r="EO11" s="126">
        <f ca="1">MAX(EO10*(1+AP11)-(Dashboard!$C$11)/(1-Dashboard!$C$17)*((1+Dashboard!$C$12)^$CZ11),0)</f>
        <v>545106.21449601534</v>
      </c>
      <c r="EP11" s="126">
        <f ca="1">MAX(EP10*(1+AQ11)-(Dashboard!$C$11)/(1-Dashboard!$C$17)*((1+Dashboard!$C$12)^$CZ11),0)</f>
        <v>899295.74131947197</v>
      </c>
      <c r="EQ11" s="126">
        <f ca="1">MAX(EQ10*(1+AR11)-(Dashboard!$C$11)/(1-Dashboard!$C$17)*((1+Dashboard!$C$12)^$CZ11),0)</f>
        <v>713622.5887177398</v>
      </c>
      <c r="ER11" s="126">
        <f ca="1">MAX(ER10*(1+AS11)-(Dashboard!$C$11)/(1-Dashboard!$C$17)*((1+Dashboard!$C$12)^$CZ11),0)</f>
        <v>531155.62374526635</v>
      </c>
      <c r="ES11" s="126">
        <f ca="1">MAX(ES10*(1+AT11)-(Dashboard!$C$11)/(1-Dashboard!$C$17)*((1+Dashboard!$C$12)^$CZ11),0)</f>
        <v>716443.61208162364</v>
      </c>
      <c r="ET11" s="126">
        <f ca="1">MAX(ET10*(1+AU11)-(Dashboard!$C$11)/(1-Dashboard!$C$17)*((1+Dashboard!$C$12)^$CZ11),0)</f>
        <v>976242.5822526617</v>
      </c>
      <c r="EU11" s="126">
        <f ca="1">MAX(EU10*(1+AV11)-(Dashboard!$C$11)/(1-Dashboard!$C$17)*((1+Dashboard!$C$12)^$CZ11),0)</f>
        <v>673785.39449300431</v>
      </c>
      <c r="EV11" s="126">
        <f ca="1">MAX(EV10*(1+AW11)-(Dashboard!$C$11)/(1-Dashboard!$C$17)*((1+Dashboard!$C$12)^$CZ11),0)</f>
        <v>1964121.3814392595</v>
      </c>
      <c r="EW11" s="126">
        <f ca="1">MAX(EW10*(1+AX11)-(Dashboard!$C$11)/(1-Dashboard!$C$17)*((1+Dashboard!$C$12)^$CZ11),0)</f>
        <v>1048123.2001646962</v>
      </c>
      <c r="EX11" s="126">
        <f ca="1">MAX(EX10*(1+AY11)-(Dashboard!$C$11)/(1-Dashboard!$C$17)*((1+Dashboard!$C$12)^$CZ11),0)</f>
        <v>1340446.6259784985</v>
      </c>
      <c r="EY11" s="126">
        <f ca="1">MAX(EY10*(1+AZ11)-(Dashboard!$C$11)/(1-Dashboard!$C$17)*((1+Dashboard!$C$12)^$CZ11),0)</f>
        <v>1524334.6175798622</v>
      </c>
      <c r="EZ11" s="126">
        <f ca="1">MAX(EZ10*(1+BA11)-(Dashboard!$C$11)/(1-Dashboard!$C$17)*((1+Dashboard!$C$12)^$CZ11),0)</f>
        <v>557553.77924747556</v>
      </c>
      <c r="FA11" s="126">
        <f ca="1">MAX(FA10*(1+BB11)-(Dashboard!$C$11)/(1-Dashboard!$C$17)*((1+Dashboard!$C$12)^$CZ11),0)</f>
        <v>1191938.6465417945</v>
      </c>
      <c r="FB11" s="126">
        <f ca="1">MAX(FB10*(1+BC11)-(Dashboard!$C$11)/(1-Dashboard!$C$17)*((1+Dashboard!$C$12)^$CZ11),0)</f>
        <v>1164486.0120850024</v>
      </c>
      <c r="FC11" s="126">
        <f ca="1">MAX(FC10*(1+BD11)-(Dashboard!$C$11)/(1-Dashboard!$C$17)*((1+Dashboard!$C$12)^$CZ11),0)</f>
        <v>1036795.5092350293</v>
      </c>
      <c r="FD11" s="126">
        <f ca="1">MAX(FD10*(1+BE11)-(Dashboard!$C$11)/(1-Dashboard!$C$17)*((1+Dashboard!$C$12)^$CZ11),0)</f>
        <v>1290772.5041372313</v>
      </c>
      <c r="FE11" s="126">
        <f ca="1">MAX(FE10*(1+BF11)-(Dashboard!$C$11)/(1-Dashboard!$C$17)*((1+Dashboard!$C$12)^$CZ11),0)</f>
        <v>1002592.266722189</v>
      </c>
      <c r="FF11" s="126">
        <f ca="1">MAX(FF10*(1+BG11)-(Dashboard!$C$11)/(1-Dashboard!$C$17)*((1+Dashboard!$C$12)^$CZ11),0)</f>
        <v>1151954.0964405469</v>
      </c>
      <c r="FG11" s="126">
        <f ca="1">MAX(FG10*(1+BH11)-(Dashboard!$C$11)/(1-Dashboard!$C$17)*((1+Dashboard!$C$12)^$CZ11),0)</f>
        <v>1313812.8035149004</v>
      </c>
      <c r="FH11" s="126">
        <f ca="1">MAX(FH10*(1+BI11)-(Dashboard!$C$11)/(1-Dashboard!$C$17)*((1+Dashboard!$C$12)^$CZ11),0)</f>
        <v>982375.4367502816</v>
      </c>
      <c r="FI11" s="126">
        <f ca="1">MAX(FI10*(1+BJ11)-(Dashboard!$C$11)/(1-Dashboard!$C$17)*((1+Dashboard!$C$12)^$CZ11),0)</f>
        <v>1003994.4064169514</v>
      </c>
      <c r="FJ11" s="126">
        <f ca="1">MAX(FJ10*(1+BK11)-(Dashboard!$C$11)/(1-Dashboard!$C$17)*((1+Dashboard!$C$12)^$CZ11),0)</f>
        <v>482158.24319383875</v>
      </c>
      <c r="FK11" s="126">
        <f ca="1">MAX(FK10*(1+BL11)-(Dashboard!$C$11)/(1-Dashboard!$C$17)*((1+Dashboard!$C$12)^$CZ11),0)</f>
        <v>987210.00094779907</v>
      </c>
      <c r="FL11" s="126">
        <f ca="1">MAX(FL10*(1+BM11)-(Dashboard!$C$11)/(1-Dashboard!$C$17)*((1+Dashboard!$C$12)^$CZ11),0)</f>
        <v>1433067.6754232787</v>
      </c>
      <c r="FM11" s="126">
        <f ca="1">MAX(FM10*(1+BN11)-(Dashboard!$C$11)/(1-Dashboard!$C$17)*((1+Dashboard!$C$12)^$CZ11),0)</f>
        <v>1312507.0140399849</v>
      </c>
      <c r="FN11" s="126">
        <f ca="1">MAX(FN10*(1+BO11)-(Dashboard!$C$11)/(1-Dashboard!$C$17)*((1+Dashboard!$C$12)^$CZ11),0)</f>
        <v>615063.59695665818</v>
      </c>
      <c r="FO11" s="126">
        <f ca="1">MAX(FO10*(1+BP11)-(Dashboard!$C$11)/(1-Dashboard!$C$17)*((1+Dashboard!$C$12)^$CZ11),0)</f>
        <v>1103884.6957487005</v>
      </c>
      <c r="FP11" s="126">
        <f ca="1">MAX(FP10*(1+BQ11)-(Dashboard!$C$11)/(1-Dashboard!$C$17)*((1+Dashboard!$C$12)^$CZ11),0)</f>
        <v>1052162.1361769564</v>
      </c>
      <c r="FQ11" s="126">
        <f ca="1">MAX(FQ10*(1+BR11)-(Dashboard!$C$11)/(1-Dashboard!$C$17)*((1+Dashboard!$C$12)^$CZ11),0)</f>
        <v>1468949.1108164368</v>
      </c>
      <c r="FR11" s="126">
        <f ca="1">MAX(FR10*(1+BS11)-(Dashboard!$C$11)/(1-Dashboard!$C$17)*((1+Dashboard!$C$12)^$CZ11),0)</f>
        <v>1971454.397969204</v>
      </c>
      <c r="FS11" s="126">
        <f ca="1">MAX(FS10*(1+BT11)-(Dashboard!$C$11)/(1-Dashboard!$C$17)*((1+Dashboard!$C$12)^$CZ11),0)</f>
        <v>1411108.204072298</v>
      </c>
      <c r="FT11" s="126">
        <f ca="1">MAX(FT10*(1+BU11)-(Dashboard!$C$11)/(1-Dashboard!$C$17)*((1+Dashboard!$C$12)^$CZ11),0)</f>
        <v>656638.00899260025</v>
      </c>
      <c r="FU11" s="126">
        <f ca="1">MAX(FU10*(1+BV11)-(Dashboard!$C$11)/(1-Dashboard!$C$17)*((1+Dashboard!$C$12)^$CZ11),0)</f>
        <v>1585663.1225648581</v>
      </c>
      <c r="FV11" s="126">
        <f ca="1">MAX(FV10*(1+BW11)-(Dashboard!$C$11)/(1-Dashboard!$C$17)*((1+Dashboard!$C$12)^$CZ11),0)</f>
        <v>460338.13888243592</v>
      </c>
      <c r="FW11" s="126">
        <f ca="1">MAX(FW10*(1+BX11)-(Dashboard!$C$11)/(1-Dashboard!$C$17)*((1+Dashboard!$C$12)^$CZ11),0)</f>
        <v>1110279.9219507123</v>
      </c>
      <c r="FX11" s="126">
        <f ca="1">MAX(FX10*(1+BY11)-(Dashboard!$C$11)/(1-Dashboard!$C$17)*((1+Dashboard!$C$12)^$CZ11),0)</f>
        <v>764806.63154216995</v>
      </c>
      <c r="FY11" s="126">
        <f ca="1">MAX(FY10*(1+BZ11)-(Dashboard!$C$11)/(1-Dashboard!$C$17)*((1+Dashboard!$C$12)^$CZ11),0)</f>
        <v>471161.41187900997</v>
      </c>
      <c r="FZ11" s="126">
        <f ca="1">MAX(FZ10*(1+CA11)-(Dashboard!$C$11)/(1-Dashboard!$C$17)*((1+Dashboard!$C$12)^$CZ11),0)</f>
        <v>824587.51408566604</v>
      </c>
      <c r="GA11" s="126">
        <f ca="1">MAX(GA10*(1+CB11)-(Dashboard!$C$11)/(1-Dashboard!$C$17)*((1+Dashboard!$C$12)^$CZ11),0)</f>
        <v>1954531.7351178401</v>
      </c>
      <c r="GB11" s="126">
        <f ca="1">MAX(GB10*(1+CC11)-(Dashboard!$C$11)/(1-Dashboard!$C$17)*((1+Dashboard!$C$12)^$CZ11),0)</f>
        <v>1023836.0111984562</v>
      </c>
      <c r="GC11" s="126">
        <f ca="1">MAX(GC10*(1+CD11)-(Dashboard!$C$11)/(1-Dashboard!$C$17)*((1+Dashboard!$C$12)^$CZ11),0)</f>
        <v>1356604.1463573263</v>
      </c>
      <c r="GD11" s="126">
        <f ca="1">MAX(GD10*(1+CE11)-(Dashboard!$C$11)/(1-Dashboard!$C$17)*((1+Dashboard!$C$12)^$CZ11),0)</f>
        <v>918065.01495543122</v>
      </c>
      <c r="GE11" s="126">
        <f ca="1">MAX(GE10*(1+CF11)-(Dashboard!$C$11)/(1-Dashboard!$C$17)*((1+Dashboard!$C$12)^$CZ11),0)</f>
        <v>811033.36169041204</v>
      </c>
      <c r="GF11" s="126">
        <f ca="1">MAX(GF10*(1+CG11)-(Dashboard!$C$11)/(1-Dashboard!$C$17)*((1+Dashboard!$C$12)^$CZ11),0)</f>
        <v>1632891.8638458278</v>
      </c>
      <c r="GG11" s="126">
        <f ca="1">MAX(GG10*(1+CH11)-(Dashboard!$C$11)/(1-Dashboard!$C$17)*((1+Dashboard!$C$12)^$CZ11),0)</f>
        <v>449861.41282562306</v>
      </c>
      <c r="GH11" s="126">
        <f ca="1">MAX(GH10*(1+CI11)-(Dashboard!$C$11)/(1-Dashboard!$C$17)*((1+Dashboard!$C$12)^$CZ11),0)</f>
        <v>575642.2093689302</v>
      </c>
      <c r="GI11" s="126">
        <f ca="1">MAX(GI10*(1+CJ11)-(Dashboard!$C$11)/(1-Dashboard!$C$17)*((1+Dashboard!$C$12)^$CZ11),0)</f>
        <v>479087.80558742711</v>
      </c>
      <c r="GJ11" s="126">
        <f ca="1">MAX(GJ10*(1+CK11)-(Dashboard!$C$11)/(1-Dashboard!$C$17)*((1+Dashboard!$C$12)^$CZ11),0)</f>
        <v>760674.51834856742</v>
      </c>
      <c r="GK11" s="126">
        <f ca="1">MAX(GK10*(1+CL11)-(Dashboard!$C$11)/(1-Dashboard!$C$17)*((1+Dashboard!$C$12)^$CZ11),0)</f>
        <v>1879361.3498314139</v>
      </c>
      <c r="GL11" s="126">
        <f ca="1">MAX(GL10*(1+CM11)-(Dashboard!$C$11)/(1-Dashboard!$C$17)*((1+Dashboard!$C$12)^$CZ11),0)</f>
        <v>1808149.2293520996</v>
      </c>
      <c r="GM11" s="126">
        <f ca="1">MAX(GM10*(1+CN11)-(Dashboard!$C$11)/(1-Dashboard!$C$17)*((1+Dashboard!$C$12)^$CZ11),0)</f>
        <v>663632.21101375786</v>
      </c>
      <c r="GN11" s="126">
        <f ca="1">MAX(GN10*(1+CO11)-(Dashboard!$C$11)/(1-Dashboard!$C$17)*((1+Dashboard!$C$12)^$CZ11),0)</f>
        <v>306223.34642863896</v>
      </c>
      <c r="GO11" s="126">
        <f ca="1">MAX(GO10*(1+CP11)-(Dashboard!$C$11)/(1-Dashboard!$C$17)*((1+Dashboard!$C$12)^$CZ11),0)</f>
        <v>686081.35697255121</v>
      </c>
      <c r="GP11" s="126">
        <f ca="1">MAX(GP10*(1+CQ11)-(Dashboard!$C$11)/(1-Dashboard!$C$17)*((1+Dashboard!$C$12)^$CZ11),0)</f>
        <v>796579.35948521411</v>
      </c>
      <c r="GQ11" s="126">
        <f ca="1">MAX(GQ10*(1+CR11)-(Dashboard!$C$11)/(1-Dashboard!$C$17)*((1+Dashboard!$C$12)^$CZ11),0)</f>
        <v>573194.81411584653</v>
      </c>
      <c r="GR11" s="126">
        <f ca="1">MAX(GR10*(1+CS11)-(Dashboard!$C$11)/(1-Dashboard!$C$17)*((1+Dashboard!$C$12)^$CZ11),0)</f>
        <v>772142.20115875872</v>
      </c>
      <c r="GS11" s="126">
        <f ca="1">MAX(GS10*(1+CT11)-(Dashboard!$C$11)/(1-Dashboard!$C$17)*((1+Dashboard!$C$12)^$CZ11),0)</f>
        <v>1337104.6483751917</v>
      </c>
      <c r="GT11" s="126">
        <f ca="1">MAX(GT10*(1+CU11)-(Dashboard!$C$11)/(1-Dashboard!$C$17)*((1+Dashboard!$C$12)^$CZ11),0)</f>
        <v>1212013.1318196426</v>
      </c>
      <c r="GU11" s="126">
        <f ca="1">MAX(GU10*(1+CV11)-(Dashboard!$C$11)/(1-Dashboard!$C$17)*((1+Dashboard!$C$12)^$CZ11),0)</f>
        <v>469468.06537890795</v>
      </c>
      <c r="GV11" s="126">
        <f ca="1">MAX(GV10*(1+CW11)-(Dashboard!$C$11)/(1-Dashboard!$C$17)*((1+Dashboard!$C$12)^$CZ11),0)</f>
        <v>524276.34749726387</v>
      </c>
      <c r="GW11" s="115">
        <f t="shared" si="4"/>
        <v>60</v>
      </c>
      <c r="GX11" s="130">
        <f t="shared" ca="1" si="2"/>
        <v>100</v>
      </c>
      <c r="HC11" s="130">
        <f t="shared" si="0"/>
        <v>60</v>
      </c>
      <c r="HD11" s="137">
        <f t="shared" ca="1" si="1"/>
        <v>666170.50688356953</v>
      </c>
      <c r="HE11" s="137">
        <f t="shared" ca="1" si="1"/>
        <v>994901.13383499405</v>
      </c>
      <c r="HF11" s="137">
        <f t="shared" ca="1" si="1"/>
        <v>1313486.3561461715</v>
      </c>
    </row>
    <row r="12" spans="1:214" ht="16">
      <c r="A12" s="145">
        <f t="shared" si="3"/>
        <v>61</v>
      </c>
      <c r="B12" s="119">
        <f ca="1">(Dashboard!$C$7*'Equity and Bond Returns'!N12)+(Dashboard!$C$8*'Equity and Bond Returns'!DL12)</f>
        <v>0.16727912575045153</v>
      </c>
      <c r="C12" s="119">
        <f ca="1">(Dashboard!$C$7*'Equity and Bond Returns'!O12)+(Dashboard!$C$8*'Equity and Bond Returns'!DM12)</f>
        <v>-0.14911953996976413</v>
      </c>
      <c r="D12" s="119">
        <f ca="1">(Dashboard!$C$7*'Equity and Bond Returns'!P12)+(Dashboard!$C$8*'Equity and Bond Returns'!DN12)</f>
        <v>0.33861483453259617</v>
      </c>
      <c r="E12" s="119">
        <f ca="1">(Dashboard!$C$7*'Equity and Bond Returns'!Q12)+(Dashboard!$C$8*'Equity and Bond Returns'!DO12)</f>
        <v>-4.177297369532193E-4</v>
      </c>
      <c r="F12" s="119">
        <f ca="1">(Dashboard!$C$7*'Equity and Bond Returns'!R12)+(Dashboard!$C$8*'Equity and Bond Returns'!DP12)</f>
        <v>-5.2866111760608889E-2</v>
      </c>
      <c r="G12" s="119">
        <f ca="1">(Dashboard!$C$7*'Equity and Bond Returns'!S12)+(Dashboard!$C$8*'Equity and Bond Returns'!DQ12)</f>
        <v>-0.34369439068451096</v>
      </c>
      <c r="H12" s="119">
        <f ca="1">(Dashboard!$C$7*'Equity and Bond Returns'!T12)+(Dashboard!$C$8*'Equity and Bond Returns'!DR12)</f>
        <v>0.15063553804193053</v>
      </c>
      <c r="I12" s="119">
        <f ca="1">(Dashboard!$C$7*'Equity and Bond Returns'!U12)+(Dashboard!$C$8*'Equity and Bond Returns'!DS12)</f>
        <v>-4.1338593510787988E-2</v>
      </c>
      <c r="J12" s="119">
        <f ca="1">(Dashboard!$C$7*'Equity and Bond Returns'!V12)+(Dashboard!$C$8*'Equity and Bond Returns'!DT12)</f>
        <v>1.8392347532503989E-2</v>
      </c>
      <c r="K12" s="119">
        <f ca="1">(Dashboard!$C$7*'Equity and Bond Returns'!W12)+(Dashboard!$C$8*'Equity and Bond Returns'!DU12)</f>
        <v>0.23955215737236349</v>
      </c>
      <c r="L12" s="119">
        <f ca="1">(Dashboard!$C$7*'Equity and Bond Returns'!X12)+(Dashboard!$C$8*'Equity and Bond Returns'!DV12)</f>
        <v>0.31218477323985361</v>
      </c>
      <c r="M12" s="119">
        <f ca="1">(Dashboard!$C$7*'Equity and Bond Returns'!Y12)+(Dashboard!$C$8*'Equity and Bond Returns'!DW12)</f>
        <v>-0.18507863071670547</v>
      </c>
      <c r="N12" s="119">
        <f ca="1">(Dashboard!$C$7*'Equity and Bond Returns'!Z12)+(Dashboard!$C$8*'Equity and Bond Returns'!DX12)</f>
        <v>0.22017730850194822</v>
      </c>
      <c r="O12" s="119">
        <f ca="1">(Dashboard!$C$7*'Equity and Bond Returns'!AA12)+(Dashboard!$C$8*'Equity and Bond Returns'!DY12)</f>
        <v>6.3495096336967094E-2</v>
      </c>
      <c r="P12" s="119">
        <f ca="1">(Dashboard!$C$7*'Equity and Bond Returns'!AB12)+(Dashboard!$C$8*'Equity and Bond Returns'!DZ12)</f>
        <v>0.13657285708633329</v>
      </c>
      <c r="Q12" s="119">
        <f ca="1">(Dashboard!$C$7*'Equity and Bond Returns'!AC12)+(Dashboard!$C$8*'Equity and Bond Returns'!EA12)</f>
        <v>-2.6007443592706667E-2</v>
      </c>
      <c r="R12" s="119">
        <f ca="1">(Dashboard!$C$7*'Equity and Bond Returns'!AD12)+(Dashboard!$C$8*'Equity and Bond Returns'!EB12)</f>
        <v>5.5050466863561805E-2</v>
      </c>
      <c r="S12" s="119">
        <f ca="1">(Dashboard!$C$7*'Equity and Bond Returns'!AE12)+(Dashboard!$C$8*'Equity and Bond Returns'!EC12)</f>
        <v>9.8425774943751834E-2</v>
      </c>
      <c r="T12" s="119">
        <f ca="1">(Dashboard!$C$7*'Equity and Bond Returns'!AF12)+(Dashboard!$C$8*'Equity and Bond Returns'!ED12)</f>
        <v>0.16132310252127915</v>
      </c>
      <c r="U12" s="119">
        <f ca="1">(Dashboard!$C$7*'Equity and Bond Returns'!AG12)+(Dashboard!$C$8*'Equity and Bond Returns'!EE12)</f>
        <v>0.19334673647240289</v>
      </c>
      <c r="V12" s="119">
        <f ca="1">(Dashboard!$C$7*'Equity and Bond Returns'!AH12)+(Dashboard!$C$8*'Equity and Bond Returns'!EF12)</f>
        <v>-3.5233433186426466E-2</v>
      </c>
      <c r="W12" s="119">
        <f ca="1">(Dashboard!$C$7*'Equity and Bond Returns'!AI12)+(Dashboard!$C$8*'Equity and Bond Returns'!EG12)</f>
        <v>0.25714649571673009</v>
      </c>
      <c r="X12" s="119">
        <f ca="1">(Dashboard!$C$7*'Equity and Bond Returns'!AJ12)+(Dashboard!$C$8*'Equity and Bond Returns'!EH12)</f>
        <v>3.0281430842880725E-2</v>
      </c>
      <c r="Y12" s="119">
        <f ca="1">(Dashboard!$C$7*'Equity and Bond Returns'!AK12)+(Dashboard!$C$8*'Equity and Bond Returns'!EI12)</f>
        <v>0.10979358726568311</v>
      </c>
      <c r="Z12" s="119">
        <f ca="1">(Dashboard!$C$7*'Equity and Bond Returns'!AL12)+(Dashboard!$C$8*'Equity and Bond Returns'!EJ12)</f>
        <v>0.35119806431394957</v>
      </c>
      <c r="AA12" s="119">
        <f ca="1">(Dashboard!$C$7*'Equity and Bond Returns'!AM12)+(Dashboard!$C$8*'Equity and Bond Returns'!EK12)</f>
        <v>0.25301878586271198</v>
      </c>
      <c r="AB12" s="119">
        <f ca="1">(Dashboard!$C$7*'Equity and Bond Returns'!AN12)+(Dashboard!$C$8*'Equity and Bond Returns'!EL12)</f>
        <v>8.4863728198146055E-2</v>
      </c>
      <c r="AC12" s="119">
        <f ca="1">(Dashboard!$C$7*'Equity and Bond Returns'!AO12)+(Dashboard!$C$8*'Equity and Bond Returns'!EM12)</f>
        <v>0.10701276469808355</v>
      </c>
      <c r="AD12" s="119">
        <f ca="1">(Dashboard!$C$7*'Equity and Bond Returns'!AP12)+(Dashboard!$C$8*'Equity and Bond Returns'!EN12)</f>
        <v>0.15043071706055042</v>
      </c>
      <c r="AE12" s="119">
        <f ca="1">(Dashboard!$C$7*'Equity and Bond Returns'!AQ12)+(Dashboard!$C$8*'Equity and Bond Returns'!EO12)</f>
        <v>0.18735322229226925</v>
      </c>
      <c r="AF12" s="119">
        <f ca="1">(Dashboard!$C$7*'Equity and Bond Returns'!AR12)+(Dashboard!$C$8*'Equity and Bond Returns'!EP12)</f>
        <v>0.24237528749909412</v>
      </c>
      <c r="AG12" s="119">
        <f ca="1">(Dashboard!$C$7*'Equity and Bond Returns'!AS12)+(Dashboard!$C$8*'Equity and Bond Returns'!EQ12)</f>
        <v>2.1914049622964995E-3</v>
      </c>
      <c r="AH12" s="119">
        <f ca="1">(Dashboard!$C$7*'Equity and Bond Returns'!AT12)+(Dashboard!$C$8*'Equity and Bond Returns'!ER12)</f>
        <v>5.7351776009645181E-2</v>
      </c>
      <c r="AI12" s="119">
        <f ca="1">(Dashboard!$C$7*'Equity and Bond Returns'!AU12)+(Dashboard!$C$8*'Equity and Bond Returns'!ES12)</f>
        <v>0.14782708714364273</v>
      </c>
      <c r="AJ12" s="119">
        <f ca="1">(Dashboard!$C$7*'Equity and Bond Returns'!AV12)+(Dashboard!$C$8*'Equity and Bond Returns'!ET12)</f>
        <v>-4.4031862970152574E-2</v>
      </c>
      <c r="AK12" s="119">
        <f ca="1">(Dashboard!$C$7*'Equity and Bond Returns'!AW12)+(Dashboard!$C$8*'Equity and Bond Returns'!EU12)</f>
        <v>-4.737229330504817E-2</v>
      </c>
      <c r="AL12" s="119">
        <f ca="1">(Dashboard!$C$7*'Equity and Bond Returns'!AX12)+(Dashboard!$C$8*'Equity and Bond Returns'!EV12)</f>
        <v>-2.8261342385609175E-2</v>
      </c>
      <c r="AM12" s="119">
        <f ca="1">(Dashboard!$C$7*'Equity and Bond Returns'!AY12)+(Dashboard!$C$8*'Equity and Bond Returns'!EW12)</f>
        <v>7.1571714539214348E-2</v>
      </c>
      <c r="AN12" s="119">
        <f ca="1">(Dashboard!$C$7*'Equity and Bond Returns'!AZ12)+(Dashboard!$C$8*'Equity and Bond Returns'!EX12)</f>
        <v>-0.10907474669272746</v>
      </c>
      <c r="AO12" s="119">
        <f ca="1">(Dashboard!$C$7*'Equity and Bond Returns'!BA12)+(Dashboard!$C$8*'Equity and Bond Returns'!EY12)</f>
        <v>-3.2651344911707444E-2</v>
      </c>
      <c r="AP12" s="119">
        <f ca="1">(Dashboard!$C$7*'Equity and Bond Returns'!BB12)+(Dashboard!$C$8*'Equity and Bond Returns'!EZ12)</f>
        <v>9.7968578758884262E-2</v>
      </c>
      <c r="AQ12" s="119">
        <f ca="1">(Dashboard!$C$7*'Equity and Bond Returns'!BC12)+(Dashboard!$C$8*'Equity and Bond Returns'!FA12)</f>
        <v>6.0104106198948251E-2</v>
      </c>
      <c r="AR12" s="119">
        <f ca="1">(Dashboard!$C$7*'Equity and Bond Returns'!BD12)+(Dashboard!$C$8*'Equity and Bond Returns'!FB12)</f>
        <v>-7.1356045238893981E-2</v>
      </c>
      <c r="AS12" s="119">
        <f ca="1">(Dashboard!$C$7*'Equity and Bond Returns'!BE12)+(Dashboard!$C$8*'Equity and Bond Returns'!FC12)</f>
        <v>-1.7577181969776166E-2</v>
      </c>
      <c r="AT12" s="119">
        <f ca="1">(Dashboard!$C$7*'Equity and Bond Returns'!BF12)+(Dashboard!$C$8*'Equity and Bond Returns'!FD12)</f>
        <v>0.22828406678652885</v>
      </c>
      <c r="AU12" s="119">
        <f ca="1">(Dashboard!$C$7*'Equity and Bond Returns'!BG12)+(Dashboard!$C$8*'Equity and Bond Returns'!FE12)</f>
        <v>8.6134114143245927E-2</v>
      </c>
      <c r="AV12" s="119">
        <f ca="1">(Dashboard!$C$7*'Equity and Bond Returns'!BH12)+(Dashboard!$C$8*'Equity and Bond Returns'!FF12)</f>
        <v>0.40521381967227671</v>
      </c>
      <c r="AW12" s="119">
        <f ca="1">(Dashboard!$C$7*'Equity and Bond Returns'!BI12)+(Dashboard!$C$8*'Equity and Bond Returns'!FG12)</f>
        <v>0.12056035196908715</v>
      </c>
      <c r="AX12" s="119">
        <f ca="1">(Dashboard!$C$7*'Equity and Bond Returns'!BJ12)+(Dashboard!$C$8*'Equity and Bond Returns'!FH12)</f>
        <v>0.20814799434386907</v>
      </c>
      <c r="AY12" s="119">
        <f ca="1">(Dashboard!$C$7*'Equity and Bond Returns'!BK12)+(Dashboard!$C$8*'Equity and Bond Returns'!FI12)</f>
        <v>4.86395171727547E-2</v>
      </c>
      <c r="AZ12" s="119">
        <f ca="1">(Dashboard!$C$7*'Equity and Bond Returns'!BL12)+(Dashboard!$C$8*'Equity and Bond Returns'!FJ12)</f>
        <v>0.31887654614730515</v>
      </c>
      <c r="BA12" s="119">
        <f ca="1">(Dashboard!$C$7*'Equity and Bond Returns'!BM12)+(Dashboard!$C$8*'Equity and Bond Returns'!FK12)</f>
        <v>-0.14631933984776785</v>
      </c>
      <c r="BB12" s="119">
        <f ca="1">(Dashboard!$C$7*'Equity and Bond Returns'!BN12)+(Dashboard!$C$8*'Equity and Bond Returns'!FL12)</f>
        <v>0.13355555605547592</v>
      </c>
      <c r="BC12" s="119">
        <f ca="1">(Dashboard!$C$7*'Equity and Bond Returns'!BO12)+(Dashboard!$C$8*'Equity and Bond Returns'!FM12)</f>
        <v>-7.8805923572486253E-2</v>
      </c>
      <c r="BD12" s="119">
        <f ca="1">(Dashboard!$C$7*'Equity and Bond Returns'!BP12)+(Dashboard!$C$8*'Equity and Bond Returns'!FN12)</f>
        <v>0.27958270525945095</v>
      </c>
      <c r="BE12" s="119">
        <f ca="1">(Dashboard!$C$7*'Equity and Bond Returns'!BQ12)+(Dashboard!$C$8*'Equity and Bond Returns'!FO12)</f>
        <v>2.9591015012163914E-2</v>
      </c>
      <c r="BF12" s="119">
        <f ca="1">(Dashboard!$C$7*'Equity and Bond Returns'!BR12)+(Dashboard!$C$8*'Equity and Bond Returns'!FP12)</f>
        <v>5.4457327183588262E-2</v>
      </c>
      <c r="BG12" s="119">
        <f ca="1">(Dashboard!$C$7*'Equity and Bond Returns'!BS12)+(Dashboard!$C$8*'Equity and Bond Returns'!FQ12)</f>
        <v>4.7173011817906146E-2</v>
      </c>
      <c r="BH12" s="119">
        <f ca="1">(Dashboard!$C$7*'Equity and Bond Returns'!BT12)+(Dashboard!$C$8*'Equity and Bond Returns'!FR12)</f>
        <v>-0.17724842489038384</v>
      </c>
      <c r="BI12" s="119">
        <f ca="1">(Dashboard!$C$7*'Equity and Bond Returns'!BU12)+(Dashboard!$C$8*'Equity and Bond Returns'!FS12)</f>
        <v>0.17033861144228135</v>
      </c>
      <c r="BJ12" s="119">
        <f ca="1">(Dashboard!$C$7*'Equity and Bond Returns'!BV12)+(Dashboard!$C$8*'Equity and Bond Returns'!FT12)</f>
        <v>0.10874494617871955</v>
      </c>
      <c r="BK12" s="119">
        <f ca="1">(Dashboard!$C$7*'Equity and Bond Returns'!BW12)+(Dashboard!$C$8*'Equity and Bond Returns'!FU12)</f>
        <v>0.15584357888664349</v>
      </c>
      <c r="BL12" s="119">
        <f ca="1">(Dashboard!$C$7*'Equity and Bond Returns'!BX12)+(Dashboard!$C$8*'Equity and Bond Returns'!FV12)</f>
        <v>7.2485696891155263E-2</v>
      </c>
      <c r="BM12" s="119">
        <f ca="1">(Dashboard!$C$7*'Equity and Bond Returns'!BY12)+(Dashboard!$C$8*'Equity and Bond Returns'!FW12)</f>
        <v>-4.3106150724562801E-2</v>
      </c>
      <c r="BN12" s="119">
        <f ca="1">(Dashboard!$C$7*'Equity and Bond Returns'!BZ12)+(Dashboard!$C$8*'Equity and Bond Returns'!FX12)</f>
        <v>-7.1313203524932811E-2</v>
      </c>
      <c r="BO12" s="119">
        <f ca="1">(Dashboard!$C$7*'Equity and Bond Returns'!CA12)+(Dashboard!$C$8*'Equity and Bond Returns'!FY12)</f>
        <v>0.23319097118337009</v>
      </c>
      <c r="BP12" s="119">
        <f ca="1">(Dashboard!$C$7*'Equity and Bond Returns'!CB12)+(Dashboard!$C$8*'Equity and Bond Returns'!FZ12)</f>
        <v>0.15828800034308388</v>
      </c>
      <c r="BQ12" s="119">
        <f ca="1">(Dashboard!$C$7*'Equity and Bond Returns'!CC12)+(Dashboard!$C$8*'Equity and Bond Returns'!GA12)</f>
        <v>1.7784074551175477E-2</v>
      </c>
      <c r="BR12" s="119">
        <f ca="1">(Dashboard!$C$7*'Equity and Bond Returns'!CD12)+(Dashboard!$C$8*'Equity and Bond Returns'!GB12)</f>
        <v>-0.15640999530135311</v>
      </c>
      <c r="BS12" s="119">
        <f ca="1">(Dashboard!$C$7*'Equity and Bond Returns'!CE12)+(Dashboard!$C$8*'Equity and Bond Returns'!GC12)</f>
        <v>-0.13594889396963999</v>
      </c>
      <c r="BT12" s="119">
        <f ca="1">(Dashboard!$C$7*'Equity and Bond Returns'!CF12)+(Dashboard!$C$8*'Equity and Bond Returns'!GD12)</f>
        <v>0.11763686951917836</v>
      </c>
      <c r="BU12" s="119">
        <f ca="1">(Dashboard!$C$7*'Equity and Bond Returns'!CG12)+(Dashboard!$C$8*'Equity and Bond Returns'!GE12)</f>
        <v>-0.11661712083684843</v>
      </c>
      <c r="BV12" s="119">
        <f ca="1">(Dashboard!$C$7*'Equity and Bond Returns'!CH12)+(Dashboard!$C$8*'Equity and Bond Returns'!GF12)</f>
        <v>3.3100579901449725E-2</v>
      </c>
      <c r="BW12" s="119">
        <f ca="1">(Dashboard!$C$7*'Equity and Bond Returns'!CI12)+(Dashboard!$C$8*'Equity and Bond Returns'!GG12)</f>
        <v>4.681309812198043E-2</v>
      </c>
      <c r="BX12" s="119">
        <f ca="1">(Dashboard!$C$7*'Equity and Bond Returns'!CJ12)+(Dashboard!$C$8*'Equity and Bond Returns'!GH12)</f>
        <v>0.11491579592536616</v>
      </c>
      <c r="BY12" s="119">
        <f ca="1">(Dashboard!$C$7*'Equity and Bond Returns'!CK12)+(Dashboard!$C$8*'Equity and Bond Returns'!GI12)</f>
        <v>-3.886353993040205E-2</v>
      </c>
      <c r="BZ12" s="119">
        <f ca="1">(Dashboard!$C$7*'Equity and Bond Returns'!CL12)+(Dashboard!$C$8*'Equity and Bond Returns'!GJ12)</f>
        <v>0.14334453170111494</v>
      </c>
      <c r="CA12" s="119">
        <f ca="1">(Dashboard!$C$7*'Equity and Bond Returns'!CM12)+(Dashboard!$C$8*'Equity and Bond Returns'!GK12)</f>
        <v>0.16411133825795426</v>
      </c>
      <c r="CB12" s="119">
        <f ca="1">(Dashboard!$C$7*'Equity and Bond Returns'!CN12)+(Dashboard!$C$8*'Equity and Bond Returns'!GL12)</f>
        <v>0.26550456798356775</v>
      </c>
      <c r="CC12" s="119">
        <f ca="1">(Dashboard!$C$7*'Equity and Bond Returns'!CO12)+(Dashboard!$C$8*'Equity and Bond Returns'!GM12)</f>
        <v>9.6433393858182587E-2</v>
      </c>
      <c r="CD12" s="119">
        <f ca="1">(Dashboard!$C$7*'Equity and Bond Returns'!CP12)+(Dashboard!$C$8*'Equity and Bond Returns'!GN12)</f>
        <v>6.5880190213217962E-2</v>
      </c>
      <c r="CE12" s="119">
        <f ca="1">(Dashboard!$C$7*'Equity and Bond Returns'!CQ12)+(Dashboard!$C$8*'Equity and Bond Returns'!GO12)</f>
        <v>0.16276299316144713</v>
      </c>
      <c r="CF12" s="119">
        <f ca="1">(Dashboard!$C$7*'Equity and Bond Returns'!CR12)+(Dashboard!$C$8*'Equity and Bond Returns'!GP12)</f>
        <v>0.17848165542741232</v>
      </c>
      <c r="CG12" s="119">
        <f ca="1">(Dashboard!$C$7*'Equity and Bond Returns'!CS12)+(Dashboard!$C$8*'Equity and Bond Returns'!GQ12)</f>
        <v>4.921570298483173E-2</v>
      </c>
      <c r="CH12" s="119">
        <f ca="1">(Dashboard!$C$7*'Equity and Bond Returns'!CT12)+(Dashboard!$C$8*'Equity and Bond Returns'!GR12)</f>
        <v>-3.5783728592379126E-2</v>
      </c>
      <c r="CI12" s="119">
        <f ca="1">(Dashboard!$C$7*'Equity and Bond Returns'!CU12)+(Dashboard!$C$8*'Equity and Bond Returns'!GS12)</f>
        <v>0.10336423418117878</v>
      </c>
      <c r="CJ12" s="119">
        <f ca="1">(Dashboard!$C$7*'Equity and Bond Returns'!CV12)+(Dashboard!$C$8*'Equity and Bond Returns'!GT12)</f>
        <v>0.15368119558132265</v>
      </c>
      <c r="CK12" s="119">
        <f ca="1">(Dashboard!$C$7*'Equity and Bond Returns'!CW12)+(Dashboard!$C$8*'Equity and Bond Returns'!GU12)</f>
        <v>0.18812846234955274</v>
      </c>
      <c r="CL12" s="119">
        <f ca="1">(Dashboard!$C$7*'Equity and Bond Returns'!CX12)+(Dashboard!$C$8*'Equity and Bond Returns'!GV12)</f>
        <v>6.8104890941528065E-3</v>
      </c>
      <c r="CM12" s="119">
        <f ca="1">(Dashboard!$C$7*'Equity and Bond Returns'!CY12)+(Dashboard!$C$8*'Equity and Bond Returns'!GW12)</f>
        <v>0.28606500909682531</v>
      </c>
      <c r="CN12" s="119">
        <f ca="1">(Dashboard!$C$7*'Equity and Bond Returns'!CZ12)+(Dashboard!$C$8*'Equity and Bond Returns'!GX12)</f>
        <v>-2.05404486419037E-2</v>
      </c>
      <c r="CO12" s="119">
        <f ca="1">(Dashboard!$C$7*'Equity and Bond Returns'!DA12)+(Dashboard!$C$8*'Equity and Bond Returns'!GY12)</f>
        <v>0.14655669645787495</v>
      </c>
      <c r="CP12" s="119">
        <f ca="1">(Dashboard!$C$7*'Equity and Bond Returns'!DB12)+(Dashboard!$C$8*'Equity and Bond Returns'!GZ12)</f>
        <v>6.3518928450927072E-3</v>
      </c>
      <c r="CQ12" s="119">
        <f ca="1">(Dashboard!$C$7*'Equity and Bond Returns'!DC12)+(Dashboard!$C$8*'Equity and Bond Returns'!HA12)</f>
        <v>-5.0575148631649768E-2</v>
      </c>
      <c r="CR12" s="119">
        <f ca="1">(Dashboard!$C$7*'Equity and Bond Returns'!DD12)+(Dashboard!$C$8*'Equity and Bond Returns'!HB12)</f>
        <v>-4.1034930457803601E-3</v>
      </c>
      <c r="CS12" s="119">
        <f ca="1">(Dashboard!$C$7*'Equity and Bond Returns'!DE12)+(Dashboard!$C$8*'Equity and Bond Returns'!HC12)</f>
        <v>-0.23710373524094278</v>
      </c>
      <c r="CT12" s="119">
        <f ca="1">(Dashboard!$C$7*'Equity and Bond Returns'!DF12)+(Dashboard!$C$8*'Equity and Bond Returns'!HD12)</f>
        <v>0.15809625656680704</v>
      </c>
      <c r="CU12" s="119">
        <f ca="1">(Dashboard!$C$7*'Equity and Bond Returns'!DG12)+(Dashboard!$C$8*'Equity and Bond Returns'!HE12)</f>
        <v>0.11763483246809081</v>
      </c>
      <c r="CV12" s="119">
        <f ca="1">(Dashboard!$C$7*'Equity and Bond Returns'!DH12)+(Dashboard!$C$8*'Equity and Bond Returns'!HF12)</f>
        <v>8.942442999762909E-2</v>
      </c>
      <c r="CW12" s="119">
        <f ca="1">(Dashboard!$C$7*'Equity and Bond Returns'!DI12)+(Dashboard!$C$8*'Equity and Bond Returns'!HG12)</f>
        <v>5.9030918660105236E-2</v>
      </c>
      <c r="CY12" s="147">
        <f t="shared" si="5"/>
        <v>61</v>
      </c>
      <c r="CZ12" s="147">
        <v>11</v>
      </c>
      <c r="DA12" s="126">
        <f ca="1">MAX(DA11*(1+B12)-(Dashboard!$C$11)/(1-Dashboard!$C$17)*((1+Dashboard!$C$12)^$CZ12),0)</f>
        <v>1624546.5325944759</v>
      </c>
      <c r="DB12" s="126">
        <f ca="1">MAX(DB11*(1+C12)-(Dashboard!$C$11)/(1-Dashboard!$C$17)*((1+Dashboard!$C$12)^$CZ12),0)</f>
        <v>278670.11065000627</v>
      </c>
      <c r="DC12" s="126">
        <f ca="1">MAX(DC11*(1+D12)-(Dashboard!$C$11)/(1-Dashboard!$C$17)*((1+Dashboard!$C$12)^$CZ12),0)</f>
        <v>781701.08909963514</v>
      </c>
      <c r="DD12" s="126">
        <f ca="1">MAX(DD11*(1+E12)-(Dashboard!$C$11)/(1-Dashboard!$C$17)*((1+Dashboard!$C$12)^$CZ12),0)</f>
        <v>518894.05114724295</v>
      </c>
      <c r="DE12" s="126">
        <f ca="1">MAX(DE11*(1+F12)-(Dashboard!$C$11)/(1-Dashboard!$C$17)*((1+Dashboard!$C$12)^$CZ12),0)</f>
        <v>1167043.8801686978</v>
      </c>
      <c r="DF12" s="126">
        <f ca="1">MAX(DF11*(1+G12)-(Dashboard!$C$11)/(1-Dashboard!$C$17)*((1+Dashboard!$C$12)^$CZ12),0)</f>
        <v>1313565.2142560433</v>
      </c>
      <c r="DG12" s="126">
        <f ca="1">MAX(DG11*(1+H12)-(Dashboard!$C$11)/(1-Dashboard!$C$17)*((1+Dashboard!$C$12)^$CZ12),0)</f>
        <v>287266.50932146725</v>
      </c>
      <c r="DH12" s="126">
        <f ca="1">MAX(DH11*(1+I12)-(Dashboard!$C$11)/(1-Dashboard!$C$17)*((1+Dashboard!$C$12)^$CZ12),0)</f>
        <v>936114.41482585913</v>
      </c>
      <c r="DI12" s="126">
        <f ca="1">MAX(DI11*(1+J12)-(Dashboard!$C$11)/(1-Dashboard!$C$17)*((1+Dashboard!$C$12)^$CZ12),0)</f>
        <v>865118.91404444363</v>
      </c>
      <c r="DJ12" s="126">
        <f ca="1">MAX(DJ11*(1+K12)-(Dashboard!$C$11)/(1-Dashboard!$C$17)*((1+Dashboard!$C$12)^$CZ12),0)</f>
        <v>1600576.4990809504</v>
      </c>
      <c r="DK12" s="126">
        <f ca="1">MAX(DK11*(1+L12)-(Dashboard!$C$11)/(1-Dashboard!$C$17)*((1+Dashboard!$C$12)^$CZ12),0)</f>
        <v>1773085.3384949907</v>
      </c>
      <c r="DL12" s="126">
        <f ca="1">MAX(DL11*(1+M12)-(Dashboard!$C$11)/(1-Dashboard!$C$17)*((1+Dashboard!$C$12)^$CZ12),0)</f>
        <v>1024719.121151901</v>
      </c>
      <c r="DM12" s="126">
        <f ca="1">MAX(DM11*(1+N12)-(Dashboard!$C$11)/(1-Dashboard!$C$17)*((1+Dashboard!$C$12)^$CZ12),0)</f>
        <v>1373442.2511123612</v>
      </c>
      <c r="DN12" s="126">
        <f ca="1">MAX(DN11*(1+O12)-(Dashboard!$C$11)/(1-Dashboard!$C$17)*((1+Dashboard!$C$12)^$CZ12),0)</f>
        <v>3523024.9403375029</v>
      </c>
      <c r="DO12" s="126">
        <f ca="1">MAX(DO11*(1+P12)-(Dashboard!$C$11)/(1-Dashboard!$C$17)*((1+Dashboard!$C$12)^$CZ12),0)</f>
        <v>1464747.9055309973</v>
      </c>
      <c r="DP12" s="126">
        <f ca="1">MAX(DP11*(1+Q12)-(Dashboard!$C$11)/(1-Dashboard!$C$17)*((1+Dashboard!$C$12)^$CZ12),0)</f>
        <v>754884.24815776886</v>
      </c>
      <c r="DQ12" s="126">
        <f ca="1">MAX(DQ11*(1+R12)-(Dashboard!$C$11)/(1-Dashboard!$C$17)*((1+Dashboard!$C$12)^$CZ12),0)</f>
        <v>823303.4701275134</v>
      </c>
      <c r="DR12" s="126">
        <f ca="1">MAX(DR11*(1+S12)-(Dashboard!$C$11)/(1-Dashboard!$C$17)*((1+Dashboard!$C$12)^$CZ12),0)</f>
        <v>828772.28247893136</v>
      </c>
      <c r="DS12" s="126">
        <f ca="1">MAX(DS11*(1+T12)-(Dashboard!$C$11)/(1-Dashboard!$C$17)*((1+Dashboard!$C$12)^$CZ12),0)</f>
        <v>1088119.6100389846</v>
      </c>
      <c r="DT12" s="126">
        <f ca="1">MAX(DT11*(1+U12)-(Dashboard!$C$11)/(1-Dashboard!$C$17)*((1+Dashboard!$C$12)^$CZ12),0)</f>
        <v>751423.69102081633</v>
      </c>
      <c r="DU12" s="126">
        <f ca="1">MAX(DU11*(1+V12)-(Dashboard!$C$11)/(1-Dashboard!$C$17)*((1+Dashboard!$C$12)^$CZ12),0)</f>
        <v>1019530.8062487071</v>
      </c>
      <c r="DV12" s="126">
        <f ca="1">MAX(DV11*(1+W12)-(Dashboard!$C$11)/(1-Dashboard!$C$17)*((1+Dashboard!$C$12)^$CZ12),0)</f>
        <v>1557955.5437920459</v>
      </c>
      <c r="DW12" s="126">
        <f ca="1">MAX(DW11*(1+X12)-(Dashboard!$C$11)/(1-Dashboard!$C$17)*((1+Dashboard!$C$12)^$CZ12),0)</f>
        <v>1505113.8679253086</v>
      </c>
      <c r="DX12" s="126">
        <f ca="1">MAX(DX11*(1+Y12)-(Dashboard!$C$11)/(1-Dashboard!$C$17)*((1+Dashboard!$C$12)^$CZ12),0)</f>
        <v>567725.28869319626</v>
      </c>
      <c r="DY12" s="126">
        <f ca="1">MAX(DY11*(1+Z12)-(Dashboard!$C$11)/(1-Dashboard!$C$17)*((1+Dashboard!$C$12)^$CZ12),0)</f>
        <v>2168506.0719237248</v>
      </c>
      <c r="DZ12" s="126">
        <f ca="1">MAX(DZ11*(1+AA12)-(Dashboard!$C$11)/(1-Dashboard!$C$17)*((1+Dashboard!$C$12)^$CZ12),0)</f>
        <v>872182.72756042739</v>
      </c>
      <c r="EA12" s="126">
        <f ca="1">MAX(EA11*(1+AB12)-(Dashboard!$C$11)/(1-Dashboard!$C$17)*((1+Dashboard!$C$12)^$CZ12),0)</f>
        <v>576832.44949598378</v>
      </c>
      <c r="EB12" s="126">
        <f ca="1">MAX(EB11*(1+AC12)-(Dashboard!$C$11)/(1-Dashboard!$C$17)*((1+Dashboard!$C$12)^$CZ12),0)</f>
        <v>803836.58936101908</v>
      </c>
      <c r="EC12" s="126">
        <f ca="1">MAX(EC11*(1+AD12)-(Dashboard!$C$11)/(1-Dashboard!$C$17)*((1+Dashboard!$C$12)^$CZ12),0)</f>
        <v>1051948.2397838964</v>
      </c>
      <c r="ED12" s="126">
        <f ca="1">MAX(ED11*(1+AE12)-(Dashboard!$C$11)/(1-Dashboard!$C$17)*((1+Dashboard!$C$12)^$CZ12),0)</f>
        <v>1679516.5495305837</v>
      </c>
      <c r="EE12" s="126">
        <f ca="1">MAX(EE11*(1+AF12)-(Dashboard!$C$11)/(1-Dashboard!$C$17)*((1+Dashboard!$C$12)^$CZ12),0)</f>
        <v>1501418.9291323277</v>
      </c>
      <c r="EF12" s="126">
        <f ca="1">MAX(EF11*(1+AG12)-(Dashboard!$C$11)/(1-Dashboard!$C$17)*((1+Dashboard!$C$12)^$CZ12),0)</f>
        <v>1011343.6570419953</v>
      </c>
      <c r="EG12" s="126">
        <f ca="1">MAX(EG11*(1+AH12)-(Dashboard!$C$11)/(1-Dashboard!$C$17)*((1+Dashboard!$C$12)^$CZ12),0)</f>
        <v>1224884.1113408068</v>
      </c>
      <c r="EH12" s="126">
        <f ca="1">MAX(EH11*(1+AI12)-(Dashboard!$C$11)/(1-Dashboard!$C$17)*((1+Dashboard!$C$12)^$CZ12),0)</f>
        <v>835259.51881163346</v>
      </c>
      <c r="EI12" s="126">
        <f ca="1">MAX(EI11*(1+AJ12)-(Dashboard!$C$11)/(1-Dashboard!$C$17)*((1+Dashboard!$C$12)^$CZ12),0)</f>
        <v>461312.57059645973</v>
      </c>
      <c r="EJ12" s="126">
        <f ca="1">MAX(EJ11*(1+AK12)-(Dashboard!$C$11)/(1-Dashboard!$C$17)*((1+Dashboard!$C$12)^$CZ12),0)</f>
        <v>1039684.3746576729</v>
      </c>
      <c r="EK12" s="126">
        <f ca="1">MAX(EK11*(1+AL12)-(Dashboard!$C$11)/(1-Dashboard!$C$17)*((1+Dashboard!$C$12)^$CZ12),0)</f>
        <v>1212044.468821387</v>
      </c>
      <c r="EL12" s="126">
        <f ca="1">MAX(EL11*(1+AM12)-(Dashboard!$C$11)/(1-Dashboard!$C$17)*((1+Dashboard!$C$12)^$CZ12),0)</f>
        <v>1010929.1690182252</v>
      </c>
      <c r="EM12" s="126">
        <f ca="1">MAX(EM11*(1+AN12)-(Dashboard!$C$11)/(1-Dashboard!$C$17)*((1+Dashboard!$C$12)^$CZ12),0)</f>
        <v>1371476.8875620146</v>
      </c>
      <c r="EN12" s="126">
        <f ca="1">MAX(EN11*(1+AO12)-(Dashboard!$C$11)/(1-Dashboard!$C$17)*((1+Dashboard!$C$12)^$CZ12),0)</f>
        <v>1935646.9769632099</v>
      </c>
      <c r="EO12" s="126">
        <f ca="1">MAX(EO11*(1+AP12)-(Dashboard!$C$11)/(1-Dashboard!$C$17)*((1+Dashboard!$C$12)^$CZ12),0)</f>
        <v>569959.67201913369</v>
      </c>
      <c r="EP12" s="126">
        <f ca="1">MAX(EP11*(1+AQ12)-(Dashboard!$C$11)/(1-Dashboard!$C$17)*((1+Dashboard!$C$12)^$CZ12),0)</f>
        <v>924797.28447630769</v>
      </c>
      <c r="EQ12" s="126">
        <f ca="1">MAX(EQ11*(1+AR12)-(Dashboard!$C$11)/(1-Dashboard!$C$17)*((1+Dashboard!$C$12)^$CZ12),0)</f>
        <v>634151.47941000841</v>
      </c>
      <c r="ER12" s="126">
        <f ca="1">MAX(ER11*(1+AS12)-(Dashboard!$C$11)/(1-Dashboard!$C$17)*((1+Dashboard!$C$12)^$CZ12),0)</f>
        <v>493269.58110873413</v>
      </c>
      <c r="ES12" s="126">
        <f ca="1">MAX(ES11*(1+AT12)-(Dashboard!$C$11)/(1-Dashboard!$C$17)*((1+Dashboard!$C$12)^$CZ12),0)</f>
        <v>851446.44988715532</v>
      </c>
      <c r="ET12" s="126">
        <f ca="1">MAX(ET11*(1+AU12)-(Dashboard!$C$11)/(1-Dashboard!$C$17)*((1+Dashboard!$C$12)^$CZ12),0)</f>
        <v>1031780.5486802178</v>
      </c>
      <c r="EU12" s="126">
        <f ca="1">MAX(EU11*(1+AV12)-(Dashboard!$C$11)/(1-Dashboard!$C$17)*((1+Dashboard!$C$12)^$CZ12),0)</f>
        <v>918262.72425121465</v>
      </c>
      <c r="EV12" s="126">
        <f ca="1">MAX(EV11*(1+AW12)-(Dashboard!$C$11)/(1-Dashboard!$C$17)*((1+Dashboard!$C$12)^$CZ12),0)</f>
        <v>2172366.7229118948</v>
      </c>
      <c r="EW12" s="126">
        <f ca="1">MAX(EW11*(1+AX12)-(Dashboard!$C$11)/(1-Dashboard!$C$17)*((1+Dashboard!$C$12)^$CZ12),0)</f>
        <v>1237738.1185205637</v>
      </c>
      <c r="EX12" s="126">
        <f ca="1">MAX(EX11*(1+AY12)-(Dashboard!$C$11)/(1-Dashboard!$C$17)*((1+Dashboard!$C$12)^$CZ12),0)</f>
        <v>1377095.4790782491</v>
      </c>
      <c r="EY12" s="126">
        <f ca="1">MAX(EY11*(1+AZ12)-(Dashboard!$C$11)/(1-Dashboard!$C$17)*((1+Dashboard!$C$12)^$CZ12),0)</f>
        <v>1981859.3520228101</v>
      </c>
      <c r="EZ12" s="126">
        <f ca="1">MAX(EZ11*(1+BA12)-(Dashboard!$C$11)/(1-Dashboard!$C$17)*((1+Dashboard!$C$12)^$CZ12),0)</f>
        <v>447423.05475466518</v>
      </c>
      <c r="FA12" s="126">
        <f ca="1">MAX(FA11*(1+BB12)-(Dashboard!$C$11)/(1-Dashboard!$C$17)*((1+Dashboard!$C$12)^$CZ12),0)</f>
        <v>1322578.8516810038</v>
      </c>
      <c r="FB12" s="126">
        <f ca="1">MAX(FB11*(1+BC12)-(Dashboard!$C$11)/(1-Dashboard!$C$17)*((1+Dashboard!$C$12)^$CZ12),0)</f>
        <v>1044167.7928317107</v>
      </c>
      <c r="FC12" s="126">
        <f ca="1">MAX(FC11*(1+BD12)-(Dashboard!$C$11)/(1-Dashboard!$C$17)*((1+Dashboard!$C$12)^$CZ12),0)</f>
        <v>1298115.7789241171</v>
      </c>
      <c r="FD12" s="126">
        <f ca="1">MAX(FD11*(1+BE12)-(Dashboard!$C$11)/(1-Dashboard!$C$17)*((1+Dashboard!$C$12)^$CZ12),0)</f>
        <v>1300417.9491007528</v>
      </c>
      <c r="FE12" s="126">
        <f ca="1">MAX(FE11*(1+BF12)-(Dashboard!$C$11)/(1-Dashboard!$C$17)*((1+Dashboard!$C$12)^$CZ12),0)</f>
        <v>1028640.9382391229</v>
      </c>
      <c r="FF12" s="126">
        <f ca="1">MAX(FF11*(1+BG12)-(Dashboard!$C$11)/(1-Dashboard!$C$17)*((1+Dashboard!$C$12)^$CZ12),0)</f>
        <v>1177745.4170619305</v>
      </c>
      <c r="FG12" s="126">
        <f ca="1">MAX(FG11*(1+BH12)-(Dashboard!$C$11)/(1-Dashboard!$C$17)*((1+Dashboard!$C$12)^$CZ12),0)</f>
        <v>1052391.7299073734</v>
      </c>
      <c r="FH12" s="126">
        <f ca="1">MAX(FH11*(1+BI12)-(Dashboard!$C$11)/(1-Dashboard!$C$17)*((1+Dashboard!$C$12)^$CZ12),0)</f>
        <v>1121162.0809776376</v>
      </c>
      <c r="FI12" s="126">
        <f ca="1">MAX(FI11*(1+BJ12)-(Dashboard!$C$11)/(1-Dashboard!$C$17)*((1+Dashboard!$C$12)^$CZ12),0)</f>
        <v>1084623.9005228067</v>
      </c>
      <c r="FJ12" s="126">
        <f ca="1">MAX(FJ11*(1+BK12)-(Dashboard!$C$11)/(1-Dashboard!$C$17)*((1+Dashboard!$C$12)^$CZ12),0)</f>
        <v>528749.68581917149</v>
      </c>
      <c r="FK12" s="126">
        <f ca="1">MAX(FK11*(1+BL12)-(Dashboard!$C$11)/(1-Dashboard!$C$17)*((1+Dashboard!$C$12)^$CZ12),0)</f>
        <v>1030218.7822607268</v>
      </c>
      <c r="FL12" s="126">
        <f ca="1">MAX(FL11*(1+BM12)-(Dashboard!$C$11)/(1-Dashboard!$C$17)*((1+Dashboard!$C$12)^$CZ12),0)</f>
        <v>1342743.8206242924</v>
      </c>
      <c r="FM12" s="126">
        <f ca="1">MAX(FM11*(1+BN12)-(Dashboard!$C$11)/(1-Dashboard!$C$17)*((1+Dashboard!$C$12)^$CZ12),0)</f>
        <v>1190358.1106361579</v>
      </c>
      <c r="FN12" s="126">
        <f ca="1">MAX(FN11*(1+BO12)-(Dashboard!$C$11)/(1-Dashboard!$C$17)*((1+Dashboard!$C$12)^$CZ12),0)</f>
        <v>729941.05088682659</v>
      </c>
      <c r="FO12" s="126">
        <f ca="1">MAX(FO11*(1+BP12)-(Dashboard!$C$11)/(1-Dashboard!$C$17)*((1+Dashboard!$C$12)^$CZ12),0)</f>
        <v>1250066.5732644044</v>
      </c>
      <c r="FP12" s="126">
        <f ca="1">MAX(FP11*(1+BQ12)-(Dashboard!$C$11)/(1-Dashboard!$C$17)*((1+Dashboard!$C$12)^$CZ12),0)</f>
        <v>1042324.0424629598</v>
      </c>
      <c r="FQ12" s="126">
        <f ca="1">MAX(FQ11*(1+BR12)-(Dashboard!$C$11)/(1-Dashboard!$C$17)*((1+Dashboard!$C$12)^$CZ12),0)</f>
        <v>1210640.9637120194</v>
      </c>
      <c r="FR12" s="126">
        <f ca="1">MAX(FR11*(1+BS12)-(Dashboard!$C$11)/(1-Dashboard!$C$17)*((1+Dashboard!$C$12)^$CZ12),0)</f>
        <v>1674887.5294700165</v>
      </c>
      <c r="FS12" s="126">
        <f ca="1">MAX(FS11*(1+BT12)-(Dashboard!$C$11)/(1-Dashboard!$C$17)*((1+Dashboard!$C$12)^$CZ12),0)</f>
        <v>1548556.7321685012</v>
      </c>
      <c r="FT12" s="126">
        <f ca="1">MAX(FT11*(1+BU12)-(Dashboard!$C$11)/(1-Dashboard!$C$17)*((1+Dashboard!$C$12)^$CZ12),0)</f>
        <v>551512.95136815088</v>
      </c>
      <c r="FU12" s="126">
        <f ca="1">MAX(FU11*(1+BV12)-(Dashboard!$C$11)/(1-Dashboard!$C$17)*((1+Dashboard!$C$12)^$CZ12),0)</f>
        <v>1609599.6678664067</v>
      </c>
      <c r="FV12" s="126">
        <f ca="1">MAX(FV11*(1+BW12)-(Dashboard!$C$11)/(1-Dashboard!$C$17)*((1+Dashboard!$C$12)^$CZ12),0)</f>
        <v>453338.16976353765</v>
      </c>
      <c r="FW12" s="126">
        <f ca="1">MAX(FW11*(1+BX12)-(Dashboard!$C$11)/(1-Dashboard!$C$17)*((1+Dashboard!$C$12)^$CZ12),0)</f>
        <v>1209318.7992979402</v>
      </c>
      <c r="FX12" s="126">
        <f ca="1">MAX(FX11*(1+BY12)-(Dashboard!$C$11)/(1-Dashboard!$C$17)*((1+Dashboard!$C$12)^$CZ12),0)</f>
        <v>706533.71489450277</v>
      </c>
      <c r="FY12" s="126">
        <f ca="1">MAX(FY11*(1+BZ12)-(Dashboard!$C$11)/(1-Dashboard!$C$17)*((1+Dashboard!$C$12)^$CZ12),0)</f>
        <v>510150.00023675122</v>
      </c>
      <c r="FZ12" s="126">
        <f ca="1">MAX(FZ11*(1+CA12)-(Dashboard!$C$11)/(1-Dashboard!$C$17)*((1+Dashboard!$C$12)^$CZ12),0)</f>
        <v>931361.85094937263</v>
      </c>
      <c r="GA12" s="126">
        <f ca="1">MAX(GA11*(1+CB12)-(Dashboard!$C$11)/(1-Dashboard!$C$17)*((1+Dashboard!$C$12)^$CZ12),0)</f>
        <v>2444919.0154767833</v>
      </c>
      <c r="GB12" s="126">
        <f ca="1">MAX(GB11*(1+CC12)-(Dashboard!$C$11)/(1-Dashboard!$C$17)*((1+Dashboard!$C$12)^$CZ12),0)</f>
        <v>1094018.1689288558</v>
      </c>
      <c r="GC12" s="126">
        <f ca="1">MAX(GC11*(1+CD12)-(Dashboard!$C$11)/(1-Dashboard!$C$17)*((1+Dashboard!$C$12)^$CZ12),0)</f>
        <v>1417427.6619796955</v>
      </c>
      <c r="GD12" s="126">
        <f ca="1">MAX(GD11*(1+CE12)-(Dashboard!$C$11)/(1-Dashboard!$C$17)*((1+Dashboard!$C$12)^$CZ12),0)</f>
        <v>1038942.2011226943</v>
      </c>
      <c r="GE12" s="126">
        <f ca="1">MAX(GE11*(1+CF12)-(Dashboard!$C$11)/(1-Dashboard!$C$17)*((1+Dashboard!$C$12)^$CZ12),0)</f>
        <v>927238.11510808428</v>
      </c>
      <c r="GF12" s="126">
        <f ca="1">MAX(GF11*(1+CG12)-(Dashboard!$C$11)/(1-Dashboard!$C$17)*((1+Dashboard!$C$12)^$CZ12),0)</f>
        <v>1684705.9612395207</v>
      </c>
      <c r="GG12" s="126">
        <f ca="1">MAX(GG11*(1+CH12)-(Dashboard!$C$11)/(1-Dashboard!$C$17)*((1+Dashboard!$C$12)^$CZ12),0)</f>
        <v>405213.87054119509</v>
      </c>
      <c r="GH12" s="126">
        <f ca="1">MAX(GH11*(1+CI12)-(Dashboard!$C$11)/(1-Dashboard!$C$17)*((1+Dashboard!$C$12)^$CZ12),0)</f>
        <v>606593.20191901969</v>
      </c>
      <c r="GI12" s="126">
        <f ca="1">MAX(GI11*(1+CJ12)-(Dashboard!$C$11)/(1-Dashboard!$C$17)*((1+Dashboard!$C$12)^$CZ12),0)</f>
        <v>524164.76875484345</v>
      </c>
      <c r="GJ12" s="126">
        <f ca="1">MAX(GJ11*(1+CK12)-(Dashboard!$C$11)/(1-Dashboard!$C$17)*((1+Dashboard!$C$12)^$CZ12),0)</f>
        <v>875229.22225027834</v>
      </c>
      <c r="GK12" s="126">
        <f ca="1">MAX(GK11*(1+CL12)-(Dashboard!$C$11)/(1-Dashboard!$C$17)*((1+Dashboard!$C$12)^$CZ12),0)</f>
        <v>1863610.8962247213</v>
      </c>
      <c r="GL12" s="126">
        <f ca="1">MAX(GL11*(1+CM12)-(Dashboard!$C$11)/(1-Dashboard!$C$17)*((1+Dashboard!$C$12)^$CZ12),0)</f>
        <v>2296847.631511434</v>
      </c>
      <c r="GM12" s="126">
        <f ca="1">MAX(GM11*(1+CN12)-(Dashboard!$C$11)/(1-Dashboard!$C$17)*((1+Dashboard!$C$12)^$CZ12),0)</f>
        <v>621451.08408262499</v>
      </c>
      <c r="GN12" s="126">
        <f ca="1">MAX(GN11*(1+CO12)-(Dashboard!$C$11)/(1-Dashboard!$C$17)*((1+Dashboard!$C$12)^$CZ12),0)</f>
        <v>322552.60487580398</v>
      </c>
      <c r="GO12" s="126">
        <f ca="1">MAX(GO11*(1+CP12)-(Dashboard!$C$11)/(1-Dashboard!$C$17)*((1+Dashboard!$C$12)^$CZ12),0)</f>
        <v>661889.44865136489</v>
      </c>
      <c r="GP12" s="126">
        <f ca="1">MAX(GP11*(1+CQ12)-(Dashboard!$C$11)/(1-Dashboard!$C$17)*((1+Dashboard!$C$12)^$CZ12),0)</f>
        <v>727742.41639865329</v>
      </c>
      <c r="GQ12" s="126">
        <f ca="1">MAX(GQ11*(1+CR12)-(Dashboard!$C$11)/(1-Dashboard!$C$17)*((1+Dashboard!$C$12)^$CZ12),0)</f>
        <v>542292.88959855307</v>
      </c>
      <c r="GR12" s="126">
        <f ca="1">MAX(GR11*(1+CS12)-(Dashboard!$C$11)/(1-Dashboard!$C$17)*((1+Dashboard!$C$12)^$CZ12),0)</f>
        <v>560514.57754316193</v>
      </c>
      <c r="GS12" s="126">
        <f ca="1">MAX(GS11*(1+CT12)-(Dashboard!$C$11)/(1-Dashboard!$C$17)*((1+Dashboard!$C$12)^$CZ12),0)</f>
        <v>1519946.0643376946</v>
      </c>
      <c r="GT12" s="126">
        <f ca="1">MAX(GT11*(1+CU12)-(Dashboard!$C$11)/(1-Dashboard!$C$17)*((1+Dashboard!$C$12)^$CZ12),0)</f>
        <v>1326038.2699466806</v>
      </c>
      <c r="GU12" s="126">
        <f ca="1">MAX(GU11*(1+CV12)-(Dashboard!$C$11)/(1-Dashboard!$C$17)*((1+Dashboard!$C$12)^$CZ12),0)</f>
        <v>482900.15594381472</v>
      </c>
      <c r="GV12" s="126">
        <f ca="1">MAX(GV11*(1+CW12)-(Dashboard!$C$11)/(1-Dashboard!$C$17)*((1+Dashboard!$C$12)^$CZ12),0)</f>
        <v>526675.03833810019</v>
      </c>
      <c r="GW12" s="115">
        <f t="shared" si="4"/>
        <v>61</v>
      </c>
      <c r="GX12" s="130">
        <f t="shared" ca="1" si="2"/>
        <v>100</v>
      </c>
      <c r="HC12" s="130">
        <f t="shared" si="0"/>
        <v>61</v>
      </c>
      <c r="HD12" s="137">
        <f t="shared" ca="1" si="1"/>
        <v>673050.51521214936</v>
      </c>
      <c r="HE12" s="137">
        <f t="shared" ca="1" si="1"/>
        <v>1030999.6654704723</v>
      </c>
      <c r="HF12" s="137">
        <f t="shared" ca="1" si="1"/>
        <v>1338567.4329548895</v>
      </c>
    </row>
    <row r="13" spans="1:214" ht="16">
      <c r="A13" s="145">
        <f t="shared" si="3"/>
        <v>62</v>
      </c>
      <c r="B13" s="119">
        <f ca="1">(Dashboard!$C$7*'Equity and Bond Returns'!N13)+(Dashboard!$C$8*'Equity and Bond Returns'!DL13)</f>
        <v>8.1353212912081002E-2</v>
      </c>
      <c r="C13" s="119">
        <f ca="1">(Dashboard!$C$7*'Equity and Bond Returns'!O13)+(Dashboard!$C$8*'Equity and Bond Returns'!DM13)</f>
        <v>-8.0362271842396249E-2</v>
      </c>
      <c r="D13" s="119">
        <f ca="1">(Dashboard!$C$7*'Equity and Bond Returns'!P13)+(Dashboard!$C$8*'Equity and Bond Returns'!DN13)</f>
        <v>0.17544863751223855</v>
      </c>
      <c r="E13" s="119">
        <f ca="1">(Dashboard!$C$7*'Equity and Bond Returns'!Q13)+(Dashboard!$C$8*'Equity and Bond Returns'!DO13)</f>
        <v>9.6239227080741008E-2</v>
      </c>
      <c r="F13" s="119">
        <f ca="1">(Dashboard!$C$7*'Equity and Bond Returns'!R13)+(Dashboard!$C$8*'Equity and Bond Returns'!DP13)</f>
        <v>0.20159592715600969</v>
      </c>
      <c r="G13" s="119">
        <f ca="1">(Dashboard!$C$7*'Equity and Bond Returns'!S13)+(Dashboard!$C$8*'Equity and Bond Returns'!DQ13)</f>
        <v>0.15897180736531794</v>
      </c>
      <c r="H13" s="119">
        <f ca="1">(Dashboard!$C$7*'Equity and Bond Returns'!T13)+(Dashboard!$C$8*'Equity and Bond Returns'!DR13)</f>
        <v>0.23369861522132596</v>
      </c>
      <c r="I13" s="119">
        <f ca="1">(Dashboard!$C$7*'Equity and Bond Returns'!U13)+(Dashboard!$C$8*'Equity and Bond Returns'!DS13)</f>
        <v>0.17125026454989289</v>
      </c>
      <c r="J13" s="119">
        <f ca="1">(Dashboard!$C$7*'Equity and Bond Returns'!V13)+(Dashboard!$C$8*'Equity and Bond Returns'!DT13)</f>
        <v>9.9180173671082644E-2</v>
      </c>
      <c r="K13" s="119">
        <f ca="1">(Dashboard!$C$7*'Equity and Bond Returns'!W13)+(Dashboard!$C$8*'Equity and Bond Returns'!DU13)</f>
        <v>-2.6343276293863647E-2</v>
      </c>
      <c r="L13" s="119">
        <f ca="1">(Dashboard!$C$7*'Equity and Bond Returns'!X13)+(Dashboard!$C$8*'Equity and Bond Returns'!DV13)</f>
        <v>0.19655357516365052</v>
      </c>
      <c r="M13" s="119">
        <f ca="1">(Dashboard!$C$7*'Equity and Bond Returns'!Y13)+(Dashboard!$C$8*'Equity and Bond Returns'!DW13)</f>
        <v>4.9112690558912479E-2</v>
      </c>
      <c r="N13" s="119">
        <f ca="1">(Dashboard!$C$7*'Equity and Bond Returns'!Z13)+(Dashboard!$C$8*'Equity and Bond Returns'!DX13)</f>
        <v>-2.080253478143685E-2</v>
      </c>
      <c r="O13" s="119">
        <f ca="1">(Dashboard!$C$7*'Equity and Bond Returns'!AA13)+(Dashboard!$C$8*'Equity and Bond Returns'!DY13)</f>
        <v>0.22923235271073883</v>
      </c>
      <c r="P13" s="119">
        <f ca="1">(Dashboard!$C$7*'Equity and Bond Returns'!AB13)+(Dashboard!$C$8*'Equity and Bond Returns'!DZ13)</f>
        <v>4.0970926146137877E-2</v>
      </c>
      <c r="Q13" s="119">
        <f ca="1">(Dashboard!$C$7*'Equity and Bond Returns'!AC13)+(Dashboard!$C$8*'Equity and Bond Returns'!EA13)</f>
        <v>0.24362066853608411</v>
      </c>
      <c r="R13" s="119">
        <f ca="1">(Dashboard!$C$7*'Equity and Bond Returns'!AD13)+(Dashboard!$C$8*'Equity and Bond Returns'!EB13)</f>
        <v>0.14544731401637112</v>
      </c>
      <c r="S13" s="119">
        <f ca="1">(Dashboard!$C$7*'Equity and Bond Returns'!AE13)+(Dashboard!$C$8*'Equity and Bond Returns'!EC13)</f>
        <v>4.3168490878986776E-2</v>
      </c>
      <c r="T13" s="119">
        <f ca="1">(Dashboard!$C$7*'Equity and Bond Returns'!AF13)+(Dashboard!$C$8*'Equity and Bond Returns'!ED13)</f>
        <v>0.15651054436861531</v>
      </c>
      <c r="U13" s="119">
        <f ca="1">(Dashboard!$C$7*'Equity and Bond Returns'!AG13)+(Dashboard!$C$8*'Equity and Bond Returns'!EE13)</f>
        <v>7.3820733549845974E-2</v>
      </c>
      <c r="V13" s="119">
        <f ca="1">(Dashboard!$C$7*'Equity and Bond Returns'!AH13)+(Dashboard!$C$8*'Equity and Bond Returns'!EF13)</f>
        <v>3.3913441697862409E-2</v>
      </c>
      <c r="W13" s="119">
        <f ca="1">(Dashboard!$C$7*'Equity and Bond Returns'!AI13)+(Dashboard!$C$8*'Equity and Bond Returns'!EG13)</f>
        <v>0.43269500825905999</v>
      </c>
      <c r="X13" s="119">
        <f ca="1">(Dashboard!$C$7*'Equity and Bond Returns'!AJ13)+(Dashboard!$C$8*'Equity and Bond Returns'!EH13)</f>
        <v>-3.8465919017753473E-2</v>
      </c>
      <c r="Y13" s="119">
        <f ca="1">(Dashboard!$C$7*'Equity and Bond Returns'!AK13)+(Dashboard!$C$8*'Equity and Bond Returns'!EI13)</f>
        <v>0.12154482552432166</v>
      </c>
      <c r="Z13" s="119">
        <f ca="1">(Dashboard!$C$7*'Equity and Bond Returns'!AL13)+(Dashboard!$C$8*'Equity and Bond Returns'!EJ13)</f>
        <v>2.2063077532895249E-2</v>
      </c>
      <c r="AA13" s="119">
        <f ca="1">(Dashboard!$C$7*'Equity and Bond Returns'!AM13)+(Dashboard!$C$8*'Equity and Bond Returns'!EK13)</f>
        <v>0.15261380386593476</v>
      </c>
      <c r="AB13" s="119">
        <f ca="1">(Dashboard!$C$7*'Equity and Bond Returns'!AN13)+(Dashboard!$C$8*'Equity and Bond Returns'!EL13)</f>
        <v>0.24873437207551966</v>
      </c>
      <c r="AC13" s="119">
        <f ca="1">(Dashboard!$C$7*'Equity and Bond Returns'!AO13)+(Dashboard!$C$8*'Equity and Bond Returns'!EM13)</f>
        <v>0.17654860362214986</v>
      </c>
      <c r="AD13" s="119">
        <f ca="1">(Dashboard!$C$7*'Equity and Bond Returns'!AP13)+(Dashboard!$C$8*'Equity and Bond Returns'!EN13)</f>
        <v>0.37899535162009929</v>
      </c>
      <c r="AE13" s="119">
        <f ca="1">(Dashboard!$C$7*'Equity and Bond Returns'!AQ13)+(Dashboard!$C$8*'Equity and Bond Returns'!EO13)</f>
        <v>-0.14827161294840455</v>
      </c>
      <c r="AF13" s="119">
        <f ca="1">(Dashboard!$C$7*'Equity and Bond Returns'!AR13)+(Dashboard!$C$8*'Equity and Bond Returns'!EP13)</f>
        <v>1.9488472460500735E-2</v>
      </c>
      <c r="AG13" s="119">
        <f ca="1">(Dashboard!$C$7*'Equity and Bond Returns'!AS13)+(Dashboard!$C$8*'Equity and Bond Returns'!EQ13)</f>
        <v>4.6697551849756408E-2</v>
      </c>
      <c r="AH13" s="119">
        <f ca="1">(Dashboard!$C$7*'Equity and Bond Returns'!AT13)+(Dashboard!$C$8*'Equity and Bond Returns'!ER13)</f>
        <v>0.26701432034470618</v>
      </c>
      <c r="AI13" s="119">
        <f ca="1">(Dashboard!$C$7*'Equity and Bond Returns'!AU13)+(Dashboard!$C$8*'Equity and Bond Returns'!ES13)</f>
        <v>0.25805342797844888</v>
      </c>
      <c r="AJ13" s="119">
        <f ca="1">(Dashboard!$C$7*'Equity and Bond Returns'!AV13)+(Dashboard!$C$8*'Equity and Bond Returns'!ET13)</f>
        <v>0.22027666397865789</v>
      </c>
      <c r="AK13" s="119">
        <f ca="1">(Dashboard!$C$7*'Equity and Bond Returns'!AW13)+(Dashboard!$C$8*'Equity and Bond Returns'!EU13)</f>
        <v>2.9840268666911269E-2</v>
      </c>
      <c r="AL13" s="119">
        <f ca="1">(Dashboard!$C$7*'Equity and Bond Returns'!AX13)+(Dashboard!$C$8*'Equity and Bond Returns'!EV13)</f>
        <v>0.23823169466183891</v>
      </c>
      <c r="AM13" s="119">
        <f ca="1">(Dashboard!$C$7*'Equity and Bond Returns'!AY13)+(Dashboard!$C$8*'Equity and Bond Returns'!EW13)</f>
        <v>-8.2753942035428851E-2</v>
      </c>
      <c r="AN13" s="119">
        <f ca="1">(Dashboard!$C$7*'Equity and Bond Returns'!AZ13)+(Dashboard!$C$8*'Equity and Bond Returns'!EX13)</f>
        <v>-0.22816154462463531</v>
      </c>
      <c r="AO13" s="119">
        <f ca="1">(Dashboard!$C$7*'Equity and Bond Returns'!BA13)+(Dashboard!$C$8*'Equity and Bond Returns'!EY13)</f>
        <v>-3.6549019156196363E-2</v>
      </c>
      <c r="AP13" s="119">
        <f ca="1">(Dashboard!$C$7*'Equity and Bond Returns'!BB13)+(Dashboard!$C$8*'Equity and Bond Returns'!EZ13)</f>
        <v>-9.6006776844995687E-2</v>
      </c>
      <c r="AQ13" s="119">
        <f ca="1">(Dashboard!$C$7*'Equity and Bond Returns'!BC13)+(Dashboard!$C$8*'Equity and Bond Returns'!FA13)</f>
        <v>-2.7907380370651033E-2</v>
      </c>
      <c r="AR13" s="119">
        <f ca="1">(Dashboard!$C$7*'Equity and Bond Returns'!BD13)+(Dashboard!$C$8*'Equity and Bond Returns'!FB13)</f>
        <v>0.1584427048511701</v>
      </c>
      <c r="AS13" s="119">
        <f ca="1">(Dashboard!$C$7*'Equity and Bond Returns'!BE13)+(Dashboard!$C$8*'Equity and Bond Returns'!FC13)</f>
        <v>-0.18738897731375981</v>
      </c>
      <c r="AT13" s="119">
        <f ca="1">(Dashboard!$C$7*'Equity and Bond Returns'!BF13)+(Dashboard!$C$8*'Equity and Bond Returns'!FD13)</f>
        <v>0.23531004949489545</v>
      </c>
      <c r="AU13" s="119">
        <f ca="1">(Dashboard!$C$7*'Equity and Bond Returns'!BG13)+(Dashboard!$C$8*'Equity and Bond Returns'!FE13)</f>
        <v>0.17702454152713354</v>
      </c>
      <c r="AV13" s="119">
        <f ca="1">(Dashboard!$C$7*'Equity and Bond Returns'!BH13)+(Dashboard!$C$8*'Equity and Bond Returns'!FF13)</f>
        <v>0.33593253830519104</v>
      </c>
      <c r="AW13" s="119">
        <f ca="1">(Dashboard!$C$7*'Equity and Bond Returns'!BI13)+(Dashboard!$C$8*'Equity and Bond Returns'!FG13)</f>
        <v>0.1178040966843751</v>
      </c>
      <c r="AX13" s="119">
        <f ca="1">(Dashboard!$C$7*'Equity and Bond Returns'!BJ13)+(Dashboard!$C$8*'Equity and Bond Returns'!FH13)</f>
        <v>-1.4233311314112155E-2</v>
      </c>
      <c r="AY13" s="119">
        <f ca="1">(Dashboard!$C$7*'Equity and Bond Returns'!BK13)+(Dashboard!$C$8*'Equity and Bond Returns'!FI13)</f>
        <v>-1.832034848090134E-2</v>
      </c>
      <c r="AZ13" s="119">
        <f ca="1">(Dashboard!$C$7*'Equity and Bond Returns'!BL13)+(Dashboard!$C$8*'Equity and Bond Returns'!FJ13)</f>
        <v>0.25929348119948642</v>
      </c>
      <c r="BA13" s="119">
        <f ca="1">(Dashboard!$C$7*'Equity and Bond Returns'!BM13)+(Dashboard!$C$8*'Equity and Bond Returns'!FK13)</f>
        <v>7.3254799697043918E-2</v>
      </c>
      <c r="BB13" s="119">
        <f ca="1">(Dashboard!$C$7*'Equity and Bond Returns'!BN13)+(Dashboard!$C$8*'Equity and Bond Returns'!FL13)</f>
        <v>-7.7812859586213132E-2</v>
      </c>
      <c r="BC13" s="119">
        <f ca="1">(Dashboard!$C$7*'Equity and Bond Returns'!BO13)+(Dashboard!$C$8*'Equity and Bond Returns'!FM13)</f>
        <v>-0.1154047826805384</v>
      </c>
      <c r="BD13" s="119">
        <f ca="1">(Dashboard!$C$7*'Equity and Bond Returns'!BP13)+(Dashboard!$C$8*'Equity and Bond Returns'!FN13)</f>
        <v>-6.3121693429946155E-2</v>
      </c>
      <c r="BE13" s="119">
        <f ca="1">(Dashboard!$C$7*'Equity and Bond Returns'!BQ13)+(Dashboard!$C$8*'Equity and Bond Returns'!FO13)</f>
        <v>0.44300585315832547</v>
      </c>
      <c r="BF13" s="119">
        <f ca="1">(Dashboard!$C$7*'Equity and Bond Returns'!BR13)+(Dashboard!$C$8*'Equity and Bond Returns'!FP13)</f>
        <v>-4.0880265425575095E-2</v>
      </c>
      <c r="BG13" s="119">
        <f ca="1">(Dashboard!$C$7*'Equity and Bond Returns'!BS13)+(Dashboard!$C$8*'Equity and Bond Returns'!FQ13)</f>
        <v>7.4300849023494805E-2</v>
      </c>
      <c r="BH13" s="119">
        <f ca="1">(Dashboard!$C$7*'Equity and Bond Returns'!BT13)+(Dashboard!$C$8*'Equity and Bond Returns'!FR13)</f>
        <v>-0.11269549156898208</v>
      </c>
      <c r="BI13" s="119">
        <f ca="1">(Dashboard!$C$7*'Equity and Bond Returns'!BU13)+(Dashboard!$C$8*'Equity and Bond Returns'!FS13)</f>
        <v>0.10035741461001017</v>
      </c>
      <c r="BJ13" s="119">
        <f ca="1">(Dashboard!$C$7*'Equity and Bond Returns'!BV13)+(Dashboard!$C$8*'Equity and Bond Returns'!FT13)</f>
        <v>0.21451565835264988</v>
      </c>
      <c r="BK13" s="119">
        <f ca="1">(Dashboard!$C$7*'Equity and Bond Returns'!BW13)+(Dashboard!$C$8*'Equity and Bond Returns'!FU13)</f>
        <v>0.38376524938822432</v>
      </c>
      <c r="BL13" s="119">
        <f ca="1">(Dashboard!$C$7*'Equity and Bond Returns'!BX13)+(Dashboard!$C$8*'Equity and Bond Returns'!FV13)</f>
        <v>0.26690846413786995</v>
      </c>
      <c r="BM13" s="119">
        <f ca="1">(Dashboard!$C$7*'Equity and Bond Returns'!BY13)+(Dashboard!$C$8*'Equity and Bond Returns'!FW13)</f>
        <v>-0.12272074199964235</v>
      </c>
      <c r="BN13" s="119">
        <f ca="1">(Dashboard!$C$7*'Equity and Bond Returns'!BZ13)+(Dashboard!$C$8*'Equity and Bond Returns'!FX13)</f>
        <v>3.1570650010112014E-2</v>
      </c>
      <c r="BO13" s="119">
        <f ca="1">(Dashboard!$C$7*'Equity and Bond Returns'!CA13)+(Dashboard!$C$8*'Equity and Bond Returns'!FY13)</f>
        <v>0.22577390271045444</v>
      </c>
      <c r="BP13" s="119">
        <f ca="1">(Dashboard!$C$7*'Equity and Bond Returns'!CB13)+(Dashboard!$C$8*'Equity and Bond Returns'!FZ13)</f>
        <v>-5.3776916877296979E-2</v>
      </c>
      <c r="BQ13" s="119">
        <f ca="1">(Dashboard!$C$7*'Equity and Bond Returns'!CC13)+(Dashboard!$C$8*'Equity and Bond Returns'!GA13)</f>
        <v>-4.4686062606639002E-5</v>
      </c>
      <c r="BR13" s="119">
        <f ca="1">(Dashboard!$C$7*'Equity and Bond Returns'!CD13)+(Dashboard!$C$8*'Equity and Bond Returns'!GB13)</f>
        <v>-1.8939209836600489E-2</v>
      </c>
      <c r="BS13" s="119">
        <f ca="1">(Dashboard!$C$7*'Equity and Bond Returns'!CE13)+(Dashboard!$C$8*'Equity and Bond Returns'!GC13)</f>
        <v>0.18627339846478155</v>
      </c>
      <c r="BT13" s="119">
        <f ca="1">(Dashboard!$C$7*'Equity and Bond Returns'!CF13)+(Dashboard!$C$8*'Equity and Bond Returns'!GD13)</f>
        <v>0.47173966311762083</v>
      </c>
      <c r="BU13" s="119">
        <f ca="1">(Dashboard!$C$7*'Equity and Bond Returns'!CG13)+(Dashboard!$C$8*'Equity and Bond Returns'!GE13)</f>
        <v>0.1625472340471118</v>
      </c>
      <c r="BV13" s="119">
        <f ca="1">(Dashboard!$C$7*'Equity and Bond Returns'!CH13)+(Dashboard!$C$8*'Equity and Bond Returns'!GF13)</f>
        <v>0.14749486001500295</v>
      </c>
      <c r="BW13" s="119">
        <f ca="1">(Dashboard!$C$7*'Equity and Bond Returns'!CI13)+(Dashboard!$C$8*'Equity and Bond Returns'!GG13)</f>
        <v>0.27224275354600658</v>
      </c>
      <c r="BX13" s="119">
        <f ca="1">(Dashboard!$C$7*'Equity and Bond Returns'!CJ13)+(Dashboard!$C$8*'Equity and Bond Returns'!GH13)</f>
        <v>0.20485015181407987</v>
      </c>
      <c r="BY13" s="119">
        <f ca="1">(Dashboard!$C$7*'Equity and Bond Returns'!CK13)+(Dashboard!$C$8*'Equity and Bond Returns'!GI13)</f>
        <v>0.12680198877956034</v>
      </c>
      <c r="BZ13" s="119">
        <f ca="1">(Dashboard!$C$7*'Equity and Bond Returns'!CL13)+(Dashboard!$C$8*'Equity and Bond Returns'!GJ13)</f>
        <v>0.27220841638789756</v>
      </c>
      <c r="CA13" s="119">
        <f ca="1">(Dashboard!$C$7*'Equity and Bond Returns'!CM13)+(Dashboard!$C$8*'Equity and Bond Returns'!GK13)</f>
        <v>0.42674342250292163</v>
      </c>
      <c r="CB13" s="119">
        <f ca="1">(Dashboard!$C$7*'Equity and Bond Returns'!CN13)+(Dashboard!$C$8*'Equity and Bond Returns'!GL13)</f>
        <v>-3.2211518000531937E-2</v>
      </c>
      <c r="CC13" s="119">
        <f ca="1">(Dashboard!$C$7*'Equity and Bond Returns'!CO13)+(Dashboard!$C$8*'Equity and Bond Returns'!GM13)</f>
        <v>0.24931087366918778</v>
      </c>
      <c r="CD13" s="119">
        <f ca="1">(Dashboard!$C$7*'Equity and Bond Returns'!CP13)+(Dashboard!$C$8*'Equity and Bond Returns'!GN13)</f>
        <v>0.12552660769381158</v>
      </c>
      <c r="CE13" s="119">
        <f ca="1">(Dashboard!$C$7*'Equity and Bond Returns'!CQ13)+(Dashboard!$C$8*'Equity and Bond Returns'!GO13)</f>
        <v>0.14348593795511866</v>
      </c>
      <c r="CF13" s="119">
        <f ca="1">(Dashboard!$C$7*'Equity and Bond Returns'!CR13)+(Dashboard!$C$8*'Equity and Bond Returns'!GP13)</f>
        <v>-5.106781985620084E-2</v>
      </c>
      <c r="CG13" s="119">
        <f ca="1">(Dashboard!$C$7*'Equity and Bond Returns'!CS13)+(Dashboard!$C$8*'Equity and Bond Returns'!GQ13)</f>
        <v>0.12740720167424902</v>
      </c>
      <c r="CH13" s="119">
        <f ca="1">(Dashboard!$C$7*'Equity and Bond Returns'!CT13)+(Dashboard!$C$8*'Equity and Bond Returns'!GR13)</f>
        <v>0.1753684931254095</v>
      </c>
      <c r="CI13" s="119">
        <f ca="1">(Dashboard!$C$7*'Equity and Bond Returns'!CU13)+(Dashboard!$C$8*'Equity and Bond Returns'!GS13)</f>
        <v>2.9412193535605001E-2</v>
      </c>
      <c r="CJ13" s="119">
        <f ca="1">(Dashboard!$C$7*'Equity and Bond Returns'!CV13)+(Dashboard!$C$8*'Equity and Bond Returns'!GT13)</f>
        <v>0.20501832186902957</v>
      </c>
      <c r="CK13" s="119">
        <f ca="1">(Dashboard!$C$7*'Equity and Bond Returns'!CW13)+(Dashboard!$C$8*'Equity and Bond Returns'!GU13)</f>
        <v>9.4656974114299842E-3</v>
      </c>
      <c r="CL13" s="119">
        <f ca="1">(Dashboard!$C$7*'Equity and Bond Returns'!CX13)+(Dashboard!$C$8*'Equity and Bond Returns'!GV13)</f>
        <v>2.6104306918085948E-2</v>
      </c>
      <c r="CM13" s="119">
        <f ca="1">(Dashboard!$C$7*'Equity and Bond Returns'!CY13)+(Dashboard!$C$8*'Equity and Bond Returns'!GW13)</f>
        <v>-2.1302103433333157E-2</v>
      </c>
      <c r="CN13" s="119">
        <f ca="1">(Dashboard!$C$7*'Equity and Bond Returns'!CZ13)+(Dashboard!$C$8*'Equity and Bond Returns'!GX13)</f>
        <v>2.402465189744003E-3</v>
      </c>
      <c r="CO13" s="119">
        <f ca="1">(Dashboard!$C$7*'Equity and Bond Returns'!DA13)+(Dashboard!$C$8*'Equity and Bond Returns'!GY13)</f>
        <v>-6.4481594148857013E-2</v>
      </c>
      <c r="CP13" s="119">
        <f ca="1">(Dashboard!$C$7*'Equity and Bond Returns'!DB13)+(Dashboard!$C$8*'Equity and Bond Returns'!GZ13)</f>
        <v>0.24571903462299166</v>
      </c>
      <c r="CQ13" s="119">
        <f ca="1">(Dashboard!$C$7*'Equity and Bond Returns'!DC13)+(Dashboard!$C$8*'Equity and Bond Returns'!HA13)</f>
        <v>0.213062544258803</v>
      </c>
      <c r="CR13" s="119">
        <f ca="1">(Dashboard!$C$7*'Equity and Bond Returns'!DD13)+(Dashboard!$C$8*'Equity and Bond Returns'!HB13)</f>
        <v>5.6917772165480468E-2</v>
      </c>
      <c r="CS13" s="119">
        <f ca="1">(Dashboard!$C$7*'Equity and Bond Returns'!DE13)+(Dashboard!$C$8*'Equity and Bond Returns'!HC13)</f>
        <v>7.3180979745321534E-2</v>
      </c>
      <c r="CT13" s="119">
        <f ca="1">(Dashboard!$C$7*'Equity and Bond Returns'!DF13)+(Dashboard!$C$8*'Equity and Bond Returns'!HD13)</f>
        <v>0.25987423099302814</v>
      </c>
      <c r="CU13" s="119">
        <f ca="1">(Dashboard!$C$7*'Equity and Bond Returns'!DG13)+(Dashboard!$C$8*'Equity and Bond Returns'!HE13)</f>
        <v>0.12044363286481363</v>
      </c>
      <c r="CV13" s="119">
        <f ca="1">(Dashboard!$C$7*'Equity and Bond Returns'!DH13)+(Dashboard!$C$8*'Equity and Bond Returns'!HF13)</f>
        <v>0.27142771929859966</v>
      </c>
      <c r="CW13" s="119">
        <f ca="1">(Dashboard!$C$7*'Equity and Bond Returns'!DI13)+(Dashboard!$C$8*'Equity and Bond Returns'!HG13)</f>
        <v>0.30764039318783909</v>
      </c>
      <c r="CY13" s="147">
        <f t="shared" si="5"/>
        <v>62</v>
      </c>
      <c r="CZ13" s="147">
        <v>12</v>
      </c>
      <c r="DA13" s="126">
        <f ca="1">MAX(DA12*(1+B13)-(Dashboard!$C$11)/(1-Dashboard!$C$17)*((1+Dashboard!$C$12)^$CZ13),0)</f>
        <v>1727302.294255015</v>
      </c>
      <c r="DB13" s="126">
        <f ca="1">MAX(DB12*(1+C13)-(Dashboard!$C$11)/(1-Dashboard!$C$17)*((1+Dashboard!$C$12)^$CZ13),0)</f>
        <v>226869.2291723974</v>
      </c>
      <c r="DC13" s="126">
        <f ca="1">MAX(DC12*(1+D13)-(Dashboard!$C$11)/(1-Dashboard!$C$17)*((1+Dashboard!$C$12)^$CZ13),0)</f>
        <v>889443.16183279676</v>
      </c>
      <c r="DD13" s="126">
        <f ca="1">MAX(DD12*(1+E13)-(Dashboard!$C$11)/(1-Dashboard!$C$17)*((1+Dashboard!$C$12)^$CZ13),0)</f>
        <v>539425.6952752457</v>
      </c>
      <c r="DE13" s="126">
        <f ca="1">MAX(DE12*(1+F13)-(Dashboard!$C$11)/(1-Dashboard!$C$17)*((1+Dashboard!$C$12)^$CZ13),0)</f>
        <v>1372908.8549318512</v>
      </c>
      <c r="DF13" s="126">
        <f ca="1">MAX(DF12*(1+G13)-(Dashboard!$C$11)/(1-Dashboard!$C$17)*((1+Dashboard!$C$12)^$CZ13),0)</f>
        <v>1492978.7321673352</v>
      </c>
      <c r="DG13" s="126">
        <f ca="1">MAX(DG12*(1+H13)-(Dashboard!$C$11)/(1-Dashboard!$C$17)*((1+Dashboard!$C$12)^$CZ13),0)</f>
        <v>324993.97645815584</v>
      </c>
      <c r="DH13" s="126">
        <f ca="1">MAX(DH12*(1+I13)-(Dashboard!$C$11)/(1-Dashboard!$C$17)*((1+Dashboard!$C$12)^$CZ13),0)</f>
        <v>1067017.9377225533</v>
      </c>
      <c r="DI13" s="126">
        <f ca="1">MAX(DI12*(1+J13)-(Dashboard!$C$11)/(1-Dashboard!$C$17)*((1+Dashboard!$C$12)^$CZ13),0)</f>
        <v>921515.23989430757</v>
      </c>
      <c r="DJ13" s="126">
        <f ca="1">MAX(DJ12*(1+K13)-(Dashboard!$C$11)/(1-Dashboard!$C$17)*((1+Dashboard!$C$12)^$CZ13),0)</f>
        <v>1529005.7518449936</v>
      </c>
      <c r="DK13" s="126">
        <f ca="1">MAX(DK12*(1+L13)-(Dashboard!$C$11)/(1-Dashboard!$C$17)*((1+Dashboard!$C$12)^$CZ13),0)</f>
        <v>2092185.2825552302</v>
      </c>
      <c r="DL13" s="126">
        <f ca="1">MAX(DL12*(1+M13)-(Dashboard!$C$11)/(1-Dashboard!$C$17)*((1+Dashboard!$C$12)^$CZ13),0)</f>
        <v>1045639.5159676326</v>
      </c>
      <c r="DM13" s="126">
        <f ca="1">MAX(DM12*(1+N13)-(Dashboard!$C$11)/(1-Dashboard!$C$17)*((1+Dashboard!$C$12)^$CZ13),0)</f>
        <v>1315464.852622099</v>
      </c>
      <c r="DN13" s="126">
        <f ca="1">MAX(DN12*(1+O13)-(Dashboard!$C$11)/(1-Dashboard!$C$17)*((1+Dashboard!$C$12)^$CZ13),0)</f>
        <v>4301209.9177784771</v>
      </c>
      <c r="DO13" s="126">
        <f ca="1">MAX(DO12*(1+P13)-(Dashboard!$C$11)/(1-Dashboard!$C$17)*((1+Dashboard!$C$12)^$CZ13),0)</f>
        <v>1495353.6655000157</v>
      </c>
      <c r="DP13" s="126">
        <f ca="1">MAX(DP12*(1+Q13)-(Dashboard!$C$11)/(1-Dashboard!$C$17)*((1+Dashboard!$C$12)^$CZ13),0)</f>
        <v>909383.33507012133</v>
      </c>
      <c r="DQ13" s="126">
        <f ca="1">MAX(DQ12*(1+R13)-(Dashboard!$C$11)/(1-Dashboard!$C$17)*((1+Dashboard!$C$12)^$CZ13),0)</f>
        <v>913644.43018671533</v>
      </c>
      <c r="DR13" s="126">
        <f ca="1">MAX(DR12*(1+S13)-(Dashboard!$C$11)/(1-Dashboard!$C$17)*((1+Dashboard!$C$12)^$CZ13),0)</f>
        <v>835142.81290467782</v>
      </c>
      <c r="DS13" s="126">
        <f ca="1">MAX(DS12*(1+T13)-(Dashboard!$C$11)/(1-Dashboard!$C$17)*((1+Dashboard!$C$12)^$CZ13),0)</f>
        <v>1229015.484253149</v>
      </c>
      <c r="DT13" s="126">
        <f ca="1">MAX(DT12*(1+U13)-(Dashboard!$C$11)/(1-Dashboard!$C$17)*((1+Dashboard!$C$12)^$CZ13),0)</f>
        <v>777488.02080750337</v>
      </c>
      <c r="DU13" s="126">
        <f ca="1">MAX(DU12*(1+V13)-(Dashboard!$C$11)/(1-Dashboard!$C$17)*((1+Dashboard!$C$12)^$CZ13),0)</f>
        <v>1024700.2865143949</v>
      </c>
      <c r="DV13" s="126">
        <f ca="1">MAX(DV12*(1+W13)-(Dashboard!$C$11)/(1-Dashboard!$C$17)*((1+Dashboard!$C$12)^$CZ13),0)</f>
        <v>2202668.8123891908</v>
      </c>
      <c r="DW13" s="126">
        <f ca="1">MAX(DW12*(1+X13)-(Dashboard!$C$11)/(1-Dashboard!$C$17)*((1+Dashboard!$C$12)^$CZ13),0)</f>
        <v>1417811.9614779938</v>
      </c>
      <c r="DX13" s="126">
        <f ca="1">MAX(DX12*(1+Y13)-(Dashboard!$C$11)/(1-Dashboard!$C$17)*((1+Dashboard!$C$12)^$CZ13),0)</f>
        <v>607323.04156195349</v>
      </c>
      <c r="DY13" s="126">
        <f ca="1">MAX(DY12*(1+Z13)-(Dashboard!$C$11)/(1-Dashboard!$C$17)*((1+Dashboard!$C$12)^$CZ13),0)</f>
        <v>2186943.6712279292</v>
      </c>
      <c r="DZ13" s="126">
        <f ca="1">MAX(DZ12*(1+AA13)-(Dashboard!$C$11)/(1-Dashboard!$C$17)*((1+Dashboard!$C$12)^$CZ13),0)</f>
        <v>975883.53298838809</v>
      </c>
      <c r="EA13" s="126">
        <f ca="1">MAX(EA12*(1+AB13)-(Dashboard!$C$11)/(1-Dashboard!$C$17)*((1+Dashboard!$C$12)^$CZ13),0)</f>
        <v>690904.18832294887</v>
      </c>
      <c r="EB13" s="126">
        <f ca="1">MAX(EB12*(1+AC13)-(Dashboard!$C$11)/(1-Dashboard!$C$17)*((1+Dashboard!$C$12)^$CZ13),0)</f>
        <v>916346.4984618962</v>
      </c>
      <c r="EC13" s="126">
        <f ca="1">MAX(EC12*(1+AD13)-(Dashboard!$C$11)/(1-Dashboard!$C$17)*((1+Dashboard!$C$12)^$CZ13),0)</f>
        <v>1421225.4145157363</v>
      </c>
      <c r="ED13" s="126">
        <f ca="1">MAX(ED12*(1+AE13)-(Dashboard!$C$11)/(1-Dashboard!$C$17)*((1+Dashboard!$C$12)^$CZ13),0)</f>
        <v>1401085.6034669427</v>
      </c>
      <c r="EE13" s="126">
        <f ca="1">MAX(EE12*(1+AF13)-(Dashboard!$C$11)/(1-Dashboard!$C$17)*((1+Dashboard!$C$12)^$CZ13),0)</f>
        <v>1501272.9722931951</v>
      </c>
      <c r="EF13" s="126">
        <f ca="1">MAX(EF12*(1+AG13)-(Dashboard!$C$11)/(1-Dashboard!$C$17)*((1+Dashboard!$C$12)^$CZ13),0)</f>
        <v>1029164.6116134336</v>
      </c>
      <c r="EG13" s="126">
        <f ca="1">MAX(EG12*(1+AH13)-(Dashboard!$C$11)/(1-Dashboard!$C$17)*((1+Dashboard!$C$12)^$CZ13),0)</f>
        <v>1522539.3915402994</v>
      </c>
      <c r="EH13" s="126">
        <f ca="1">MAX(EH12*(1+AI13)-(Dashboard!$C$11)/(1-Dashboard!$C$17)*((1+Dashboard!$C$12)^$CZ13),0)</f>
        <v>1021394.7826014028</v>
      </c>
      <c r="EI13" s="126">
        <f ca="1">MAX(EI12*(1+AJ13)-(Dashboard!$C$11)/(1-Dashboard!$C$17)*((1+Dashboard!$C$12)^$CZ13),0)</f>
        <v>533522.64640766464</v>
      </c>
      <c r="EJ13" s="126">
        <f ca="1">MAX(EJ12*(1+AK13)-(Dashboard!$C$11)/(1-Dashboard!$C$17)*((1+Dashboard!$C$12)^$CZ13),0)</f>
        <v>1041302.5174350452</v>
      </c>
      <c r="EK13" s="126">
        <f ca="1">MAX(EK12*(1+AL13)-(Dashboard!$C$11)/(1-Dashboard!$C$17)*((1+Dashboard!$C$12)^$CZ13),0)</f>
        <v>1471385.5583430121</v>
      </c>
      <c r="EL13" s="126">
        <f ca="1">MAX(EL12*(1+AM13)-(Dashboard!$C$11)/(1-Dashboard!$C$17)*((1+Dashboard!$C$12)^$CZ13),0)</f>
        <v>897864.47687216429</v>
      </c>
      <c r="EM13" s="126">
        <f ca="1">MAX(EM12*(1+AN13)-(Dashboard!$C$11)/(1-Dashboard!$C$17)*((1+Dashboard!$C$12)^$CZ13),0)</f>
        <v>1029152.2841876757</v>
      </c>
      <c r="EN13" s="126">
        <f ca="1">MAX(EN12*(1+AO13)-(Dashboard!$C$11)/(1-Dashboard!$C$17)*((1+Dashboard!$C$12)^$CZ13),0)</f>
        <v>1835494.6602313456</v>
      </c>
      <c r="EO13" s="126">
        <f ca="1">MAX(EO12*(1+AP13)-(Dashboard!$C$11)/(1-Dashboard!$C$17)*((1+Dashboard!$C$12)^$CZ13),0)</f>
        <v>485833.36268574337</v>
      </c>
      <c r="EP13" s="126">
        <f ca="1">MAX(EP12*(1+AQ13)-(Dashboard!$C$11)/(1-Dashboard!$C$17)*((1+Dashboard!$C$12)^$CZ13),0)</f>
        <v>869582.29660147987</v>
      </c>
      <c r="EQ13" s="126">
        <f ca="1">MAX(EQ12*(1+AR13)-(Dashboard!$C$11)/(1-Dashboard!$C$17)*((1+Dashboard!$C$12)^$CZ13),0)</f>
        <v>705221.83680189878</v>
      </c>
      <c r="ER13" s="126">
        <f ca="1">MAX(ER12*(1+AS13)-(Dashboard!$C$11)/(1-Dashboard!$C$17)*((1+Dashboard!$C$12)^$CZ13),0)</f>
        <v>371429.98047357932</v>
      </c>
      <c r="ES13" s="126">
        <f ca="1">MAX(ES12*(1+AT13)-(Dashboard!$C$11)/(1-Dashboard!$C$17)*((1+Dashboard!$C$12)^$CZ13),0)</f>
        <v>1022394.0378611523</v>
      </c>
      <c r="ET13" s="126">
        <f ca="1">MAX(ET12*(1+AU13)-(Dashboard!$C$11)/(1-Dashboard!$C$17)*((1+Dashboard!$C$12)^$CZ13),0)</f>
        <v>1185024.7089757454</v>
      </c>
      <c r="EU13" s="126">
        <f ca="1">MAX(EU12*(1+AV13)-(Dashboard!$C$11)/(1-Dashboard!$C$17)*((1+Dashboard!$C$12)^$CZ13),0)</f>
        <v>1197330.7337487624</v>
      </c>
      <c r="EV13" s="126">
        <f ca="1">MAX(EV12*(1+AW13)-(Dashboard!$C$11)/(1-Dashboard!$C$17)*((1+Dashboard!$C$12)^$CZ13),0)</f>
        <v>2398874.1040805243</v>
      </c>
      <c r="EW13" s="126">
        <f ca="1">MAX(EW12*(1+AX13)-(Dashboard!$C$11)/(1-Dashboard!$C$17)*((1+Dashboard!$C$12)^$CZ13),0)</f>
        <v>1190714.6882631145</v>
      </c>
      <c r="EX13" s="126">
        <f ca="1">MAX(EX12*(1+AY13)-(Dashboard!$C$11)/(1-Dashboard!$C$17)*((1+Dashboard!$C$12)^$CZ13),0)</f>
        <v>1322460.2917188592</v>
      </c>
      <c r="EY13" s="126">
        <f ca="1">MAX(EY12*(1+AZ13)-(Dashboard!$C$11)/(1-Dashboard!$C$17)*((1+Dashboard!$C$12)^$CZ13),0)</f>
        <v>2466336.2443653606</v>
      </c>
      <c r="EZ13" s="126">
        <f ca="1">MAX(EZ12*(1+BA13)-(Dashboard!$C$11)/(1-Dashboard!$C$17)*((1+Dashboard!$C$12)^$CZ13),0)</f>
        <v>450792.62271935522</v>
      </c>
      <c r="FA13" s="126">
        <f ca="1">MAX(FA12*(1+BB13)-(Dashboard!$C$11)/(1-Dashboard!$C$17)*((1+Dashboard!$C$12)^$CZ13),0)</f>
        <v>1190258.8909122525</v>
      </c>
      <c r="FB13" s="126">
        <f ca="1">MAX(FB12*(1+BC13)-(Dashboard!$C$11)/(1-Dashboard!$C$17)*((1+Dashboard!$C$12)^$CZ13),0)</f>
        <v>894259.51732674718</v>
      </c>
      <c r="FC13" s="126">
        <f ca="1">MAX(FC12*(1+BD13)-(Dashboard!$C$11)/(1-Dashboard!$C$17)*((1+Dashboard!$C$12)^$CZ13),0)</f>
        <v>1186770.1943990909</v>
      </c>
      <c r="FD13" s="126">
        <f ca="1">MAX(FD12*(1+BE13)-(Dashboard!$C$11)/(1-Dashboard!$C$17)*((1+Dashboard!$C$12)^$CZ13),0)</f>
        <v>1847104.3938133293</v>
      </c>
      <c r="FE13" s="126">
        <f ca="1">MAX(FE12*(1+BF13)-(Dashboard!$C$11)/(1-Dashboard!$C$17)*((1+Dashboard!$C$12)^$CZ13),0)</f>
        <v>957183.50536509254</v>
      </c>
      <c r="FF13" s="126">
        <f ca="1">MAX(FF12*(1+BG13)-(Dashboard!$C$11)/(1-Dashboard!$C$17)*((1+Dashboard!$C$12)^$CZ13),0)</f>
        <v>1235846.5831919597</v>
      </c>
      <c r="FG13" s="126">
        <f ca="1">MAX(FG12*(1+BH13)-(Dashboard!$C$11)/(1-Dashboard!$C$17)*((1+Dashboard!$C$12)^$CZ13),0)</f>
        <v>904385.60829112818</v>
      </c>
      <c r="FH13" s="126">
        <f ca="1">MAX(FH12*(1+BI13)-(Dashboard!$C$11)/(1-Dashboard!$C$17)*((1+Dashboard!$C$12)^$CZ13),0)</f>
        <v>1204272.6904921297</v>
      </c>
      <c r="FI13" s="126">
        <f ca="1">MAX(FI12*(1+BJ13)-(Dashboard!$C$11)/(1-Dashboard!$C$17)*((1+Dashboard!$C$12)^$CZ13),0)</f>
        <v>1287886.3923172732</v>
      </c>
      <c r="FJ13" s="126">
        <f ca="1">MAX(FJ12*(1+BK13)-(Dashboard!$C$11)/(1-Dashboard!$C$17)*((1+Dashboard!$C$12)^$CZ13),0)</f>
        <v>702259.12257030862</v>
      </c>
      <c r="FK13" s="126">
        <f ca="1">MAX(FK12*(1+BL13)-(Dashboard!$C$11)/(1-Dashboard!$C$17)*((1+Dashboard!$C$12)^$CZ13),0)</f>
        <v>1275786.5768687215</v>
      </c>
      <c r="FL13" s="126">
        <f ca="1">MAX(FL12*(1+BM13)-(Dashboard!$C$11)/(1-Dashboard!$C$17)*((1+Dashboard!$C$12)^$CZ13),0)</f>
        <v>1148554.9843506422</v>
      </c>
      <c r="FM13" s="126">
        <f ca="1">MAX(FM12*(1+BN13)-(Dashboard!$C$11)/(1-Dashboard!$C$17)*((1+Dashboard!$C$12)^$CZ13),0)</f>
        <v>1198532.1716425479</v>
      </c>
      <c r="FN13" s="126">
        <f ca="1">MAX(FN12*(1+BO13)-(Dashboard!$C$11)/(1-Dashboard!$C$17)*((1+Dashboard!$C$12)^$CZ13),0)</f>
        <v>865336.3724029134</v>
      </c>
      <c r="FO13" s="126">
        <f ca="1">MAX(FO12*(1+BP13)-(Dashboard!$C$11)/(1-Dashboard!$C$17)*((1+Dashboard!$C$12)^$CZ13),0)</f>
        <v>1153435.5287716745</v>
      </c>
      <c r="FP13" s="126">
        <f ca="1">MAX(FP12*(1+BQ13)-(Dashboard!$C$11)/(1-Dashboard!$C$17)*((1+Dashboard!$C$12)^$CZ13),0)</f>
        <v>1012871.1468143394</v>
      </c>
      <c r="FQ13" s="126">
        <f ca="1">MAX(FQ12*(1+BR13)-(Dashboard!$C$11)/(1-Dashboard!$C$17)*((1+Dashboard!$C$12)^$CZ13),0)</f>
        <v>1158306.0621722909</v>
      </c>
      <c r="FR13" s="126">
        <f ca="1">MAX(FR12*(1+BS13)-(Dashboard!$C$11)/(1-Dashboard!$C$17)*((1+Dashboard!$C$12)^$CZ13),0)</f>
        <v>1957468.2033394759</v>
      </c>
      <c r="FS13" s="126">
        <f ca="1">MAX(FS12*(1+BT13)-(Dashboard!$C$11)/(1-Dashboard!$C$17)*((1+Dashboard!$C$12)^$CZ13),0)</f>
        <v>2249666.0450289911</v>
      </c>
      <c r="FT13" s="126">
        <f ca="1">MAX(FT12*(1+BU13)-(Dashboard!$C$11)/(1-Dashboard!$C$17)*((1+Dashboard!$C$12)^$CZ13),0)</f>
        <v>611753.53786300076</v>
      </c>
      <c r="FU13" s="126">
        <f ca="1">MAX(FU12*(1+BV13)-(Dashboard!$C$11)/(1-Dashboard!$C$17)*((1+Dashboard!$C$12)^$CZ13),0)</f>
        <v>1817601.0272673552</v>
      </c>
      <c r="FV13" s="126">
        <f ca="1">MAX(FV12*(1+BW13)-(Dashboard!$C$11)/(1-Dashboard!$C$17)*((1+Dashboard!$C$12)^$CZ13),0)</f>
        <v>547349.8830962677</v>
      </c>
      <c r="FW13" s="126">
        <f ca="1">MAX(FW12*(1+BX13)-(Dashboard!$C$11)/(1-Dashboard!$C$17)*((1+Dashboard!$C$12)^$CZ13),0)</f>
        <v>1427641.6206345418</v>
      </c>
      <c r="FX13" s="126">
        <f ca="1">MAX(FX12*(1+BY13)-(Dashboard!$C$11)/(1-Dashboard!$C$17)*((1+Dashboard!$C$12)^$CZ13),0)</f>
        <v>766717.27679173427</v>
      </c>
      <c r="FY13" s="126">
        <f ca="1">MAX(FY12*(1+BZ13)-(Dashboard!$C$11)/(1-Dashboard!$C$17)*((1+Dashboard!$C$12)^$CZ13),0)</f>
        <v>619610.8056302804</v>
      </c>
      <c r="FZ13" s="126">
        <f ca="1">MAX(FZ12*(1+CA13)-(Dashboard!$C$11)/(1-Dashboard!$C$17)*((1+Dashboard!$C$12)^$CZ13),0)</f>
        <v>1299408.0765209615</v>
      </c>
      <c r="GA13" s="126">
        <f ca="1">MAX(GA12*(1+CB13)-(Dashboard!$C$11)/(1-Dashboard!$C$17)*((1+Dashboard!$C$12)^$CZ13),0)</f>
        <v>2336758.1443087077</v>
      </c>
      <c r="GB13" s="126">
        <f ca="1">MAX(GB12*(1+CC13)-(Dashboard!$C$11)/(1-Dashboard!$C$17)*((1+Dashboard!$C$12)^$CZ13),0)</f>
        <v>1337362.4761432714</v>
      </c>
      <c r="GC13" s="126">
        <f ca="1">MAX(GC12*(1+CD13)-(Dashboard!$C$11)/(1-Dashboard!$C$17)*((1+Dashboard!$C$12)^$CZ13),0)</f>
        <v>1565946.2297481748</v>
      </c>
      <c r="GD13" s="126">
        <f ca="1">MAX(GD12*(1+CE13)-(Dashboard!$C$11)/(1-Dashboard!$C$17)*((1+Dashboard!$C$12)^$CZ13),0)</f>
        <v>1158609.479040737</v>
      </c>
      <c r="GE13" s="126">
        <f ca="1">MAX(GE12*(1+CF13)-(Dashboard!$C$11)/(1-Dashboard!$C$17)*((1+Dashboard!$C$12)^$CZ13),0)</f>
        <v>850479.76779073908</v>
      </c>
      <c r="GF13" s="126">
        <f ca="1">MAX(GF12*(1+CG13)-(Dashboard!$C$11)/(1-Dashboard!$C$17)*((1+Dashboard!$C$12)^$CZ13),0)</f>
        <v>1869943.3151137717</v>
      </c>
      <c r="GG13" s="126">
        <f ca="1">MAX(GG12*(1+CH13)-(Dashboard!$C$11)/(1-Dashboard!$C$17)*((1+Dashboard!$C$12)^$CZ13),0)</f>
        <v>446869.29812031687</v>
      </c>
      <c r="GH13" s="126">
        <f ca="1">MAX(GH12*(1+CI13)-(Dashboard!$C$11)/(1-Dashboard!$C$17)*((1+Dashboard!$C$12)^$CZ13),0)</f>
        <v>595028.12028004183</v>
      </c>
      <c r="GI13" s="126">
        <f ca="1">MAX(GI12*(1+CJ13)-(Dashboard!$C$11)/(1-Dashboard!$C$17)*((1+Dashboard!$C$12)^$CZ13),0)</f>
        <v>602221.83173662703</v>
      </c>
      <c r="GJ13" s="126">
        <f ca="1">MAX(GJ12*(1+CK13)-(Dashboard!$C$11)/(1-Dashboard!$C$17)*((1+Dashboard!$C$12)^$CZ13),0)</f>
        <v>854107.55894253822</v>
      </c>
      <c r="GK13" s="126">
        <f ca="1">MAX(GK12*(1+CL13)-(Dashboard!$C$11)/(1-Dashboard!$C$17)*((1+Dashboard!$C$12)^$CZ13),0)</f>
        <v>1882852.8487444583</v>
      </c>
      <c r="GL13" s="126">
        <f ca="1">MAX(GL12*(1+CM13)-(Dashboard!$C$11)/(1-Dashboard!$C$17)*((1+Dashboard!$C$12)^$CZ13),0)</f>
        <v>2218513.6274031685</v>
      </c>
      <c r="GM13" s="126">
        <f ca="1">MAX(GM12*(1+CN13)-(Dashboard!$C$11)/(1-Dashboard!$C$17)*((1+Dashboard!$C$12)^$CZ13),0)</f>
        <v>593537.78038805979</v>
      </c>
      <c r="GN13" s="126">
        <f ca="1">MAX(GN12*(1+CO13)-(Dashboard!$C$11)/(1-Dashboard!$C$17)*((1+Dashboard!$C$12)^$CZ13),0)</f>
        <v>272347.58042534336</v>
      </c>
      <c r="GO13" s="126">
        <f ca="1">MAX(GO12*(1+CP13)-(Dashboard!$C$11)/(1-Dashboard!$C$17)*((1+Dashboard!$C$12)^$CZ13),0)</f>
        <v>795121.96670991997</v>
      </c>
      <c r="GP13" s="126">
        <f ca="1">MAX(GP12*(1+CQ13)-(Dashboard!$C$11)/(1-Dashboard!$C$17)*((1+Dashboard!$C$12)^$CZ13),0)</f>
        <v>853390.74891039717</v>
      </c>
      <c r="GQ13" s="126">
        <f ca="1">MAX(GQ12*(1+CR13)-(Dashboard!$C$11)/(1-Dashboard!$C$17)*((1+Dashboard!$C$12)^$CZ13),0)</f>
        <v>543752.67444448115</v>
      </c>
      <c r="GR13" s="126">
        <f ca="1">MAX(GR12*(1+CS13)-(Dashboard!$C$11)/(1-Dashboard!$C$17)*((1+Dashboard!$C$12)^$CZ13),0)</f>
        <v>572127.26519810315</v>
      </c>
      <c r="GS13" s="126">
        <f ca="1">MAX(GS12*(1+CT13)-(Dashboard!$C$11)/(1-Dashboard!$C$17)*((1+Dashboard!$C$12)^$CZ13),0)</f>
        <v>1885534.5606671302</v>
      </c>
      <c r="GT13" s="126">
        <f ca="1">MAX(GT12*(1+CU13)-(Dashboard!$C$11)/(1-Dashboard!$C$17)*((1+Dashboard!$C$12)^$CZ13),0)</f>
        <v>1456344.818205629</v>
      </c>
      <c r="GU13" s="126">
        <f ca="1">MAX(GU12*(1+CV13)-(Dashboard!$C$11)/(1-Dashboard!$C$17)*((1+Dashboard!$C$12)^$CZ13),0)</f>
        <v>584566.32562938007</v>
      </c>
      <c r="GV13" s="126">
        <f ca="1">MAX(GV12*(1+CW13)-(Dashboard!$C$11)/(1-Dashboard!$C$17)*((1+Dashboard!$C$12)^$CZ13),0)</f>
        <v>659295.23592345114</v>
      </c>
      <c r="GW13" s="115">
        <f t="shared" si="4"/>
        <v>62</v>
      </c>
      <c r="GX13" s="130">
        <f t="shared" ca="1" si="2"/>
        <v>100</v>
      </c>
      <c r="HC13" s="130">
        <f t="shared" si="0"/>
        <v>62</v>
      </c>
      <c r="HD13" s="137">
        <f t="shared" ca="1" si="1"/>
        <v>769409.96279567655</v>
      </c>
      <c r="HE13" s="137">
        <f t="shared" ca="1" si="1"/>
        <v>1043471.0167013389</v>
      </c>
      <c r="HF13" s="137">
        <f t="shared" ca="1" si="1"/>
        <v>1426037.5691048405</v>
      </c>
    </row>
    <row r="14" spans="1:214" ht="16">
      <c r="A14" s="145">
        <f t="shared" si="3"/>
        <v>63</v>
      </c>
      <c r="B14" s="119">
        <f ca="1">(Dashboard!$C$7*'Equity and Bond Returns'!N14)+(Dashboard!$C$8*'Equity and Bond Returns'!DL14)</f>
        <v>0.20206711251981282</v>
      </c>
      <c r="C14" s="119">
        <f ca="1">(Dashboard!$C$7*'Equity and Bond Returns'!O14)+(Dashboard!$C$8*'Equity and Bond Returns'!DM14)</f>
        <v>-0.13174489176493434</v>
      </c>
      <c r="D14" s="119">
        <f ca="1">(Dashboard!$C$7*'Equity and Bond Returns'!P14)+(Dashboard!$C$8*'Equity and Bond Returns'!DN14)</f>
        <v>6.3661325567689067E-2</v>
      </c>
      <c r="E14" s="119">
        <f ca="1">(Dashboard!$C$7*'Equity and Bond Returns'!Q14)+(Dashboard!$C$8*'Equity and Bond Returns'!DO14)</f>
        <v>-7.8993656264361334E-2</v>
      </c>
      <c r="F14" s="119">
        <f ca="1">(Dashboard!$C$7*'Equity and Bond Returns'!R14)+(Dashboard!$C$8*'Equity and Bond Returns'!DP14)</f>
        <v>0.24232634908443176</v>
      </c>
      <c r="G14" s="119">
        <f ca="1">(Dashboard!$C$7*'Equity and Bond Returns'!S14)+(Dashboard!$C$8*'Equity and Bond Returns'!DQ14)</f>
        <v>0.31085593922530452</v>
      </c>
      <c r="H14" s="119">
        <f ca="1">(Dashboard!$C$7*'Equity and Bond Returns'!T14)+(Dashboard!$C$8*'Equity and Bond Returns'!DR14)</f>
        <v>-0.18143345063641675</v>
      </c>
      <c r="I14" s="119">
        <f ca="1">(Dashboard!$C$7*'Equity and Bond Returns'!U14)+(Dashboard!$C$8*'Equity and Bond Returns'!DS14)</f>
        <v>0.30060401074310983</v>
      </c>
      <c r="J14" s="119">
        <f ca="1">(Dashboard!$C$7*'Equity and Bond Returns'!V14)+(Dashboard!$C$8*'Equity and Bond Returns'!DT14)</f>
        <v>6.6962568070343453E-2</v>
      </c>
      <c r="K14" s="119">
        <f ca="1">(Dashboard!$C$7*'Equity and Bond Returns'!W14)+(Dashboard!$C$8*'Equity and Bond Returns'!DU14)</f>
        <v>7.9555691952601981E-2</v>
      </c>
      <c r="L14" s="119">
        <f ca="1">(Dashboard!$C$7*'Equity and Bond Returns'!X14)+(Dashboard!$C$8*'Equity and Bond Returns'!DV14)</f>
        <v>-2.2120032923542025E-2</v>
      </c>
      <c r="M14" s="119">
        <f ca="1">(Dashboard!$C$7*'Equity and Bond Returns'!Y14)+(Dashboard!$C$8*'Equity and Bond Returns'!DW14)</f>
        <v>0.18420586435190456</v>
      </c>
      <c r="N14" s="119">
        <f ca="1">(Dashboard!$C$7*'Equity and Bond Returns'!Z14)+(Dashboard!$C$8*'Equity and Bond Returns'!DX14)</f>
        <v>0.11516294136443395</v>
      </c>
      <c r="O14" s="119">
        <f ca="1">(Dashboard!$C$7*'Equity and Bond Returns'!AA14)+(Dashboard!$C$8*'Equity and Bond Returns'!DY14)</f>
        <v>0.11969789928303599</v>
      </c>
      <c r="P14" s="119">
        <f ca="1">(Dashboard!$C$7*'Equity and Bond Returns'!AB14)+(Dashboard!$C$8*'Equity and Bond Returns'!DZ14)</f>
        <v>0.12948849264503537</v>
      </c>
      <c r="Q14" s="119">
        <f ca="1">(Dashboard!$C$7*'Equity and Bond Returns'!AC14)+(Dashboard!$C$8*'Equity and Bond Returns'!EA14)</f>
        <v>-2.5662971786414093E-3</v>
      </c>
      <c r="R14" s="119">
        <f ca="1">(Dashboard!$C$7*'Equity and Bond Returns'!AD14)+(Dashboard!$C$8*'Equity and Bond Returns'!EB14)</f>
        <v>0.23195235302649025</v>
      </c>
      <c r="S14" s="119">
        <f ca="1">(Dashboard!$C$7*'Equity and Bond Returns'!AE14)+(Dashboard!$C$8*'Equity and Bond Returns'!EC14)</f>
        <v>1.9808501213527729E-2</v>
      </c>
      <c r="T14" s="119">
        <f ca="1">(Dashboard!$C$7*'Equity and Bond Returns'!AF14)+(Dashboard!$C$8*'Equity and Bond Returns'!ED14)</f>
        <v>0.10160605457639584</v>
      </c>
      <c r="U14" s="119">
        <f ca="1">(Dashboard!$C$7*'Equity and Bond Returns'!AG14)+(Dashboard!$C$8*'Equity and Bond Returns'!EE14)</f>
        <v>0.1025834565038084</v>
      </c>
      <c r="V14" s="119">
        <f ca="1">(Dashboard!$C$7*'Equity and Bond Returns'!AH14)+(Dashboard!$C$8*'Equity and Bond Returns'!EF14)</f>
        <v>0.20314541949091602</v>
      </c>
      <c r="W14" s="119">
        <f ca="1">(Dashboard!$C$7*'Equity and Bond Returns'!AI14)+(Dashboard!$C$8*'Equity and Bond Returns'!EG14)</f>
        <v>-9.8861641499473962E-2</v>
      </c>
      <c r="X14" s="119">
        <f ca="1">(Dashboard!$C$7*'Equity and Bond Returns'!AJ14)+(Dashboard!$C$8*'Equity and Bond Returns'!EH14)</f>
        <v>2.3048756489610824E-3</v>
      </c>
      <c r="Y14" s="119">
        <f ca="1">(Dashboard!$C$7*'Equity and Bond Returns'!AK14)+(Dashboard!$C$8*'Equity and Bond Returns'!EI14)</f>
        <v>9.1671268775909337E-2</v>
      </c>
      <c r="Z14" s="119">
        <f ca="1">(Dashboard!$C$7*'Equity and Bond Returns'!AL14)+(Dashboard!$C$8*'Equity and Bond Returns'!EJ14)</f>
        <v>0.13488566143021677</v>
      </c>
      <c r="AA14" s="119">
        <f ca="1">(Dashboard!$C$7*'Equity and Bond Returns'!AM14)+(Dashboard!$C$8*'Equity and Bond Returns'!EK14)</f>
        <v>-0.1398224065928409</v>
      </c>
      <c r="AB14" s="119">
        <f ca="1">(Dashboard!$C$7*'Equity and Bond Returns'!AN14)+(Dashboard!$C$8*'Equity and Bond Returns'!EL14)</f>
        <v>5.5969447492342617E-2</v>
      </c>
      <c r="AC14" s="119">
        <f ca="1">(Dashboard!$C$7*'Equity and Bond Returns'!AO14)+(Dashboard!$C$8*'Equity and Bond Returns'!EM14)</f>
        <v>7.2728757095984559E-2</v>
      </c>
      <c r="AD14" s="119">
        <f ca="1">(Dashboard!$C$7*'Equity and Bond Returns'!AP14)+(Dashboard!$C$8*'Equity and Bond Returns'!EN14)</f>
        <v>0.16539947548107478</v>
      </c>
      <c r="AE14" s="119">
        <f ca="1">(Dashboard!$C$7*'Equity and Bond Returns'!AQ14)+(Dashboard!$C$8*'Equity and Bond Returns'!EO14)</f>
        <v>0.10912581896542153</v>
      </c>
      <c r="AF14" s="119">
        <f ca="1">(Dashboard!$C$7*'Equity and Bond Returns'!AR14)+(Dashboard!$C$8*'Equity and Bond Returns'!EP14)</f>
        <v>-0.11655998223013134</v>
      </c>
      <c r="AG14" s="119">
        <f ca="1">(Dashboard!$C$7*'Equity and Bond Returns'!AS14)+(Dashboard!$C$8*'Equity and Bond Returns'!EQ14)</f>
        <v>-1.399903154370094E-2</v>
      </c>
      <c r="AH14" s="119">
        <f ca="1">(Dashboard!$C$7*'Equity and Bond Returns'!AT14)+(Dashboard!$C$8*'Equity and Bond Returns'!ER14)</f>
        <v>0.2651287867746423</v>
      </c>
      <c r="AI14" s="119">
        <f ca="1">(Dashboard!$C$7*'Equity and Bond Returns'!AU14)+(Dashboard!$C$8*'Equity and Bond Returns'!ES14)</f>
        <v>-0.14184492026489837</v>
      </c>
      <c r="AJ14" s="119">
        <f ca="1">(Dashboard!$C$7*'Equity and Bond Returns'!AV14)+(Dashboard!$C$8*'Equity and Bond Returns'!ET14)</f>
        <v>-0.18945805927348228</v>
      </c>
      <c r="AK14" s="119">
        <f ca="1">(Dashboard!$C$7*'Equity and Bond Returns'!AW14)+(Dashboard!$C$8*'Equity and Bond Returns'!EU14)</f>
        <v>-2.7931226535353994E-2</v>
      </c>
      <c r="AL14" s="119">
        <f ca="1">(Dashboard!$C$7*'Equity and Bond Returns'!AX14)+(Dashboard!$C$8*'Equity and Bond Returns'!EV14)</f>
        <v>0.10260756210602279</v>
      </c>
      <c r="AM14" s="119">
        <f ca="1">(Dashboard!$C$7*'Equity and Bond Returns'!AY14)+(Dashboard!$C$8*'Equity and Bond Returns'!EW14)</f>
        <v>-9.7924239061589757E-2</v>
      </c>
      <c r="AN14" s="119">
        <f ca="1">(Dashboard!$C$7*'Equity and Bond Returns'!AZ14)+(Dashboard!$C$8*'Equity and Bond Returns'!EX14)</f>
        <v>5.4533029204622885E-2</v>
      </c>
      <c r="AO14" s="119">
        <f ca="1">(Dashboard!$C$7*'Equity and Bond Returns'!BA14)+(Dashboard!$C$8*'Equity and Bond Returns'!EY14)</f>
        <v>-6.575949007144305E-2</v>
      </c>
      <c r="AP14" s="119">
        <f ca="1">(Dashboard!$C$7*'Equity and Bond Returns'!BB14)+(Dashboard!$C$8*'Equity and Bond Returns'!EZ14)</f>
        <v>9.1117229800076707E-2</v>
      </c>
      <c r="AQ14" s="119">
        <f ca="1">(Dashboard!$C$7*'Equity and Bond Returns'!BC14)+(Dashboard!$C$8*'Equity and Bond Returns'!FA14)</f>
        <v>0.27001966277489226</v>
      </c>
      <c r="AR14" s="119">
        <f ca="1">(Dashboard!$C$7*'Equity and Bond Returns'!BD14)+(Dashboard!$C$8*'Equity and Bond Returns'!FB14)</f>
        <v>8.479141144412479E-2</v>
      </c>
      <c r="AS14" s="119">
        <f ca="1">(Dashboard!$C$7*'Equity and Bond Returns'!BE14)+(Dashboard!$C$8*'Equity and Bond Returns'!FC14)</f>
        <v>-5.5108024088320405E-2</v>
      </c>
      <c r="AT14" s="119">
        <f ca="1">(Dashboard!$C$7*'Equity and Bond Returns'!BF14)+(Dashboard!$C$8*'Equity and Bond Returns'!FD14)</f>
        <v>0.30425004163597552</v>
      </c>
      <c r="AU14" s="119">
        <f ca="1">(Dashboard!$C$7*'Equity and Bond Returns'!BG14)+(Dashboard!$C$8*'Equity and Bond Returns'!FE14)</f>
        <v>-8.9133136211887121E-2</v>
      </c>
      <c r="AV14" s="119">
        <f ca="1">(Dashboard!$C$7*'Equity and Bond Returns'!BH14)+(Dashboard!$C$8*'Equity and Bond Returns'!FF14)</f>
        <v>0.2369023884564404</v>
      </c>
      <c r="AW14" s="119">
        <f ca="1">(Dashboard!$C$7*'Equity and Bond Returns'!BI14)+(Dashboard!$C$8*'Equity and Bond Returns'!FG14)</f>
        <v>9.4614230228962204E-2</v>
      </c>
      <c r="AX14" s="119">
        <f ca="1">(Dashboard!$C$7*'Equity and Bond Returns'!BJ14)+(Dashboard!$C$8*'Equity and Bond Returns'!FH14)</f>
        <v>0.21851680843245549</v>
      </c>
      <c r="AY14" s="119">
        <f ca="1">(Dashboard!$C$7*'Equity and Bond Returns'!BK14)+(Dashboard!$C$8*'Equity and Bond Returns'!FI14)</f>
        <v>1.2979626887437888E-2</v>
      </c>
      <c r="AZ14" s="119">
        <f ca="1">(Dashboard!$C$7*'Equity and Bond Returns'!BL14)+(Dashboard!$C$8*'Equity and Bond Returns'!FJ14)</f>
        <v>0.11447421467984219</v>
      </c>
      <c r="BA14" s="119">
        <f ca="1">(Dashboard!$C$7*'Equity and Bond Returns'!BM14)+(Dashboard!$C$8*'Equity and Bond Returns'!FK14)</f>
        <v>0.15980739595863441</v>
      </c>
      <c r="BB14" s="119">
        <f ca="1">(Dashboard!$C$7*'Equity and Bond Returns'!BN14)+(Dashboard!$C$8*'Equity and Bond Returns'!FL14)</f>
        <v>0.1291605022775186</v>
      </c>
      <c r="BC14" s="119">
        <f ca="1">(Dashboard!$C$7*'Equity and Bond Returns'!BO14)+(Dashboard!$C$8*'Equity and Bond Returns'!FM14)</f>
        <v>-0.10451943453900576</v>
      </c>
      <c r="BD14" s="119">
        <f ca="1">(Dashboard!$C$7*'Equity and Bond Returns'!BP14)+(Dashboard!$C$8*'Equity and Bond Returns'!FN14)</f>
        <v>6.9324853786138063E-2</v>
      </c>
      <c r="BE14" s="119">
        <f ca="1">(Dashboard!$C$7*'Equity and Bond Returns'!BQ14)+(Dashboard!$C$8*'Equity and Bond Returns'!FO14)</f>
        <v>4.614615278727232E-2</v>
      </c>
      <c r="BF14" s="119">
        <f ca="1">(Dashboard!$C$7*'Equity and Bond Returns'!BR14)+(Dashboard!$C$8*'Equity and Bond Returns'!FP14)</f>
        <v>0.17922990544516346</v>
      </c>
      <c r="BG14" s="119">
        <f ca="1">(Dashboard!$C$7*'Equity and Bond Returns'!BS14)+(Dashboard!$C$8*'Equity and Bond Returns'!FQ14)</f>
        <v>-2.0639093843246262E-2</v>
      </c>
      <c r="BH14" s="119">
        <f ca="1">(Dashboard!$C$7*'Equity and Bond Returns'!BT14)+(Dashboard!$C$8*'Equity and Bond Returns'!FR14)</f>
        <v>-0.16047792293647453</v>
      </c>
      <c r="BI14" s="119">
        <f ca="1">(Dashboard!$C$7*'Equity and Bond Returns'!BU14)+(Dashboard!$C$8*'Equity and Bond Returns'!FS14)</f>
        <v>0.18783311171037587</v>
      </c>
      <c r="BJ14" s="119">
        <f ca="1">(Dashboard!$C$7*'Equity and Bond Returns'!BV14)+(Dashboard!$C$8*'Equity and Bond Returns'!FT14)</f>
        <v>6.642773613713808E-2</v>
      </c>
      <c r="BK14" s="119">
        <f ca="1">(Dashboard!$C$7*'Equity and Bond Returns'!BW14)+(Dashboard!$C$8*'Equity and Bond Returns'!FU14)</f>
        <v>0.12180346549983591</v>
      </c>
      <c r="BL14" s="119">
        <f ca="1">(Dashboard!$C$7*'Equity and Bond Returns'!BX14)+(Dashboard!$C$8*'Equity and Bond Returns'!FV14)</f>
        <v>4.8139144681851535E-2</v>
      </c>
      <c r="BM14" s="119">
        <f ca="1">(Dashboard!$C$7*'Equity and Bond Returns'!BY14)+(Dashboard!$C$8*'Equity and Bond Returns'!FW14)</f>
        <v>8.1427167492140365E-2</v>
      </c>
      <c r="BN14" s="119">
        <f ca="1">(Dashboard!$C$7*'Equity and Bond Returns'!BZ14)+(Dashboard!$C$8*'Equity and Bond Returns'!FX14)</f>
        <v>0.10753300361743287</v>
      </c>
      <c r="BO14" s="119">
        <f ca="1">(Dashboard!$C$7*'Equity and Bond Returns'!CA14)+(Dashboard!$C$8*'Equity and Bond Returns'!FY14)</f>
        <v>7.5006767562657825E-2</v>
      </c>
      <c r="BP14" s="119">
        <f ca="1">(Dashboard!$C$7*'Equity and Bond Returns'!CB14)+(Dashboard!$C$8*'Equity and Bond Returns'!FZ14)</f>
        <v>5.0853435019000068E-3</v>
      </c>
      <c r="BQ14" s="119">
        <f ca="1">(Dashboard!$C$7*'Equity and Bond Returns'!CC14)+(Dashboard!$C$8*'Equity and Bond Returns'!GA14)</f>
        <v>0.10662199570492342</v>
      </c>
      <c r="BR14" s="119">
        <f ca="1">(Dashboard!$C$7*'Equity and Bond Returns'!CD14)+(Dashboard!$C$8*'Equity and Bond Returns'!GB14)</f>
        <v>0.11097816593280331</v>
      </c>
      <c r="BS14" s="119">
        <f ca="1">(Dashboard!$C$7*'Equity and Bond Returns'!CE14)+(Dashboard!$C$8*'Equity and Bond Returns'!GC14)</f>
        <v>0.18444501523233692</v>
      </c>
      <c r="BT14" s="119">
        <f ca="1">(Dashboard!$C$7*'Equity and Bond Returns'!CF14)+(Dashboard!$C$8*'Equity and Bond Returns'!GD14)</f>
        <v>0.19286868887907765</v>
      </c>
      <c r="BU14" s="119">
        <f ca="1">(Dashboard!$C$7*'Equity and Bond Returns'!CG14)+(Dashboard!$C$8*'Equity and Bond Returns'!GE14)</f>
        <v>0.14045767854050439</v>
      </c>
      <c r="BV14" s="119">
        <f ca="1">(Dashboard!$C$7*'Equity and Bond Returns'!CH14)+(Dashboard!$C$8*'Equity and Bond Returns'!GF14)</f>
        <v>-8.0461893846307003E-2</v>
      </c>
      <c r="BW14" s="119">
        <f ca="1">(Dashboard!$C$7*'Equity and Bond Returns'!CI14)+(Dashboard!$C$8*'Equity and Bond Returns'!GG14)</f>
        <v>0.1289987737002132</v>
      </c>
      <c r="BX14" s="119">
        <f ca="1">(Dashboard!$C$7*'Equity and Bond Returns'!CJ14)+(Dashboard!$C$8*'Equity and Bond Returns'!GH14)</f>
        <v>2.9119579270688631E-2</v>
      </c>
      <c r="BY14" s="119">
        <f ca="1">(Dashboard!$C$7*'Equity and Bond Returns'!CK14)+(Dashboard!$C$8*'Equity and Bond Returns'!GI14)</f>
        <v>-2.7860704069630857E-2</v>
      </c>
      <c r="BZ14" s="119">
        <f ca="1">(Dashboard!$C$7*'Equity and Bond Returns'!CL14)+(Dashboard!$C$8*'Equity and Bond Returns'!GJ14)</f>
        <v>0.17832849844397641</v>
      </c>
      <c r="CA14" s="119">
        <f ca="1">(Dashboard!$C$7*'Equity and Bond Returns'!CM14)+(Dashboard!$C$8*'Equity and Bond Returns'!GK14)</f>
        <v>3.2911746457323671E-2</v>
      </c>
      <c r="CB14" s="119">
        <f ca="1">(Dashboard!$C$7*'Equity and Bond Returns'!CN14)+(Dashboard!$C$8*'Equity and Bond Returns'!GL14)</f>
        <v>-2.4156923953122342E-2</v>
      </c>
      <c r="CC14" s="119">
        <f ca="1">(Dashboard!$C$7*'Equity and Bond Returns'!CO14)+(Dashboard!$C$8*'Equity and Bond Returns'!GM14)</f>
        <v>4.4646555651544004E-2</v>
      </c>
      <c r="CD14" s="119">
        <f ca="1">(Dashboard!$C$7*'Equity and Bond Returns'!CP14)+(Dashboard!$C$8*'Equity and Bond Returns'!GN14)</f>
        <v>0.39044560620137553</v>
      </c>
      <c r="CE14" s="119">
        <f ca="1">(Dashboard!$C$7*'Equity and Bond Returns'!CQ14)+(Dashboard!$C$8*'Equity and Bond Returns'!GO14)</f>
        <v>0.18545372368005397</v>
      </c>
      <c r="CF14" s="119">
        <f ca="1">(Dashboard!$C$7*'Equity and Bond Returns'!CR14)+(Dashboard!$C$8*'Equity and Bond Returns'!GP14)</f>
        <v>0.17879079367911604</v>
      </c>
      <c r="CG14" s="119">
        <f ca="1">(Dashboard!$C$7*'Equity and Bond Returns'!CS14)+(Dashboard!$C$8*'Equity and Bond Returns'!GQ14)</f>
        <v>0.26028173656233483</v>
      </c>
      <c r="CH14" s="119">
        <f ca="1">(Dashboard!$C$7*'Equity and Bond Returns'!CT14)+(Dashboard!$C$8*'Equity and Bond Returns'!GR14)</f>
        <v>1.6809407095163278E-2</v>
      </c>
      <c r="CI14" s="119">
        <f ca="1">(Dashboard!$C$7*'Equity and Bond Returns'!CU14)+(Dashboard!$C$8*'Equity and Bond Returns'!GS14)</f>
        <v>0.23069693291976778</v>
      </c>
      <c r="CJ14" s="119">
        <f ca="1">(Dashboard!$C$7*'Equity and Bond Returns'!CV14)+(Dashboard!$C$8*'Equity and Bond Returns'!GT14)</f>
        <v>-2.5523064481703758E-2</v>
      </c>
      <c r="CK14" s="119">
        <f ca="1">(Dashboard!$C$7*'Equity and Bond Returns'!CW14)+(Dashboard!$C$8*'Equity and Bond Returns'!GU14)</f>
        <v>0.22095271372372913</v>
      </c>
      <c r="CL14" s="119">
        <f ca="1">(Dashboard!$C$7*'Equity and Bond Returns'!CX14)+(Dashboard!$C$8*'Equity and Bond Returns'!GV14)</f>
        <v>0.20025321722144429</v>
      </c>
      <c r="CM14" s="119">
        <f ca="1">(Dashboard!$C$7*'Equity and Bond Returns'!CY14)+(Dashboard!$C$8*'Equity and Bond Returns'!GW14)</f>
        <v>3.068686239969183E-2</v>
      </c>
      <c r="CN14" s="119">
        <f ca="1">(Dashboard!$C$7*'Equity and Bond Returns'!CZ14)+(Dashboard!$C$8*'Equity and Bond Returns'!GX14)</f>
        <v>0.25402758472717091</v>
      </c>
      <c r="CO14" s="119">
        <f ca="1">(Dashboard!$C$7*'Equity and Bond Returns'!DA14)+(Dashboard!$C$8*'Equity and Bond Returns'!GY14)</f>
        <v>-0.14480956011969817</v>
      </c>
      <c r="CP14" s="119">
        <f ca="1">(Dashboard!$C$7*'Equity and Bond Returns'!DB14)+(Dashboard!$C$8*'Equity and Bond Returns'!GZ14)</f>
        <v>-3.3122566369791478E-3</v>
      </c>
      <c r="CQ14" s="119">
        <f ca="1">(Dashboard!$C$7*'Equity and Bond Returns'!DC14)+(Dashboard!$C$8*'Equity and Bond Returns'!HA14)</f>
        <v>-6.34879810116427E-2</v>
      </c>
      <c r="CR14" s="119">
        <f ca="1">(Dashboard!$C$7*'Equity and Bond Returns'!DD14)+(Dashboard!$C$8*'Equity and Bond Returns'!HB14)</f>
        <v>3.0111777068276169E-2</v>
      </c>
      <c r="CS14" s="119">
        <f ca="1">(Dashboard!$C$7*'Equity and Bond Returns'!DE14)+(Dashboard!$C$8*'Equity and Bond Returns'!HC14)</f>
        <v>0.22443061636843895</v>
      </c>
      <c r="CT14" s="119">
        <f ca="1">(Dashboard!$C$7*'Equity and Bond Returns'!DF14)+(Dashboard!$C$8*'Equity and Bond Returns'!HD14)</f>
        <v>0.17049179719432633</v>
      </c>
      <c r="CU14" s="119">
        <f ca="1">(Dashboard!$C$7*'Equity and Bond Returns'!DG14)+(Dashboard!$C$8*'Equity and Bond Returns'!HE14)</f>
        <v>0.33119848948825287</v>
      </c>
      <c r="CV14" s="119">
        <f ca="1">(Dashboard!$C$7*'Equity and Bond Returns'!DH14)+(Dashboard!$C$8*'Equity and Bond Returns'!HF14)</f>
        <v>0.16777312118674559</v>
      </c>
      <c r="CW14" s="119">
        <f ca="1">(Dashboard!$C$7*'Equity and Bond Returns'!DI14)+(Dashboard!$C$8*'Equity and Bond Returns'!HG14)</f>
        <v>-4.7086107466633102E-2</v>
      </c>
      <c r="CY14" s="147">
        <f t="shared" si="5"/>
        <v>63</v>
      </c>
      <c r="CZ14" s="147">
        <v>13</v>
      </c>
      <c r="DA14" s="126">
        <f ca="1">MAX(DA13*(1+B14)-(Dashboard!$C$11)/(1-Dashboard!$C$17)*((1+Dashboard!$C$12)^$CZ14),0)</f>
        <v>2046044.7734640355</v>
      </c>
      <c r="DB14" s="126">
        <f ca="1">MAX(DB13*(1+C14)-(Dashboard!$C$11)/(1-Dashboard!$C$17)*((1+Dashboard!$C$12)^$CZ14),0)</f>
        <v>166691.85929034732</v>
      </c>
      <c r="DC14" s="126">
        <f ca="1">MAX(DC13*(1+D14)-(Dashboard!$C$11)/(1-Dashboard!$C$17)*((1+Dashboard!$C$12)^$CZ14),0)</f>
        <v>915777.78469225066</v>
      </c>
      <c r="DD14" s="126">
        <f ca="1">MAX(DD13*(1+E14)-(Dashboard!$C$11)/(1-Dashboard!$C$17)*((1+Dashboard!$C$12)^$CZ14),0)</f>
        <v>466525.97948257026</v>
      </c>
      <c r="DE14" s="126">
        <f ca="1">MAX(DE13*(1+F14)-(Dashboard!$C$11)/(1-Dashboard!$C$17)*((1+Dashboard!$C$12)^$CZ14),0)</f>
        <v>1675312.337533236</v>
      </c>
      <c r="DF14" s="126">
        <f ca="1">MAX(DF13*(1+G14)-(Dashboard!$C$11)/(1-Dashboard!$C$17)*((1+Dashboard!$C$12)^$CZ14),0)</f>
        <v>1926791.5303586782</v>
      </c>
      <c r="DG14" s="126">
        <f ca="1">MAX(DG13*(1+H14)-(Dashboard!$C$11)/(1-Dashboard!$C$17)*((1+Dashboard!$C$12)^$CZ14),0)</f>
        <v>235740.6900333637</v>
      </c>
      <c r="DH14" s="126">
        <f ca="1">MAX(DH13*(1+I14)-(Dashboard!$C$11)/(1-Dashboard!$C$17)*((1+Dashboard!$C$12)^$CZ14),0)</f>
        <v>1357479.3014968561</v>
      </c>
      <c r="DI14" s="126">
        <f ca="1">MAX(DI13*(1+J14)-(Dashboard!$C$11)/(1-Dashboard!$C$17)*((1+Dashboard!$C$12)^$CZ14),0)</f>
        <v>952933.75903365051</v>
      </c>
      <c r="DJ14" s="126">
        <f ca="1">MAX(DJ13*(1+K14)-(Dashboard!$C$11)/(1-Dashboard!$C$17)*((1+Dashboard!$C$12)^$CZ14),0)</f>
        <v>1620358.354592592</v>
      </c>
      <c r="DK14" s="126">
        <f ca="1">MAX(DK13*(1+L14)-(Dashboard!$C$11)/(1-Dashboard!$C$17)*((1+Dashboard!$C$12)^$CZ14),0)</f>
        <v>2015617.56738302</v>
      </c>
      <c r="DL14" s="126">
        <f ca="1">MAX(DL13*(1+M14)-(Dashboard!$C$11)/(1-Dashboard!$C$17)*((1+Dashboard!$C$12)^$CZ14),0)</f>
        <v>1207963.9389670193</v>
      </c>
      <c r="DM14" s="126">
        <f ca="1">MAX(DM13*(1+N14)-(Dashboard!$C$11)/(1-Dashboard!$C$17)*((1+Dashboard!$C$12)^$CZ14),0)</f>
        <v>1436669.1464716531</v>
      </c>
      <c r="DN14" s="126">
        <f ca="1">MAX(DN13*(1+O14)-(Dashboard!$C$11)/(1-Dashboard!$C$17)*((1+Dashboard!$C$12)^$CZ14),0)</f>
        <v>4785767.2014719825</v>
      </c>
      <c r="DO14" s="126">
        <f ca="1">MAX(DO13*(1+P14)-(Dashboard!$C$11)/(1-Dashboard!$C$17)*((1+Dashboard!$C$12)^$CZ14),0)</f>
        <v>1658696.2497769026</v>
      </c>
      <c r="DP14" s="126">
        <f ca="1">MAX(DP13*(1+Q14)-(Dashboard!$C$11)/(1-Dashboard!$C$17)*((1+Dashboard!$C$12)^$CZ14),0)</f>
        <v>876761.07934308879</v>
      </c>
      <c r="DQ14" s="126">
        <f ca="1">MAX(DQ13*(1+R14)-(Dashboard!$C$11)/(1-Dashboard!$C$17)*((1+Dashboard!$C$12)^$CZ14),0)</f>
        <v>1095277.8977581323</v>
      </c>
      <c r="DR14" s="126">
        <f ca="1">MAX(DR13*(1+S14)-(Dashboard!$C$11)/(1-Dashboard!$C$17)*((1+Dashboard!$C$12)^$CZ14),0)</f>
        <v>821397.23248763068</v>
      </c>
      <c r="DS14" s="126">
        <f ca="1">MAX(DS13*(1+T14)-(Dashboard!$C$11)/(1-Dashboard!$C$17)*((1+Dashboard!$C$12)^$CZ14),0)</f>
        <v>1323602.3907814717</v>
      </c>
      <c r="DT14" s="126">
        <f ca="1">MAX(DT13*(1+U14)-(Dashboard!$C$11)/(1-Dashboard!$C$17)*((1+Dashboard!$C$12)^$CZ14),0)</f>
        <v>826956.92153230344</v>
      </c>
      <c r="DU14" s="126">
        <f ca="1">MAX(DU13*(1+V14)-(Dashboard!$C$11)/(1-Dashboard!$C$17)*((1+Dashboard!$C$12)^$CZ14),0)</f>
        <v>1202574.948230885</v>
      </c>
      <c r="DV14" s="126">
        <f ca="1">MAX(DV13*(1+W14)-(Dashboard!$C$11)/(1-Dashboard!$C$17)*((1+Dashboard!$C$12)^$CZ14),0)</f>
        <v>1954620.8500767602</v>
      </c>
      <c r="DW14" s="126">
        <f ca="1">MAX(DW13*(1+X14)-(Dashboard!$C$11)/(1-Dashboard!$C$17)*((1+Dashboard!$C$12)^$CZ14),0)</f>
        <v>1390791.3339028717</v>
      </c>
      <c r="DX14" s="126">
        <f ca="1">MAX(DX13*(1+Y14)-(Dashboard!$C$11)/(1-Dashboard!$C$17)*((1+Dashboard!$C$12)^$CZ14),0)</f>
        <v>632708.60749884357</v>
      </c>
      <c r="DY14" s="126">
        <f ca="1">MAX(DY13*(1+Z14)-(Dashboard!$C$11)/(1-Dashboard!$C$17)*((1+Dashboard!$C$12)^$CZ14),0)</f>
        <v>2451642.5069921962</v>
      </c>
      <c r="DZ14" s="126">
        <f ca="1">MAX(DZ13*(1+AA14)-(Dashboard!$C$11)/(1-Dashboard!$C$17)*((1+Dashboard!$C$12)^$CZ14),0)</f>
        <v>809144.64101168921</v>
      </c>
      <c r="EA14" s="126">
        <f ca="1">MAX(EA13*(1+AB14)-(Dashboard!$C$11)/(1-Dashboard!$C$17)*((1+Dashboard!$C$12)^$CZ14),0)</f>
        <v>699285.20617359132</v>
      </c>
      <c r="EB14" s="126">
        <f ca="1">MAX(EB13*(1+AC14)-(Dashboard!$C$11)/(1-Dashboard!$C$17)*((1+Dashboard!$C$12)^$CZ14),0)</f>
        <v>952702.73252434889</v>
      </c>
      <c r="EC14" s="126">
        <f ca="1">MAX(EC13*(1+AD14)-(Dashboard!$C$11)/(1-Dashboard!$C$17)*((1+Dashboard!$C$12)^$CZ14),0)</f>
        <v>1626006.8447770737</v>
      </c>
      <c r="ED14" s="126">
        <f ca="1">MAX(ED13*(1+AE14)-(Dashboard!$C$11)/(1-Dashboard!$C$17)*((1+Dashboard!$C$12)^$CZ14),0)</f>
        <v>1523691.7095459963</v>
      </c>
      <c r="EE14" s="126">
        <f ca="1">MAX(EE13*(1+AF14)-(Dashboard!$C$11)/(1-Dashboard!$C$17)*((1+Dashboard!$C$12)^$CZ14),0)</f>
        <v>1295996.1134801854</v>
      </c>
      <c r="EF14" s="126">
        <f ca="1">MAX(EF13*(1+AG14)-(Dashboard!$C$11)/(1-Dashboard!$C$17)*((1+Dashboard!$C$12)^$CZ14),0)</f>
        <v>984468.79591185786</v>
      </c>
      <c r="EG14" s="126">
        <f ca="1">MAX(EG13*(1+AH14)-(Dashboard!$C$11)/(1-Dashboard!$C$17)*((1+Dashboard!$C$12)^$CZ14),0)</f>
        <v>1895919.9053960429</v>
      </c>
      <c r="EH14" s="126">
        <f ca="1">MAX(EH13*(1+AI14)-(Dashboard!$C$11)/(1-Dashboard!$C$17)*((1+Dashboard!$C$12)^$CZ14),0)</f>
        <v>846226.61326438515</v>
      </c>
      <c r="EI14" s="126">
        <f ca="1">MAX(EI13*(1+AJ14)-(Dashboard!$C$11)/(1-Dashboard!$C$17)*((1+Dashboard!$C$12)^$CZ14),0)</f>
        <v>402153.97340087767</v>
      </c>
      <c r="EJ14" s="126">
        <f ca="1">MAX(EJ13*(1+AK14)-(Dashboard!$C$11)/(1-Dashboard!$C$17)*((1+Dashboard!$C$12)^$CZ14),0)</f>
        <v>981929.15308879409</v>
      </c>
      <c r="EK14" s="126">
        <f ca="1">MAX(EK13*(1+AL14)-(Dashboard!$C$11)/(1-Dashboard!$C$17)*((1+Dashboard!$C$12)^$CZ14),0)</f>
        <v>1592072.3355626592</v>
      </c>
      <c r="EL14" s="126">
        <f ca="1">MAX(EL13*(1+AM14)-(Dashboard!$C$11)/(1-Dashboard!$C$17)*((1+Dashboard!$C$12)^$CZ14),0)</f>
        <v>779653.27335408679</v>
      </c>
      <c r="EM14" s="126">
        <f ca="1">MAX(EM13*(1+AN14)-(Dashboard!$C$11)/(1-Dashboard!$C$17)*((1+Dashboard!$C$12)^$CZ14),0)</f>
        <v>1054986.5679173481</v>
      </c>
      <c r="EN14" s="126">
        <f ca="1">MAX(EN13*(1+AO14)-(Dashboard!$C$11)/(1-Dashboard!$C$17)*((1+Dashboard!$C$12)^$CZ14),0)</f>
        <v>1684504.9595057371</v>
      </c>
      <c r="EO14" s="126">
        <f ca="1">MAX(EO13*(1+AP14)-(Dashboard!$C$11)/(1-Dashboard!$C$17)*((1+Dashboard!$C$12)^$CZ14),0)</f>
        <v>499812.64499818569</v>
      </c>
      <c r="EP14" s="126">
        <f ca="1">MAX(EP13*(1+AQ14)-(Dashboard!$C$11)/(1-Dashboard!$C$17)*((1+Dashboard!$C$12)^$CZ14),0)</f>
        <v>1074098.1072448895</v>
      </c>
      <c r="EQ14" s="126">
        <f ca="1">MAX(EQ13*(1+AR14)-(Dashboard!$C$11)/(1-Dashboard!$C$17)*((1+Dashboard!$C$12)^$CZ14),0)</f>
        <v>734730.0838856115</v>
      </c>
      <c r="ER14" s="126">
        <f ca="1">MAX(ER13*(1+AS14)-(Dashboard!$C$11)/(1-Dashboard!$C$17)*((1+Dashboard!$C$12)^$CZ14),0)</f>
        <v>320672.70032257843</v>
      </c>
      <c r="ES14" s="126">
        <f ca="1">MAX(ES13*(1+AT14)-(Dashboard!$C$11)/(1-Dashboard!$C$17)*((1+Dashboard!$C$12)^$CZ14),0)</f>
        <v>1303168.9586088427</v>
      </c>
      <c r="ET14" s="126">
        <f ca="1">MAX(ET13*(1+AU14)-(Dashboard!$C$11)/(1-Dashboard!$C$17)*((1+Dashboard!$C$12)^$CZ14),0)</f>
        <v>1049111.2323362199</v>
      </c>
      <c r="EU14" s="126">
        <f ca="1">MAX(EU13*(1+AV14)-(Dashboard!$C$11)/(1-Dashboard!$C$17)*((1+Dashboard!$C$12)^$CZ14),0)</f>
        <v>1450692.7365062083</v>
      </c>
      <c r="EV14" s="126">
        <f ca="1">MAX(EV13*(1+AW14)-(Dashboard!$C$11)/(1-Dashboard!$C$17)*((1+Dashboard!$C$12)^$CZ14),0)</f>
        <v>2595553.2230143556</v>
      </c>
      <c r="EW14" s="126">
        <f ca="1">MAX(EW13*(1+AX14)-(Dashboard!$C$11)/(1-Dashboard!$C$17)*((1+Dashboard!$C$12)^$CZ14),0)</f>
        <v>1420617.3538560781</v>
      </c>
      <c r="EX14" s="126">
        <f ca="1">MAX(EX13*(1+AY14)-(Dashboard!$C$11)/(1-Dashboard!$C$17)*((1+Dashboard!$C$12)^$CZ14),0)</f>
        <v>1309336.8250388838</v>
      </c>
      <c r="EY14" s="126">
        <f ca="1">MAX(EY13*(1+AZ14)-(Dashboard!$C$11)/(1-Dashboard!$C$17)*((1+Dashboard!$C$12)^$CZ14),0)</f>
        <v>2718379.6412355779</v>
      </c>
      <c r="EZ14" s="126">
        <f ca="1">MAX(EZ13*(1+BA14)-(Dashboard!$C$11)/(1-Dashboard!$C$17)*((1+Dashboard!$C$12)^$CZ14),0)</f>
        <v>492544.11003355996</v>
      </c>
      <c r="FA14" s="126">
        <f ca="1">MAX(FA13*(1+BB14)-(Dashboard!$C$11)/(1-Dashboard!$C$17)*((1+Dashboard!$C$12)^$CZ14),0)</f>
        <v>1313704.8192628229</v>
      </c>
      <c r="FB14" s="126">
        <f ca="1">MAX(FB13*(1+BC14)-(Dashboard!$C$11)/(1-Dashboard!$C$17)*((1+Dashboard!$C$12)^$CZ14),0)</f>
        <v>770503.51040469285</v>
      </c>
      <c r="FC14" s="126">
        <f ca="1">MAX(FC13*(1+BD14)-(Dashboard!$C$11)/(1-Dashboard!$C$17)*((1+Dashboard!$C$12)^$CZ14),0)</f>
        <v>1238754.3567636162</v>
      </c>
      <c r="FD14" s="126">
        <f ca="1">MAX(FD13*(1+BE14)-(Dashboard!$C$11)/(1-Dashboard!$C$17)*((1+Dashboard!$C$12)^$CZ14),0)</f>
        <v>1902052.647544343</v>
      </c>
      <c r="FE14" s="126">
        <f ca="1">MAX(FE13*(1+BF14)-(Dashboard!$C$11)/(1-Dashboard!$C$17)*((1+Dashboard!$C$12)^$CZ14),0)</f>
        <v>1098450.9066854096</v>
      </c>
      <c r="FF14" s="126">
        <f ca="1">MAX(FF13*(1+BG14)-(Dashboard!$C$11)/(1-Dashboard!$C$17)*((1+Dashboard!$C$12)^$CZ14),0)</f>
        <v>1180051.3217456671</v>
      </c>
      <c r="FG14" s="126">
        <f ca="1">MAX(FG13*(1+BH14)-(Dashboard!$C$11)/(1-Dashboard!$C$17)*((1+Dashboard!$C$12)^$CZ14),0)</f>
        <v>728963.17649898934</v>
      </c>
      <c r="FH14" s="126">
        <f ca="1">MAX(FH13*(1+BI14)-(Dashboard!$C$11)/(1-Dashboard!$C$17)*((1+Dashboard!$C$12)^$CZ14),0)</f>
        <v>1400186.4694551544</v>
      </c>
      <c r="FI14" s="126">
        <f ca="1">MAX(FI13*(1+BJ14)-(Dashboard!$C$11)/(1-Dashboard!$C$17)*((1+Dashboard!$C$12)^$CZ14),0)</f>
        <v>1343149.2619207974</v>
      </c>
      <c r="FJ14" s="126">
        <f ca="1">MAX(FJ13*(1+BK14)-(Dashboard!$C$11)/(1-Dashboard!$C$17)*((1+Dashboard!$C$12)^$CZ14),0)</f>
        <v>757508.20953830774</v>
      </c>
      <c r="FK14" s="126">
        <f ca="1">MAX(FK13*(1+BL14)-(Dashboard!$C$11)/(1-Dashboard!$C$17)*((1+Dashboard!$C$12)^$CZ14),0)</f>
        <v>1306913.3436358306</v>
      </c>
      <c r="FL14" s="126">
        <f ca="1">MAX(FL13*(1+BM14)-(Dashboard!$C$11)/(1-Dashboard!$C$17)*((1+Dashboard!$C$12)^$CZ14),0)</f>
        <v>1211790.055595356</v>
      </c>
      <c r="FM14" s="126">
        <f ca="1">MAX(FM13*(1+BN14)-(Dashboard!$C$11)/(1-Dashboard!$C$17)*((1+Dashboard!$C$12)^$CZ14),0)</f>
        <v>1297125.4281514573</v>
      </c>
      <c r="FN14" s="126">
        <f ca="1">MAX(FN13*(1+BO14)-(Dashboard!$C$11)/(1-Dashboard!$C$17)*((1+Dashboard!$C$12)^$CZ14),0)</f>
        <v>899953.94871131366</v>
      </c>
      <c r="FO14" s="126">
        <f ca="1">MAX(FO13*(1+BP14)-(Dashboard!$C$11)/(1-Dashboard!$C$17)*((1+Dashboard!$C$12)^$CZ14),0)</f>
        <v>1129012.6368028359</v>
      </c>
      <c r="FP14" s="126">
        <f ca="1">MAX(FP13*(1+BQ14)-(Dashboard!$C$11)/(1-Dashboard!$C$17)*((1+Dashboard!$C$12)^$CZ14),0)</f>
        <v>1090576.9820396805</v>
      </c>
      <c r="FQ14" s="126">
        <f ca="1">MAX(FQ13*(1+BR14)-(Dashboard!$C$11)/(1-Dashboard!$C$17)*((1+Dashboard!$C$12)^$CZ14),0)</f>
        <v>1256564.236701081</v>
      </c>
      <c r="FR14" s="126">
        <f ca="1">MAX(FR13*(1+BS14)-(Dashboard!$C$11)/(1-Dashboard!$C$17)*((1+Dashboard!$C$12)^$CZ14),0)</f>
        <v>2288224.948081302</v>
      </c>
      <c r="FS14" s="126">
        <f ca="1">MAX(FS13*(1+BT14)-(Dashboard!$C$11)/(1-Dashboard!$C$17)*((1+Dashboard!$C$12)^$CZ14),0)</f>
        <v>2653267.6777095739</v>
      </c>
      <c r="FT14" s="126">
        <f ca="1">MAX(FT13*(1+BU14)-(Dashboard!$C$11)/(1-Dashboard!$C$17)*((1+Dashboard!$C$12)^$CZ14),0)</f>
        <v>667390.51179023983</v>
      </c>
      <c r="FU14" s="126">
        <f ca="1">MAX(FU13*(1+BV14)-(Dashboard!$C$11)/(1-Dashboard!$C$17)*((1+Dashboard!$C$12)^$CZ14),0)</f>
        <v>1641064.8985164925</v>
      </c>
      <c r="FV14" s="126">
        <f ca="1">MAX(FV13*(1+BW14)-(Dashboard!$C$11)/(1-Dashboard!$C$17)*((1+Dashboard!$C$12)^$CZ14),0)</f>
        <v>587668.83896070276</v>
      </c>
      <c r="FW14" s="126">
        <f ca="1">MAX(FW13*(1+BX14)-(Dashboard!$C$11)/(1-Dashboard!$C$17)*((1+Dashboard!$C$12)^$CZ14),0)</f>
        <v>1438925.4361368055</v>
      </c>
      <c r="FX14" s="126">
        <f ca="1">MAX(FX13*(1+BY14)-(Dashboard!$C$11)/(1-Dashboard!$C$17)*((1+Dashboard!$C$12)^$CZ14),0)</f>
        <v>715067.48579802806</v>
      </c>
      <c r="FY14" s="126">
        <f ca="1">MAX(FY13*(1+BZ14)-(Dashboard!$C$11)/(1-Dashboard!$C$17)*((1+Dashboard!$C$12)^$CZ14),0)</f>
        <v>699816.56237805227</v>
      </c>
      <c r="FZ14" s="126">
        <f ca="1">MAX(FZ13*(1+CA14)-(Dashboard!$C$11)/(1-Dashboard!$C$17)*((1+Dashboard!$C$12)^$CZ14),0)</f>
        <v>1311885.3578400796</v>
      </c>
      <c r="GA14" s="126">
        <f ca="1">MAX(GA13*(1+CB14)-(Dashboard!$C$11)/(1-Dashboard!$C$17)*((1+Dashboard!$C$12)^$CZ14),0)</f>
        <v>2250020.7476798645</v>
      </c>
      <c r="GB14" s="126">
        <f ca="1">MAX(GB13*(1+CC14)-(Dashboard!$C$11)/(1-Dashboard!$C$17)*((1+Dashboard!$C$12)^$CZ14),0)</f>
        <v>1366782.5965207503</v>
      </c>
      <c r="GC14" s="126">
        <f ca="1">MAX(GC13*(1+CD14)-(Dashboard!$C$11)/(1-Dashboard!$C$17)*((1+Dashboard!$C$12)^$CZ14),0)</f>
        <v>2147074.5468610208</v>
      </c>
      <c r="GD14" s="126">
        <f ca="1">MAX(GD13*(1+CE14)-(Dashboard!$C$11)/(1-Dashboard!$C$17)*((1+Dashboard!$C$12)^$CZ14),0)</f>
        <v>1343189.4133799109</v>
      </c>
      <c r="GE14" s="126">
        <f ca="1">MAX(GE13*(1+CF14)-(Dashboard!$C$11)/(1-Dashboard!$C$17)*((1+Dashboard!$C$12)^$CZ14),0)</f>
        <v>972249.21264213708</v>
      </c>
      <c r="GF14" s="126">
        <f ca="1">MAX(GF13*(1+CG14)-(Dashboard!$C$11)/(1-Dashboard!$C$17)*((1+Dashboard!$C$12)^$CZ14),0)</f>
        <v>2326366.9006047752</v>
      </c>
      <c r="GG14" s="126">
        <f ca="1">MAX(GG13*(1+CH14)-(Dashboard!$C$11)/(1-Dashboard!$C$17)*((1+Dashboard!$C$12)^$CZ14),0)</f>
        <v>424092.39823081263</v>
      </c>
      <c r="GH14" s="126">
        <f ca="1">MAX(GH13*(1+CI14)-(Dashboard!$C$11)/(1-Dashboard!$C$17)*((1+Dashboard!$C$12)^$CZ14),0)</f>
        <v>702010.77478972357</v>
      </c>
      <c r="GI14" s="126">
        <f ca="1">MAX(GI13*(1+CJ14)-(Dashboard!$C$11)/(1-Dashboard!$C$17)*((1+Dashboard!$C$12)^$CZ14),0)</f>
        <v>556562.77725298482</v>
      </c>
      <c r="GJ14" s="126">
        <f ca="1">MAX(GJ13*(1+CK14)-(Dashboard!$C$11)/(1-Dashboard!$C$17)*((1+Dashboard!$C$12)^$CZ14),0)</f>
        <v>1012536.4340629034</v>
      </c>
      <c r="GK14" s="126">
        <f ca="1">MAX(GK13*(1+CL14)-(Dashboard!$C$11)/(1-Dashboard!$C$17)*((1+Dashboard!$C$12)^$CZ14),0)</f>
        <v>2229611.6814201591</v>
      </c>
      <c r="GL14" s="126">
        <f ca="1">MAX(GL13*(1+CM14)-(Dashboard!$C$11)/(1-Dashboard!$C$17)*((1+Dashboard!$C$12)^$CZ14),0)</f>
        <v>2256304.3419791921</v>
      </c>
      <c r="GM14" s="126">
        <f ca="1">MAX(GM13*(1+CN14)-(Dashboard!$C$11)/(1-Dashboard!$C$17)*((1+Dashboard!$C$12)^$CZ14),0)</f>
        <v>714024.24134442606</v>
      </c>
      <c r="GN14" s="126">
        <f ca="1">MAX(GN13*(1+CO14)-(Dashboard!$C$11)/(1-Dashboard!$C$17)*((1+Dashboard!$C$12)^$CZ14),0)</f>
        <v>202620.53926434676</v>
      </c>
      <c r="GO14" s="126">
        <f ca="1">MAX(GO13*(1+CP14)-(Dashboard!$C$11)/(1-Dashboard!$C$17)*((1+Dashboard!$C$12)^$CZ14),0)</f>
        <v>762199.81085853861</v>
      </c>
      <c r="GP14" s="126">
        <f ca="1">MAX(GP13*(1+CQ14)-(Dashboard!$C$11)/(1-Dashboard!$C$17)*((1+Dashboard!$C$12)^$CZ14),0)</f>
        <v>768922.18540812389</v>
      </c>
      <c r="GQ14" s="126">
        <f ca="1">MAX(GQ13*(1+CR14)-(Dashboard!$C$11)/(1-Dashboard!$C$17)*((1+Dashboard!$C$12)^$CZ14),0)</f>
        <v>529837.52591769386</v>
      </c>
      <c r="GR14" s="126">
        <f ca="1">MAX(GR13*(1+CS14)-(Dashboard!$C$11)/(1-Dashboard!$C$17)*((1+Dashboard!$C$12)^$CZ14),0)</f>
        <v>670241.63212776417</v>
      </c>
      <c r="GS14" s="126">
        <f ca="1">MAX(GS13*(1+CT14)-(Dashboard!$C$11)/(1-Dashboard!$C$17)*((1+Dashboard!$C$12)^$CZ14),0)</f>
        <v>2176714.228747345</v>
      </c>
      <c r="GT14" s="126">
        <f ca="1">MAX(GT13*(1+CU14)-(Dashboard!$C$11)/(1-Dashboard!$C$17)*((1+Dashboard!$C$12)^$CZ14),0)</f>
        <v>1908395.5143294393</v>
      </c>
      <c r="GU14" s="126">
        <f ca="1">MAX(GU13*(1+CV14)-(Dashboard!$C$11)/(1-Dashboard!$C$17)*((1+Dashboard!$C$12)^$CZ14),0)</f>
        <v>652352.3347809501</v>
      </c>
      <c r="GV14" s="126">
        <f ca="1">MAX(GV13*(1+CW14)-(Dashboard!$C$11)/(1-Dashboard!$C$17)*((1+Dashboard!$C$12)^$CZ14),0)</f>
        <v>597963.08175258175</v>
      </c>
      <c r="GW14" s="115">
        <f t="shared" si="4"/>
        <v>63</v>
      </c>
      <c r="GX14" s="130">
        <f t="shared" ca="1" si="2"/>
        <v>100</v>
      </c>
      <c r="HC14" s="130">
        <f t="shared" si="0"/>
        <v>63</v>
      </c>
      <c r="HD14" s="137">
        <f t="shared" ca="1" si="1"/>
        <v>740424.6152987855</v>
      </c>
      <c r="HE14" s="137">
        <f t="shared" ca="1" si="1"/>
        <v>1154531.9792742515</v>
      </c>
      <c r="HF14" s="137">
        <f t="shared" ca="1" si="1"/>
        <v>1574977.1790584936</v>
      </c>
    </row>
    <row r="15" spans="1:214" ht="16">
      <c r="A15" s="145">
        <f t="shared" si="3"/>
        <v>64</v>
      </c>
      <c r="B15" s="119">
        <f ca="1">(Dashboard!$C$7*'Equity and Bond Returns'!N15)+(Dashboard!$C$8*'Equity and Bond Returns'!DL15)</f>
        <v>0.11040087236410788</v>
      </c>
      <c r="C15" s="119">
        <f ca="1">(Dashboard!$C$7*'Equity and Bond Returns'!O15)+(Dashboard!$C$8*'Equity and Bond Returns'!DM15)</f>
        <v>-5.045396747351772E-2</v>
      </c>
      <c r="D15" s="119">
        <f ca="1">(Dashboard!$C$7*'Equity and Bond Returns'!P15)+(Dashboard!$C$8*'Equity and Bond Returns'!DN15)</f>
        <v>7.2422048631260366E-2</v>
      </c>
      <c r="E15" s="119">
        <f ca="1">(Dashboard!$C$7*'Equity and Bond Returns'!Q15)+(Dashboard!$C$8*'Equity and Bond Returns'!DO15)</f>
        <v>-2.0833714920835258E-2</v>
      </c>
      <c r="F15" s="119">
        <f ca="1">(Dashboard!$C$7*'Equity and Bond Returns'!R15)+(Dashboard!$C$8*'Equity and Bond Returns'!DP15)</f>
        <v>4.4163667789309746E-2</v>
      </c>
      <c r="G15" s="119">
        <f ca="1">(Dashboard!$C$7*'Equity and Bond Returns'!S15)+(Dashboard!$C$8*'Equity and Bond Returns'!DQ15)</f>
        <v>0.14784939940995701</v>
      </c>
      <c r="H15" s="119">
        <f ca="1">(Dashboard!$C$7*'Equity and Bond Returns'!T15)+(Dashboard!$C$8*'Equity and Bond Returns'!DR15)</f>
        <v>0.2082270887804073</v>
      </c>
      <c r="I15" s="119">
        <f ca="1">(Dashboard!$C$7*'Equity and Bond Returns'!U15)+(Dashboard!$C$8*'Equity and Bond Returns'!DS15)</f>
        <v>4.648783534564023E-2</v>
      </c>
      <c r="J15" s="119">
        <f ca="1">(Dashboard!$C$7*'Equity and Bond Returns'!V15)+(Dashboard!$C$8*'Equity and Bond Returns'!DT15)</f>
        <v>0.13092613384063267</v>
      </c>
      <c r="K15" s="119">
        <f ca="1">(Dashboard!$C$7*'Equity and Bond Returns'!W15)+(Dashboard!$C$8*'Equity and Bond Returns'!DU15)</f>
        <v>0.1634207333989951</v>
      </c>
      <c r="L15" s="119">
        <f ca="1">(Dashboard!$C$7*'Equity and Bond Returns'!X15)+(Dashboard!$C$8*'Equity and Bond Returns'!DV15)</f>
        <v>-4.8741359246107729E-2</v>
      </c>
      <c r="M15" s="119">
        <f ca="1">(Dashboard!$C$7*'Equity and Bond Returns'!Y15)+(Dashboard!$C$8*'Equity and Bond Returns'!DW15)</f>
        <v>-0.1748762650433463</v>
      </c>
      <c r="N15" s="119">
        <f ca="1">(Dashboard!$C$7*'Equity and Bond Returns'!Z15)+(Dashboard!$C$8*'Equity and Bond Returns'!DX15)</f>
        <v>4.2534825101919818E-2</v>
      </c>
      <c r="O15" s="119">
        <f ca="1">(Dashboard!$C$7*'Equity and Bond Returns'!AA15)+(Dashboard!$C$8*'Equity and Bond Returns'!DY15)</f>
        <v>0.14720507001254962</v>
      </c>
      <c r="P15" s="119">
        <f ca="1">(Dashboard!$C$7*'Equity and Bond Returns'!AB15)+(Dashboard!$C$8*'Equity and Bond Returns'!DZ15)</f>
        <v>-3.7342858604262535E-2</v>
      </c>
      <c r="Q15" s="119">
        <f ca="1">(Dashboard!$C$7*'Equity and Bond Returns'!AC15)+(Dashboard!$C$8*'Equity and Bond Returns'!EA15)</f>
        <v>0.19065317744534041</v>
      </c>
      <c r="R15" s="119">
        <f ca="1">(Dashboard!$C$7*'Equity and Bond Returns'!AD15)+(Dashboard!$C$8*'Equity and Bond Returns'!EB15)</f>
        <v>7.2375093072768223E-2</v>
      </c>
      <c r="S15" s="119">
        <f ca="1">(Dashboard!$C$7*'Equity and Bond Returns'!AE15)+(Dashboard!$C$8*'Equity and Bond Returns'!EC15)</f>
        <v>0.228167574361269</v>
      </c>
      <c r="T15" s="119">
        <f ca="1">(Dashboard!$C$7*'Equity and Bond Returns'!AF15)+(Dashboard!$C$8*'Equity and Bond Returns'!ED15)</f>
        <v>-4.5019335365720399E-2</v>
      </c>
      <c r="U15" s="119">
        <f ca="1">(Dashboard!$C$7*'Equity and Bond Returns'!AG15)+(Dashboard!$C$8*'Equity and Bond Returns'!EE15)</f>
        <v>2.8674753380861916E-2</v>
      </c>
      <c r="V15" s="119">
        <f ca="1">(Dashboard!$C$7*'Equity and Bond Returns'!AH15)+(Dashboard!$C$8*'Equity and Bond Returns'!EF15)</f>
        <v>0.14773005600538411</v>
      </c>
      <c r="W15" s="119">
        <f ca="1">(Dashboard!$C$7*'Equity and Bond Returns'!AI15)+(Dashboard!$C$8*'Equity and Bond Returns'!EG15)</f>
        <v>0.31925384200357287</v>
      </c>
      <c r="X15" s="119">
        <f ca="1">(Dashboard!$C$7*'Equity and Bond Returns'!AJ15)+(Dashboard!$C$8*'Equity and Bond Returns'!EH15)</f>
        <v>0.18911681674799993</v>
      </c>
      <c r="Y15" s="119">
        <f ca="1">(Dashboard!$C$7*'Equity and Bond Returns'!AK15)+(Dashboard!$C$8*'Equity and Bond Returns'!EI15)</f>
        <v>0.36379270651055984</v>
      </c>
      <c r="Z15" s="119">
        <f ca="1">(Dashboard!$C$7*'Equity and Bond Returns'!AL15)+(Dashboard!$C$8*'Equity and Bond Returns'!EJ15)</f>
        <v>1.3304082583667824E-2</v>
      </c>
      <c r="AA15" s="119">
        <f ca="1">(Dashboard!$C$7*'Equity and Bond Returns'!AM15)+(Dashboard!$C$8*'Equity and Bond Returns'!EK15)</f>
        <v>0.21559173006801424</v>
      </c>
      <c r="AB15" s="119">
        <f ca="1">(Dashboard!$C$7*'Equity and Bond Returns'!AN15)+(Dashboard!$C$8*'Equity and Bond Returns'!EL15)</f>
        <v>7.1972396517562529E-2</v>
      </c>
      <c r="AC15" s="119">
        <f ca="1">(Dashboard!$C$7*'Equity and Bond Returns'!AO15)+(Dashboard!$C$8*'Equity and Bond Returns'!EM15)</f>
        <v>0.2868974917398131</v>
      </c>
      <c r="AD15" s="119">
        <f ca="1">(Dashboard!$C$7*'Equity and Bond Returns'!AP15)+(Dashboard!$C$8*'Equity and Bond Returns'!EN15)</f>
        <v>0.19978307229621392</v>
      </c>
      <c r="AE15" s="119">
        <f ca="1">(Dashboard!$C$7*'Equity and Bond Returns'!AQ15)+(Dashboard!$C$8*'Equity and Bond Returns'!EO15)</f>
        <v>0.14556108977050877</v>
      </c>
      <c r="AF15" s="119">
        <f ca="1">(Dashboard!$C$7*'Equity and Bond Returns'!AR15)+(Dashboard!$C$8*'Equity and Bond Returns'!EP15)</f>
        <v>0.31723809911514012</v>
      </c>
      <c r="AG15" s="119">
        <f ca="1">(Dashboard!$C$7*'Equity and Bond Returns'!AS15)+(Dashboard!$C$8*'Equity and Bond Returns'!EQ15)</f>
        <v>0.37068281449879514</v>
      </c>
      <c r="AH15" s="119">
        <f ca="1">(Dashboard!$C$7*'Equity and Bond Returns'!AT15)+(Dashboard!$C$8*'Equity and Bond Returns'!ER15)</f>
        <v>-6.3432697326174681E-2</v>
      </c>
      <c r="AI15" s="119">
        <f ca="1">(Dashboard!$C$7*'Equity and Bond Returns'!AU15)+(Dashboard!$C$8*'Equity and Bond Returns'!ES15)</f>
        <v>8.731799214218354E-2</v>
      </c>
      <c r="AJ15" s="119">
        <f ca="1">(Dashboard!$C$7*'Equity and Bond Returns'!AV15)+(Dashboard!$C$8*'Equity and Bond Returns'!ET15)</f>
        <v>0.21293058633901138</v>
      </c>
      <c r="AK15" s="119">
        <f ca="1">(Dashboard!$C$7*'Equity and Bond Returns'!AW15)+(Dashboard!$C$8*'Equity and Bond Returns'!EU15)</f>
        <v>2.7056066631313928E-3</v>
      </c>
      <c r="AL15" s="119">
        <f ca="1">(Dashboard!$C$7*'Equity and Bond Returns'!AX15)+(Dashboard!$C$8*'Equity and Bond Returns'!EV15)</f>
        <v>-5.3533453665536503E-2</v>
      </c>
      <c r="AM15" s="119">
        <f ca="1">(Dashboard!$C$7*'Equity and Bond Returns'!AY15)+(Dashboard!$C$8*'Equity and Bond Returns'!EW15)</f>
        <v>0.13447651833044805</v>
      </c>
      <c r="AN15" s="119">
        <f ca="1">(Dashboard!$C$7*'Equity and Bond Returns'!AZ15)+(Dashboard!$C$8*'Equity and Bond Returns'!EX15)</f>
        <v>0.19025314217066708</v>
      </c>
      <c r="AO15" s="119">
        <f ca="1">(Dashboard!$C$7*'Equity and Bond Returns'!BA15)+(Dashboard!$C$8*'Equity and Bond Returns'!EY15)</f>
        <v>0.20697956981377283</v>
      </c>
      <c r="AP15" s="119">
        <f ca="1">(Dashboard!$C$7*'Equity and Bond Returns'!BB15)+(Dashboard!$C$8*'Equity and Bond Returns'!EZ15)</f>
        <v>6.0997169551904061E-2</v>
      </c>
      <c r="AQ15" s="119">
        <f ca="1">(Dashboard!$C$7*'Equity and Bond Returns'!BC15)+(Dashboard!$C$8*'Equity and Bond Returns'!FA15)</f>
        <v>0.17519446833627156</v>
      </c>
      <c r="AR15" s="119">
        <f ca="1">(Dashboard!$C$7*'Equity and Bond Returns'!BD15)+(Dashboard!$C$8*'Equity and Bond Returns'!FB15)</f>
        <v>0.19223532257193562</v>
      </c>
      <c r="AS15" s="119">
        <f ca="1">(Dashboard!$C$7*'Equity and Bond Returns'!BE15)+(Dashboard!$C$8*'Equity and Bond Returns'!FC15)</f>
        <v>0.21748748720515246</v>
      </c>
      <c r="AT15" s="119">
        <f ca="1">(Dashboard!$C$7*'Equity and Bond Returns'!BF15)+(Dashboard!$C$8*'Equity and Bond Returns'!FD15)</f>
        <v>0.27804753257273873</v>
      </c>
      <c r="AU15" s="119">
        <f ca="1">(Dashboard!$C$7*'Equity and Bond Returns'!BG15)+(Dashboard!$C$8*'Equity and Bond Returns'!FE15)</f>
        <v>0.19173702473683216</v>
      </c>
      <c r="AV15" s="119">
        <f ca="1">(Dashboard!$C$7*'Equity and Bond Returns'!BH15)+(Dashboard!$C$8*'Equity and Bond Returns'!FF15)</f>
        <v>-1.9483759079374663E-2</v>
      </c>
      <c r="AW15" s="119">
        <f ca="1">(Dashboard!$C$7*'Equity and Bond Returns'!BI15)+(Dashboard!$C$8*'Equity and Bond Returns'!FG15)</f>
        <v>-1.1556214724311552E-2</v>
      </c>
      <c r="AX15" s="119">
        <f ca="1">(Dashboard!$C$7*'Equity and Bond Returns'!BJ15)+(Dashboard!$C$8*'Equity and Bond Returns'!FH15)</f>
        <v>3.472366058568984E-2</v>
      </c>
      <c r="AY15" s="119">
        <f ca="1">(Dashboard!$C$7*'Equity and Bond Returns'!BK15)+(Dashboard!$C$8*'Equity and Bond Returns'!FI15)</f>
        <v>-3.179635110088367E-2</v>
      </c>
      <c r="AZ15" s="119">
        <f ca="1">(Dashboard!$C$7*'Equity and Bond Returns'!BL15)+(Dashboard!$C$8*'Equity and Bond Returns'!FJ15)</f>
        <v>4.8717891554032278E-2</v>
      </c>
      <c r="BA15" s="119">
        <f ca="1">(Dashboard!$C$7*'Equity and Bond Returns'!BM15)+(Dashboard!$C$8*'Equity and Bond Returns'!FK15)</f>
        <v>0.28412463164765767</v>
      </c>
      <c r="BB15" s="119">
        <f ca="1">(Dashboard!$C$7*'Equity and Bond Returns'!BN15)+(Dashboard!$C$8*'Equity and Bond Returns'!FL15)</f>
        <v>0.27530150053396196</v>
      </c>
      <c r="BC15" s="119">
        <f ca="1">(Dashboard!$C$7*'Equity and Bond Returns'!BO15)+(Dashboard!$C$8*'Equity and Bond Returns'!FM15)</f>
        <v>-8.8926405652495683E-2</v>
      </c>
      <c r="BD15" s="119">
        <f ca="1">(Dashboard!$C$7*'Equity and Bond Returns'!BP15)+(Dashboard!$C$8*'Equity and Bond Returns'!FN15)</f>
        <v>4.4731273468286342E-2</v>
      </c>
      <c r="BE15" s="119">
        <f ca="1">(Dashboard!$C$7*'Equity and Bond Returns'!BQ15)+(Dashboard!$C$8*'Equity and Bond Returns'!FO15)</f>
        <v>8.6201210409721923E-2</v>
      </c>
      <c r="BF15" s="119">
        <f ca="1">(Dashboard!$C$7*'Equity and Bond Returns'!BR15)+(Dashboard!$C$8*'Equity and Bond Returns'!FP15)</f>
        <v>7.4748457280033501E-2</v>
      </c>
      <c r="BG15" s="119">
        <f ca="1">(Dashboard!$C$7*'Equity and Bond Returns'!BS15)+(Dashboard!$C$8*'Equity and Bond Returns'!FQ15)</f>
        <v>-0.31097569068641967</v>
      </c>
      <c r="BH15" s="119">
        <f ca="1">(Dashboard!$C$7*'Equity and Bond Returns'!BT15)+(Dashboard!$C$8*'Equity and Bond Returns'!FR15)</f>
        <v>0.14292632679944064</v>
      </c>
      <c r="BI15" s="119">
        <f ca="1">(Dashboard!$C$7*'Equity and Bond Returns'!BU15)+(Dashboard!$C$8*'Equity and Bond Returns'!FS15)</f>
        <v>0.14844651348694243</v>
      </c>
      <c r="BJ15" s="119">
        <f ca="1">(Dashboard!$C$7*'Equity and Bond Returns'!BV15)+(Dashboard!$C$8*'Equity and Bond Returns'!FT15)</f>
        <v>0.31450183469426662</v>
      </c>
      <c r="BK15" s="119">
        <f ca="1">(Dashboard!$C$7*'Equity and Bond Returns'!BW15)+(Dashboard!$C$8*'Equity and Bond Returns'!FU15)</f>
        <v>0.24684825292167897</v>
      </c>
      <c r="BL15" s="119">
        <f ca="1">(Dashboard!$C$7*'Equity and Bond Returns'!BX15)+(Dashboard!$C$8*'Equity and Bond Returns'!FV15)</f>
        <v>7.1760299584217313E-2</v>
      </c>
      <c r="BM15" s="119">
        <f ca="1">(Dashboard!$C$7*'Equity and Bond Returns'!BY15)+(Dashboard!$C$8*'Equity and Bond Returns'!FW15)</f>
        <v>0.15530536360286495</v>
      </c>
      <c r="BN15" s="119">
        <f ca="1">(Dashboard!$C$7*'Equity and Bond Returns'!BZ15)+(Dashboard!$C$8*'Equity and Bond Returns'!FX15)</f>
        <v>0.14878889168461196</v>
      </c>
      <c r="BO15" s="119">
        <f ca="1">(Dashboard!$C$7*'Equity and Bond Returns'!CA15)+(Dashboard!$C$8*'Equity and Bond Returns'!FY15)</f>
        <v>3.8687872160756476E-2</v>
      </c>
      <c r="BP15" s="119">
        <f ca="1">(Dashboard!$C$7*'Equity and Bond Returns'!CB15)+(Dashboard!$C$8*'Equity and Bond Returns'!FZ15)</f>
        <v>-8.0096180307443157E-2</v>
      </c>
      <c r="BQ15" s="119">
        <f ca="1">(Dashboard!$C$7*'Equity and Bond Returns'!CC15)+(Dashboard!$C$8*'Equity and Bond Returns'!GA15)</f>
        <v>-0.21568049820117258</v>
      </c>
      <c r="BR15" s="119">
        <f ca="1">(Dashboard!$C$7*'Equity and Bond Returns'!CD15)+(Dashboard!$C$8*'Equity and Bond Returns'!GB15)</f>
        <v>-0.1320173866217404</v>
      </c>
      <c r="BS15" s="119">
        <f ca="1">(Dashboard!$C$7*'Equity and Bond Returns'!CE15)+(Dashboard!$C$8*'Equity and Bond Returns'!GC15)</f>
        <v>5.1111192921864779E-2</v>
      </c>
      <c r="BT15" s="119">
        <f ca="1">(Dashboard!$C$7*'Equity and Bond Returns'!CF15)+(Dashboard!$C$8*'Equity and Bond Returns'!GD15)</f>
        <v>0.31644131141835252</v>
      </c>
      <c r="BU15" s="119">
        <f ca="1">(Dashboard!$C$7*'Equity and Bond Returns'!CG15)+(Dashboard!$C$8*'Equity and Bond Returns'!GE15)</f>
        <v>0.37782802842103358</v>
      </c>
      <c r="BV15" s="119">
        <f ca="1">(Dashboard!$C$7*'Equity and Bond Returns'!CH15)+(Dashboard!$C$8*'Equity and Bond Returns'!GF15)</f>
        <v>3.0620383570940542E-2</v>
      </c>
      <c r="BW15" s="119">
        <f ca="1">(Dashboard!$C$7*'Equity and Bond Returns'!CI15)+(Dashboard!$C$8*'Equity and Bond Returns'!GG15)</f>
        <v>0.20102785999271486</v>
      </c>
      <c r="BX15" s="119">
        <f ca="1">(Dashboard!$C$7*'Equity and Bond Returns'!CJ15)+(Dashboard!$C$8*'Equity and Bond Returns'!GH15)</f>
        <v>0.1601884236311498</v>
      </c>
      <c r="BY15" s="119">
        <f ca="1">(Dashboard!$C$7*'Equity and Bond Returns'!CK15)+(Dashboard!$C$8*'Equity and Bond Returns'!GI15)</f>
        <v>0.20203671199936363</v>
      </c>
      <c r="BZ15" s="119">
        <f ca="1">(Dashboard!$C$7*'Equity and Bond Returns'!CL15)+(Dashboard!$C$8*'Equity and Bond Returns'!GJ15)</f>
        <v>-0.16240137450971706</v>
      </c>
      <c r="CA15" s="119">
        <f ca="1">(Dashboard!$C$7*'Equity and Bond Returns'!CM15)+(Dashboard!$C$8*'Equity and Bond Returns'!GK15)</f>
        <v>0.12725544630181709</v>
      </c>
      <c r="CB15" s="119">
        <f ca="1">(Dashboard!$C$7*'Equity and Bond Returns'!CN15)+(Dashboard!$C$8*'Equity and Bond Returns'!GL15)</f>
        <v>0.31023427449016905</v>
      </c>
      <c r="CC15" s="119">
        <f ca="1">(Dashboard!$C$7*'Equity and Bond Returns'!CO15)+(Dashboard!$C$8*'Equity and Bond Returns'!GM15)</f>
        <v>-6.8856999211785896E-2</v>
      </c>
      <c r="CD15" s="119">
        <f ca="1">(Dashboard!$C$7*'Equity and Bond Returns'!CP15)+(Dashboard!$C$8*'Equity and Bond Returns'!GN15)</f>
        <v>0.44420838719741579</v>
      </c>
      <c r="CE15" s="119">
        <f ca="1">(Dashboard!$C$7*'Equity and Bond Returns'!CQ15)+(Dashboard!$C$8*'Equity and Bond Returns'!GO15)</f>
        <v>0.26339276914302279</v>
      </c>
      <c r="CF15" s="119">
        <f ca="1">(Dashboard!$C$7*'Equity and Bond Returns'!CR15)+(Dashboard!$C$8*'Equity and Bond Returns'!GP15)</f>
        <v>-2.6207900519428354E-2</v>
      </c>
      <c r="CG15" s="119">
        <f ca="1">(Dashboard!$C$7*'Equity and Bond Returns'!CS15)+(Dashboard!$C$8*'Equity and Bond Returns'!GQ15)</f>
        <v>0.30651772424021601</v>
      </c>
      <c r="CH15" s="119">
        <f ca="1">(Dashboard!$C$7*'Equity and Bond Returns'!CT15)+(Dashboard!$C$8*'Equity and Bond Returns'!GR15)</f>
        <v>0.19483895062223791</v>
      </c>
      <c r="CI15" s="119">
        <f ca="1">(Dashboard!$C$7*'Equity and Bond Returns'!CU15)+(Dashboard!$C$8*'Equity and Bond Returns'!GS15)</f>
        <v>-1.3989219105550489E-2</v>
      </c>
      <c r="CJ15" s="119">
        <f ca="1">(Dashboard!$C$7*'Equity and Bond Returns'!CV15)+(Dashboard!$C$8*'Equity and Bond Returns'!GT15)</f>
        <v>7.1721902141146116E-3</v>
      </c>
      <c r="CK15" s="119">
        <f ca="1">(Dashboard!$C$7*'Equity and Bond Returns'!CW15)+(Dashboard!$C$8*'Equity and Bond Returns'!GU15)</f>
        <v>0.1941095733534699</v>
      </c>
      <c r="CL15" s="119">
        <f ca="1">(Dashboard!$C$7*'Equity and Bond Returns'!CX15)+(Dashboard!$C$8*'Equity and Bond Returns'!GV15)</f>
        <v>0.10493234733163809</v>
      </c>
      <c r="CM15" s="119">
        <f ca="1">(Dashboard!$C$7*'Equity and Bond Returns'!CY15)+(Dashboard!$C$8*'Equity and Bond Returns'!GW15)</f>
        <v>-5.452349872224635E-2</v>
      </c>
      <c r="CN15" s="119">
        <f ca="1">(Dashboard!$C$7*'Equity and Bond Returns'!CZ15)+(Dashboard!$C$8*'Equity and Bond Returns'!GX15)</f>
        <v>0.15916594588621252</v>
      </c>
      <c r="CO15" s="119">
        <f ca="1">(Dashboard!$C$7*'Equity and Bond Returns'!DA15)+(Dashboard!$C$8*'Equity and Bond Returns'!GY15)</f>
        <v>-2.5384202573923036E-2</v>
      </c>
      <c r="CP15" s="119">
        <f ca="1">(Dashboard!$C$7*'Equity and Bond Returns'!DB15)+(Dashboard!$C$8*'Equity and Bond Returns'!GZ15)</f>
        <v>8.7352997030072765E-2</v>
      </c>
      <c r="CQ15" s="119">
        <f ca="1">(Dashboard!$C$7*'Equity and Bond Returns'!DC15)+(Dashboard!$C$8*'Equity and Bond Returns'!HA15)</f>
        <v>8.2296036650681456E-2</v>
      </c>
      <c r="CR15" s="119">
        <f ca="1">(Dashboard!$C$7*'Equity and Bond Returns'!DD15)+(Dashboard!$C$8*'Equity and Bond Returns'!HB15)</f>
        <v>0.16507609173268123</v>
      </c>
      <c r="CS15" s="119">
        <f ca="1">(Dashboard!$C$7*'Equity and Bond Returns'!DE15)+(Dashboard!$C$8*'Equity and Bond Returns'!HC15)</f>
        <v>6.6890762502099854E-2</v>
      </c>
      <c r="CT15" s="119">
        <f ca="1">(Dashboard!$C$7*'Equity and Bond Returns'!DF15)+(Dashboard!$C$8*'Equity and Bond Returns'!HD15)</f>
        <v>9.6862716064754079E-2</v>
      </c>
      <c r="CU15" s="119">
        <f ca="1">(Dashboard!$C$7*'Equity and Bond Returns'!DG15)+(Dashboard!$C$8*'Equity and Bond Returns'!HE15)</f>
        <v>0.23575771692757458</v>
      </c>
      <c r="CV15" s="119">
        <f ca="1">(Dashboard!$C$7*'Equity and Bond Returns'!DH15)+(Dashboard!$C$8*'Equity and Bond Returns'!HF15)</f>
        <v>-0.27900436138134183</v>
      </c>
      <c r="CW15" s="119">
        <f ca="1">(Dashboard!$C$7*'Equity and Bond Returns'!DI15)+(Dashboard!$C$8*'Equity and Bond Returns'!HG15)</f>
        <v>-1.5689846275186735E-2</v>
      </c>
      <c r="CY15" s="147">
        <f t="shared" si="5"/>
        <v>64</v>
      </c>
      <c r="CZ15" s="147">
        <v>14</v>
      </c>
      <c r="DA15" s="126">
        <f ca="1">MAX(DA14*(1+B15)-(Dashboard!$C$11)/(1-Dashboard!$C$17)*((1+Dashboard!$C$12)^$CZ15),0)</f>
        <v>2240732.7382753519</v>
      </c>
      <c r="DB15" s="126">
        <f ca="1">MAX(DB14*(1+C15)-(Dashboard!$C$11)/(1-Dashboard!$C$17)*((1+Dashboard!$C$12)^$CZ15),0)</f>
        <v>127084.43056847528</v>
      </c>
      <c r="DC15" s="126">
        <f ca="1">MAX(DC14*(1+D15)-(Dashboard!$C$11)/(1-Dashboard!$C$17)*((1+Dashboard!$C$12)^$CZ15),0)</f>
        <v>950903.12487552396</v>
      </c>
      <c r="DD15" s="126">
        <f ca="1">MAX(DD14*(1+E15)-(Dashboard!$C$11)/(1-Dashboard!$C$17)*((1+Dashboard!$C$12)^$CZ15),0)</f>
        <v>425609.3471477303</v>
      </c>
      <c r="DE15" s="126">
        <f ca="1">MAX(DE14*(1+F15)-(Dashboard!$C$11)/(1-Dashboard!$C$17)*((1+Dashboard!$C$12)^$CZ15),0)</f>
        <v>1718103.1119762491</v>
      </c>
      <c r="DF15" s="126">
        <f ca="1">MAX(DF14*(1+G15)-(Dashboard!$C$11)/(1-Dashboard!$C$17)*((1+Dashboard!$C$12)^$CZ15),0)</f>
        <v>2180469.3378352644</v>
      </c>
      <c r="DG15" s="126">
        <f ca="1">MAX(DG14*(1+H15)-(Dashboard!$C$11)/(1-Dashboard!$C$17)*((1+Dashboard!$C$12)^$CZ15),0)</f>
        <v>253631.12455095875</v>
      </c>
      <c r="DH15" s="126">
        <f ca="1">MAX(DH14*(1+I15)-(Dashboard!$C$11)/(1-Dashboard!$C$17)*((1+Dashboard!$C$12)^$CZ15),0)</f>
        <v>1389388.4126748198</v>
      </c>
      <c r="DI15" s="126">
        <f ca="1">MAX(DI14*(1+J15)-(Dashboard!$C$11)/(1-Dashboard!$C$17)*((1+Dashboard!$C$12)^$CZ15),0)</f>
        <v>1046500.5288350107</v>
      </c>
      <c r="DJ15" s="126">
        <f ca="1">MAX(DJ14*(1+K15)-(Dashboard!$C$11)/(1-Dashboard!$C$17)*((1+Dashboard!$C$12)^$CZ15),0)</f>
        <v>1853961.3421941658</v>
      </c>
      <c r="DK15" s="126">
        <f ca="1">MAX(DK14*(1+L15)-(Dashboard!$C$11)/(1-Dashboard!$C$17)*((1+Dashboard!$C$12)^$CZ15),0)</f>
        <v>1886176.4643533018</v>
      </c>
      <c r="DL15" s="126">
        <f ca="1">MAX(DL14*(1+M15)-(Dashboard!$C$11)/(1-Dashboard!$C$17)*((1+Dashboard!$C$12)^$CZ15),0)</f>
        <v>965522.55393828149</v>
      </c>
      <c r="DM15" s="126">
        <f ca="1">MAX(DM14*(1+N15)-(Dashboard!$C$11)/(1-Dashboard!$C$17)*((1+Dashboard!$C$12)^$CZ15),0)</f>
        <v>1466580.4542710125</v>
      </c>
      <c r="DN15" s="126">
        <f ca="1">MAX(DN14*(1+O15)-(Dashboard!$C$11)/(1-Dashboard!$C$17)*((1+Dashboard!$C$12)^$CZ15),0)</f>
        <v>5459059.2343532918</v>
      </c>
      <c r="DO15" s="126">
        <f ca="1">MAX(DO14*(1+P15)-(Dashboard!$C$11)/(1-Dashboard!$C$17)*((1+Dashboard!$C$12)^$CZ15),0)</f>
        <v>1565558.6271789265</v>
      </c>
      <c r="DP15" s="126">
        <f ca="1">MAX(DP14*(1+Q15)-(Dashboard!$C$11)/(1-Dashboard!$C$17)*((1+Dashboard!$C$12)^$CZ15),0)</f>
        <v>1012721.2019051182</v>
      </c>
      <c r="DQ15" s="126">
        <f ca="1">MAX(DQ14*(1+R15)-(Dashboard!$C$11)/(1-Dashboard!$C$17)*((1+Dashboard!$C$12)^$CZ15),0)</f>
        <v>1143351.5744737864</v>
      </c>
      <c r="DR15" s="126">
        <f ca="1">MAX(DR14*(1+S15)-(Dashboard!$C$11)/(1-Dashboard!$C$17)*((1+Dashboard!$C$12)^$CZ15),0)</f>
        <v>977616.28353625594</v>
      </c>
      <c r="DS15" s="126">
        <f ca="1">MAX(DS14*(1+T15)-(Dashboard!$C$11)/(1-Dashboard!$C$17)*((1+Dashboard!$C$12)^$CZ15),0)</f>
        <v>1232817.5277848747</v>
      </c>
      <c r="DT15" s="126">
        <f ca="1">MAX(DT14*(1+U15)-(Dashboard!$C$11)/(1-Dashboard!$C$17)*((1+Dashboard!$C$12)^$CZ15),0)</f>
        <v>819472.54423870239</v>
      </c>
      <c r="DU15" s="126">
        <f ca="1">MAX(DU14*(1+V15)-(Dashboard!$C$11)/(1-Dashboard!$C$17)*((1+Dashboard!$C$12)^$CZ15),0)</f>
        <v>1349034.2496085686</v>
      </c>
      <c r="DV15" s="126">
        <f ca="1">MAX(DV14*(1+W15)-(Dashboard!$C$11)/(1-Dashboard!$C$17)*((1+Dashboard!$C$12)^$CZ15),0)</f>
        <v>2547443.903048919</v>
      </c>
      <c r="DW15" s="126">
        <f ca="1">MAX(DW14*(1+X15)-(Dashboard!$C$11)/(1-Dashboard!$C$17)*((1+Dashboard!$C$12)^$CZ15),0)</f>
        <v>1622616.2006561507</v>
      </c>
      <c r="DX15" s="126">
        <f ca="1">MAX(DX14*(1+Y15)-(Dashboard!$C$11)/(1-Dashboard!$C$17)*((1+Dashboard!$C$12)^$CZ15),0)</f>
        <v>831686.22117823875</v>
      </c>
      <c r="DY15" s="126">
        <f ca="1">MAX(DY14*(1+Z15)-(Dashboard!$C$11)/(1-Dashboard!$C$17)*((1+Dashboard!$C$12)^$CZ15),0)</f>
        <v>2453062.1982957143</v>
      </c>
      <c r="DZ15" s="126">
        <f ca="1">MAX(DZ14*(1+AA15)-(Dashboard!$C$11)/(1-Dashboard!$C$17)*((1+Dashboard!$C$12)^$CZ15),0)</f>
        <v>952392.37096752494</v>
      </c>
      <c r="EA15" s="126">
        <f ca="1">MAX(EA14*(1+AB15)-(Dashboard!$C$11)/(1-Dashboard!$C$17)*((1+Dashboard!$C$12)^$CZ15),0)</f>
        <v>718417.27523604571</v>
      </c>
      <c r="EB15" s="126">
        <f ca="1">MAX(EB14*(1+AC15)-(Dashboard!$C$11)/(1-Dashboard!$C$17)*((1+Dashboard!$C$12)^$CZ15),0)</f>
        <v>1194833.5937841139</v>
      </c>
      <c r="EC15" s="126">
        <f ca="1">MAX(EC14*(1+AD15)-(Dashboard!$C$11)/(1-Dashboard!$C$17)*((1+Dashboard!$C$12)^$CZ15),0)</f>
        <v>1919658.3247261739</v>
      </c>
      <c r="ED15" s="126">
        <f ca="1">MAX(ED14*(1+AE15)-(Dashboard!$C$11)/(1-Dashboard!$C$17)*((1+Dashboard!$C$12)^$CZ15),0)</f>
        <v>1714284.7721866644</v>
      </c>
      <c r="EE15" s="126">
        <f ca="1">MAX(EE14*(1+AF15)-(Dashboard!$C$11)/(1-Dashboard!$C$17)*((1+Dashboard!$C$12)^$CZ15),0)</f>
        <v>1675938.2939061122</v>
      </c>
      <c r="EF15" s="126">
        <f ca="1">MAX(EF14*(1+AG15)-(Dashboard!$C$11)/(1-Dashboard!$C$17)*((1+Dashboard!$C$12)^$CZ15),0)</f>
        <v>1318197.2968915685</v>
      </c>
      <c r="EG15" s="126">
        <f ca="1">MAX(EG14*(1+AH15)-(Dashboard!$C$11)/(1-Dashboard!$C$17)*((1+Dashboard!$C$12)^$CZ15),0)</f>
        <v>1744459.4288072491</v>
      </c>
      <c r="EH15" s="126">
        <f ca="1">MAX(EH14*(1+AI15)-(Dashboard!$C$11)/(1-Dashboard!$C$17)*((1+Dashboard!$C$12)^$CZ15),0)</f>
        <v>888920.2589567746</v>
      </c>
      <c r="EI15" s="126">
        <f ca="1">MAX(EI14*(1+AJ15)-(Dashboard!$C$11)/(1-Dashboard!$C$17)*((1+Dashboard!$C$12)^$CZ15),0)</f>
        <v>456587.69168055308</v>
      </c>
      <c r="EJ15" s="126">
        <f ca="1">MAX(EJ14*(1+AK15)-(Dashboard!$C$11)/(1-Dashboard!$C$17)*((1+Dashboard!$C$12)^$CZ15),0)</f>
        <v>953388.70407297742</v>
      </c>
      <c r="EK15" s="126">
        <f ca="1">MAX(EK14*(1+AL15)-(Dashboard!$C$11)/(1-Dashboard!$C$17)*((1+Dashboard!$C$12)^$CZ15),0)</f>
        <v>1475646.0418794963</v>
      </c>
      <c r="EL15" s="126">
        <f ca="1">MAX(EL14*(1+AM15)-(Dashboard!$C$11)/(1-Dashboard!$C$17)*((1+Dashboard!$C$12)^$CZ15),0)</f>
        <v>853301.16798454488</v>
      </c>
      <c r="EM15" s="126">
        <f ca="1">MAX(EM14*(1+AN15)-(Dashboard!$C$11)/(1-Dashboard!$C$17)*((1+Dashboard!$C$12)^$CZ15),0)</f>
        <v>1224503.9143363347</v>
      </c>
      <c r="EN15" s="126">
        <f ca="1">MAX(EN14*(1+AO15)-(Dashboard!$C$11)/(1-Dashboard!$C$17)*((1+Dashboard!$C$12)^$CZ15),0)</f>
        <v>2001965.9082982647</v>
      </c>
      <c r="EO15" s="126">
        <f ca="1">MAX(EO14*(1+AP15)-(Dashboard!$C$11)/(1-Dashboard!$C$17)*((1+Dashboard!$C$12)^$CZ15),0)</f>
        <v>499102.63857418898</v>
      </c>
      <c r="EP15" s="126">
        <f ca="1">MAX(EP14*(1+AQ15)-(Dashboard!$C$11)/(1-Dashboard!$C$17)*((1+Dashboard!$C$12)^$CZ15),0)</f>
        <v>1231076.9910095169</v>
      </c>
      <c r="EQ15" s="126">
        <f ca="1">MAX(EQ14*(1+AR15)-(Dashboard!$C$11)/(1-Dashboard!$C$17)*((1+Dashboard!$C$12)^$CZ15),0)</f>
        <v>844773.99548953061</v>
      </c>
      <c r="ER15" s="126">
        <f ca="1">MAX(ER14*(1+AS15)-(Dashboard!$C$11)/(1-Dashboard!$C$17)*((1+Dashboard!$C$12)^$CZ15),0)</f>
        <v>359217.83705589024</v>
      </c>
      <c r="ES15" s="126">
        <f ca="1">MAX(ES14*(1+AT15)-(Dashboard!$C$11)/(1-Dashboard!$C$17)*((1+Dashboard!$C$12)^$CZ15),0)</f>
        <v>1634314.7090002801</v>
      </c>
      <c r="ET15" s="126">
        <f ca="1">MAX(ET14*(1+AU15)-(Dashboard!$C$11)/(1-Dashboard!$C$17)*((1+Dashboard!$C$12)^$CZ15),0)</f>
        <v>1219067.5355672215</v>
      </c>
      <c r="EU15" s="126">
        <f ca="1">MAX(EU14*(1+AV15)-(Dashboard!$C$11)/(1-Dashboard!$C$17)*((1+Dashboard!$C$12)^$CZ15),0)</f>
        <v>1391230.6256547859</v>
      </c>
      <c r="EV15" s="126">
        <f ca="1">MAX(EV14*(1+AW15)-(Dashboard!$C$11)/(1-Dashboard!$C$17)*((1+Dashboard!$C$12)^$CZ15),0)</f>
        <v>2534361.2895656861</v>
      </c>
      <c r="EW15" s="126">
        <f ca="1">MAX(EW14*(1+AX15)-(Dashboard!$C$11)/(1-Dashboard!$C$17)*((1+Dashboard!$C$12)^$CZ15),0)</f>
        <v>1438749.2255983807</v>
      </c>
      <c r="EX15" s="126">
        <f ca="1">MAX(EX14*(1+AY15)-(Dashboard!$C$11)/(1-Dashboard!$C$17)*((1+Dashboard!$C$12)^$CZ15),0)</f>
        <v>1236507.5285654946</v>
      </c>
      <c r="EY15" s="126">
        <f ca="1">MAX(EY14*(1+AZ15)-(Dashboard!$C$11)/(1-Dashboard!$C$17)*((1+Dashboard!$C$12)^$CZ15),0)</f>
        <v>2819616.2027248456</v>
      </c>
      <c r="EZ15" s="126">
        <f ca="1">MAX(EZ14*(1+BA15)-(Dashboard!$C$11)/(1-Dashboard!$C$17)*((1+Dashboard!$C$12)^$CZ15),0)</f>
        <v>601290.86079193174</v>
      </c>
      <c r="FA15" s="126">
        <f ca="1">MAX(FA14*(1+BB15)-(Dashboard!$C$11)/(1-Dashboard!$C$17)*((1+Dashboard!$C$12)^$CZ15),0)</f>
        <v>1644172.5641894387</v>
      </c>
      <c r="FB15" s="126">
        <f ca="1">MAX(FB14*(1+BC15)-(Dashboard!$C$11)/(1-Dashboard!$C$17)*((1+Dashboard!$C$12)^$CZ15),0)</f>
        <v>670788.23960663646</v>
      </c>
      <c r="FC15" s="126">
        <f ca="1">MAX(FC14*(1+BD15)-(Dashboard!$C$11)/(1-Dashboard!$C$17)*((1+Dashboard!$C$12)^$CZ15),0)</f>
        <v>1262968.2535809039</v>
      </c>
      <c r="FD15" s="126">
        <f ca="1">MAX(FD14*(1+BE15)-(Dashboard!$C$11)/(1-Dashboard!$C$17)*((1+Dashboard!$C$12)^$CZ15),0)</f>
        <v>2034814.7249505448</v>
      </c>
      <c r="FE15" s="126">
        <f ca="1">MAX(FE14*(1+BF15)-(Dashboard!$C$11)/(1-Dashboard!$C$17)*((1+Dashboard!$C$12)^$CZ15),0)</f>
        <v>1149361.2542828612</v>
      </c>
      <c r="FF15" s="126">
        <f ca="1">MAX(FF14*(1+BG15)-(Dashboard!$C$11)/(1-Dashboard!$C$17)*((1+Dashboard!$C$12)^$CZ15),0)</f>
        <v>781886.88384524919</v>
      </c>
      <c r="FG15" s="126">
        <f ca="1">MAX(FG14*(1+BH15)-(Dashboard!$C$11)/(1-Dashboard!$C$17)*((1+Dashboard!$C$12)^$CZ15),0)</f>
        <v>801954.04261290561</v>
      </c>
      <c r="FH15" s="126">
        <f ca="1">MAX(FH14*(1+BI15)-(Dashboard!$C$11)/(1-Dashboard!$C$17)*((1+Dashboard!$C$12)^$CZ15),0)</f>
        <v>1576842.1060022265</v>
      </c>
      <c r="FI15" s="126">
        <f ca="1">MAX(FI14*(1+BJ15)-(Dashboard!$C$11)/(1-Dashboard!$C$17)*((1+Dashboard!$C$12)^$CZ15),0)</f>
        <v>1734375.0059880014</v>
      </c>
      <c r="FJ15" s="126">
        <f ca="1">MAX(FJ14*(1+BK15)-(Dashboard!$C$11)/(1-Dashboard!$C$17)*((1+Dashboard!$C$12)^$CZ15),0)</f>
        <v>913300.62456153135</v>
      </c>
      <c r="FK15" s="126">
        <f ca="1">MAX(FK14*(1+BL15)-(Dashboard!$C$11)/(1-Dashboard!$C$17)*((1+Dashboard!$C$12)^$CZ15),0)</f>
        <v>1369500.6736306122</v>
      </c>
      <c r="FL15" s="126">
        <f ca="1">MAX(FL14*(1+BM15)-(Dashboard!$C$11)/(1-Dashboard!$C$17)*((1+Dashboard!$C$12)^$CZ15),0)</f>
        <v>1368790.387714792</v>
      </c>
      <c r="FM15" s="126">
        <f ca="1">MAX(FM14*(1+BN15)-(Dashboard!$C$11)/(1-Dashboard!$C$17)*((1+Dashboard!$C$12)^$CZ15),0)</f>
        <v>1458926.1199069039</v>
      </c>
      <c r="FN15" s="126">
        <f ca="1">MAX(FN14*(1+BO15)-(Dashboard!$C$11)/(1-Dashboard!$C$17)*((1+Dashboard!$C$12)^$CZ15),0)</f>
        <v>903574.08895448816</v>
      </c>
      <c r="FO15" s="126">
        <f ca="1">MAX(FO14*(1+BP15)-(Dashboard!$C$11)/(1-Dashboard!$C$17)*((1+Dashboard!$C$12)^$CZ15),0)</f>
        <v>1007385.8740009574</v>
      </c>
      <c r="FP15" s="126">
        <f ca="1">MAX(FP14*(1+BQ15)-(Dashboard!$C$11)/(1-Dashboard!$C$17)*((1+Dashboard!$C$12)^$CZ15),0)</f>
        <v>824163.63215149415</v>
      </c>
      <c r="FQ15" s="126">
        <f ca="1">MAX(FQ14*(1+BR15)-(Dashboard!$C$11)/(1-Dashboard!$C$17)*((1+Dashboard!$C$12)^$CZ15),0)</f>
        <v>1059478.7469743255</v>
      </c>
      <c r="FR15" s="126">
        <f ca="1">MAX(FR14*(1+BS15)-(Dashboard!$C$11)/(1-Dashboard!$C$17)*((1+Dashboard!$C$12)^$CZ15),0)</f>
        <v>2373981.6917761732</v>
      </c>
      <c r="FS15" s="126">
        <f ca="1">MAX(FS14*(1+BT15)-(Dashboard!$C$11)/(1-Dashboard!$C$17)*((1+Dashboard!$C$12)^$CZ15),0)</f>
        <v>3461674.0181127819</v>
      </c>
      <c r="FT15" s="126">
        <f ca="1">MAX(FT14*(1+BU15)-(Dashboard!$C$11)/(1-Dashboard!$C$17)*((1+Dashboard!$C$12)^$CZ15),0)</f>
        <v>888352.18997171405</v>
      </c>
      <c r="FU15" s="126">
        <f ca="1">MAX(FU14*(1+BV15)-(Dashboard!$C$11)/(1-Dashboard!$C$17)*((1+Dashboard!$C$12)^$CZ15),0)</f>
        <v>1660117.7720987371</v>
      </c>
      <c r="FV15" s="126">
        <f ca="1">MAX(FV14*(1+BW15)-(Dashboard!$C$11)/(1-Dashboard!$C$17)*((1+Dashboard!$C$12)^$CZ15),0)</f>
        <v>674609.48496623954</v>
      </c>
      <c r="FW15" s="126">
        <f ca="1">MAX(FW14*(1+BX15)-(Dashboard!$C$11)/(1-Dashboard!$C$17)*((1+Dashboard!$C$12)^$CZ15),0)</f>
        <v>1638227.4703991881</v>
      </c>
      <c r="FX15" s="126">
        <f ca="1">MAX(FX14*(1+BY15)-(Dashboard!$C$11)/(1-Dashboard!$C$17)*((1+Dashboard!$C$12)^$CZ15),0)</f>
        <v>828340.20641117659</v>
      </c>
      <c r="FY15" s="126">
        <f ca="1">MAX(FY14*(1+BZ15)-(Dashboard!$C$11)/(1-Dashboard!$C$17)*((1+Dashboard!$C$12)^$CZ15),0)</f>
        <v>554968.22766805475</v>
      </c>
      <c r="FZ15" s="126">
        <f ca="1">MAX(FZ14*(1+CA15)-(Dashboard!$C$11)/(1-Dashboard!$C$17)*((1+Dashboard!$C$12)^$CZ15),0)</f>
        <v>1447632.7514737013</v>
      </c>
      <c r="GA15" s="126">
        <f ca="1">MAX(GA14*(1+CB15)-(Dashboard!$C$11)/(1-Dashboard!$C$17)*((1+Dashboard!$C$12)^$CZ15),0)</f>
        <v>2916857.1388490186</v>
      </c>
      <c r="GB15" s="126">
        <f ca="1">MAX(GB14*(1+CC15)-(Dashboard!$C$11)/(1-Dashboard!$C$17)*((1+Dashboard!$C$12)^$CZ15),0)</f>
        <v>1241472.8852743015</v>
      </c>
      <c r="GC15" s="126">
        <f ca="1">MAX(GC14*(1+CD15)-(Dashboard!$C$11)/(1-Dashboard!$C$17)*((1+Dashboard!$C$12)^$CZ15),0)</f>
        <v>3069625.9054396409</v>
      </c>
      <c r="GD15" s="126">
        <f ca="1">MAX(GD14*(1+CE15)-(Dashboard!$C$11)/(1-Dashboard!$C$17)*((1+Dashboard!$C$12)^$CZ15),0)</f>
        <v>1665778.6293785011</v>
      </c>
      <c r="GE15" s="126">
        <f ca="1">MAX(GE14*(1+CF15)-(Dashboard!$C$11)/(1-Dashboard!$C$17)*((1+Dashboard!$C$12)^$CZ15),0)</f>
        <v>915571.43892198266</v>
      </c>
      <c r="GF15" s="126">
        <f ca="1">MAX(GF14*(1+CG15)-(Dashboard!$C$11)/(1-Dashboard!$C$17)*((1+Dashboard!$C$12)^$CZ15),0)</f>
        <v>3008242.4256507792</v>
      </c>
      <c r="GG15" s="126">
        <f ca="1">MAX(GG14*(1+CH15)-(Dashboard!$C$11)/(1-Dashboard!$C$17)*((1+Dashboard!$C$12)^$CZ15),0)</f>
        <v>475524.95299383573</v>
      </c>
      <c r="GH15" s="126">
        <f ca="1">MAX(GH14*(1+CI15)-(Dashboard!$C$11)/(1-Dashboard!$C$17)*((1+Dashboard!$C$12)^$CZ15),0)</f>
        <v>660993.02917159616</v>
      </c>
      <c r="GI15" s="126">
        <f ca="1">MAX(GI14*(1+CJ15)-(Dashboard!$C$11)/(1-Dashboard!$C$17)*((1+Dashboard!$C$12)^$CZ15),0)</f>
        <v>529357.38828240242</v>
      </c>
      <c r="GJ15" s="126">
        <f ca="1">MAX(GJ14*(1+CK15)-(Dashboard!$C$11)/(1-Dashboard!$C$17)*((1+Dashboard!$C$12)^$CZ15),0)</f>
        <v>1177882.2862085607</v>
      </c>
      <c r="GK15" s="126">
        <f ca="1">MAX(GK14*(1+CL15)-(Dashboard!$C$11)/(1-Dashboard!$C$17)*((1+Dashboard!$C$12)^$CZ15),0)</f>
        <v>2432372.9057144802</v>
      </c>
      <c r="GL15" s="126">
        <f ca="1">MAX(GL14*(1+CM15)-(Dashboard!$C$11)/(1-Dashboard!$C$17)*((1+Dashboard!$C$12)^$CZ15),0)</f>
        <v>2102085.571997154</v>
      </c>
      <c r="GM15" s="126">
        <f ca="1">MAX(GM14*(1+CN15)-(Dashboard!$C$11)/(1-Dashboard!$C$17)*((1+Dashboard!$C$12)^$CZ15),0)</f>
        <v>796475.42202856019</v>
      </c>
      <c r="GN15" s="126">
        <f ca="1">MAX(GN14*(1+CO15)-(Dashboard!$C$11)/(1-Dashboard!$C$17)*((1+Dashboard!$C$12)^$CZ15),0)</f>
        <v>166280.0153748864</v>
      </c>
      <c r="GO15" s="126">
        <f ca="1">MAX(GO14*(1+CP15)-(Dashboard!$C$11)/(1-Dashboard!$C$17)*((1+Dashboard!$C$12)^$CZ15),0)</f>
        <v>797583.08559764992</v>
      </c>
      <c r="GP15" s="126">
        <f ca="1">MAX(GP14*(1+CQ15)-(Dashboard!$C$11)/(1-Dashboard!$C$17)*((1+Dashboard!$C$12)^$CZ15),0)</f>
        <v>801004.27068485622</v>
      </c>
      <c r="GQ15" s="126">
        <f ca="1">MAX(GQ14*(1+CR15)-(Dashboard!$C$11)/(1-Dashboard!$C$17)*((1+Dashboard!$C$12)^$CZ15),0)</f>
        <v>586103.87087436323</v>
      </c>
      <c r="GR15" s="126">
        <f ca="1">MAX(GR14*(1+CS15)-(Dashboard!$C$11)/(1-Dashboard!$C$17)*((1+Dashboard!$C$12)^$CZ15),0)</f>
        <v>683877.44288630551</v>
      </c>
      <c r="GS15" s="126">
        <f ca="1">MAX(GS14*(1+CT15)-(Dashboard!$C$11)/(1-Dashboard!$C$17)*((1+Dashboard!$C$12)^$CZ15),0)</f>
        <v>2356359.5179654728</v>
      </c>
      <c r="GT15" s="126">
        <f ca="1">MAX(GT14*(1+CU15)-(Dashboard!$C$11)/(1-Dashboard!$C$17)*((1+Dashboard!$C$12)^$CZ15),0)</f>
        <v>2327117.3207074357</v>
      </c>
      <c r="GU15" s="126">
        <f ca="1">MAX(GU14*(1+CV15)-(Dashboard!$C$11)/(1-Dashboard!$C$17)*((1+Dashboard!$C$12)^$CZ15),0)</f>
        <v>439146.0251446272</v>
      </c>
      <c r="GV15" s="126">
        <f ca="1">MAX(GV14*(1+CW15)-(Dashboard!$C$11)/(1-Dashboard!$C$17)*((1+Dashboard!$C$12)^$CZ15),0)</f>
        <v>557383.9698465101</v>
      </c>
      <c r="GW15" s="115">
        <f t="shared" si="4"/>
        <v>64</v>
      </c>
      <c r="GX15" s="130">
        <f t="shared" ca="1" si="2"/>
        <v>100</v>
      </c>
      <c r="HC15" s="130">
        <f t="shared" si="0"/>
        <v>64</v>
      </c>
      <c r="HD15" s="137">
        <f t="shared" ca="1" si="1"/>
        <v>806333.66801935481</v>
      </c>
      <c r="HE15" s="137">
        <f t="shared" ca="1" si="1"/>
        <v>1221785.7249517781</v>
      </c>
      <c r="HF15" s="137">
        <f t="shared" ca="1" si="1"/>
        <v>1673398.3777742095</v>
      </c>
    </row>
    <row r="16" spans="1:214" ht="16">
      <c r="A16" s="145">
        <f t="shared" si="3"/>
        <v>65</v>
      </c>
      <c r="B16" s="119">
        <f ca="1">(Dashboard!$C$7*'Equity and Bond Returns'!N16)+(Dashboard!$C$8*'Equity and Bond Returns'!DL16)</f>
        <v>-4.8439740132013194E-3</v>
      </c>
      <c r="C16" s="119">
        <f ca="1">(Dashboard!$C$7*'Equity and Bond Returns'!O16)+(Dashboard!$C$8*'Equity and Bond Returns'!DM16)</f>
        <v>-2.6501064230473076E-2</v>
      </c>
      <c r="D16" s="119">
        <f ca="1">(Dashboard!$C$7*'Equity and Bond Returns'!P16)+(Dashboard!$C$8*'Equity and Bond Returns'!DN16)</f>
        <v>0.17233264652162586</v>
      </c>
      <c r="E16" s="119">
        <f ca="1">(Dashboard!$C$7*'Equity and Bond Returns'!Q16)+(Dashboard!$C$8*'Equity and Bond Returns'!DO16)</f>
        <v>1.1828325016603707E-2</v>
      </c>
      <c r="F16" s="119">
        <f ca="1">(Dashboard!$C$7*'Equity and Bond Returns'!R16)+(Dashboard!$C$8*'Equity and Bond Returns'!DP16)</f>
        <v>0.18590677167789538</v>
      </c>
      <c r="G16" s="119">
        <f ca="1">(Dashboard!$C$7*'Equity and Bond Returns'!S16)+(Dashboard!$C$8*'Equity and Bond Returns'!DQ16)</f>
        <v>-0.12905658784488772</v>
      </c>
      <c r="H16" s="119">
        <f ca="1">(Dashboard!$C$7*'Equity and Bond Returns'!T16)+(Dashboard!$C$8*'Equity and Bond Returns'!DR16)</f>
        <v>0.12535974296571376</v>
      </c>
      <c r="I16" s="119">
        <f ca="1">(Dashboard!$C$7*'Equity and Bond Returns'!U16)+(Dashboard!$C$8*'Equity and Bond Returns'!DS16)</f>
        <v>0.26430708885295245</v>
      </c>
      <c r="J16" s="119">
        <f ca="1">(Dashboard!$C$7*'Equity and Bond Returns'!V16)+(Dashboard!$C$8*'Equity and Bond Returns'!DT16)</f>
        <v>0.1129080164558344</v>
      </c>
      <c r="K16" s="119">
        <f ca="1">(Dashboard!$C$7*'Equity and Bond Returns'!W16)+(Dashboard!$C$8*'Equity and Bond Returns'!DU16)</f>
        <v>-0.12351859811700208</v>
      </c>
      <c r="L16" s="119">
        <f ca="1">(Dashboard!$C$7*'Equity and Bond Returns'!X16)+(Dashboard!$C$8*'Equity and Bond Returns'!DV16)</f>
        <v>0.23420787994955505</v>
      </c>
      <c r="M16" s="119">
        <f ca="1">(Dashboard!$C$7*'Equity and Bond Returns'!Y16)+(Dashboard!$C$8*'Equity and Bond Returns'!DW16)</f>
        <v>0.26783978035728473</v>
      </c>
      <c r="N16" s="119">
        <f ca="1">(Dashboard!$C$7*'Equity and Bond Returns'!Z16)+(Dashboard!$C$8*'Equity and Bond Returns'!DX16)</f>
        <v>2.4689895756761188E-2</v>
      </c>
      <c r="O16" s="119">
        <f ca="1">(Dashboard!$C$7*'Equity and Bond Returns'!AA16)+(Dashboard!$C$8*'Equity and Bond Returns'!DY16)</f>
        <v>0.18202832982374334</v>
      </c>
      <c r="P16" s="119">
        <f ca="1">(Dashboard!$C$7*'Equity and Bond Returns'!AB16)+(Dashboard!$C$8*'Equity and Bond Returns'!DZ16)</f>
        <v>-7.2828084761726586E-2</v>
      </c>
      <c r="Q16" s="119">
        <f ca="1">(Dashboard!$C$7*'Equity and Bond Returns'!AC16)+(Dashboard!$C$8*'Equity and Bond Returns'!EA16)</f>
        <v>0.15937830885057036</v>
      </c>
      <c r="R16" s="119">
        <f ca="1">(Dashboard!$C$7*'Equity and Bond Returns'!AD16)+(Dashboard!$C$8*'Equity and Bond Returns'!EB16)</f>
        <v>2.7258141535618438E-2</v>
      </c>
      <c r="S16" s="119">
        <f ca="1">(Dashboard!$C$7*'Equity and Bond Returns'!AE16)+(Dashboard!$C$8*'Equity and Bond Returns'!EC16)</f>
        <v>0.23799937763925486</v>
      </c>
      <c r="T16" s="119">
        <f ca="1">(Dashboard!$C$7*'Equity and Bond Returns'!AF16)+(Dashboard!$C$8*'Equity and Bond Returns'!ED16)</f>
        <v>-0.29823435346303362</v>
      </c>
      <c r="U16" s="119">
        <f ca="1">(Dashboard!$C$7*'Equity and Bond Returns'!AG16)+(Dashboard!$C$8*'Equity and Bond Returns'!EE16)</f>
        <v>-7.4643047958317915E-2</v>
      </c>
      <c r="V16" s="119">
        <f ca="1">(Dashboard!$C$7*'Equity and Bond Returns'!AH16)+(Dashboard!$C$8*'Equity and Bond Returns'!EF16)</f>
        <v>-0.10181980885440253</v>
      </c>
      <c r="W16" s="119">
        <f ca="1">(Dashboard!$C$7*'Equity and Bond Returns'!AI16)+(Dashboard!$C$8*'Equity and Bond Returns'!EG16)</f>
        <v>6.4983668769677969E-2</v>
      </c>
      <c r="X16" s="119">
        <f ca="1">(Dashboard!$C$7*'Equity and Bond Returns'!AJ16)+(Dashboard!$C$8*'Equity and Bond Returns'!EH16)</f>
        <v>2.1986016792122729E-2</v>
      </c>
      <c r="Y16" s="119">
        <f ca="1">(Dashboard!$C$7*'Equity and Bond Returns'!AK16)+(Dashboard!$C$8*'Equity and Bond Returns'!EI16)</f>
        <v>-3.981479637877415E-2</v>
      </c>
      <c r="Z16" s="119">
        <f ca="1">(Dashboard!$C$7*'Equity and Bond Returns'!AL16)+(Dashboard!$C$8*'Equity and Bond Returns'!EJ16)</f>
        <v>0.30629501966224359</v>
      </c>
      <c r="AA16" s="119">
        <f ca="1">(Dashboard!$C$7*'Equity and Bond Returns'!AM16)+(Dashboard!$C$8*'Equity and Bond Returns'!EK16)</f>
        <v>-5.7887617787774938E-2</v>
      </c>
      <c r="AB16" s="119">
        <f ca="1">(Dashboard!$C$7*'Equity and Bond Returns'!AN16)+(Dashboard!$C$8*'Equity and Bond Returns'!EL16)</f>
        <v>0.15663649129764515</v>
      </c>
      <c r="AC16" s="119">
        <f ca="1">(Dashboard!$C$7*'Equity and Bond Returns'!AO16)+(Dashboard!$C$8*'Equity and Bond Returns'!EM16)</f>
        <v>6.5716777868167223E-2</v>
      </c>
      <c r="AD16" s="119">
        <f ca="1">(Dashboard!$C$7*'Equity and Bond Returns'!AP16)+(Dashboard!$C$8*'Equity and Bond Returns'!EN16)</f>
        <v>2.1957953789789403E-2</v>
      </c>
      <c r="AE16" s="119">
        <f ca="1">(Dashboard!$C$7*'Equity and Bond Returns'!AQ16)+(Dashboard!$C$8*'Equity and Bond Returns'!EO16)</f>
        <v>0.22731601311772984</v>
      </c>
      <c r="AF16" s="119">
        <f ca="1">(Dashboard!$C$7*'Equity and Bond Returns'!AR16)+(Dashboard!$C$8*'Equity and Bond Returns'!EP16)</f>
        <v>0.13173827790422044</v>
      </c>
      <c r="AG16" s="119">
        <f ca="1">(Dashboard!$C$7*'Equity and Bond Returns'!AS16)+(Dashboard!$C$8*'Equity and Bond Returns'!EQ16)</f>
        <v>-0.14265422778142151</v>
      </c>
      <c r="AH16" s="119">
        <f ca="1">(Dashboard!$C$7*'Equity and Bond Returns'!AT16)+(Dashboard!$C$8*'Equity and Bond Returns'!ER16)</f>
        <v>0.20682263232753348</v>
      </c>
      <c r="AI16" s="119">
        <f ca="1">(Dashboard!$C$7*'Equity and Bond Returns'!AU16)+(Dashboard!$C$8*'Equity and Bond Returns'!ES16)</f>
        <v>0.36681352066557948</v>
      </c>
      <c r="AJ16" s="119">
        <f ca="1">(Dashboard!$C$7*'Equity and Bond Returns'!AV16)+(Dashboard!$C$8*'Equity and Bond Returns'!ET16)</f>
        <v>-4.1145294048824319E-2</v>
      </c>
      <c r="AK16" s="119">
        <f ca="1">(Dashboard!$C$7*'Equity and Bond Returns'!AW16)+(Dashboard!$C$8*'Equity and Bond Returns'!EU16)</f>
        <v>9.8401964794599672E-2</v>
      </c>
      <c r="AL16" s="119">
        <f ca="1">(Dashboard!$C$7*'Equity and Bond Returns'!AX16)+(Dashboard!$C$8*'Equity and Bond Returns'!EV16)</f>
        <v>0.22886825565923269</v>
      </c>
      <c r="AM16" s="119">
        <f ca="1">(Dashboard!$C$7*'Equity and Bond Returns'!AY16)+(Dashboard!$C$8*'Equity and Bond Returns'!EW16)</f>
        <v>7.7948850909818887E-2</v>
      </c>
      <c r="AN16" s="119">
        <f ca="1">(Dashboard!$C$7*'Equity and Bond Returns'!AZ16)+(Dashboard!$C$8*'Equity and Bond Returns'!EX16)</f>
        <v>0.14409947404337761</v>
      </c>
      <c r="AO16" s="119">
        <f ca="1">(Dashboard!$C$7*'Equity and Bond Returns'!BA16)+(Dashboard!$C$8*'Equity and Bond Returns'!EY16)</f>
        <v>4.8087413212004999E-2</v>
      </c>
      <c r="AP16" s="119">
        <f ca="1">(Dashboard!$C$7*'Equity and Bond Returns'!BB16)+(Dashboard!$C$8*'Equity and Bond Returns'!EZ16)</f>
        <v>0.119290688737579</v>
      </c>
      <c r="AQ16" s="119">
        <f ca="1">(Dashboard!$C$7*'Equity and Bond Returns'!BC16)+(Dashboard!$C$8*'Equity and Bond Returns'!FA16)</f>
        <v>0.16947203191886023</v>
      </c>
      <c r="AR16" s="119">
        <f ca="1">(Dashboard!$C$7*'Equity and Bond Returns'!BD16)+(Dashboard!$C$8*'Equity and Bond Returns'!FB16)</f>
        <v>0.25673531409386013</v>
      </c>
      <c r="AS16" s="119">
        <f ca="1">(Dashboard!$C$7*'Equity and Bond Returns'!BE16)+(Dashboard!$C$8*'Equity and Bond Returns'!FC16)</f>
        <v>0.31365624642872447</v>
      </c>
      <c r="AT16" s="119">
        <f ca="1">(Dashboard!$C$7*'Equity and Bond Returns'!BF16)+(Dashboard!$C$8*'Equity and Bond Returns'!FD16)</f>
        <v>0.24814040323124045</v>
      </c>
      <c r="AU16" s="119">
        <f ca="1">(Dashboard!$C$7*'Equity and Bond Returns'!BG16)+(Dashboard!$C$8*'Equity and Bond Returns'!FE16)</f>
        <v>4.5097273874563665E-2</v>
      </c>
      <c r="AV16" s="119">
        <f ca="1">(Dashboard!$C$7*'Equity and Bond Returns'!BH16)+(Dashboard!$C$8*'Equity and Bond Returns'!FF16)</f>
        <v>4.1164909736641928E-2</v>
      </c>
      <c r="AW16" s="119">
        <f ca="1">(Dashboard!$C$7*'Equity and Bond Returns'!BI16)+(Dashboard!$C$8*'Equity and Bond Returns'!FG16)</f>
        <v>7.0917653448547086E-2</v>
      </c>
      <c r="AX16" s="119">
        <f ca="1">(Dashboard!$C$7*'Equity and Bond Returns'!BJ16)+(Dashboard!$C$8*'Equity and Bond Returns'!FH16)</f>
        <v>0.40619930384584335</v>
      </c>
      <c r="AY16" s="119">
        <f ca="1">(Dashboard!$C$7*'Equity and Bond Returns'!BK16)+(Dashboard!$C$8*'Equity and Bond Returns'!FI16)</f>
        <v>4.2691077791690561E-2</v>
      </c>
      <c r="AZ16" s="119">
        <f ca="1">(Dashboard!$C$7*'Equity and Bond Returns'!BL16)+(Dashboard!$C$8*'Equity and Bond Returns'!FJ16)</f>
        <v>0.19368681847149463</v>
      </c>
      <c r="BA16" s="119">
        <f ca="1">(Dashboard!$C$7*'Equity and Bond Returns'!BM16)+(Dashboard!$C$8*'Equity and Bond Returns'!FK16)</f>
        <v>0.35903030530767099</v>
      </c>
      <c r="BB16" s="119">
        <f ca="1">(Dashboard!$C$7*'Equity and Bond Returns'!BN16)+(Dashboard!$C$8*'Equity and Bond Returns'!FL16)</f>
        <v>0.11764120771830855</v>
      </c>
      <c r="BC16" s="119">
        <f ca="1">(Dashboard!$C$7*'Equity and Bond Returns'!BO16)+(Dashboard!$C$8*'Equity and Bond Returns'!FM16)</f>
        <v>-0.27393261049877315</v>
      </c>
      <c r="BD16" s="119">
        <f ca="1">(Dashboard!$C$7*'Equity and Bond Returns'!BP16)+(Dashboard!$C$8*'Equity and Bond Returns'!FN16)</f>
        <v>0.25268893770382617</v>
      </c>
      <c r="BE16" s="119">
        <f ca="1">(Dashboard!$C$7*'Equity and Bond Returns'!BQ16)+(Dashboard!$C$8*'Equity and Bond Returns'!FO16)</f>
        <v>0.26116853660788231</v>
      </c>
      <c r="BF16" s="119">
        <f ca="1">(Dashboard!$C$7*'Equity and Bond Returns'!BR16)+(Dashboard!$C$8*'Equity and Bond Returns'!FP16)</f>
        <v>2.9236156043941426E-2</v>
      </c>
      <c r="BG16" s="119">
        <f ca="1">(Dashboard!$C$7*'Equity and Bond Returns'!BS16)+(Dashboard!$C$8*'Equity and Bond Returns'!FQ16)</f>
        <v>0.25051434811936313</v>
      </c>
      <c r="BH16" s="119">
        <f ca="1">(Dashboard!$C$7*'Equity and Bond Returns'!BT16)+(Dashboard!$C$8*'Equity and Bond Returns'!FR16)</f>
        <v>-4.1692457099874292E-2</v>
      </c>
      <c r="BI16" s="119">
        <f ca="1">(Dashboard!$C$7*'Equity and Bond Returns'!BU16)+(Dashboard!$C$8*'Equity and Bond Returns'!FS16)</f>
        <v>-8.3065507915713044E-2</v>
      </c>
      <c r="BJ16" s="119">
        <f ca="1">(Dashboard!$C$7*'Equity and Bond Returns'!BV16)+(Dashboard!$C$8*'Equity and Bond Returns'!FT16)</f>
        <v>1.5947777620284945E-2</v>
      </c>
      <c r="BK16" s="119">
        <f ca="1">(Dashboard!$C$7*'Equity and Bond Returns'!BW16)+(Dashboard!$C$8*'Equity and Bond Returns'!FU16)</f>
        <v>2.1176157802008731E-2</v>
      </c>
      <c r="BL16" s="119">
        <f ca="1">(Dashboard!$C$7*'Equity and Bond Returns'!BX16)+(Dashboard!$C$8*'Equity and Bond Returns'!FV16)</f>
        <v>0.20923074914682416</v>
      </c>
      <c r="BM16" s="119">
        <f ca="1">(Dashboard!$C$7*'Equity and Bond Returns'!BY16)+(Dashboard!$C$8*'Equity and Bond Returns'!FW16)</f>
        <v>0.16762479738604927</v>
      </c>
      <c r="BN16" s="119">
        <f ca="1">(Dashboard!$C$7*'Equity and Bond Returns'!BZ16)+(Dashboard!$C$8*'Equity and Bond Returns'!FX16)</f>
        <v>5.128462973030521E-2</v>
      </c>
      <c r="BO16" s="119">
        <f ca="1">(Dashboard!$C$7*'Equity and Bond Returns'!CA16)+(Dashboard!$C$8*'Equity and Bond Returns'!FY16)</f>
        <v>-0.36674965078153249</v>
      </c>
      <c r="BP16" s="119">
        <f ca="1">(Dashboard!$C$7*'Equity and Bond Returns'!CB16)+(Dashboard!$C$8*'Equity and Bond Returns'!FZ16)</f>
        <v>1.0934179026864242E-2</v>
      </c>
      <c r="BQ16" s="119">
        <f ca="1">(Dashboard!$C$7*'Equity and Bond Returns'!CC16)+(Dashboard!$C$8*'Equity and Bond Returns'!GA16)</f>
        <v>0.2333378865554997</v>
      </c>
      <c r="BR16" s="119">
        <f ca="1">(Dashboard!$C$7*'Equity and Bond Returns'!CD16)+(Dashboard!$C$8*'Equity and Bond Returns'!GB16)</f>
        <v>5.2949628221342863E-3</v>
      </c>
      <c r="BS16" s="119">
        <f ca="1">(Dashboard!$C$7*'Equity and Bond Returns'!CE16)+(Dashboard!$C$8*'Equity and Bond Returns'!GC16)</f>
        <v>8.2602980044322788E-2</v>
      </c>
      <c r="BT16" s="119">
        <f ca="1">(Dashboard!$C$7*'Equity and Bond Returns'!CF16)+(Dashboard!$C$8*'Equity and Bond Returns'!GD16)</f>
        <v>-6.7425088114935749E-3</v>
      </c>
      <c r="BU16" s="119">
        <f ca="1">(Dashboard!$C$7*'Equity and Bond Returns'!CG16)+(Dashboard!$C$8*'Equity and Bond Returns'!GE16)</f>
        <v>9.2818983852715684E-3</v>
      </c>
      <c r="BV16" s="119">
        <f ca="1">(Dashboard!$C$7*'Equity and Bond Returns'!CH16)+(Dashboard!$C$8*'Equity and Bond Returns'!GF16)</f>
        <v>0.18589587833109686</v>
      </c>
      <c r="BW16" s="119">
        <f ca="1">(Dashboard!$C$7*'Equity and Bond Returns'!CI16)+(Dashboard!$C$8*'Equity and Bond Returns'!GG16)</f>
        <v>0.24642914254880219</v>
      </c>
      <c r="BX16" s="119">
        <f ca="1">(Dashboard!$C$7*'Equity and Bond Returns'!CJ16)+(Dashboard!$C$8*'Equity and Bond Returns'!GH16)</f>
        <v>7.3809630156905948E-2</v>
      </c>
      <c r="BY16" s="119">
        <f ca="1">(Dashboard!$C$7*'Equity and Bond Returns'!CK16)+(Dashboard!$C$8*'Equity and Bond Returns'!GI16)</f>
        <v>-4.8084983139499535E-2</v>
      </c>
      <c r="BZ16" s="119">
        <f ca="1">(Dashboard!$C$7*'Equity and Bond Returns'!CL16)+(Dashboard!$C$8*'Equity and Bond Returns'!GJ16)</f>
        <v>4.3113724901337858E-2</v>
      </c>
      <c r="CA16" s="119">
        <f ca="1">(Dashboard!$C$7*'Equity and Bond Returns'!CM16)+(Dashboard!$C$8*'Equity and Bond Returns'!GK16)</f>
        <v>0.12175580015690249</v>
      </c>
      <c r="CB16" s="119">
        <f ca="1">(Dashboard!$C$7*'Equity and Bond Returns'!CN16)+(Dashboard!$C$8*'Equity and Bond Returns'!GL16)</f>
        <v>0.20837011437650144</v>
      </c>
      <c r="CC16" s="119">
        <f ca="1">(Dashboard!$C$7*'Equity and Bond Returns'!CO16)+(Dashboard!$C$8*'Equity and Bond Returns'!GM16)</f>
        <v>2.0351452068296451E-2</v>
      </c>
      <c r="CD16" s="119">
        <f ca="1">(Dashboard!$C$7*'Equity and Bond Returns'!CP16)+(Dashboard!$C$8*'Equity and Bond Returns'!GN16)</f>
        <v>1.1312707170606732E-3</v>
      </c>
      <c r="CE16" s="119">
        <f ca="1">(Dashboard!$C$7*'Equity and Bond Returns'!CQ16)+(Dashboard!$C$8*'Equity and Bond Returns'!GO16)</f>
        <v>0.1526598743001103</v>
      </c>
      <c r="CF16" s="119">
        <f ca="1">(Dashboard!$C$7*'Equity and Bond Returns'!CR16)+(Dashboard!$C$8*'Equity and Bond Returns'!GP16)</f>
        <v>0.16960445820999837</v>
      </c>
      <c r="CG16" s="119">
        <f ca="1">(Dashboard!$C$7*'Equity and Bond Returns'!CS16)+(Dashboard!$C$8*'Equity and Bond Returns'!GQ16)</f>
        <v>-1.6268796473402278E-3</v>
      </c>
      <c r="CH16" s="119">
        <f ca="1">(Dashboard!$C$7*'Equity and Bond Returns'!CT16)+(Dashboard!$C$8*'Equity and Bond Returns'!GR16)</f>
        <v>2.3508070653656461E-2</v>
      </c>
      <c r="CI16" s="119">
        <f ca="1">(Dashboard!$C$7*'Equity and Bond Returns'!CU16)+(Dashboard!$C$8*'Equity and Bond Returns'!GS16)</f>
        <v>7.5612148651839933E-2</v>
      </c>
      <c r="CJ16" s="119">
        <f ca="1">(Dashboard!$C$7*'Equity and Bond Returns'!CV16)+(Dashboard!$C$8*'Equity and Bond Returns'!GT16)</f>
        <v>0.33088047468697868</v>
      </c>
      <c r="CK16" s="119">
        <f ca="1">(Dashboard!$C$7*'Equity and Bond Returns'!CW16)+(Dashboard!$C$8*'Equity and Bond Returns'!GU16)</f>
        <v>0.12674048218941297</v>
      </c>
      <c r="CL16" s="119">
        <f ca="1">(Dashboard!$C$7*'Equity and Bond Returns'!CX16)+(Dashboard!$C$8*'Equity and Bond Returns'!GV16)</f>
        <v>6.5488595415912079E-2</v>
      </c>
      <c r="CM16" s="119">
        <f ca="1">(Dashboard!$C$7*'Equity and Bond Returns'!CY16)+(Dashboard!$C$8*'Equity and Bond Returns'!GW16)</f>
        <v>0.18052089548568928</v>
      </c>
      <c r="CN16" s="119">
        <f ca="1">(Dashboard!$C$7*'Equity and Bond Returns'!CZ16)+(Dashboard!$C$8*'Equity and Bond Returns'!GX16)</f>
        <v>0.13453659400947446</v>
      </c>
      <c r="CO16" s="119">
        <f ca="1">(Dashboard!$C$7*'Equity and Bond Returns'!DA16)+(Dashboard!$C$8*'Equity and Bond Returns'!GY16)</f>
        <v>0.10938490745649146</v>
      </c>
      <c r="CP16" s="119">
        <f ca="1">(Dashboard!$C$7*'Equity and Bond Returns'!DB16)+(Dashboard!$C$8*'Equity and Bond Returns'!GZ16)</f>
        <v>-8.7422885118901603E-2</v>
      </c>
      <c r="CQ16" s="119">
        <f ca="1">(Dashboard!$C$7*'Equity and Bond Returns'!DC16)+(Dashboard!$C$8*'Equity and Bond Returns'!HA16)</f>
        <v>-3.1030684498909396E-2</v>
      </c>
      <c r="CR16" s="119">
        <f ca="1">(Dashboard!$C$7*'Equity and Bond Returns'!DD16)+(Dashboard!$C$8*'Equity and Bond Returns'!HB16)</f>
        <v>-3.4433065026478069E-2</v>
      </c>
      <c r="CS16" s="119">
        <f ca="1">(Dashboard!$C$7*'Equity and Bond Returns'!DE16)+(Dashboard!$C$8*'Equity and Bond Returns'!HC16)</f>
        <v>0.27469533965812254</v>
      </c>
      <c r="CT16" s="119">
        <f ca="1">(Dashboard!$C$7*'Equity and Bond Returns'!DF16)+(Dashboard!$C$8*'Equity and Bond Returns'!HD16)</f>
        <v>0.20582101803392847</v>
      </c>
      <c r="CU16" s="119">
        <f ca="1">(Dashboard!$C$7*'Equity and Bond Returns'!DG16)+(Dashboard!$C$8*'Equity and Bond Returns'!HE16)</f>
        <v>0.14649366252259619</v>
      </c>
      <c r="CV16" s="119">
        <f ca="1">(Dashboard!$C$7*'Equity and Bond Returns'!DH16)+(Dashboard!$C$8*'Equity and Bond Returns'!HF16)</f>
        <v>0.27282761576737935</v>
      </c>
      <c r="CW16" s="119">
        <f ca="1">(Dashboard!$C$7*'Equity and Bond Returns'!DI16)+(Dashboard!$C$8*'Equity and Bond Returns'!HG16)</f>
        <v>0.14713899197669539</v>
      </c>
      <c r="CY16" s="147">
        <f t="shared" si="5"/>
        <v>65</v>
      </c>
      <c r="CZ16" s="147">
        <v>15</v>
      </c>
      <c r="DA16" s="126">
        <f ca="1">MAX(DA15*(1+B16)-(Dashboard!$C$11)/(1-Dashboard!$C$17)*((1+Dashboard!$C$12)^$CZ16),0)</f>
        <v>2197745.6091532256</v>
      </c>
      <c r="DB16" s="126">
        <f ca="1">MAX(DB15*(1+C16)-(Dashboard!$C$11)/(1-Dashboard!$C$17)*((1+Dashboard!$C$12)^$CZ16),0)</f>
        <v>91583.479943896251</v>
      </c>
      <c r="DC16" s="126">
        <f ca="1">MAX(DC15*(1+D16)-(Dashboard!$C$11)/(1-Dashboard!$C$17)*((1+Dashboard!$C$12)^$CZ16),0)</f>
        <v>1082641.6990036163</v>
      </c>
      <c r="DD16" s="126">
        <f ca="1">MAX(DD15*(1+E16)-(Dashboard!$C$11)/(1-Dashboard!$C$17)*((1+Dashboard!$C$12)^$CZ16),0)</f>
        <v>398510.51486850745</v>
      </c>
      <c r="DE16" s="126">
        <f ca="1">MAX(DE15*(1+F16)-(Dashboard!$C$11)/(1-Dashboard!$C$17)*((1+Dashboard!$C$12)^$CZ16),0)</f>
        <v>2005377.0369661087</v>
      </c>
      <c r="DF16" s="126">
        <f ca="1">MAX(DF15*(1+G16)-(Dashboard!$C$11)/(1-Dashboard!$C$17)*((1+Dashboard!$C$12)^$CZ16),0)</f>
        <v>1866932.3272264525</v>
      </c>
      <c r="DG16" s="126">
        <f ca="1">MAX(DG15*(1+H16)-(Dashboard!$C$11)/(1-Dashboard!$C$17)*((1+Dashboard!$C$12)^$CZ16),0)</f>
        <v>253293.17916538112</v>
      </c>
      <c r="DH16" s="126">
        <f ca="1">MAX(DH15*(1+I16)-(Dashboard!$C$11)/(1-Dashboard!$C$17)*((1+Dashboard!$C$12)^$CZ16),0)</f>
        <v>1724480.5413475353</v>
      </c>
      <c r="DI16" s="126">
        <f ca="1">MAX(DI15*(1+J16)-(Dashboard!$C$11)/(1-Dashboard!$C$17)*((1+Dashboard!$C$12)^$CZ16),0)</f>
        <v>1132525.7497983626</v>
      </c>
      <c r="DJ16" s="126">
        <f ca="1">MAX(DJ15*(1+K16)-(Dashboard!$C$11)/(1-Dashboard!$C$17)*((1+Dashboard!$C$12)^$CZ16),0)</f>
        <v>1592829.5582758361</v>
      </c>
      <c r="DK16" s="126">
        <f ca="1">MAX(DK15*(1+L16)-(Dashboard!$C$11)/(1-Dashboard!$C$17)*((1+Dashboard!$C$12)^$CZ16),0)</f>
        <v>2295800.7773128455</v>
      </c>
      <c r="DL16" s="126">
        <f ca="1">MAX(DL15*(1+M16)-(Dashboard!$C$11)/(1-Dashboard!$C$17)*((1+Dashboard!$C$12)^$CZ16),0)</f>
        <v>1191994.8247477245</v>
      </c>
      <c r="DM16" s="126">
        <f ca="1">MAX(DM15*(1+N16)-(Dashboard!$C$11)/(1-Dashboard!$C$17)*((1+Dashboard!$C$12)^$CZ16),0)</f>
        <v>1470657.0948384763</v>
      </c>
      <c r="DN16" s="126">
        <f ca="1">MAX(DN15*(1+O16)-(Dashboard!$C$11)/(1-Dashboard!$C$17)*((1+Dashboard!$C$12)^$CZ16),0)</f>
        <v>6420629.5912241135</v>
      </c>
      <c r="DO16" s="126">
        <f ca="1">MAX(DO15*(1+P16)-(Dashboard!$C$11)/(1-Dashboard!$C$17)*((1+Dashboard!$C$12)^$CZ16),0)</f>
        <v>1419408.9128118963</v>
      </c>
      <c r="DP16" s="126">
        <f ca="1">MAX(DP15*(1+Q16)-(Dashboard!$C$11)/(1-Dashboard!$C$17)*((1+Dashboard!$C$12)^$CZ16),0)</f>
        <v>1141993.9164344822</v>
      </c>
      <c r="DQ16" s="126">
        <f ca="1">MAX(DQ15*(1+R16)-(Dashboard!$C$11)/(1-Dashboard!$C$17)*((1+Dashboard!$C$12)^$CZ16),0)</f>
        <v>1142384.1355483741</v>
      </c>
      <c r="DR16" s="126">
        <f ca="1">MAX(DR15*(1+S16)-(Dashboard!$C$11)/(1-Dashboard!$C$17)*((1+Dashboard!$C$12)^$CZ16),0)</f>
        <v>1178155.2726204954</v>
      </c>
      <c r="DS16" s="126">
        <f ca="1">MAX(DS15*(1+T16)-(Dashboard!$C$11)/(1-Dashboard!$C$17)*((1+Dashboard!$C$12)^$CZ16),0)</f>
        <v>833015.91148066637</v>
      </c>
      <c r="DT16" s="126">
        <f ca="1">MAX(DT15*(1+U16)-(Dashboard!$C$11)/(1-Dashboard!$C$17)*((1+Dashboard!$C$12)^$CZ16),0)</f>
        <v>726171.53785117739</v>
      </c>
      <c r="DU16" s="126">
        <f ca="1">MAX(DU15*(1+V16)-(Dashboard!$C$11)/(1-Dashboard!$C$17)*((1+Dashboard!$C$12)^$CZ16),0)</f>
        <v>1179542.762207991</v>
      </c>
      <c r="DV16" s="126">
        <f ca="1">MAX(DV15*(1+W16)-(Dashboard!$C$11)/(1-Dashboard!$C$17)*((1+Dashboard!$C$12)^$CZ16),0)</f>
        <v>2680853.0758865946</v>
      </c>
      <c r="DW16" s="126">
        <f ca="1">MAX(DW15*(1+X16)-(Dashboard!$C$11)/(1-Dashboard!$C$17)*((1+Dashboard!$C$12)^$CZ16),0)</f>
        <v>1626157.9897235562</v>
      </c>
      <c r="DX16" s="126">
        <f ca="1">MAX(DX15*(1+Y16)-(Dashboard!$C$11)/(1-Dashboard!$C$17)*((1+Dashboard!$C$12)^$CZ16),0)</f>
        <v>766439.72566360421</v>
      </c>
      <c r="DY16" s="126">
        <f ca="1">MAX(DY15*(1+Z16)-(Dashboard!$C$11)/(1-Dashboard!$C$17)*((1+Dashboard!$C$12)^$CZ16),0)</f>
        <v>3172289.8545880159</v>
      </c>
      <c r="DZ16" s="126">
        <f ca="1">MAX(DZ15*(1+AA16)-(Dashboard!$C$11)/(1-Dashboard!$C$17)*((1+Dashboard!$C$12)^$CZ16),0)</f>
        <v>865127.56744557328</v>
      </c>
      <c r="EA16" s="126">
        <f ca="1">MAX(EA15*(1+AB16)-(Dashboard!$C$11)/(1-Dashboard!$C$17)*((1+Dashboard!$C$12)^$CZ16),0)</f>
        <v>798814.55854924384</v>
      </c>
      <c r="EB16" s="126">
        <f ca="1">MAX(EB15*(1+AC16)-(Dashboard!$C$11)/(1-Dashboard!$C$17)*((1+Dashboard!$C$12)^$CZ16),0)</f>
        <v>1241221.1296888576</v>
      </c>
      <c r="EC16" s="126">
        <f ca="1">MAX(EC15*(1+AD16)-(Dashboard!$C$11)/(1-Dashboard!$C$17)*((1+Dashboard!$C$12)^$CZ16),0)</f>
        <v>1929677.0155453049</v>
      </c>
      <c r="ED16" s="126">
        <f ca="1">MAX(ED15*(1+AE16)-(Dashboard!$C$11)/(1-Dashboard!$C$17)*((1+Dashboard!$C$12)^$CZ16),0)</f>
        <v>2071836.0739811817</v>
      </c>
      <c r="EE16" s="126">
        <f ca="1">MAX(EE15*(1+AF16)-(Dashboard!$C$11)/(1-Dashboard!$C$17)*((1+Dashboard!$C$12)^$CZ16),0)</f>
        <v>1864590.4406516501</v>
      </c>
      <c r="EF16" s="126">
        <f ca="1">MAX(EF15*(1+AG16)-(Dashboard!$C$11)/(1-Dashboard!$C$17)*((1+Dashboard!$C$12)^$CZ16),0)</f>
        <v>1098017.8014725535</v>
      </c>
      <c r="EG16" s="126">
        <f ca="1">MAX(EG15*(1+AH16)-(Dashboard!$C$11)/(1-Dashboard!$C$17)*((1+Dashboard!$C$12)^$CZ16),0)</f>
        <v>2073120.041894359</v>
      </c>
      <c r="EH16" s="126">
        <f ca="1">MAX(EH15*(1+AI16)-(Dashboard!$C$11)/(1-Dashboard!$C$17)*((1+Dashboard!$C$12)^$CZ16),0)</f>
        <v>1182855.1507682772</v>
      </c>
      <c r="EI16" s="126">
        <f ca="1">MAX(EI15*(1+AJ16)-(Dashboard!$C$11)/(1-Dashboard!$C$17)*((1+Dashboard!$C$12)^$CZ16),0)</f>
        <v>405668.17887989205</v>
      </c>
      <c r="EJ16" s="126">
        <f ca="1">MAX(EJ15*(1+AK16)-(Dashboard!$C$11)/(1-Dashboard!$C$17)*((1+Dashboard!$C$12)^$CZ16),0)</f>
        <v>1015070.9477993448</v>
      </c>
      <c r="EK16" s="126">
        <f ca="1">MAX(EK15*(1+AL16)-(Dashboard!$C$11)/(1-Dashboard!$C$17)*((1+Dashboard!$C$12)^$CZ16),0)</f>
        <v>1781241.4994875169</v>
      </c>
      <c r="EL16" s="126">
        <f ca="1">MAX(EL15*(1+AM16)-(Dashboard!$C$11)/(1-Dashboard!$C$17)*((1+Dashboard!$C$12)^$CZ16),0)</f>
        <v>887681.93554155575</v>
      </c>
      <c r="EM16" s="126">
        <f ca="1">MAX(EM15*(1+AN16)-(Dashboard!$C$11)/(1-Dashboard!$C$17)*((1+Dashboard!$C$12)^$CZ16),0)</f>
        <v>1368821.206388867</v>
      </c>
      <c r="EN16" s="126">
        <f ca="1">MAX(EN15*(1+AO16)-(Dashboard!$C$11)/(1-Dashboard!$C$17)*((1+Dashboard!$C$12)^$CZ16),0)</f>
        <v>2066102.1921995594</v>
      </c>
      <c r="EO16" s="126">
        <f ca="1">MAX(EO15*(1+AP16)-(Dashboard!$C$11)/(1-Dashboard!$C$17)*((1+Dashboard!$C$12)^$CZ16),0)</f>
        <v>526507.85811305628</v>
      </c>
      <c r="EP16" s="126">
        <f ca="1">MAX(EP15*(1+AQ16)-(Dashboard!$C$11)/(1-Dashboard!$C$17)*((1+Dashboard!$C$12)^$CZ16),0)</f>
        <v>1407577.0321570653</v>
      </c>
      <c r="EQ16" s="126">
        <f ca="1">MAX(EQ15*(1+AR16)-(Dashboard!$C$11)/(1-Dashboard!$C$17)*((1+Dashboard!$C$12)^$CZ16),0)</f>
        <v>1029524.2345924698</v>
      </c>
      <c r="ER16" s="126">
        <f ca="1">MAX(ER15*(1+AS16)-(Dashboard!$C$11)/(1-Dashboard!$C$17)*((1+Dashboard!$C$12)^$CZ16),0)</f>
        <v>439755.67750969518</v>
      </c>
      <c r="ES16" s="126">
        <f ca="1">MAX(ES15*(1+AT16)-(Dashboard!$C$11)/(1-Dashboard!$C$17)*((1+Dashboard!$C$12)^$CZ16),0)</f>
        <v>2007721.1419309662</v>
      </c>
      <c r="ET16" s="126">
        <f ca="1">MAX(ET15*(1+AU16)-(Dashboard!$C$11)/(1-Dashboard!$C$17)*((1+Dashboard!$C$12)^$CZ16),0)</f>
        <v>1241911.0801228951</v>
      </c>
      <c r="EU16" s="126">
        <f ca="1">MAX(EU15*(1+AV16)-(Dashboard!$C$11)/(1-Dashboard!$C$17)*((1+Dashboard!$C$12)^$CZ16),0)</f>
        <v>1416367.4308153265</v>
      </c>
      <c r="EV16" s="126">
        <f ca="1">MAX(EV15*(1+AW16)-(Dashboard!$C$11)/(1-Dashboard!$C$17)*((1+Dashboard!$C$12)^$CZ16),0)</f>
        <v>2681959.1672451277</v>
      </c>
      <c r="EW16" s="126">
        <f ca="1">MAX(EW15*(1+AX16)-(Dashboard!$C$11)/(1-Dashboard!$C$17)*((1+Dashboard!$C$12)^$CZ16),0)</f>
        <v>1991035.0814777985</v>
      </c>
      <c r="EX16" s="126">
        <f ca="1">MAX(EX15*(1+AY16)-(Dashboard!$C$11)/(1-Dashboard!$C$17)*((1+Dashboard!$C$12)^$CZ16),0)</f>
        <v>1257162.2896901043</v>
      </c>
      <c r="EY16" s="126">
        <f ca="1">MAX(EY15*(1+AZ16)-(Dashboard!$C$11)/(1-Dashboard!$C$17)*((1+Dashboard!$C$12)^$CZ16),0)</f>
        <v>3333605.6163739068</v>
      </c>
      <c r="EZ16" s="126">
        <f ca="1">MAX(EZ15*(1+BA16)-(Dashboard!$C$11)/(1-Dashboard!$C$17)*((1+Dashboard!$C$12)^$CZ16),0)</f>
        <v>785039.42415338045</v>
      </c>
      <c r="FA16" s="126">
        <f ca="1">MAX(FA15*(1+BB16)-(Dashboard!$C$11)/(1-Dashboard!$C$17)*((1+Dashboard!$C$12)^$CZ16),0)</f>
        <v>1805461.9323706017</v>
      </c>
      <c r="FB16" s="126">
        <f ca="1">MAX(FB15*(1+BC16)-(Dashboard!$C$11)/(1-Dashboard!$C$17)*((1+Dashboard!$C$12)^$CZ16),0)</f>
        <v>454904.38807192323</v>
      </c>
      <c r="FC16" s="126">
        <f ca="1">MAX(FC15*(1+BD16)-(Dashboard!$C$11)/(1-Dashboard!$C$17)*((1+Dashboard!$C$12)^$CZ16),0)</f>
        <v>1549973.2819645284</v>
      </c>
      <c r="FD16" s="126">
        <f ca="1">MAX(FD15*(1+BE16)-(Dashboard!$C$11)/(1-Dashboard!$C$17)*((1+Dashboard!$C$12)^$CZ16),0)</f>
        <v>2534111.2309666579</v>
      </c>
      <c r="FE16" s="126">
        <f ca="1">MAX(FE15*(1+BF16)-(Dashboard!$C$11)/(1-Dashboard!$C$17)*((1+Dashboard!$C$12)^$CZ16),0)</f>
        <v>1150831.0812965445</v>
      </c>
      <c r="FF16" s="126">
        <f ca="1">MAX(FF15*(1+BG16)-(Dashboard!$C$11)/(1-Dashboard!$C$17)*((1+Dashboard!$C$12)^$CZ16),0)</f>
        <v>945627.68888743117</v>
      </c>
      <c r="FG16" s="126">
        <f ca="1">MAX(FG15*(1+BH16)-(Dashboard!$C$11)/(1-Dashboard!$C$17)*((1+Dashboard!$C$12)^$CZ16),0)</f>
        <v>736385.53012780554</v>
      </c>
      <c r="FH16" s="126">
        <f ca="1">MAX(FH15*(1+BI16)-(Dashboard!$C$11)/(1-Dashboard!$C$17)*((1+Dashboard!$C$12)^$CZ16),0)</f>
        <v>1413727.8375968784</v>
      </c>
      <c r="FI16" s="126">
        <f ca="1">MAX(FI15*(1+BJ16)-(Dashboard!$C$11)/(1-Dashboard!$C$17)*((1+Dashboard!$C$12)^$CZ16),0)</f>
        <v>1729901.3549262877</v>
      </c>
      <c r="FJ16" s="126">
        <f ca="1">MAX(FJ15*(1+BK16)-(Dashboard!$C$11)/(1-Dashboard!$C$17)*((1+Dashboard!$C$12)^$CZ16),0)</f>
        <v>900507.74474052864</v>
      </c>
      <c r="FK16" s="126">
        <f ca="1">MAX(FK15*(1+BL16)-(Dashboard!$C$11)/(1-Dashboard!$C$17)*((1+Dashboard!$C$12)^$CZ16),0)</f>
        <v>1623909.2475640345</v>
      </c>
      <c r="FL16" s="126">
        <f ca="1">MAX(FL15*(1+BM16)-(Dashboard!$C$11)/(1-Dashboard!$C$17)*((1+Dashboard!$C$12)^$CZ16),0)</f>
        <v>1566100.5211520651</v>
      </c>
      <c r="FM16" s="126">
        <f ca="1">MAX(FM15*(1+BN16)-(Dashboard!$C$11)/(1-Dashboard!$C$17)*((1+Dashboard!$C$12)^$CZ16),0)</f>
        <v>1501613.5278028096</v>
      </c>
      <c r="FN16" s="126">
        <f ca="1">MAX(FN15*(1+BO16)-(Dashboard!$C$11)/(1-Dashboard!$C$17)*((1+Dashboard!$C$12)^$CZ16),0)</f>
        <v>540055.5294077975</v>
      </c>
      <c r="FO16" s="126">
        <f ca="1">MAX(FO15*(1+BP16)-(Dashboard!$C$11)/(1-Dashboard!$C$17)*((1+Dashboard!$C$12)^$CZ16),0)</f>
        <v>986267.73352902709</v>
      </c>
      <c r="FP16" s="126">
        <f ca="1">MAX(FP15*(1+BQ16)-(Dashboard!$C$11)/(1-Dashboard!$C$17)*((1+Dashboard!$C$12)^$CZ16),0)</f>
        <v>984339.15428623743</v>
      </c>
      <c r="FQ16" s="126">
        <f ca="1">MAX(FQ15*(1+BR16)-(Dashboard!$C$11)/(1-Dashboard!$C$17)*((1+Dashboard!$C$12)^$CZ16),0)</f>
        <v>1032955.5695830054</v>
      </c>
      <c r="FR16" s="126">
        <f ca="1">MAX(FR15*(1+BS16)-(Dashboard!$C$11)/(1-Dashboard!$C$17)*((1+Dashboard!$C$12)^$CZ16),0)</f>
        <v>2537946.5761201573</v>
      </c>
      <c r="FS16" s="126">
        <f ca="1">MAX(FS15*(1+BT16)-(Dashboard!$C$11)/(1-Dashboard!$C$17)*((1+Dashboard!$C$12)^$CZ16),0)</f>
        <v>3406200.572575747</v>
      </c>
      <c r="FT16" s="126">
        <f ca="1">MAX(FT15*(1+BU16)-(Dashboard!$C$11)/(1-Dashboard!$C$17)*((1+Dashboard!$C$12)^$CZ16),0)</f>
        <v>864464.70676197426</v>
      </c>
      <c r="FU16" s="126">
        <f ca="1">MAX(FU15*(1+BV16)-(Dashboard!$C$11)/(1-Dashboard!$C$17)*((1+Dashboard!$C$12)^$CZ16),0)</f>
        <v>1936593.7455087048</v>
      </c>
      <c r="FV16" s="126">
        <f ca="1">MAX(FV15*(1+BW16)-(Dashboard!$C$11)/(1-Dashboard!$C$17)*((1+Dashboard!$C$12)^$CZ16),0)</f>
        <v>808719.84393436823</v>
      </c>
      <c r="FW16" s="126">
        <f ca="1">MAX(FW15*(1+BX16)-(Dashboard!$C$11)/(1-Dashboard!$C$17)*((1+Dashboard!$C$12)^$CZ16),0)</f>
        <v>1727011.3561348449</v>
      </c>
      <c r="FX16" s="126">
        <f ca="1">MAX(FX15*(1+BY16)-(Dashboard!$C$11)/(1-Dashboard!$C$17)*((1+Dashboard!$C$12)^$CZ16),0)</f>
        <v>756376.40358473489</v>
      </c>
      <c r="FY16" s="126">
        <f ca="1">MAX(FY15*(1+BZ16)-(Dashboard!$C$11)/(1-Dashboard!$C$17)*((1+Dashboard!$C$12)^$CZ16),0)</f>
        <v>546761.89719732746</v>
      </c>
      <c r="FZ16" s="126">
        <f ca="1">MAX(FZ15*(1+CA16)-(Dashboard!$C$11)/(1-Dashboard!$C$17)*((1+Dashboard!$C$12)^$CZ16),0)</f>
        <v>1591757.3574953293</v>
      </c>
      <c r="GA16" s="126">
        <f ca="1">MAX(GA15*(1+CB16)-(Dashboard!$C$11)/(1-Dashboard!$C$17)*((1+Dashboard!$C$12)^$CZ16),0)</f>
        <v>3492509.9165235129</v>
      </c>
      <c r="GB16" s="126">
        <f ca="1">MAX(GB15*(1+CC16)-(Dashboard!$C$11)/(1-Dashboard!$C$17)*((1+Dashboard!$C$12)^$CZ16),0)</f>
        <v>1234605.5832256605</v>
      </c>
      <c r="GC16" s="126">
        <f ca="1">MAX(GC15*(1+CD16)-(Dashboard!$C$11)/(1-Dashboard!$C$17)*((1+Dashboard!$C$12)^$CZ16),0)</f>
        <v>3040965.4053714052</v>
      </c>
      <c r="GD16" s="126">
        <f ca="1">MAX(GD15*(1+CE16)-(Dashboard!$C$11)/(1-Dashboard!$C$17)*((1+Dashboard!$C$12)^$CZ16),0)</f>
        <v>1887943.1075838427</v>
      </c>
      <c r="GE16" s="126">
        <f ca="1">MAX(GE15*(1+CF16)-(Dashboard!$C$11)/(1-Dashboard!$C$17)*((1+Dashboard!$C$12)^$CZ16),0)</f>
        <v>1038723.3588055036</v>
      </c>
      <c r="GF16" s="126">
        <f ca="1">MAX(GF15*(1+CG16)-(Dashboard!$C$11)/(1-Dashboard!$C$17)*((1+Dashboard!$C$12)^$CZ16),0)</f>
        <v>2971215.2993068318</v>
      </c>
      <c r="GG16" s="126">
        <f ca="1">MAX(GG15*(1+CH16)-(Dashboard!$C$11)/(1-Dashboard!$C$17)*((1+Dashboard!$C$12)^$CZ16),0)</f>
        <v>454570.54921900079</v>
      </c>
      <c r="GH16" s="126">
        <f ca="1">MAX(GH15*(1+CI16)-(Dashboard!$C$11)/(1-Dashboard!$C$17)*((1+Dashboard!$C$12)^$CZ16),0)</f>
        <v>678839.05438375811</v>
      </c>
      <c r="GI16" s="126">
        <f ca="1">MAX(GI15*(1+CJ16)-(Dashboard!$C$11)/(1-Dashboard!$C$17)*((1+Dashboard!$C$12)^$CZ16),0)</f>
        <v>672378.3342289523</v>
      </c>
      <c r="GJ16" s="126">
        <f ca="1">MAX(GJ15*(1+CK16)-(Dashboard!$C$11)/(1-Dashboard!$C$17)*((1+Dashboard!$C$12)^$CZ16),0)</f>
        <v>1295034.577157611</v>
      </c>
      <c r="GK16" s="126">
        <f ca="1">MAX(GK15*(1+CL16)-(Dashboard!$C$11)/(1-Dashboard!$C$17)*((1+Dashboard!$C$12)^$CZ16),0)</f>
        <v>2559532.5128700514</v>
      </c>
      <c r="GL16" s="126">
        <f ca="1">MAX(GL15*(1+CM16)-(Dashboard!$C$11)/(1-Dashboard!$C$17)*((1+Dashboard!$C$12)^$CZ16),0)</f>
        <v>2449422.8638742366</v>
      </c>
      <c r="GM16" s="126">
        <f ca="1">MAX(GM15*(1+CN16)-(Dashboard!$C$11)/(1-Dashboard!$C$17)*((1+Dashboard!$C$12)^$CZ16),0)</f>
        <v>871497.43455315067</v>
      </c>
      <c r="GN16" s="126">
        <f ca="1">MAX(GN15*(1+CO16)-(Dashboard!$C$11)/(1-Dashboard!$C$17)*((1+Dashboard!$C$12)^$CZ16),0)</f>
        <v>152335.46150114154</v>
      </c>
      <c r="GO16" s="126">
        <f ca="1">MAX(GO15*(1+CP16)-(Dashboard!$C$11)/(1-Dashboard!$C$17)*((1+Dashboard!$C$12)^$CZ16),0)</f>
        <v>695722.99316527671</v>
      </c>
      <c r="GP16" s="126">
        <f ca="1">MAX(GP15*(1+CQ16)-(Dashboard!$C$11)/(1-Dashboard!$C$17)*((1+Dashboard!$C$12)^$CZ16),0)</f>
        <v>744015.4819115646</v>
      </c>
      <c r="GQ16" s="126">
        <f ca="1">MAX(GQ15*(1+CR16)-(Dashboard!$C$11)/(1-Dashboard!$C$17)*((1+Dashboard!$C$12)^$CZ16),0)</f>
        <v>533789.440208885</v>
      </c>
      <c r="GR16" s="126">
        <f ca="1">MAX(GR15*(1+CS16)-(Dashboard!$C$11)/(1-Dashboard!$C$17)*((1+Dashboard!$C$12)^$CZ16),0)</f>
        <v>839602.31137709669</v>
      </c>
      <c r="GS16" s="126">
        <f ca="1">MAX(GS15*(1+CT16)-(Dashboard!$C$11)/(1-Dashboard!$C$17)*((1+Dashboard!$C$12)^$CZ16),0)</f>
        <v>2809214.7548396722</v>
      </c>
      <c r="GT16" s="126">
        <f ca="1">MAX(GT15*(1+CU16)-(Dashboard!$C$11)/(1-Dashboard!$C$17)*((1+Dashboard!$C$12)^$CZ16),0)</f>
        <v>2635892.1821702481</v>
      </c>
      <c r="GU16" s="126">
        <f ca="1">MAX(GU15*(1+CV16)-(Dashboard!$C$11)/(1-Dashboard!$C$17)*((1+Dashboard!$C$12)^$CZ16),0)</f>
        <v>526824.11019116663</v>
      </c>
      <c r="GV16" s="126">
        <f ca="1">MAX(GV15*(1+CW16)-(Dashboard!$C$11)/(1-Dashboard!$C$17)*((1+Dashboard!$C$12)^$CZ16),0)</f>
        <v>607263.8073463036</v>
      </c>
      <c r="GW16" s="115">
        <f t="shared" si="4"/>
        <v>65</v>
      </c>
      <c r="GX16" s="130">
        <f t="shared" ca="1" si="2"/>
        <v>100</v>
      </c>
      <c r="HC16" s="130">
        <f t="shared" si="0"/>
        <v>65</v>
      </c>
      <c r="HD16" s="137">
        <f t="shared" ca="1" si="1"/>
        <v>801290.87989552494</v>
      </c>
      <c r="HE16" s="137">
        <f t="shared" ca="1" si="1"/>
        <v>1213300.2039866925</v>
      </c>
      <c r="HF16" s="137">
        <f t="shared" ca="1" si="1"/>
        <v>1882690.412494495</v>
      </c>
    </row>
    <row r="17" spans="1:214" ht="16">
      <c r="A17" s="145">
        <f t="shared" si="3"/>
        <v>66</v>
      </c>
      <c r="B17" s="119">
        <f ca="1">(Dashboard!$C$7*'Equity and Bond Returns'!N17)+(Dashboard!$C$8*'Equity and Bond Returns'!DL17)</f>
        <v>0.23051232233624716</v>
      </c>
      <c r="C17" s="119">
        <f ca="1">(Dashboard!$C$7*'Equity and Bond Returns'!O17)+(Dashboard!$C$8*'Equity and Bond Returns'!DM17)</f>
        <v>0.10886139757858643</v>
      </c>
      <c r="D17" s="119">
        <f ca="1">(Dashboard!$C$7*'Equity and Bond Returns'!P17)+(Dashboard!$C$8*'Equity and Bond Returns'!DN17)</f>
        <v>0.22088920048935484</v>
      </c>
      <c r="E17" s="119">
        <f ca="1">(Dashboard!$C$7*'Equity and Bond Returns'!Q17)+(Dashboard!$C$8*'Equity and Bond Returns'!DO17)</f>
        <v>0.14273811816113574</v>
      </c>
      <c r="F17" s="119">
        <f ca="1">(Dashboard!$C$7*'Equity and Bond Returns'!R17)+(Dashboard!$C$8*'Equity and Bond Returns'!DP17)</f>
        <v>0.10550225583698405</v>
      </c>
      <c r="G17" s="119">
        <f ca="1">(Dashboard!$C$7*'Equity and Bond Returns'!S17)+(Dashboard!$C$8*'Equity and Bond Returns'!DQ17)</f>
        <v>-6.4996063865338294E-2</v>
      </c>
      <c r="H17" s="119">
        <f ca="1">(Dashboard!$C$7*'Equity and Bond Returns'!T17)+(Dashboard!$C$8*'Equity and Bond Returns'!DR17)</f>
        <v>0.33433559572782068</v>
      </c>
      <c r="I17" s="119">
        <f ca="1">(Dashboard!$C$7*'Equity and Bond Returns'!U17)+(Dashboard!$C$8*'Equity and Bond Returns'!DS17)</f>
        <v>0.15591219784424679</v>
      </c>
      <c r="J17" s="119">
        <f ca="1">(Dashboard!$C$7*'Equity and Bond Returns'!V17)+(Dashboard!$C$8*'Equity and Bond Returns'!DT17)</f>
        <v>0.1311339837554156</v>
      </c>
      <c r="K17" s="119">
        <f ca="1">(Dashboard!$C$7*'Equity and Bond Returns'!W17)+(Dashboard!$C$8*'Equity and Bond Returns'!DU17)</f>
        <v>0.20818442388806135</v>
      </c>
      <c r="L17" s="119">
        <f ca="1">(Dashboard!$C$7*'Equity and Bond Returns'!X17)+(Dashboard!$C$8*'Equity and Bond Returns'!DV17)</f>
        <v>0.27766072050937629</v>
      </c>
      <c r="M17" s="119">
        <f ca="1">(Dashboard!$C$7*'Equity and Bond Returns'!Y17)+(Dashboard!$C$8*'Equity and Bond Returns'!DW17)</f>
        <v>-0.18096680906290938</v>
      </c>
      <c r="N17" s="119">
        <f ca="1">(Dashboard!$C$7*'Equity and Bond Returns'!Z17)+(Dashboard!$C$8*'Equity and Bond Returns'!DX17)</f>
        <v>0.14753400226288615</v>
      </c>
      <c r="O17" s="119">
        <f ca="1">(Dashboard!$C$7*'Equity and Bond Returns'!AA17)+(Dashboard!$C$8*'Equity and Bond Returns'!DY17)</f>
        <v>0.27454975055198472</v>
      </c>
      <c r="P17" s="119">
        <f ca="1">(Dashboard!$C$7*'Equity and Bond Returns'!AB17)+(Dashboard!$C$8*'Equity and Bond Returns'!DZ17)</f>
        <v>-4.6091939281825541E-2</v>
      </c>
      <c r="Q17" s="119">
        <f ca="1">(Dashboard!$C$7*'Equity and Bond Returns'!AC17)+(Dashboard!$C$8*'Equity and Bond Returns'!EA17)</f>
        <v>0.25366058619915866</v>
      </c>
      <c r="R17" s="119">
        <f ca="1">(Dashboard!$C$7*'Equity and Bond Returns'!AD17)+(Dashboard!$C$8*'Equity and Bond Returns'!EB17)</f>
        <v>-8.3263135190607372E-3</v>
      </c>
      <c r="S17" s="119">
        <f ca="1">(Dashboard!$C$7*'Equity and Bond Returns'!AE17)+(Dashboard!$C$8*'Equity and Bond Returns'!EC17)</f>
        <v>0.17668705621704403</v>
      </c>
      <c r="T17" s="119">
        <f ca="1">(Dashboard!$C$7*'Equity and Bond Returns'!AF17)+(Dashboard!$C$8*'Equity and Bond Returns'!ED17)</f>
        <v>4.4927095928765995E-3</v>
      </c>
      <c r="U17" s="119">
        <f ca="1">(Dashboard!$C$7*'Equity and Bond Returns'!AG17)+(Dashboard!$C$8*'Equity and Bond Returns'!EE17)</f>
        <v>-3.502577006722879E-2</v>
      </c>
      <c r="V17" s="119">
        <f ca="1">(Dashboard!$C$7*'Equity and Bond Returns'!AH17)+(Dashboard!$C$8*'Equity and Bond Returns'!EF17)</f>
        <v>0.26187017791683326</v>
      </c>
      <c r="W17" s="119">
        <f ca="1">(Dashboard!$C$7*'Equity and Bond Returns'!AI17)+(Dashboard!$C$8*'Equity and Bond Returns'!EG17)</f>
        <v>0.33356106501576155</v>
      </c>
      <c r="X17" s="119">
        <f ca="1">(Dashboard!$C$7*'Equity and Bond Returns'!AJ17)+(Dashboard!$C$8*'Equity and Bond Returns'!EH17)</f>
        <v>0.18876186227578942</v>
      </c>
      <c r="Y17" s="119">
        <f ca="1">(Dashboard!$C$7*'Equity and Bond Returns'!AK17)+(Dashboard!$C$8*'Equity and Bond Returns'!EI17)</f>
        <v>0.24109039113068403</v>
      </c>
      <c r="Z17" s="119">
        <f ca="1">(Dashboard!$C$7*'Equity and Bond Returns'!AL17)+(Dashboard!$C$8*'Equity and Bond Returns'!EJ17)</f>
        <v>3.8283666667166219E-2</v>
      </c>
      <c r="AA17" s="119">
        <f ca="1">(Dashboard!$C$7*'Equity and Bond Returns'!AM17)+(Dashboard!$C$8*'Equity and Bond Returns'!EK17)</f>
        <v>0.20001475432102442</v>
      </c>
      <c r="AB17" s="119">
        <f ca="1">(Dashboard!$C$7*'Equity and Bond Returns'!AN17)+(Dashboard!$C$8*'Equity and Bond Returns'!EL17)</f>
        <v>0.24513250351087551</v>
      </c>
      <c r="AC17" s="119">
        <f ca="1">(Dashboard!$C$7*'Equity and Bond Returns'!AO17)+(Dashboard!$C$8*'Equity and Bond Returns'!EM17)</f>
        <v>0.27210145704563038</v>
      </c>
      <c r="AD17" s="119">
        <f ca="1">(Dashboard!$C$7*'Equity and Bond Returns'!AP17)+(Dashboard!$C$8*'Equity and Bond Returns'!EN17)</f>
        <v>1.373193088871966E-2</v>
      </c>
      <c r="AE17" s="119">
        <f ca="1">(Dashboard!$C$7*'Equity and Bond Returns'!AQ17)+(Dashboard!$C$8*'Equity and Bond Returns'!EO17)</f>
        <v>-0.11372648585010159</v>
      </c>
      <c r="AF17" s="119">
        <f ca="1">(Dashboard!$C$7*'Equity and Bond Returns'!AR17)+(Dashboard!$C$8*'Equity and Bond Returns'!EP17)</f>
        <v>0.17095528089032228</v>
      </c>
      <c r="AG17" s="119">
        <f ca="1">(Dashboard!$C$7*'Equity and Bond Returns'!AS17)+(Dashboard!$C$8*'Equity and Bond Returns'!EQ17)</f>
        <v>-0.25264844755347632</v>
      </c>
      <c r="AH17" s="119">
        <f ca="1">(Dashboard!$C$7*'Equity and Bond Returns'!AT17)+(Dashboard!$C$8*'Equity and Bond Returns'!ER17)</f>
        <v>0.27888181470341528</v>
      </c>
      <c r="AI17" s="119">
        <f ca="1">(Dashboard!$C$7*'Equity and Bond Returns'!AU17)+(Dashboard!$C$8*'Equity and Bond Returns'!ES17)</f>
        <v>5.4372468828958874E-2</v>
      </c>
      <c r="AJ17" s="119">
        <f ca="1">(Dashboard!$C$7*'Equity and Bond Returns'!AV17)+(Dashboard!$C$8*'Equity and Bond Returns'!ET17)</f>
        <v>0.20665753147864152</v>
      </c>
      <c r="AK17" s="119">
        <f ca="1">(Dashboard!$C$7*'Equity and Bond Returns'!AW17)+(Dashboard!$C$8*'Equity and Bond Returns'!EU17)</f>
        <v>0.26829855278552417</v>
      </c>
      <c r="AL17" s="119">
        <f ca="1">(Dashboard!$C$7*'Equity and Bond Returns'!AX17)+(Dashboard!$C$8*'Equity and Bond Returns'!EV17)</f>
        <v>0.13519357967079162</v>
      </c>
      <c r="AM17" s="119">
        <f ca="1">(Dashboard!$C$7*'Equity and Bond Returns'!AY17)+(Dashboard!$C$8*'Equity and Bond Returns'!EW17)</f>
        <v>-7.155685543901974E-2</v>
      </c>
      <c r="AN17" s="119">
        <f ca="1">(Dashboard!$C$7*'Equity and Bond Returns'!AZ17)+(Dashboard!$C$8*'Equity and Bond Returns'!EX17)</f>
        <v>0.1544857827976216</v>
      </c>
      <c r="AO17" s="119">
        <f ca="1">(Dashboard!$C$7*'Equity and Bond Returns'!BA17)+(Dashboard!$C$8*'Equity and Bond Returns'!EY17)</f>
        <v>-4.9023221887392901E-2</v>
      </c>
      <c r="AP17" s="119">
        <f ca="1">(Dashboard!$C$7*'Equity and Bond Returns'!BB17)+(Dashboard!$C$8*'Equity and Bond Returns'!EZ17)</f>
        <v>-0.11719450891334854</v>
      </c>
      <c r="AQ17" s="119">
        <f ca="1">(Dashboard!$C$7*'Equity and Bond Returns'!BC17)+(Dashboard!$C$8*'Equity and Bond Returns'!FA17)</f>
        <v>-0.10976070221290266</v>
      </c>
      <c r="AR17" s="119">
        <f ca="1">(Dashboard!$C$7*'Equity and Bond Returns'!BD17)+(Dashboard!$C$8*'Equity and Bond Returns'!FB17)</f>
        <v>-0.15613439257810158</v>
      </c>
      <c r="AS17" s="119">
        <f ca="1">(Dashboard!$C$7*'Equity and Bond Returns'!BE17)+(Dashboard!$C$8*'Equity and Bond Returns'!FC17)</f>
        <v>-7.756913752811169E-2</v>
      </c>
      <c r="AT17" s="119">
        <f ca="1">(Dashboard!$C$7*'Equity and Bond Returns'!BF17)+(Dashboard!$C$8*'Equity and Bond Returns'!FD17)</f>
        <v>8.7684209270871616E-2</v>
      </c>
      <c r="AU17" s="119">
        <f ca="1">(Dashboard!$C$7*'Equity and Bond Returns'!BG17)+(Dashboard!$C$8*'Equity and Bond Returns'!FE17)</f>
        <v>-4.0985552567706023E-2</v>
      </c>
      <c r="AV17" s="119">
        <f ca="1">(Dashboard!$C$7*'Equity and Bond Returns'!BH17)+(Dashboard!$C$8*'Equity and Bond Returns'!FF17)</f>
        <v>0.10693798523186329</v>
      </c>
      <c r="AW17" s="119">
        <f ca="1">(Dashboard!$C$7*'Equity and Bond Returns'!BI17)+(Dashboard!$C$8*'Equity and Bond Returns'!FG17)</f>
        <v>0.15367264372735326</v>
      </c>
      <c r="AX17" s="119">
        <f ca="1">(Dashboard!$C$7*'Equity and Bond Returns'!BJ17)+(Dashboard!$C$8*'Equity and Bond Returns'!FH17)</f>
        <v>-3.7545311334171737E-2</v>
      </c>
      <c r="AY17" s="119">
        <f ca="1">(Dashboard!$C$7*'Equity and Bond Returns'!BK17)+(Dashboard!$C$8*'Equity and Bond Returns'!FI17)</f>
        <v>-4.4459773258808476E-2</v>
      </c>
      <c r="AZ17" s="119">
        <f ca="1">(Dashboard!$C$7*'Equity and Bond Returns'!BL17)+(Dashboard!$C$8*'Equity and Bond Returns'!FJ17)</f>
        <v>-2.1469146507764582E-2</v>
      </c>
      <c r="BA17" s="119">
        <f ca="1">(Dashboard!$C$7*'Equity and Bond Returns'!BM17)+(Dashboard!$C$8*'Equity and Bond Returns'!FK17)</f>
        <v>0.14760659718421507</v>
      </c>
      <c r="BB17" s="119">
        <f ca="1">(Dashboard!$C$7*'Equity and Bond Returns'!BN17)+(Dashboard!$C$8*'Equity and Bond Returns'!FL17)</f>
        <v>0.2343450452093449</v>
      </c>
      <c r="BC17" s="119">
        <f ca="1">(Dashboard!$C$7*'Equity and Bond Returns'!BO17)+(Dashboard!$C$8*'Equity and Bond Returns'!FM17)</f>
        <v>0.1118030694581168</v>
      </c>
      <c r="BD17" s="119">
        <f ca="1">(Dashboard!$C$7*'Equity and Bond Returns'!BP17)+(Dashboard!$C$8*'Equity and Bond Returns'!FN17)</f>
        <v>0.18035586956771221</v>
      </c>
      <c r="BE17" s="119">
        <f ca="1">(Dashboard!$C$7*'Equity and Bond Returns'!BQ17)+(Dashboard!$C$8*'Equity and Bond Returns'!FO17)</f>
        <v>-8.0248751935723464E-2</v>
      </c>
      <c r="BF17" s="119">
        <f ca="1">(Dashboard!$C$7*'Equity and Bond Returns'!BR17)+(Dashboard!$C$8*'Equity and Bond Returns'!FP17)</f>
        <v>0.18180973025232827</v>
      </c>
      <c r="BG17" s="119">
        <f ca="1">(Dashboard!$C$7*'Equity and Bond Returns'!BS17)+(Dashboard!$C$8*'Equity and Bond Returns'!FQ17)</f>
        <v>2.890867428993894E-2</v>
      </c>
      <c r="BH17" s="119">
        <f ca="1">(Dashboard!$C$7*'Equity and Bond Returns'!BT17)+(Dashboard!$C$8*'Equity and Bond Returns'!FR17)</f>
        <v>0.1288468677018452</v>
      </c>
      <c r="BI17" s="119">
        <f ca="1">(Dashboard!$C$7*'Equity and Bond Returns'!BU17)+(Dashboard!$C$8*'Equity and Bond Returns'!FS17)</f>
        <v>0.28380056970390899</v>
      </c>
      <c r="BJ17" s="119">
        <f ca="1">(Dashboard!$C$7*'Equity and Bond Returns'!BV17)+(Dashboard!$C$8*'Equity and Bond Returns'!FT17)</f>
        <v>0.16071545494959891</v>
      </c>
      <c r="BK17" s="119">
        <f ca="1">(Dashboard!$C$7*'Equity and Bond Returns'!BW17)+(Dashboard!$C$8*'Equity and Bond Returns'!FU17)</f>
        <v>7.6699017281646159E-2</v>
      </c>
      <c r="BL17" s="119">
        <f ca="1">(Dashboard!$C$7*'Equity and Bond Returns'!BX17)+(Dashboard!$C$8*'Equity and Bond Returns'!FV17)</f>
        <v>0.1797966408265719</v>
      </c>
      <c r="BM17" s="119">
        <f ca="1">(Dashboard!$C$7*'Equity and Bond Returns'!BY17)+(Dashboard!$C$8*'Equity and Bond Returns'!FW17)</f>
        <v>5.6783001153633321E-2</v>
      </c>
      <c r="BN17" s="119">
        <f ca="1">(Dashboard!$C$7*'Equity and Bond Returns'!BZ17)+(Dashboard!$C$8*'Equity and Bond Returns'!FX17)</f>
        <v>0.33526293426436821</v>
      </c>
      <c r="BO17" s="119">
        <f ca="1">(Dashboard!$C$7*'Equity and Bond Returns'!CA17)+(Dashboard!$C$8*'Equity and Bond Returns'!FY17)</f>
        <v>-0.21962645442175868</v>
      </c>
      <c r="BP17" s="119">
        <f ca="1">(Dashboard!$C$7*'Equity and Bond Returns'!CB17)+(Dashboard!$C$8*'Equity and Bond Returns'!FZ17)</f>
        <v>8.8958576627631569E-2</v>
      </c>
      <c r="BQ17" s="119">
        <f ca="1">(Dashboard!$C$7*'Equity and Bond Returns'!CC17)+(Dashboard!$C$8*'Equity and Bond Returns'!GA17)</f>
        <v>0.25996798334943361</v>
      </c>
      <c r="BR17" s="119">
        <f ca="1">(Dashboard!$C$7*'Equity and Bond Returns'!CD17)+(Dashboard!$C$8*'Equity and Bond Returns'!GB17)</f>
        <v>1.6979156493282584E-2</v>
      </c>
      <c r="BS17" s="119">
        <f ca="1">(Dashboard!$C$7*'Equity and Bond Returns'!CE17)+(Dashboard!$C$8*'Equity and Bond Returns'!GC17)</f>
        <v>4.5793213197514671E-2</v>
      </c>
      <c r="BT17" s="119">
        <f ca="1">(Dashboard!$C$7*'Equity and Bond Returns'!CF17)+(Dashboard!$C$8*'Equity and Bond Returns'!GD17)</f>
        <v>-0.1236412236181849</v>
      </c>
      <c r="BU17" s="119">
        <f ca="1">(Dashboard!$C$7*'Equity and Bond Returns'!CG17)+(Dashboard!$C$8*'Equity and Bond Returns'!GE17)</f>
        <v>-2.8369830026434596E-2</v>
      </c>
      <c r="BV17" s="119">
        <f ca="1">(Dashboard!$C$7*'Equity and Bond Returns'!CH17)+(Dashboard!$C$8*'Equity and Bond Returns'!GF17)</f>
        <v>0.11184978299835689</v>
      </c>
      <c r="BW17" s="119">
        <f ca="1">(Dashboard!$C$7*'Equity and Bond Returns'!CI17)+(Dashboard!$C$8*'Equity and Bond Returns'!GG17)</f>
        <v>1.132854191935655E-2</v>
      </c>
      <c r="BX17" s="119">
        <f ca="1">(Dashboard!$C$7*'Equity and Bond Returns'!CJ17)+(Dashboard!$C$8*'Equity and Bond Returns'!GH17)</f>
        <v>7.9715524681444105E-2</v>
      </c>
      <c r="BY17" s="119">
        <f ca="1">(Dashboard!$C$7*'Equity and Bond Returns'!CK17)+(Dashboard!$C$8*'Equity and Bond Returns'!GI17)</f>
        <v>0.27425494863653316</v>
      </c>
      <c r="BZ17" s="119">
        <f ca="1">(Dashboard!$C$7*'Equity and Bond Returns'!CL17)+(Dashboard!$C$8*'Equity and Bond Returns'!GJ17)</f>
        <v>0.10617753655640444</v>
      </c>
      <c r="CA17" s="119">
        <f ca="1">(Dashboard!$C$7*'Equity and Bond Returns'!CM17)+(Dashboard!$C$8*'Equity and Bond Returns'!GK17)</f>
        <v>0.27606576396163318</v>
      </c>
      <c r="CB17" s="119">
        <f ca="1">(Dashboard!$C$7*'Equity and Bond Returns'!CN17)+(Dashboard!$C$8*'Equity and Bond Returns'!GL17)</f>
        <v>-5.1258601232891693E-2</v>
      </c>
      <c r="CC17" s="119">
        <f ca="1">(Dashboard!$C$7*'Equity and Bond Returns'!CO17)+(Dashboard!$C$8*'Equity and Bond Returns'!GM17)</f>
        <v>-8.8376776881577968E-2</v>
      </c>
      <c r="CD17" s="119">
        <f ca="1">(Dashboard!$C$7*'Equity and Bond Returns'!CP17)+(Dashboard!$C$8*'Equity and Bond Returns'!GN17)</f>
        <v>-0.11911833717754501</v>
      </c>
      <c r="CE17" s="119">
        <f ca="1">(Dashboard!$C$7*'Equity and Bond Returns'!CQ17)+(Dashboard!$C$8*'Equity and Bond Returns'!GO17)</f>
        <v>0.12137410868766677</v>
      </c>
      <c r="CF17" s="119">
        <f ca="1">(Dashboard!$C$7*'Equity and Bond Returns'!CR17)+(Dashboard!$C$8*'Equity and Bond Returns'!GP17)</f>
        <v>0.23428948420698192</v>
      </c>
      <c r="CG17" s="119">
        <f ca="1">(Dashboard!$C$7*'Equity and Bond Returns'!CS17)+(Dashboard!$C$8*'Equity and Bond Returns'!GQ17)</f>
        <v>1.2512643681541504E-2</v>
      </c>
      <c r="CH17" s="119">
        <f ca="1">(Dashboard!$C$7*'Equity and Bond Returns'!CT17)+(Dashboard!$C$8*'Equity and Bond Returns'!GR17)</f>
        <v>0.21774587345450028</v>
      </c>
      <c r="CI17" s="119">
        <f ca="1">(Dashboard!$C$7*'Equity and Bond Returns'!CU17)+(Dashboard!$C$8*'Equity and Bond Returns'!GS17)</f>
        <v>0.20965688015071421</v>
      </c>
      <c r="CJ17" s="119">
        <f ca="1">(Dashboard!$C$7*'Equity and Bond Returns'!CV17)+(Dashboard!$C$8*'Equity and Bond Returns'!GT17)</f>
        <v>0.24100845939588139</v>
      </c>
      <c r="CK17" s="119">
        <f ca="1">(Dashboard!$C$7*'Equity and Bond Returns'!CW17)+(Dashboard!$C$8*'Equity and Bond Returns'!GU17)</f>
        <v>-2.6125765350036516E-2</v>
      </c>
      <c r="CL17" s="119">
        <f ca="1">(Dashboard!$C$7*'Equity and Bond Returns'!CX17)+(Dashboard!$C$8*'Equity and Bond Returns'!GV17)</f>
        <v>8.2124479038429135E-2</v>
      </c>
      <c r="CM17" s="119">
        <f ca="1">(Dashboard!$C$7*'Equity and Bond Returns'!CY17)+(Dashboard!$C$8*'Equity and Bond Returns'!GW17)</f>
        <v>0.21829926115100026</v>
      </c>
      <c r="CN17" s="119">
        <f ca="1">(Dashboard!$C$7*'Equity and Bond Returns'!CZ17)+(Dashboard!$C$8*'Equity and Bond Returns'!GX17)</f>
        <v>0.15408530262691741</v>
      </c>
      <c r="CO17" s="119">
        <f ca="1">(Dashboard!$C$7*'Equity and Bond Returns'!DA17)+(Dashboard!$C$8*'Equity and Bond Returns'!GY17)</f>
        <v>-5.0470514554251306E-2</v>
      </c>
      <c r="CP17" s="119">
        <f ca="1">(Dashboard!$C$7*'Equity and Bond Returns'!DB17)+(Dashboard!$C$8*'Equity and Bond Returns'!GZ17)</f>
        <v>-9.630925576830715E-2</v>
      </c>
      <c r="CQ17" s="119">
        <f ca="1">(Dashboard!$C$7*'Equity and Bond Returns'!DC17)+(Dashboard!$C$8*'Equity and Bond Returns'!HA17)</f>
        <v>5.3688728891763862E-2</v>
      </c>
      <c r="CR17" s="119">
        <f ca="1">(Dashboard!$C$7*'Equity and Bond Returns'!DD17)+(Dashboard!$C$8*'Equity and Bond Returns'!HB17)</f>
        <v>1.5414655016915999E-2</v>
      </c>
      <c r="CS17" s="119">
        <f ca="1">(Dashboard!$C$7*'Equity and Bond Returns'!DE17)+(Dashboard!$C$8*'Equity and Bond Returns'!HC17)</f>
        <v>-6.1983323765504229E-2</v>
      </c>
      <c r="CT17" s="119">
        <f ca="1">(Dashboard!$C$7*'Equity and Bond Returns'!DF17)+(Dashboard!$C$8*'Equity and Bond Returns'!HD17)</f>
        <v>-0.14683366622616018</v>
      </c>
      <c r="CU17" s="119">
        <f ca="1">(Dashboard!$C$7*'Equity and Bond Returns'!DG17)+(Dashboard!$C$8*'Equity and Bond Returns'!HE17)</f>
        <v>0.11359295055068813</v>
      </c>
      <c r="CV17" s="119">
        <f ca="1">(Dashboard!$C$7*'Equity and Bond Returns'!DH17)+(Dashboard!$C$8*'Equity and Bond Returns'!HF17)</f>
        <v>0.19332288579060081</v>
      </c>
      <c r="CW17" s="119">
        <f ca="1">(Dashboard!$C$7*'Equity and Bond Returns'!DI17)+(Dashboard!$C$8*'Equity and Bond Returns'!HG17)</f>
        <v>-1.0622187542118158E-2</v>
      </c>
      <c r="CY17" s="147">
        <f t="shared" si="5"/>
        <v>66</v>
      </c>
      <c r="CZ17" s="147">
        <v>16</v>
      </c>
      <c r="DA17" s="126">
        <f ca="1">MAX(DA16*(1+B17)-(Dashboard!$C$11)/(1-Dashboard!$C$17)*((1+Dashboard!$C$12)^$CZ17),0)</f>
        <v>2671255.9831170132</v>
      </c>
      <c r="DB17" s="126">
        <f ca="1">MAX(DB16*(1+C17)-(Dashboard!$C$11)/(1-Dashboard!$C$17)*((1+Dashboard!$C$12)^$CZ17),0)</f>
        <v>68456.315259286755</v>
      </c>
      <c r="DC17" s="126">
        <f ca="1">MAX(DC16*(1+D17)-(Dashboard!$C$11)/(1-Dashboard!$C$17)*((1+Dashboard!$C$12)^$CZ17),0)</f>
        <v>1288688.4880065494</v>
      </c>
      <c r="DD17" s="126">
        <f ca="1">MAX(DD16*(1+E17)-(Dashboard!$C$11)/(1-Dashboard!$C$17)*((1+Dashboard!$C$12)^$CZ17),0)</f>
        <v>422296.08552185108</v>
      </c>
      <c r="DE17" s="126">
        <f ca="1">MAX(DE16*(1+F17)-(Dashboard!$C$11)/(1-Dashboard!$C$17)*((1+Dashboard!$C$12)^$CZ17),0)</f>
        <v>2183851.7678633076</v>
      </c>
      <c r="DF17" s="126">
        <f ca="1">MAX(DF16*(1+G17)-(Dashboard!$C$11)/(1-Dashboard!$C$17)*((1+Dashboard!$C$12)^$CZ17),0)</f>
        <v>1712492.004147365</v>
      </c>
      <c r="DG17" s="126">
        <f ca="1">MAX(DG16*(1+H17)-(Dashboard!$C$11)/(1-Dashboard!$C$17)*((1+Dashboard!$C$12)^$CZ17),0)</f>
        <v>304881.03480902</v>
      </c>
      <c r="DH17" s="126">
        <f ca="1">MAX(DH16*(1+I17)-(Dashboard!$C$11)/(1-Dashboard!$C$17)*((1+Dashboard!$C$12)^$CZ17),0)</f>
        <v>1960251.0223822538</v>
      </c>
      <c r="DI17" s="126">
        <f ca="1">MAX(DI16*(1+J17)-(Dashboard!$C$11)/(1-Dashboard!$C$17)*((1+Dashboard!$C$12)^$CZ17),0)</f>
        <v>1247941.2927685985</v>
      </c>
      <c r="DJ17" s="126">
        <f ca="1">MAX(DJ16*(1+K17)-(Dashboard!$C$11)/(1-Dashboard!$C$17)*((1+Dashboard!$C$12)^$CZ17),0)</f>
        <v>1891334.7919109536</v>
      </c>
      <c r="DK17" s="126">
        <f ca="1">MAX(DK16*(1+L17)-(Dashboard!$C$11)/(1-Dashboard!$C$17)*((1+Dashboard!$C$12)^$CZ17),0)</f>
        <v>2900157.4049811037</v>
      </c>
      <c r="DL17" s="126">
        <f ca="1">MAX(DL16*(1+M17)-(Dashboard!$C$11)/(1-Dashboard!$C$17)*((1+Dashboard!$C$12)^$CZ17),0)</f>
        <v>943186.25458721432</v>
      </c>
      <c r="DM17" s="126">
        <f ca="1">MAX(DM16*(1+N17)-(Dashboard!$C$11)/(1-Dashboard!$C$17)*((1+Dashboard!$C$12)^$CZ17),0)</f>
        <v>1654531.9516898931</v>
      </c>
      <c r="DN17" s="126">
        <f ca="1">MAX(DN16*(1+O17)-(Dashboard!$C$11)/(1-Dashboard!$C$17)*((1+Dashboard!$C$12)^$CZ17),0)</f>
        <v>8150314.7735749725</v>
      </c>
      <c r="DO17" s="126">
        <f ca="1">MAX(DO16*(1+P17)-(Dashboard!$C$11)/(1-Dashboard!$C$17)*((1+Dashboard!$C$12)^$CZ17),0)</f>
        <v>1320888.5330800759</v>
      </c>
      <c r="DP17" s="126">
        <f ca="1">MAX(DP16*(1+Q17)-(Dashboard!$C$11)/(1-Dashboard!$C$17)*((1+Dashboard!$C$12)^$CZ17),0)</f>
        <v>1398575.6924067135</v>
      </c>
      <c r="DQ17" s="126">
        <f ca="1">MAX(DQ16*(1+R17)-(Dashboard!$C$11)/(1-Dashboard!$C$17)*((1+Dashboard!$C$12)^$CZ17),0)</f>
        <v>1099775.2167701847</v>
      </c>
      <c r="DR17" s="126">
        <f ca="1">MAX(DR16*(1+S17)-(Dashboard!$C$11)/(1-Dashboard!$C$17)*((1+Dashboard!$C$12)^$CZ17),0)</f>
        <v>1353222.9891999871</v>
      </c>
      <c r="DS17" s="126">
        <f ca="1">MAX(DS16*(1+T17)-(Dashboard!$C$11)/(1-Dashboard!$C$17)*((1+Dashboard!$C$12)^$CZ17),0)</f>
        <v>803661.33975078189</v>
      </c>
      <c r="DT17" s="126">
        <f ca="1">MAX(DT16*(1+U17)-(Dashboard!$C$11)/(1-Dashboard!$C$17)*((1+Dashboard!$C$12)^$CZ17),0)</f>
        <v>667639.75023062364</v>
      </c>
      <c r="DU17" s="126">
        <f ca="1">MAX(DU16*(1+V17)-(Dashboard!$C$11)/(1-Dashboard!$C$17)*((1+Dashboard!$C$12)^$CZ17),0)</f>
        <v>1455332.7649014981</v>
      </c>
      <c r="DV17" s="126">
        <f ca="1">MAX(DV16*(1+W17)-(Dashboard!$C$11)/(1-Dashboard!$C$17)*((1+Dashboard!$C$12)^$CZ17),0)</f>
        <v>3541984.2127236952</v>
      </c>
      <c r="DW17" s="126">
        <f ca="1">MAX(DW16*(1+X17)-(Dashboard!$C$11)/(1-Dashboard!$C$17)*((1+Dashboard!$C$12)^$CZ17),0)</f>
        <v>1900017.5299120164</v>
      </c>
      <c r="DX17" s="126">
        <f ca="1">MAX(DX16*(1+Y17)-(Dashboard!$C$11)/(1-Dashboard!$C$17)*((1+Dashboard!$C$12)^$CZ17),0)</f>
        <v>918123.90859552426</v>
      </c>
      <c r="DY17" s="126">
        <f ca="1">MAX(DY16*(1+Z17)-(Dashboard!$C$11)/(1-Dashboard!$C$17)*((1+Dashboard!$C$12)^$CZ17),0)</f>
        <v>3260639.6716462844</v>
      </c>
      <c r="DZ17" s="126">
        <f ca="1">MAX(DZ16*(1+AA17)-(Dashboard!$C$11)/(1-Dashboard!$C$17)*((1+Dashboard!$C$12)^$CZ17),0)</f>
        <v>1005068.7749981326</v>
      </c>
      <c r="EA17" s="126">
        <f ca="1">MAX(EA16*(1+AB17)-(Dashboard!$C$11)/(1-Dashboard!$C$17)*((1+Dashboard!$C$12)^$CZ17),0)</f>
        <v>961532.90082094236</v>
      </c>
      <c r="EB17" s="126">
        <f ca="1">MAX(EB16*(1+AC17)-(Dashboard!$C$11)/(1-Dashboard!$C$17)*((1+Dashboard!$C$12)^$CZ17),0)</f>
        <v>1545862.1372866067</v>
      </c>
      <c r="EC17" s="126">
        <f ca="1">MAX(EC16*(1+AD17)-(Dashboard!$C$11)/(1-Dashboard!$C$17)*((1+Dashboard!$C$12)^$CZ17),0)</f>
        <v>1923078.1366539113</v>
      </c>
      <c r="ED17" s="126">
        <f ca="1">MAX(ED16*(1+AE17)-(Dashboard!$C$11)/(1-Dashboard!$C$17)*((1+Dashboard!$C$12)^$CZ17),0)</f>
        <v>1803116.3677234184</v>
      </c>
      <c r="EE17" s="126">
        <f ca="1">MAX(EE16*(1+AF17)-(Dashboard!$C$11)/(1-Dashboard!$C$17)*((1+Dashboard!$C$12)^$CZ17),0)</f>
        <v>2150254.9528722502</v>
      </c>
      <c r="EF17" s="126">
        <f ca="1">MAX(EF16*(1+AG17)-(Dashboard!$C$11)/(1-Dashboard!$C$17)*((1+Dashboard!$C$12)^$CZ17),0)</f>
        <v>787508.23823801929</v>
      </c>
      <c r="EG17" s="126">
        <f ca="1">MAX(EG16*(1+AH17)-(Dashboard!$C$11)/(1-Dashboard!$C$17)*((1+Dashboard!$C$12)^$CZ17),0)</f>
        <v>2618178.450969466</v>
      </c>
      <c r="EH17" s="126">
        <f ca="1">MAX(EH16*(1+AI17)-(Dashboard!$C$11)/(1-Dashboard!$C$17)*((1+Dashboard!$C$12)^$CZ17),0)</f>
        <v>1214072.8352761865</v>
      </c>
      <c r="EI17" s="126">
        <f ca="1">MAX(EI16*(1+AJ17)-(Dashboard!$C$11)/(1-Dashboard!$C$17)*((1+Dashboard!$C$12)^$CZ17),0)</f>
        <v>456405.49302023399</v>
      </c>
      <c r="EJ17" s="126">
        <f ca="1">MAX(EJ16*(1+AK17)-(Dashboard!$C$11)/(1-Dashboard!$C$17)*((1+Dashboard!$C$12)^$CZ17),0)</f>
        <v>1254315.9437621268</v>
      </c>
      <c r="EK17" s="126">
        <f ca="1">MAX(EK16*(1+AL17)-(Dashboard!$C$11)/(1-Dashboard!$C$17)*((1+Dashboard!$C$12)^$CZ17),0)</f>
        <v>1988956.8437549907</v>
      </c>
      <c r="EL17" s="126">
        <f ca="1">MAX(EL16*(1+AM17)-(Dashboard!$C$11)/(1-Dashboard!$C$17)*((1+Dashboard!$C$12)^$CZ17),0)</f>
        <v>791065.13729776687</v>
      </c>
      <c r="EM17" s="126">
        <f ca="1">MAX(EM16*(1+AN17)-(Dashboard!$C$11)/(1-Dashboard!$C$17)*((1+Dashboard!$C$12)^$CZ17),0)</f>
        <v>1547187.5516614234</v>
      </c>
      <c r="EN17" s="126">
        <f ca="1">MAX(EN16*(1+AO17)-(Dashboard!$C$11)/(1-Dashboard!$C$17)*((1+Dashboard!$C$12)^$CZ17),0)</f>
        <v>1931718.1356829191</v>
      </c>
      <c r="EO17" s="126">
        <f ca="1">MAX(EO16*(1+AP17)-(Dashboard!$C$11)/(1-Dashboard!$C$17)*((1+Dashboard!$C$12)^$CZ17),0)</f>
        <v>431706.95793606516</v>
      </c>
      <c r="EP17" s="126">
        <f ca="1">MAX(EP16*(1+AQ17)-(Dashboard!$C$11)/(1-Dashboard!$C$17)*((1+Dashboard!$C$12)^$CZ17),0)</f>
        <v>1219983.31838234</v>
      </c>
      <c r="EQ17" s="126">
        <f ca="1">MAX(EQ16*(1+AR17)-(Dashboard!$C$11)/(1-Dashboard!$C$17)*((1+Dashboard!$C$12)^$CZ17),0)</f>
        <v>835683.02327352704</v>
      </c>
      <c r="ER17" s="126">
        <f ca="1">MAX(ER16*(1+AS17)-(Dashboard!$C$11)/(1-Dashboard!$C$17)*((1+Dashboard!$C$12)^$CZ17),0)</f>
        <v>372547.13857576525</v>
      </c>
      <c r="ES17" s="126">
        <f ca="1">MAX(ES16*(1+AT17)-(Dashboard!$C$11)/(1-Dashboard!$C$17)*((1+Dashboard!$C$12)^$CZ17),0)</f>
        <v>2150669.5123911821</v>
      </c>
      <c r="ET17" s="126">
        <f ca="1">MAX(ET16*(1+AU17)-(Dashboard!$C$11)/(1-Dashboard!$C$17)*((1+Dashboard!$C$12)^$CZ17),0)</f>
        <v>1157913.5979576893</v>
      </c>
      <c r="EU17" s="126">
        <f ca="1">MAX(EU16*(1+AV17)-(Dashboard!$C$11)/(1-Dashboard!$C$17)*((1+Dashboard!$C$12)^$CZ17),0)</f>
        <v>1534733.8399083356</v>
      </c>
      <c r="EV17" s="126">
        <f ca="1">MAX(EV16*(1+AW17)-(Dashboard!$C$11)/(1-Dashboard!$C$17)*((1+Dashboard!$C$12)^$CZ17),0)</f>
        <v>3061005.8525380846</v>
      </c>
      <c r="EW17" s="126">
        <f ca="1">MAX(EW16*(1+AX17)-(Dashboard!$C$11)/(1-Dashboard!$C$17)*((1+Dashboard!$C$12)^$CZ17),0)</f>
        <v>1883183.9791600441</v>
      </c>
      <c r="EX17" s="126">
        <f ca="1">MAX(EX16*(1+AY17)-(Dashboard!$C$11)/(1-Dashboard!$C$17)*((1+Dashboard!$C$12)^$CZ17),0)</f>
        <v>1168172.0690345454</v>
      </c>
      <c r="EY17" s="126">
        <f ca="1">MAX(EY16*(1+AZ17)-(Dashboard!$C$11)/(1-Dashboard!$C$17)*((1+Dashboard!$C$12)^$CZ17),0)</f>
        <v>3228938.8786904565</v>
      </c>
      <c r="EZ17" s="126">
        <f ca="1">MAX(EZ16*(1+BA17)-(Dashboard!$C$11)/(1-Dashboard!$C$17)*((1+Dashboard!$C$12)^$CZ17),0)</f>
        <v>867819.3519017041</v>
      </c>
      <c r="FA17" s="126">
        <f ca="1">MAX(FA16*(1+BB17)-(Dashboard!$C$11)/(1-Dashboard!$C$17)*((1+Dashboard!$C$12)^$CZ17),0)</f>
        <v>2195465.9202293293</v>
      </c>
      <c r="FB17" s="126">
        <f ca="1">MAX(FB16*(1+BC17)-(Dashboard!$C$11)/(1-Dashboard!$C$17)*((1+Dashboard!$C$12)^$CZ17),0)</f>
        <v>472667.02466191805</v>
      </c>
      <c r="FC17" s="126">
        <f ca="1">MAX(FC16*(1+BD17)-(Dashboard!$C$11)/(1-Dashboard!$C$17)*((1+Dashboard!$C$12)^$CZ17),0)</f>
        <v>1796422.990733549</v>
      </c>
      <c r="FD17" s="126">
        <f ca="1">MAX(FD16*(1+BE17)-(Dashboard!$C$11)/(1-Dashboard!$C$17)*((1+Dashboard!$C$12)^$CZ17),0)</f>
        <v>2297654.8971088715</v>
      </c>
      <c r="FE17" s="126">
        <f ca="1">MAX(FE16*(1+BF17)-(Dashboard!$C$11)/(1-Dashboard!$C$17)*((1+Dashboard!$C$12)^$CZ17),0)</f>
        <v>1326966.2994466522</v>
      </c>
      <c r="FF17" s="126">
        <f ca="1">MAX(FF16*(1+BG17)-(Dashboard!$C$11)/(1-Dashboard!$C$17)*((1+Dashboard!$C$12)^$CZ17),0)</f>
        <v>939867.46143861313</v>
      </c>
      <c r="FG17" s="126">
        <f ca="1">MAX(FG16*(1+BH17)-(Dashboard!$C$11)/(1-Dashboard!$C$17)*((1+Dashboard!$C$12)^$CZ17),0)</f>
        <v>798169.42879932362</v>
      </c>
      <c r="FH17" s="126">
        <f ca="1">MAX(FH16*(1+BI17)-(Dashboard!$C$11)/(1-Dashboard!$C$17)*((1+Dashboard!$C$12)^$CZ17),0)</f>
        <v>1781847.5330067354</v>
      </c>
      <c r="FI17" s="126">
        <f ca="1">MAX(FI16*(1+BJ17)-(Dashboard!$C$11)/(1-Dashboard!$C$17)*((1+Dashboard!$C$12)^$CZ17),0)</f>
        <v>1974826.1678947811</v>
      </c>
      <c r="FJ17" s="126">
        <f ca="1">MAX(FJ16*(1+BK17)-(Dashboard!$C$11)/(1-Dashboard!$C$17)*((1+Dashboard!$C$12)^$CZ17),0)</f>
        <v>936478.73351022613</v>
      </c>
      <c r="FK17" s="126">
        <f ca="1">MAX(FK16*(1+BL17)-(Dashboard!$C$11)/(1-Dashboard!$C$17)*((1+Dashboard!$C$12)^$CZ17),0)</f>
        <v>1882785.6049768415</v>
      </c>
      <c r="FL17" s="126">
        <f ca="1">MAX(FL16*(1+BM17)-(Dashboard!$C$11)/(1-Dashboard!$C$17)*((1+Dashboard!$C$12)^$CZ17),0)</f>
        <v>1621931.3385449359</v>
      </c>
      <c r="FM17" s="126">
        <f ca="1">MAX(FM16*(1+BN17)-(Dashboard!$C$11)/(1-Dashboard!$C$17)*((1+Dashboard!$C$12)^$CZ17),0)</f>
        <v>1971951.8149586366</v>
      </c>
      <c r="FN17" s="126">
        <f ca="1">MAX(FN16*(1+BO17)-(Dashboard!$C$11)/(1-Dashboard!$C$17)*((1+Dashboard!$C$12)^$CZ17),0)</f>
        <v>388347.97798668465</v>
      </c>
      <c r="FO17" s="126">
        <f ca="1">MAX(FO16*(1+BP17)-(Dashboard!$C$11)/(1-Dashboard!$C$17)*((1+Dashboard!$C$12)^$CZ17),0)</f>
        <v>1040907.6369711169</v>
      </c>
      <c r="FP17" s="126">
        <f ca="1">MAX(FP16*(1+BQ17)-(Dashboard!$C$11)/(1-Dashboard!$C$17)*((1+Dashboard!$C$12)^$CZ17),0)</f>
        <v>1207138.7488515051</v>
      </c>
      <c r="FQ17" s="126">
        <f ca="1">MAX(FQ16*(1+BR17)-(Dashboard!$C$11)/(1-Dashboard!$C$17)*((1+Dashboard!$C$12)^$CZ17),0)</f>
        <v>1017397.2135431507</v>
      </c>
      <c r="FR17" s="126">
        <f ca="1">MAX(FR16*(1+BS17)-(Dashboard!$C$11)/(1-Dashboard!$C$17)*((1+Dashboard!$C$12)^$CZ17),0)</f>
        <v>2621070.234457918</v>
      </c>
      <c r="FS17" s="126">
        <f ca="1">MAX(FS16*(1+BT17)-(Dashboard!$C$11)/(1-Dashboard!$C$17)*((1+Dashboard!$C$12)^$CZ17),0)</f>
        <v>2951956.6955871074</v>
      </c>
      <c r="FT17" s="126">
        <f ca="1">MAX(FT16*(1+BU17)-(Dashboard!$C$11)/(1-Dashboard!$C$17)*((1+Dashboard!$C$12)^$CZ17),0)</f>
        <v>806842.9196608729</v>
      </c>
      <c r="FU17" s="126">
        <f ca="1">MAX(FU16*(1+BV17)-(Dashboard!$C$11)/(1-Dashboard!$C$17)*((1+Dashboard!$C$12)^$CZ17),0)</f>
        <v>2120104.2653934164</v>
      </c>
      <c r="FV17" s="126">
        <f ca="1">MAX(FV16*(1+BW17)-(Dashboard!$C$11)/(1-Dashboard!$C$17)*((1+Dashboard!$C$12)^$CZ17),0)</f>
        <v>784784.39028098166</v>
      </c>
      <c r="FW17" s="126">
        <f ca="1">MAX(FW16*(1+BX17)-(Dashboard!$C$11)/(1-Dashboard!$C$17)*((1+Dashboard!$C$12)^$CZ17),0)</f>
        <v>1831583.9022135339</v>
      </c>
      <c r="FX17" s="126">
        <f ca="1">MAX(FX16*(1+BY17)-(Dashboard!$C$11)/(1-Dashboard!$C$17)*((1+Dashboard!$C$12)^$CZ17),0)</f>
        <v>930719.30499333946</v>
      </c>
      <c r="FY17" s="126">
        <f ca="1">MAX(FY16*(1+BZ17)-(Dashboard!$C$11)/(1-Dashboard!$C$17)*((1+Dashboard!$C$12)^$CZ17),0)</f>
        <v>571718.65821823315</v>
      </c>
      <c r="FZ17" s="126">
        <f ca="1">MAX(FZ16*(1+CA17)-(Dashboard!$C$11)/(1-Dashboard!$C$17)*((1+Dashboard!$C$12)^$CZ17),0)</f>
        <v>1998089.9981274153</v>
      </c>
      <c r="GA17" s="126">
        <f ca="1">MAX(GA16*(1+CB17)-(Dashboard!$C$11)/(1-Dashboard!$C$17)*((1+Dashboard!$C$12)^$CZ17),0)</f>
        <v>3280391.6731041018</v>
      </c>
      <c r="GB17" s="126">
        <f ca="1">MAX(GB16*(1+CC17)-(Dashboard!$C$11)/(1-Dashboard!$C$17)*((1+Dashboard!$C$12)^$CZ17),0)</f>
        <v>1092398.0507537634</v>
      </c>
      <c r="GC17" s="126">
        <f ca="1">MAX(GC16*(1+CD17)-(Dashboard!$C$11)/(1-Dashboard!$C$17)*((1+Dashboard!$C$12)^$CZ17),0)</f>
        <v>2645633.5925627118</v>
      </c>
      <c r="GD17" s="126">
        <f ca="1">MAX(GD16*(1+CE17)-(Dashboard!$C$11)/(1-Dashboard!$C$17)*((1+Dashboard!$C$12)^$CZ17),0)</f>
        <v>2083993.4492134429</v>
      </c>
      <c r="GE17" s="126">
        <f ca="1">MAX(GE16*(1+CF17)-(Dashboard!$C$11)/(1-Dashboard!$C$17)*((1+Dashboard!$C$12)^$CZ17),0)</f>
        <v>1248988.2484673765</v>
      </c>
      <c r="GF17" s="126">
        <f ca="1">MAX(GF16*(1+CG17)-(Dashboard!$C$11)/(1-Dashboard!$C$17)*((1+Dashboard!$C$12)^$CZ17),0)</f>
        <v>2975295.9873417905</v>
      </c>
      <c r="GG17" s="126">
        <f ca="1">MAX(GG16*(1+CH17)-(Dashboard!$C$11)/(1-Dashboard!$C$17)*((1+Dashboard!$C$12)^$CZ17),0)</f>
        <v>520454.34019897162</v>
      </c>
      <c r="GH17" s="126">
        <f ca="1">MAX(GH16*(1+CI17)-(Dashboard!$C$11)/(1-Dashboard!$C$17)*((1+Dashboard!$C$12)^$CZ17),0)</f>
        <v>788065.26234390528</v>
      </c>
      <c r="GI17" s="126">
        <f ca="1">MAX(GI16*(1+CJ17)-(Dashboard!$C$11)/(1-Dashboard!$C$17)*((1+Dashboard!$C$12)^$CZ17),0)</f>
        <v>801330.13038622867</v>
      </c>
      <c r="GJ17" s="126">
        <f ca="1">MAX(GJ16*(1+CK17)-(Dashboard!$C$11)/(1-Dashboard!$C$17)*((1+Dashboard!$C$12)^$CZ17),0)</f>
        <v>1228103.7373681951</v>
      </c>
      <c r="GK17" s="126">
        <f ca="1">MAX(GK16*(1+CL17)-(Dashboard!$C$11)/(1-Dashboard!$C$17)*((1+Dashboard!$C$12)^$CZ17),0)</f>
        <v>2736635.7167650135</v>
      </c>
      <c r="GL17" s="126">
        <f ca="1">MAX(GL16*(1+CM17)-(Dashboard!$C$11)/(1-Dashboard!$C$17)*((1+Dashboard!$C$12)^$CZ17),0)</f>
        <v>2951032.9949979368</v>
      </c>
      <c r="GM17" s="126">
        <f ca="1">MAX(GM16*(1+CN17)-(Dashboard!$C$11)/(1-Dashboard!$C$17)*((1+Dashboard!$C$12)^$CZ17),0)</f>
        <v>972685.31018844247</v>
      </c>
      <c r="GN17" s="126">
        <f ca="1">MAX(GN16*(1+CO17)-(Dashboard!$C$11)/(1-Dashboard!$C$17)*((1+Dashboard!$C$12)^$CZ17),0)</f>
        <v>111549.94206790709</v>
      </c>
      <c r="GO17" s="126">
        <f ca="1">MAX(GO16*(1+CP17)-(Dashboard!$C$11)/(1-Dashboard!$C$17)*((1+Dashboard!$C$12)^$CZ17),0)</f>
        <v>595621.35916621727</v>
      </c>
      <c r="GP17" s="126">
        <f ca="1">MAX(GP16*(1+CQ17)-(Dashboard!$C$11)/(1-Dashboard!$C$17)*((1+Dashboard!$C$12)^$CZ17),0)</f>
        <v>750863.65710477706</v>
      </c>
      <c r="GQ17" s="126">
        <f ca="1">MAX(GQ16*(1+CR17)-(Dashboard!$C$11)/(1-Dashboard!$C$17)*((1+Dashboard!$C$12)^$CZ17),0)</f>
        <v>508920.54997496522</v>
      </c>
      <c r="GR17" s="126">
        <f ca="1">MAX(GR16*(1+CS17)-(Dashboard!$C$11)/(1-Dashboard!$C$17)*((1+Dashboard!$C$12)^$CZ17),0)</f>
        <v>754463.89917033189</v>
      </c>
      <c r="GS17" s="126">
        <f ca="1">MAX(GS16*(1+CT17)-(Dashboard!$C$11)/(1-Dashboard!$C$17)*((1+Dashboard!$C$12)^$CZ17),0)</f>
        <v>2363630.3828635267</v>
      </c>
      <c r="GT17" s="126">
        <f ca="1">MAX(GT16*(1+CU17)-(Dashboard!$C$11)/(1-Dashboard!$C$17)*((1+Dashboard!$C$12)^$CZ17),0)</f>
        <v>2902213.8821700462</v>
      </c>
      <c r="GU17" s="126">
        <f ca="1">MAX(GU16*(1+CV17)-(Dashboard!$C$11)/(1-Dashboard!$C$17)*((1+Dashboard!$C$12)^$CZ17),0)</f>
        <v>595574.19717097597</v>
      </c>
      <c r="GV17" s="126">
        <f ca="1">MAX(GV16*(1+CW17)-(Dashboard!$C$11)/(1-Dashboard!$C$17)*((1+Dashboard!$C$12)^$CZ17),0)</f>
        <v>567716.26699071785</v>
      </c>
      <c r="GW17" s="115">
        <f t="shared" si="4"/>
        <v>66</v>
      </c>
      <c r="GX17" s="130">
        <f t="shared" ca="1" si="2"/>
        <v>100</v>
      </c>
      <c r="HC17" s="130">
        <f t="shared" si="0"/>
        <v>66</v>
      </c>
      <c r="HD17" s="137">
        <f t="shared" ca="1" si="1"/>
        <v>801912.93272736692</v>
      </c>
      <c r="HE17" s="137">
        <f t="shared" ca="1" si="1"/>
        <v>1271502.2158843381</v>
      </c>
      <c r="HF17" s="137">
        <f t="shared" ca="1" si="1"/>
        <v>1985424.1747899384</v>
      </c>
    </row>
    <row r="18" spans="1:214" ht="16">
      <c r="A18" s="145">
        <f t="shared" si="3"/>
        <v>67</v>
      </c>
      <c r="B18" s="119">
        <f ca="1">(Dashboard!$C$7*'Equity and Bond Returns'!N18)+(Dashboard!$C$8*'Equity and Bond Returns'!DL18)</f>
        <v>0.27842837865098968</v>
      </c>
      <c r="C18" s="119">
        <f ca="1">(Dashboard!$C$7*'Equity and Bond Returns'!O18)+(Dashboard!$C$8*'Equity and Bond Returns'!DM18)</f>
        <v>0.26893045422225925</v>
      </c>
      <c r="D18" s="119">
        <f ca="1">(Dashboard!$C$7*'Equity and Bond Returns'!P18)+(Dashboard!$C$8*'Equity and Bond Returns'!DN18)</f>
        <v>0.20532677380344189</v>
      </c>
      <c r="E18" s="119">
        <f ca="1">(Dashboard!$C$7*'Equity and Bond Returns'!Q18)+(Dashboard!$C$8*'Equity and Bond Returns'!DO18)</f>
        <v>8.2184975048254033E-2</v>
      </c>
      <c r="F18" s="119">
        <f ca="1">(Dashboard!$C$7*'Equity and Bond Returns'!R18)+(Dashboard!$C$8*'Equity and Bond Returns'!DP18)</f>
        <v>-3.0127358314713734E-2</v>
      </c>
      <c r="G18" s="119">
        <f ca="1">(Dashboard!$C$7*'Equity and Bond Returns'!S18)+(Dashboard!$C$8*'Equity and Bond Returns'!DQ18)</f>
        <v>0.16271974417891286</v>
      </c>
      <c r="H18" s="119">
        <f ca="1">(Dashboard!$C$7*'Equity and Bond Returns'!T18)+(Dashboard!$C$8*'Equity and Bond Returns'!DR18)</f>
        <v>-4.8144474123952008E-2</v>
      </c>
      <c r="I18" s="119">
        <f ca="1">(Dashboard!$C$7*'Equity and Bond Returns'!U18)+(Dashboard!$C$8*'Equity and Bond Returns'!DS18)</f>
        <v>0.31488688182164792</v>
      </c>
      <c r="J18" s="119">
        <f ca="1">(Dashboard!$C$7*'Equity and Bond Returns'!V18)+(Dashboard!$C$8*'Equity and Bond Returns'!DT18)</f>
        <v>0.1255494480015539</v>
      </c>
      <c r="K18" s="119">
        <f ca="1">(Dashboard!$C$7*'Equity and Bond Returns'!W18)+(Dashboard!$C$8*'Equity and Bond Returns'!DU18)</f>
        <v>-3.7577117521975824E-2</v>
      </c>
      <c r="L18" s="119">
        <f ca="1">(Dashboard!$C$7*'Equity and Bond Returns'!X18)+(Dashboard!$C$8*'Equity and Bond Returns'!DV18)</f>
        <v>-0.17579514222968673</v>
      </c>
      <c r="M18" s="119">
        <f ca="1">(Dashboard!$C$7*'Equity and Bond Returns'!Y18)+(Dashboard!$C$8*'Equity and Bond Returns'!DW18)</f>
        <v>4.0442831258382023E-2</v>
      </c>
      <c r="N18" s="119">
        <f ca="1">(Dashboard!$C$7*'Equity and Bond Returns'!Z18)+(Dashboard!$C$8*'Equity and Bond Returns'!DX18)</f>
        <v>-0.13504081326451203</v>
      </c>
      <c r="O18" s="119">
        <f ca="1">(Dashboard!$C$7*'Equity and Bond Returns'!AA18)+(Dashboard!$C$8*'Equity and Bond Returns'!DY18)</f>
        <v>3.5659991684375648E-2</v>
      </c>
      <c r="P18" s="119">
        <f ca="1">(Dashboard!$C$7*'Equity and Bond Returns'!AB18)+(Dashboard!$C$8*'Equity and Bond Returns'!DZ18)</f>
        <v>0.15771857410125181</v>
      </c>
      <c r="Q18" s="119">
        <f ca="1">(Dashboard!$C$7*'Equity and Bond Returns'!AC18)+(Dashboard!$C$8*'Equity and Bond Returns'!EA18)</f>
        <v>9.0510843252400192E-2</v>
      </c>
      <c r="R18" s="119">
        <f ca="1">(Dashboard!$C$7*'Equity and Bond Returns'!AD18)+(Dashboard!$C$8*'Equity and Bond Returns'!EB18)</f>
        <v>0.3756590702816987</v>
      </c>
      <c r="S18" s="119">
        <f ca="1">(Dashboard!$C$7*'Equity and Bond Returns'!AE18)+(Dashboard!$C$8*'Equity and Bond Returns'!EC18)</f>
        <v>7.9070084280797717E-2</v>
      </c>
      <c r="T18" s="119">
        <f ca="1">(Dashboard!$C$7*'Equity and Bond Returns'!AF18)+(Dashboard!$C$8*'Equity and Bond Returns'!ED18)</f>
        <v>-0.11465670366964313</v>
      </c>
      <c r="U18" s="119">
        <f ca="1">(Dashboard!$C$7*'Equity and Bond Returns'!AG18)+(Dashboard!$C$8*'Equity and Bond Returns'!EE18)</f>
        <v>0.26110828434173217</v>
      </c>
      <c r="V18" s="119">
        <f ca="1">(Dashboard!$C$7*'Equity and Bond Returns'!AH18)+(Dashboard!$C$8*'Equity and Bond Returns'!EF18)</f>
        <v>7.9454214719532706E-2</v>
      </c>
      <c r="W18" s="119">
        <f ca="1">(Dashboard!$C$7*'Equity and Bond Returns'!AI18)+(Dashboard!$C$8*'Equity and Bond Returns'!EG18)</f>
        <v>0.12913389345680687</v>
      </c>
      <c r="X18" s="119">
        <f ca="1">(Dashboard!$C$7*'Equity and Bond Returns'!AJ18)+(Dashboard!$C$8*'Equity and Bond Returns'!EH18)</f>
        <v>-0.15319813923653891</v>
      </c>
      <c r="Y18" s="119">
        <f ca="1">(Dashboard!$C$7*'Equity and Bond Returns'!AK18)+(Dashboard!$C$8*'Equity and Bond Returns'!EI18)</f>
        <v>7.4634160392415605E-2</v>
      </c>
      <c r="Z18" s="119">
        <f ca="1">(Dashboard!$C$7*'Equity and Bond Returns'!AL18)+(Dashboard!$C$8*'Equity and Bond Returns'!EJ18)</f>
        <v>0.44917727612405633</v>
      </c>
      <c r="AA18" s="119">
        <f ca="1">(Dashboard!$C$7*'Equity and Bond Returns'!AM18)+(Dashboard!$C$8*'Equity and Bond Returns'!EK18)</f>
        <v>2.9747087863144506E-2</v>
      </c>
      <c r="AB18" s="119">
        <f ca="1">(Dashboard!$C$7*'Equity and Bond Returns'!AN18)+(Dashboard!$C$8*'Equity and Bond Returns'!EL18)</f>
        <v>3.2694335064817046E-2</v>
      </c>
      <c r="AC18" s="119">
        <f ca="1">(Dashboard!$C$7*'Equity and Bond Returns'!AO18)+(Dashboard!$C$8*'Equity and Bond Returns'!EM18)</f>
        <v>0.29394480547760593</v>
      </c>
      <c r="AD18" s="119">
        <f ca="1">(Dashboard!$C$7*'Equity and Bond Returns'!AP18)+(Dashboard!$C$8*'Equity and Bond Returns'!EN18)</f>
        <v>0.33360101787963514</v>
      </c>
      <c r="AE18" s="119">
        <f ca="1">(Dashboard!$C$7*'Equity and Bond Returns'!AQ18)+(Dashboard!$C$8*'Equity and Bond Returns'!EO18)</f>
        <v>0.18003103908851437</v>
      </c>
      <c r="AF18" s="119">
        <f ca="1">(Dashboard!$C$7*'Equity and Bond Returns'!AR18)+(Dashboard!$C$8*'Equity and Bond Returns'!EP18)</f>
        <v>0.20721613027481314</v>
      </c>
      <c r="AG18" s="119">
        <f ca="1">(Dashboard!$C$7*'Equity and Bond Returns'!AS18)+(Dashboard!$C$8*'Equity and Bond Returns'!EQ18)</f>
        <v>0.10775636160272609</v>
      </c>
      <c r="AH18" s="119">
        <f ca="1">(Dashboard!$C$7*'Equity and Bond Returns'!AT18)+(Dashboard!$C$8*'Equity and Bond Returns'!ER18)</f>
        <v>-0.15184337505338741</v>
      </c>
      <c r="AI18" s="119">
        <f ca="1">(Dashboard!$C$7*'Equity and Bond Returns'!AU18)+(Dashboard!$C$8*'Equity and Bond Returns'!ES18)</f>
        <v>2.3301170088775587E-2</v>
      </c>
      <c r="AJ18" s="119">
        <f ca="1">(Dashboard!$C$7*'Equity and Bond Returns'!AV18)+(Dashboard!$C$8*'Equity and Bond Returns'!ET18)</f>
        <v>2.4997912903524315E-2</v>
      </c>
      <c r="AK18" s="119">
        <f ca="1">(Dashboard!$C$7*'Equity and Bond Returns'!AW18)+(Dashboard!$C$8*'Equity and Bond Returns'!EU18)</f>
        <v>-3.1486098735301261E-2</v>
      </c>
      <c r="AL18" s="119">
        <f ca="1">(Dashboard!$C$7*'Equity and Bond Returns'!AX18)+(Dashboard!$C$8*'Equity and Bond Returns'!EV18)</f>
        <v>-3.8529430856035378E-2</v>
      </c>
      <c r="AM18" s="119">
        <f ca="1">(Dashboard!$C$7*'Equity and Bond Returns'!AY18)+(Dashboard!$C$8*'Equity and Bond Returns'!EW18)</f>
        <v>-5.2737118908228464E-2</v>
      </c>
      <c r="AN18" s="119">
        <f ca="1">(Dashboard!$C$7*'Equity and Bond Returns'!AZ18)+(Dashboard!$C$8*'Equity and Bond Returns'!EX18)</f>
        <v>-0.24073131802076989</v>
      </c>
      <c r="AO18" s="119">
        <f ca="1">(Dashboard!$C$7*'Equity and Bond Returns'!BA18)+(Dashboard!$C$8*'Equity and Bond Returns'!EY18)</f>
        <v>5.5038701639023142E-2</v>
      </c>
      <c r="AP18" s="119">
        <f ca="1">(Dashboard!$C$7*'Equity and Bond Returns'!BB18)+(Dashboard!$C$8*'Equity and Bond Returns'!EZ18)</f>
        <v>-0.30592765818669593</v>
      </c>
      <c r="AQ18" s="119">
        <f ca="1">(Dashboard!$C$7*'Equity and Bond Returns'!BC18)+(Dashboard!$C$8*'Equity and Bond Returns'!FA18)</f>
        <v>0.18694527984975451</v>
      </c>
      <c r="AR18" s="119">
        <f ca="1">(Dashboard!$C$7*'Equity and Bond Returns'!BD18)+(Dashboard!$C$8*'Equity and Bond Returns'!FB18)</f>
        <v>-1.1864925384078191E-2</v>
      </c>
      <c r="AS18" s="119">
        <f ca="1">(Dashboard!$C$7*'Equity and Bond Returns'!BE18)+(Dashboard!$C$8*'Equity and Bond Returns'!FC18)</f>
        <v>0.17883622460659665</v>
      </c>
      <c r="AT18" s="119">
        <f ca="1">(Dashboard!$C$7*'Equity and Bond Returns'!BF18)+(Dashboard!$C$8*'Equity and Bond Returns'!FD18)</f>
        <v>0.20775323025991968</v>
      </c>
      <c r="AU18" s="119">
        <f ca="1">(Dashboard!$C$7*'Equity and Bond Returns'!BG18)+(Dashboard!$C$8*'Equity and Bond Returns'!FE18)</f>
        <v>-3.7799437955544461E-3</v>
      </c>
      <c r="AV18" s="119">
        <f ca="1">(Dashboard!$C$7*'Equity and Bond Returns'!BH18)+(Dashboard!$C$8*'Equity and Bond Returns'!FF18)</f>
        <v>0.16777823055912777</v>
      </c>
      <c r="AW18" s="119">
        <f ca="1">(Dashboard!$C$7*'Equity and Bond Returns'!BI18)+(Dashboard!$C$8*'Equity and Bond Returns'!FG18)</f>
        <v>0.18197333780936931</v>
      </c>
      <c r="AX18" s="119">
        <f ca="1">(Dashboard!$C$7*'Equity and Bond Returns'!BJ18)+(Dashboard!$C$8*'Equity and Bond Returns'!FH18)</f>
        <v>0.18948332408139587</v>
      </c>
      <c r="AY18" s="119">
        <f ca="1">(Dashboard!$C$7*'Equity and Bond Returns'!BK18)+(Dashboard!$C$8*'Equity and Bond Returns'!FI18)</f>
        <v>-5.0593939216959934E-2</v>
      </c>
      <c r="AZ18" s="119">
        <f ca="1">(Dashboard!$C$7*'Equity and Bond Returns'!BL18)+(Dashboard!$C$8*'Equity and Bond Returns'!FJ18)</f>
        <v>-0.11487623778935718</v>
      </c>
      <c r="BA18" s="119">
        <f ca="1">(Dashboard!$C$7*'Equity and Bond Returns'!BM18)+(Dashboard!$C$8*'Equity and Bond Returns'!FK18)</f>
        <v>0.21553874943560336</v>
      </c>
      <c r="BB18" s="119">
        <f ca="1">(Dashboard!$C$7*'Equity and Bond Returns'!BN18)+(Dashboard!$C$8*'Equity and Bond Returns'!FL18)</f>
        <v>0.18519172295728098</v>
      </c>
      <c r="BC18" s="119">
        <f ca="1">(Dashboard!$C$7*'Equity and Bond Returns'!BO18)+(Dashboard!$C$8*'Equity and Bond Returns'!FM18)</f>
        <v>0.27129643201566378</v>
      </c>
      <c r="BD18" s="119">
        <f ca="1">(Dashboard!$C$7*'Equity and Bond Returns'!BP18)+(Dashboard!$C$8*'Equity and Bond Returns'!FN18)</f>
        <v>0.30879442516536004</v>
      </c>
      <c r="BE18" s="119">
        <f ca="1">(Dashboard!$C$7*'Equity and Bond Returns'!BQ18)+(Dashboard!$C$8*'Equity and Bond Returns'!FO18)</f>
        <v>0.24057351452714637</v>
      </c>
      <c r="BF18" s="119">
        <f ca="1">(Dashboard!$C$7*'Equity and Bond Returns'!BR18)+(Dashboard!$C$8*'Equity and Bond Returns'!FP18)</f>
        <v>0.25337199562959833</v>
      </c>
      <c r="BG18" s="119">
        <f ca="1">(Dashboard!$C$7*'Equity and Bond Returns'!BS18)+(Dashboard!$C$8*'Equity and Bond Returns'!FQ18)</f>
        <v>3.6304921845109125E-2</v>
      </c>
      <c r="BH18" s="119">
        <f ca="1">(Dashboard!$C$7*'Equity and Bond Returns'!BT18)+(Dashboard!$C$8*'Equity and Bond Returns'!FR18)</f>
        <v>0.12298458087287571</v>
      </c>
      <c r="BI18" s="119">
        <f ca="1">(Dashboard!$C$7*'Equity and Bond Returns'!BU18)+(Dashboard!$C$8*'Equity and Bond Returns'!FS18)</f>
        <v>0.16051928218233935</v>
      </c>
      <c r="BJ18" s="119">
        <f ca="1">(Dashboard!$C$7*'Equity and Bond Returns'!BV18)+(Dashboard!$C$8*'Equity and Bond Returns'!FT18)</f>
        <v>0.20933287194033329</v>
      </c>
      <c r="BK18" s="119">
        <f ca="1">(Dashboard!$C$7*'Equity and Bond Returns'!BW18)+(Dashboard!$C$8*'Equity and Bond Returns'!FU18)</f>
        <v>-0.12926842607281969</v>
      </c>
      <c r="BL18" s="119">
        <f ca="1">(Dashboard!$C$7*'Equity and Bond Returns'!BX18)+(Dashboard!$C$8*'Equity and Bond Returns'!FV18)</f>
        <v>-0.11387203853777746</v>
      </c>
      <c r="BM18" s="119">
        <f ca="1">(Dashboard!$C$7*'Equity and Bond Returns'!BY18)+(Dashboard!$C$8*'Equity and Bond Returns'!FW18)</f>
        <v>-0.29133995696223403</v>
      </c>
      <c r="BN18" s="119">
        <f ca="1">(Dashboard!$C$7*'Equity and Bond Returns'!BZ18)+(Dashboard!$C$8*'Equity and Bond Returns'!FX18)</f>
        <v>0.32070095294062018</v>
      </c>
      <c r="BO18" s="119">
        <f ca="1">(Dashboard!$C$7*'Equity and Bond Returns'!CA18)+(Dashboard!$C$8*'Equity and Bond Returns'!FY18)</f>
        <v>-4.8507780263152781E-3</v>
      </c>
      <c r="BP18" s="119">
        <f ca="1">(Dashboard!$C$7*'Equity and Bond Returns'!CB18)+(Dashboard!$C$8*'Equity and Bond Returns'!FZ18)</f>
        <v>0.29751254988656667</v>
      </c>
      <c r="BQ18" s="119">
        <f ca="1">(Dashboard!$C$7*'Equity and Bond Returns'!CC18)+(Dashboard!$C$8*'Equity and Bond Returns'!GA18)</f>
        <v>2.8710559430686775E-2</v>
      </c>
      <c r="BR18" s="119">
        <f ca="1">(Dashboard!$C$7*'Equity and Bond Returns'!CD18)+(Dashboard!$C$8*'Equity and Bond Returns'!GB18)</f>
        <v>0.12979691590663742</v>
      </c>
      <c r="BS18" s="119">
        <f ca="1">(Dashboard!$C$7*'Equity and Bond Returns'!CE18)+(Dashboard!$C$8*'Equity and Bond Returns'!GC18)</f>
        <v>3.2764448744557542E-2</v>
      </c>
      <c r="BT18" s="119">
        <f ca="1">(Dashboard!$C$7*'Equity and Bond Returns'!CF18)+(Dashboard!$C$8*'Equity and Bond Returns'!GD18)</f>
        <v>0.18173613152335683</v>
      </c>
      <c r="BU18" s="119">
        <f ca="1">(Dashboard!$C$7*'Equity and Bond Returns'!CG18)+(Dashboard!$C$8*'Equity and Bond Returns'!GE18)</f>
        <v>-5.6276245202858496E-2</v>
      </c>
      <c r="BV18" s="119">
        <f ca="1">(Dashboard!$C$7*'Equity and Bond Returns'!CH18)+(Dashboard!$C$8*'Equity and Bond Returns'!GF18)</f>
        <v>-0.13987795241433809</v>
      </c>
      <c r="BW18" s="119">
        <f ca="1">(Dashboard!$C$7*'Equity and Bond Returns'!CI18)+(Dashboard!$C$8*'Equity and Bond Returns'!GG18)</f>
        <v>0.43215031112438307</v>
      </c>
      <c r="BX18" s="119">
        <f ca="1">(Dashboard!$C$7*'Equity and Bond Returns'!CJ18)+(Dashboard!$C$8*'Equity and Bond Returns'!GH18)</f>
        <v>0.14513724773676565</v>
      </c>
      <c r="BY18" s="119">
        <f ca="1">(Dashboard!$C$7*'Equity and Bond Returns'!CK18)+(Dashboard!$C$8*'Equity and Bond Returns'!GI18)</f>
        <v>-3.1302728632402278E-2</v>
      </c>
      <c r="BZ18" s="119">
        <f ca="1">(Dashboard!$C$7*'Equity and Bond Returns'!CL18)+(Dashboard!$C$8*'Equity and Bond Returns'!GJ18)</f>
        <v>0.16685817910958228</v>
      </c>
      <c r="CA18" s="119">
        <f ca="1">(Dashboard!$C$7*'Equity and Bond Returns'!CM18)+(Dashboard!$C$8*'Equity and Bond Returns'!GK18)</f>
        <v>0.10464341600399572</v>
      </c>
      <c r="CB18" s="119">
        <f ca="1">(Dashboard!$C$7*'Equity and Bond Returns'!CN18)+(Dashboard!$C$8*'Equity and Bond Returns'!GL18)</f>
        <v>-0.18980451992179609</v>
      </c>
      <c r="CC18" s="119">
        <f ca="1">(Dashboard!$C$7*'Equity and Bond Returns'!CO18)+(Dashboard!$C$8*'Equity and Bond Returns'!GM18)</f>
        <v>-0.10788546396800824</v>
      </c>
      <c r="CD18" s="119">
        <f ca="1">(Dashboard!$C$7*'Equity and Bond Returns'!CP18)+(Dashboard!$C$8*'Equity and Bond Returns'!GN18)</f>
        <v>-2.7116442054279828E-2</v>
      </c>
      <c r="CE18" s="119">
        <f ca="1">(Dashboard!$C$7*'Equity and Bond Returns'!CQ18)+(Dashboard!$C$8*'Equity and Bond Returns'!GO18)</f>
        <v>0.25064948632315792</v>
      </c>
      <c r="CF18" s="119">
        <f ca="1">(Dashboard!$C$7*'Equity and Bond Returns'!CR18)+(Dashboard!$C$8*'Equity and Bond Returns'!GP18)</f>
        <v>-7.42646427747648E-2</v>
      </c>
      <c r="CG18" s="119">
        <f ca="1">(Dashboard!$C$7*'Equity and Bond Returns'!CS18)+(Dashboard!$C$8*'Equity and Bond Returns'!GQ18)</f>
        <v>6.1508284415289771E-3</v>
      </c>
      <c r="CH18" s="119">
        <f ca="1">(Dashboard!$C$7*'Equity and Bond Returns'!CT18)+(Dashboard!$C$8*'Equity and Bond Returns'!GR18)</f>
        <v>-0.11272815593368637</v>
      </c>
      <c r="CI18" s="119">
        <f ca="1">(Dashboard!$C$7*'Equity and Bond Returns'!CU18)+(Dashboard!$C$8*'Equity and Bond Returns'!GS18)</f>
        <v>0.19600273796988485</v>
      </c>
      <c r="CJ18" s="119">
        <f ca="1">(Dashboard!$C$7*'Equity and Bond Returns'!CV18)+(Dashboard!$C$8*'Equity and Bond Returns'!GT18)</f>
        <v>-0.11167816678782669</v>
      </c>
      <c r="CK18" s="119">
        <f ca="1">(Dashboard!$C$7*'Equity and Bond Returns'!CW18)+(Dashboard!$C$8*'Equity and Bond Returns'!GU18)</f>
        <v>0.33871260633281164</v>
      </c>
      <c r="CL18" s="119">
        <f ca="1">(Dashboard!$C$7*'Equity and Bond Returns'!CX18)+(Dashboard!$C$8*'Equity and Bond Returns'!GV18)</f>
        <v>0.27754003830981533</v>
      </c>
      <c r="CM18" s="119">
        <f ca="1">(Dashboard!$C$7*'Equity and Bond Returns'!CY18)+(Dashboard!$C$8*'Equity and Bond Returns'!GW18)</f>
        <v>-6.9390343484411587E-2</v>
      </c>
      <c r="CN18" s="119">
        <f ca="1">(Dashboard!$C$7*'Equity and Bond Returns'!CZ18)+(Dashboard!$C$8*'Equity and Bond Returns'!GX18)</f>
        <v>6.2357712291131073E-2</v>
      </c>
      <c r="CO18" s="119">
        <f ca="1">(Dashboard!$C$7*'Equity and Bond Returns'!DA18)+(Dashboard!$C$8*'Equity and Bond Returns'!GY18)</f>
        <v>0.35439845151504845</v>
      </c>
      <c r="CP18" s="119">
        <f ca="1">(Dashboard!$C$7*'Equity and Bond Returns'!DB18)+(Dashboard!$C$8*'Equity and Bond Returns'!GZ18)</f>
        <v>0.19859959758374446</v>
      </c>
      <c r="CQ18" s="119">
        <f ca="1">(Dashboard!$C$7*'Equity and Bond Returns'!DC18)+(Dashboard!$C$8*'Equity and Bond Returns'!HA18)</f>
        <v>0.25576536137613093</v>
      </c>
      <c r="CR18" s="119">
        <f ca="1">(Dashboard!$C$7*'Equity and Bond Returns'!DD18)+(Dashboard!$C$8*'Equity and Bond Returns'!HB18)</f>
        <v>-0.18257886750201266</v>
      </c>
      <c r="CS18" s="119">
        <f ca="1">(Dashboard!$C$7*'Equity and Bond Returns'!DE18)+(Dashboard!$C$8*'Equity and Bond Returns'!HC18)</f>
        <v>-6.8648753994006745E-2</v>
      </c>
      <c r="CT18" s="119">
        <f ca="1">(Dashboard!$C$7*'Equity and Bond Returns'!DF18)+(Dashboard!$C$8*'Equity and Bond Returns'!HD18)</f>
        <v>0.30984767379869382</v>
      </c>
      <c r="CU18" s="119">
        <f ca="1">(Dashboard!$C$7*'Equity and Bond Returns'!DG18)+(Dashboard!$C$8*'Equity and Bond Returns'!HE18)</f>
        <v>-6.0448276939134869E-2</v>
      </c>
      <c r="CV18" s="119">
        <f ca="1">(Dashboard!$C$7*'Equity and Bond Returns'!DH18)+(Dashboard!$C$8*'Equity and Bond Returns'!HF18)</f>
        <v>5.3633511475019949E-2</v>
      </c>
      <c r="CW18" s="119">
        <f ca="1">(Dashboard!$C$7*'Equity and Bond Returns'!DI18)+(Dashboard!$C$8*'Equity and Bond Returns'!HG18)</f>
        <v>-4.986718145518633E-2</v>
      </c>
      <c r="CY18" s="147">
        <f t="shared" si="5"/>
        <v>67</v>
      </c>
      <c r="CZ18" s="147">
        <v>17</v>
      </c>
      <c r="DA18" s="126">
        <f ca="1">MAX(DA17*(1+B18)-(Dashboard!$C$11)/(1-Dashboard!$C$17)*((1+Dashboard!$C$12)^$CZ18),0)</f>
        <v>3380919.4730424336</v>
      </c>
      <c r="DB18" s="126">
        <f ca="1">MAX(DB17*(1+C18)-(Dashboard!$C$11)/(1-Dashboard!$C$17)*((1+Dashboard!$C$12)^$CZ18),0)</f>
        <v>52776.32080074407</v>
      </c>
      <c r="DC18" s="126">
        <f ca="1">MAX(DC17*(1+D18)-(Dashboard!$C$11)/(1-Dashboard!$C$17)*((1+Dashboard!$C$12)^$CZ18),0)</f>
        <v>1519200.7552709649</v>
      </c>
      <c r="DD18" s="126">
        <f ca="1">MAX(DD17*(1+E18)-(Dashboard!$C$11)/(1-Dashboard!$C$17)*((1+Dashboard!$C$12)^$CZ18),0)</f>
        <v>422912.49635783484</v>
      </c>
      <c r="DE18" s="126">
        <f ca="1">MAX(DE17*(1+F18)-(Dashboard!$C$11)/(1-Dashboard!$C$17)*((1+Dashboard!$C$12)^$CZ18),0)</f>
        <v>2083968.1007310641</v>
      </c>
      <c r="DF18" s="126">
        <f ca="1">MAX(DF17*(1+G18)-(Dashboard!$C$11)/(1-Dashboard!$C$17)*((1+Dashboard!$C$12)^$CZ18),0)</f>
        <v>1957058.282555053</v>
      </c>
      <c r="DG18" s="126">
        <f ca="1">MAX(DG17*(1+H18)-(Dashboard!$C$11)/(1-Dashboard!$C$17)*((1+Dashboard!$C$12)^$CZ18),0)</f>
        <v>256112.71530216851</v>
      </c>
      <c r="DH18" s="126">
        <f ca="1">MAX(DH17*(1+I18)-(Dashboard!$C$11)/(1-Dashboard!$C$17)*((1+Dashboard!$C$12)^$CZ18),0)</f>
        <v>2543418.3719922942</v>
      </c>
      <c r="DI18" s="126">
        <f ca="1">MAX(DI17*(1+J18)-(Dashboard!$C$11)/(1-Dashboard!$C$17)*((1+Dashboard!$C$12)^$CZ18),0)</f>
        <v>1370529.650798437</v>
      </c>
      <c r="DJ18" s="126">
        <f ca="1">MAX(DJ17*(1+K18)-(Dashboard!$C$11)/(1-Dashboard!$C$17)*((1+Dashboard!$C$12)^$CZ18),0)</f>
        <v>1786173.8997463093</v>
      </c>
      <c r="DK18" s="126">
        <f ca="1">MAX(DK17*(1+L18)-(Dashboard!$C$11)/(1-Dashboard!$C$17)*((1+Dashboard!$C$12)^$CZ18),0)</f>
        <v>2356233.8390683667</v>
      </c>
      <c r="DL18" s="126">
        <f ca="1">MAX(DL17*(1+M18)-(Dashboard!$C$11)/(1-Dashboard!$C$17)*((1+Dashboard!$C$12)^$CZ18),0)</f>
        <v>947241.3947111055</v>
      </c>
      <c r="DM18" s="126">
        <f ca="1">MAX(DM17*(1+N18)-(Dashboard!$C$11)/(1-Dashboard!$C$17)*((1+Dashboard!$C$12)^$CZ18),0)</f>
        <v>1397012.6289459649</v>
      </c>
      <c r="DN18" s="126">
        <f ca="1">MAX(DN17*(1+O18)-(Dashboard!$C$11)/(1-Dashboard!$C$17)*((1+Dashboard!$C$12)^$CZ18),0)</f>
        <v>8406864.9482100941</v>
      </c>
      <c r="DO18" s="126">
        <f ca="1">MAX(DO17*(1+P18)-(Dashboard!$C$11)/(1-Dashboard!$C$17)*((1+Dashboard!$C$12)^$CZ18),0)</f>
        <v>1495127.2066485549</v>
      </c>
      <c r="DP18" s="126">
        <f ca="1">MAX(DP17*(1+Q18)-(Dashboard!$C$11)/(1-Dashboard!$C$17)*((1+Dashboard!$C$12)^$CZ18),0)</f>
        <v>1491071.9752631497</v>
      </c>
      <c r="DQ18" s="126">
        <f ca="1">MAX(DQ17*(1+R18)-(Dashboard!$C$11)/(1-Dashboard!$C$17)*((1+Dashboard!$C$12)^$CZ18),0)</f>
        <v>1478825.769805321</v>
      </c>
      <c r="DR18" s="126">
        <f ca="1">MAX(DR17*(1+S18)-(Dashboard!$C$11)/(1-Dashboard!$C$17)*((1+Dashboard!$C$12)^$CZ18),0)</f>
        <v>1426132.4625911382</v>
      </c>
      <c r="DS18" s="126">
        <f ca="1">MAX(DS17*(1+T18)-(Dashboard!$C$11)/(1-Dashboard!$C$17)*((1+Dashboard!$C$12)^$CZ18),0)</f>
        <v>677426.19725262327</v>
      </c>
      <c r="DT18" s="126">
        <f ca="1">MAX(DT17*(1+U18)-(Dashboard!$C$11)/(1-Dashboard!$C$17)*((1+Dashboard!$C$12)^$CZ18),0)</f>
        <v>807876.03755607945</v>
      </c>
      <c r="DU18" s="126">
        <f ca="1">MAX(DU17*(1+V18)-(Dashboard!$C$11)/(1-Dashboard!$C$17)*((1+Dashboard!$C$12)^$CZ18),0)</f>
        <v>1536875.104476748</v>
      </c>
      <c r="DV18" s="126">
        <f ca="1">MAX(DV17*(1+W18)-(Dashboard!$C$11)/(1-Dashboard!$C$17)*((1+Dashboard!$C$12)^$CZ18),0)</f>
        <v>3965284.4422596442</v>
      </c>
      <c r="DW18" s="126">
        <f ca="1">MAX(DW17*(1+X18)-(Dashboard!$C$11)/(1-Dashboard!$C$17)*((1+Dashboard!$C$12)^$CZ18),0)</f>
        <v>1574848.3973970856</v>
      </c>
      <c r="DX18" s="126">
        <f ca="1">MAX(DX17*(1+Y18)-(Dashboard!$C$11)/(1-Dashboard!$C$17)*((1+Dashboard!$C$12)^$CZ18),0)</f>
        <v>952557.33323414938</v>
      </c>
      <c r="DY18" s="126">
        <f ca="1">MAX(DY17*(1+Z18)-(Dashboard!$C$11)/(1-Dashboard!$C$17)*((1+Dashboard!$C$12)^$CZ18),0)</f>
        <v>4691154.9353627954</v>
      </c>
      <c r="DZ18" s="126">
        <f ca="1">MAX(DZ17*(1+AA18)-(Dashboard!$C$11)/(1-Dashboard!$C$17)*((1+Dashboard!$C$12)^$CZ18),0)</f>
        <v>1000876.6617409003</v>
      </c>
      <c r="EA18" s="126">
        <f ca="1">MAX(EA17*(1+AB18)-(Dashboard!$C$11)/(1-Dashboard!$C$17)*((1+Dashboard!$C$12)^$CZ18),0)</f>
        <v>958879.59724062285</v>
      </c>
      <c r="EB18" s="126">
        <f ca="1">MAX(EB17*(1+AC18)-(Dashboard!$C$11)/(1-Dashboard!$C$17)*((1+Dashboard!$C$12)^$CZ18),0)</f>
        <v>1966170.3001109096</v>
      </c>
      <c r="EC18" s="126">
        <f ca="1">MAX(EC17*(1+AD18)-(Dashboard!$C$11)/(1-Dashboard!$C$17)*((1+Dashboard!$C$12)^$CZ18),0)</f>
        <v>2530528.9780881233</v>
      </c>
      <c r="ED18" s="126">
        <f ca="1">MAX(ED17*(1+AE18)-(Dashboard!$C$11)/(1-Dashboard!$C$17)*((1+Dashboard!$C$12)^$CZ18),0)</f>
        <v>2093643.2985865683</v>
      </c>
      <c r="EE18" s="126">
        <f ca="1">MAX(EE17*(1+AF18)-(Dashboard!$C$11)/(1-Dashboard!$C$17)*((1+Dashboard!$C$12)^$CZ18),0)</f>
        <v>2561732.4808950839</v>
      </c>
      <c r="EF18" s="126">
        <f ca="1">MAX(EF17*(1+AG18)-(Dashboard!$C$11)/(1-Dashboard!$C$17)*((1+Dashboard!$C$12)^$CZ18),0)</f>
        <v>838277.27830711624</v>
      </c>
      <c r="EG18" s="126">
        <f ca="1">MAX(EG17*(1+AH18)-(Dashboard!$C$11)/(1-Dashboard!$C$17)*((1+Dashboard!$C$12)^$CZ18),0)</f>
        <v>2186535.4160666075</v>
      </c>
      <c r="EH18" s="126">
        <f ca="1">MAX(EH17*(1+AI18)-(Dashboard!$C$11)/(1-Dashboard!$C$17)*((1+Dashboard!$C$12)^$CZ18),0)</f>
        <v>1208272.1704955141</v>
      </c>
      <c r="EI18" s="126">
        <f ca="1">MAX(EI17*(1+AJ18)-(Dashboard!$C$11)/(1-Dashboard!$C$17)*((1+Dashboard!$C$12)^$CZ18),0)</f>
        <v>433724.69536783895</v>
      </c>
      <c r="EJ18" s="126">
        <f ca="1">MAX(EJ17*(1+AK18)-(Dashboard!$C$11)/(1-Dashboard!$C$17)*((1+Dashboard!$C$12)^$CZ18),0)</f>
        <v>1180732.4456959651</v>
      </c>
      <c r="EK18" s="126">
        <f ca="1">MAX(EK17*(1+AL18)-(Dashboard!$C$11)/(1-Dashboard!$C$17)*((1+Dashboard!$C$12)^$CZ18),0)</f>
        <v>1878233.4861522897</v>
      </c>
      <c r="EL18" s="126">
        <f ca="1">MAX(EL17*(1+AM18)-(Dashboard!$C$11)/(1-Dashboard!$C$17)*((1+Dashboard!$C$12)^$CZ18),0)</f>
        <v>715256.65867233567</v>
      </c>
      <c r="EM18" s="126">
        <f ca="1">MAX(EM17*(1+AN18)-(Dashboard!$C$11)/(1-Dashboard!$C$17)*((1+Dashboard!$C$12)^$CZ18),0)</f>
        <v>1140641.0707090362</v>
      </c>
      <c r="EN18" s="126">
        <f ca="1">MAX(EN17*(1+AO18)-(Dashboard!$C$11)/(1-Dashboard!$C$17)*((1+Dashboard!$C$12)^$CZ18),0)</f>
        <v>2003947.4113878566</v>
      </c>
      <c r="EO18" s="126">
        <f ca="1">MAX(EO17*(1+AP18)-(Dashboard!$C$11)/(1-Dashboard!$C$17)*((1+Dashboard!$C$12)^$CZ18),0)</f>
        <v>265545.87685617746</v>
      </c>
      <c r="EP18" s="126">
        <f ca="1">MAX(EP17*(1+AQ18)-(Dashboard!$C$11)/(1-Dashboard!$C$17)*((1+Dashboard!$C$12)^$CZ18),0)</f>
        <v>1413963.4588337541</v>
      </c>
      <c r="EQ18" s="126">
        <f ca="1">MAX(EQ17*(1+AR18)-(Dashboard!$C$11)/(1-Dashboard!$C$17)*((1+Dashboard!$C$12)^$CZ18),0)</f>
        <v>791677.72414204082</v>
      </c>
      <c r="ER18" s="126">
        <f ca="1">MAX(ER17*(1+AS18)-(Dashboard!$C$11)/(1-Dashboard!$C$17)*((1+Dashboard!$C$12)^$CZ18),0)</f>
        <v>405082.07991104084</v>
      </c>
      <c r="ES18" s="126">
        <f ca="1">MAX(ES17*(1+AT18)-(Dashboard!$C$11)/(1-Dashboard!$C$17)*((1+Dashboard!$C$12)^$CZ18),0)</f>
        <v>2563388.0683963718</v>
      </c>
      <c r="ET18" s="126">
        <f ca="1">MAX(ET17*(1+AU18)-(Dashboard!$C$11)/(1-Dashboard!$C$17)*((1+Dashboard!$C$12)^$CZ18),0)</f>
        <v>1119446.7672216962</v>
      </c>
      <c r="EU18" s="126">
        <f ca="1">MAX(EU17*(1+AV18)-(Dashboard!$C$11)/(1-Dashboard!$C$17)*((1+Dashboard!$C$12)^$CZ18),0)</f>
        <v>1758138.7855317669</v>
      </c>
      <c r="EV18" s="126">
        <f ca="1">MAX(EV17*(1+AW18)-(Dashboard!$C$11)/(1-Dashboard!$C$17)*((1+Dashboard!$C$12)^$CZ18),0)</f>
        <v>3583937.3221628489</v>
      </c>
      <c r="EW18" s="126">
        <f ca="1">MAX(EW17*(1+AX18)-(Dashboard!$C$11)/(1-Dashboard!$C$17)*((1+Dashboard!$C$12)^$CZ18),0)</f>
        <v>2205925.9569725143</v>
      </c>
      <c r="EX18" s="126">
        <f ca="1">MAX(EX17*(1+AY18)-(Dashboard!$C$11)/(1-Dashboard!$C$17)*((1+Dashboard!$C$12)^$CZ18),0)</f>
        <v>1074979.6599632564</v>
      </c>
      <c r="EY18" s="126">
        <f ca="1">MAX(EY17*(1+AZ18)-(Dashboard!$C$11)/(1-Dashboard!$C$17)*((1+Dashboard!$C$12)^$CZ18),0)</f>
        <v>2823920.5458391062</v>
      </c>
      <c r="EZ18" s="126">
        <f ca="1">MAX(EZ17*(1+BA18)-(Dashboard!$C$11)/(1-Dashboard!$C$17)*((1+Dashboard!$C$12)^$CZ18),0)</f>
        <v>1020778.0673310084</v>
      </c>
      <c r="FA18" s="126">
        <f ca="1">MAX(FA17*(1+BB18)-(Dashboard!$C$11)/(1-Dashboard!$C$17)*((1+Dashboard!$C$12)^$CZ18),0)</f>
        <v>2567958.0542749865</v>
      </c>
      <c r="FB18" s="126">
        <f ca="1">MAX(FB17*(1+BC18)-(Dashboard!$C$11)/(1-Dashboard!$C$17)*((1+Dashboard!$C$12)^$CZ18),0)</f>
        <v>566809.91956855124</v>
      </c>
      <c r="FC18" s="126">
        <f ca="1">MAX(FC17*(1+BD18)-(Dashboard!$C$11)/(1-Dashboard!$C$17)*((1+Dashboard!$C$12)^$CZ18),0)</f>
        <v>2317058.4130953471</v>
      </c>
      <c r="FD18" s="126">
        <f ca="1">MAX(FD17*(1+BE18)-(Dashboard!$C$11)/(1-Dashboard!$C$17)*((1+Dashboard!$C$12)^$CZ18),0)</f>
        <v>2816319.8284612568</v>
      </c>
      <c r="FE18" s="126">
        <f ca="1">MAX(FE17*(1+BF18)-(Dashboard!$C$11)/(1-Dashboard!$C$17)*((1+Dashboard!$C$12)^$CZ18),0)</f>
        <v>1629092.4164550686</v>
      </c>
      <c r="FF18" s="126">
        <f ca="1">MAX(FF17*(1+BG18)-(Dashboard!$C$11)/(1-Dashboard!$C$17)*((1+Dashboard!$C$12)^$CZ18),0)</f>
        <v>939899.29375529813</v>
      </c>
      <c r="FG18" s="126">
        <f ca="1">MAX(FG17*(1+BH18)-(Dashboard!$C$11)/(1-Dashboard!$C$17)*((1+Dashboard!$C$12)^$CZ18),0)</f>
        <v>862241.97905014618</v>
      </c>
      <c r="FH18" s="126">
        <f ca="1">MAX(FH17*(1+BI18)-(Dashboard!$C$11)/(1-Dashboard!$C$17)*((1+Dashboard!$C$12)^$CZ18),0)</f>
        <v>2033778.4375477438</v>
      </c>
      <c r="FI18" s="126">
        <f ca="1">MAX(FI17*(1+BJ18)-(Dashboard!$C$11)/(1-Dashboard!$C$17)*((1+Dashboard!$C$12)^$CZ18),0)</f>
        <v>2354132.2187875137</v>
      </c>
      <c r="FJ18" s="126">
        <f ca="1">MAX(FJ17*(1+BK18)-(Dashboard!$C$11)/(1-Dashboard!$C$17)*((1+Dashboard!$C$12)^$CZ18),0)</f>
        <v>781331.61916308687</v>
      </c>
      <c r="FK18" s="126">
        <f ca="1">MAX(FK17*(1+BL18)-(Dashboard!$C$11)/(1-Dashboard!$C$17)*((1+Dashboard!$C$12)^$CZ18),0)</f>
        <v>1634298.9875929409</v>
      </c>
      <c r="FL18" s="126">
        <f ca="1">MAX(FL17*(1+BM18)-(Dashboard!$C$11)/(1-Dashboard!$C$17)*((1+Dashboard!$C$12)^$CZ18),0)</f>
        <v>1115307.9497619509</v>
      </c>
      <c r="FM18" s="126">
        <f ca="1">MAX(FM17*(1+BN18)-(Dashboard!$C$11)/(1-Dashboard!$C$17)*((1+Dashboard!$C$12)^$CZ18),0)</f>
        <v>2570268.6587532521</v>
      </c>
      <c r="FN18" s="126">
        <f ca="1">MAX(FN17*(1+BO18)-(Dashboard!$C$11)/(1-Dashboard!$C$17)*((1+Dashboard!$C$12)^$CZ18),0)</f>
        <v>352374.20573289797</v>
      </c>
      <c r="FO18" s="126">
        <f ca="1">MAX(FO17*(1+BP18)-(Dashboard!$C$11)/(1-Dashboard!$C$17)*((1+Dashboard!$C$12)^$CZ18),0)</f>
        <v>1316500.7398271896</v>
      </c>
      <c r="FP18" s="126">
        <f ca="1">MAX(FP17*(1+BQ18)-(Dashboard!$C$11)/(1-Dashboard!$C$17)*((1+Dashboard!$C$12)^$CZ18),0)</f>
        <v>1207706.395225886</v>
      </c>
      <c r="FQ18" s="126">
        <f ca="1">MAX(FQ17*(1+BR18)-(Dashboard!$C$11)/(1-Dashboard!$C$17)*((1+Dashboard!$C$12)^$CZ18),0)</f>
        <v>1115362.2516974534</v>
      </c>
      <c r="FR18" s="126">
        <f ca="1">MAX(FR17*(1+BS18)-(Dashboard!$C$11)/(1-Dashboard!$C$17)*((1+Dashboard!$C$12)^$CZ18),0)</f>
        <v>2672858.1733950949</v>
      </c>
      <c r="FS18" s="126">
        <f ca="1">MAX(FS17*(1+BT18)-(Dashboard!$C$11)/(1-Dashboard!$C$17)*((1+Dashboard!$C$12)^$CZ18),0)</f>
        <v>3454343.903451975</v>
      </c>
      <c r="FT18" s="126">
        <f ca="1">MAX(FT17*(1+BU18)-(Dashboard!$C$11)/(1-Dashboard!$C$17)*((1+Dashboard!$C$12)^$CZ18),0)</f>
        <v>727346.84725824255</v>
      </c>
      <c r="FU18" s="126">
        <f ca="1">MAX(FU17*(1+BV18)-(Dashboard!$C$11)/(1-Dashboard!$C$17)*((1+Dashboard!$C$12)^$CZ18),0)</f>
        <v>1789458.4394296759</v>
      </c>
      <c r="FV18" s="126">
        <f ca="1">MAX(FV17*(1+BW18)-(Dashboard!$C$11)/(1-Dashboard!$C$17)*((1+Dashboard!$C$12)^$CZ18),0)</f>
        <v>1089839.2262908623</v>
      </c>
      <c r="FW18" s="126">
        <f ca="1">MAX(FW17*(1+BX18)-(Dashboard!$C$11)/(1-Dashboard!$C$17)*((1+Dashboard!$C$12)^$CZ18),0)</f>
        <v>2063324.9663641667</v>
      </c>
      <c r="FX18" s="126">
        <f ca="1">MAX(FX17*(1+BY18)-(Dashboard!$C$11)/(1-Dashboard!$C$17)*((1+Dashboard!$C$12)^$CZ18),0)</f>
        <v>867495.26874059008</v>
      </c>
      <c r="FY18" s="126">
        <f ca="1">MAX(FY17*(1+BZ18)-(Dashboard!$C$11)/(1-Dashboard!$C$17)*((1+Dashboard!$C$12)^$CZ18),0)</f>
        <v>633024.61007589626</v>
      </c>
      <c r="FZ18" s="126">
        <f ca="1">MAX(FZ17*(1+CA18)-(Dashboard!$C$11)/(1-Dashboard!$C$17)*((1+Dashboard!$C$12)^$CZ18),0)</f>
        <v>2173086.9785992806</v>
      </c>
      <c r="GA18" s="126">
        <f ca="1">MAX(GA17*(1+CB18)-(Dashboard!$C$11)/(1-Dashboard!$C$17)*((1+Dashboard!$C$12)^$CZ18),0)</f>
        <v>2623668.5240195151</v>
      </c>
      <c r="GB18" s="126">
        <f ca="1">MAX(GB17*(1+CC18)-(Dashboard!$C$11)/(1-Dashboard!$C$17)*((1+Dashboard!$C$12)^$CZ18),0)</f>
        <v>940454.1977948409</v>
      </c>
      <c r="GC18" s="126">
        <f ca="1">MAX(GC17*(1+CD18)-(Dashboard!$C$11)/(1-Dashboard!$C$17)*((1+Dashboard!$C$12)^$CZ18),0)</f>
        <v>2539803.4401375237</v>
      </c>
      <c r="GD18" s="126">
        <f ca="1">MAX(GD17*(1+CE18)-(Dashboard!$C$11)/(1-Dashboard!$C$17)*((1+Dashboard!$C$12)^$CZ18),0)</f>
        <v>2572255.3543440136</v>
      </c>
      <c r="GE18" s="126">
        <f ca="1">MAX(GE17*(1+CF18)-(Dashboard!$C$11)/(1-Dashboard!$C$17)*((1+Dashboard!$C$12)^$CZ18),0)</f>
        <v>1122142.5999494626</v>
      </c>
      <c r="GF18" s="126">
        <f ca="1">MAX(GF17*(1+CG18)-(Dashboard!$C$11)/(1-Dashboard!$C$17)*((1+Dashboard!$C$12)^$CZ18),0)</f>
        <v>2959506.5401070947</v>
      </c>
      <c r="GG18" s="126">
        <f ca="1">MAX(GG17*(1+CH18)-(Dashboard!$C$11)/(1-Dashboard!$C$17)*((1+Dashboard!$C$12)^$CZ18),0)</f>
        <v>427694.49976505322</v>
      </c>
      <c r="GH18" s="126">
        <f ca="1">MAX(GH17*(1+CI18)-(Dashboard!$C$11)/(1-Dashboard!$C$17)*((1+Dashboard!$C$12)^$CZ18),0)</f>
        <v>908438.22904666141</v>
      </c>
      <c r="GI18" s="126">
        <f ca="1">MAX(GI17*(1+CJ18)-(Dashboard!$C$11)/(1-Dashboard!$C$17)*((1+Dashboard!$C$12)^$CZ18),0)</f>
        <v>677749.06801723968</v>
      </c>
      <c r="GJ18" s="126">
        <f ca="1">MAX(GJ17*(1+CK18)-(Dashboard!$C$11)/(1-Dashboard!$C$17)*((1+Dashboard!$C$12)^$CZ18),0)</f>
        <v>1609987.9726836383</v>
      </c>
      <c r="GK18" s="126">
        <f ca="1">MAX(GK17*(1+CL18)-(Dashboard!$C$11)/(1-Dashboard!$C$17)*((1+Dashboard!$C$12)^$CZ18),0)</f>
        <v>3462071.7160203797</v>
      </c>
      <c r="GL18" s="126">
        <f ca="1">MAX(GL17*(1+CM18)-(Dashboard!$C$11)/(1-Dashboard!$C$17)*((1+Dashboard!$C$12)^$CZ18),0)</f>
        <v>2712169.8194255931</v>
      </c>
      <c r="GM18" s="126">
        <f ca="1">MAX(GM17*(1+CN18)-(Dashboard!$C$11)/(1-Dashboard!$C$17)*((1+Dashboard!$C$12)^$CZ18),0)</f>
        <v>999249.75849537796</v>
      </c>
      <c r="GN18" s="126">
        <f ca="1">MAX(GN17*(1+CO18)-(Dashboard!$C$11)/(1-Dashboard!$C$17)*((1+Dashboard!$C$12)^$CZ18),0)</f>
        <v>116993.08638776185</v>
      </c>
      <c r="GO18" s="126">
        <f ca="1">MAX(GO17*(1+CP18)-(Dashboard!$C$11)/(1-Dashboard!$C$17)*((1+Dashboard!$C$12)^$CZ18),0)</f>
        <v>679821.53899330611</v>
      </c>
      <c r="GP18" s="126">
        <f ca="1">MAX(GP17*(1+CQ18)-(Dashboard!$C$11)/(1-Dashboard!$C$17)*((1+Dashboard!$C$12)^$CZ18),0)</f>
        <v>908818.58929277887</v>
      </c>
      <c r="GQ18" s="126">
        <f ca="1">MAX(GQ17*(1+CR18)-(Dashboard!$C$11)/(1-Dashboard!$C$17)*((1+Dashboard!$C$12)^$CZ18),0)</f>
        <v>381912.42989642976</v>
      </c>
      <c r="GR18" s="126">
        <f ca="1">MAX(GR17*(1+CS18)-(Dashboard!$C$11)/(1-Dashboard!$C$17)*((1+Dashboard!$C$12)^$CZ18),0)</f>
        <v>668580.91014322382</v>
      </c>
      <c r="GS18" s="126">
        <f ca="1">MAX(GS17*(1+CT18)-(Dashboard!$C$11)/(1-Dashboard!$C$17)*((1+Dashboard!$C$12)^$CZ18),0)</f>
        <v>3061905.7762981015</v>
      </c>
      <c r="GT18" s="126">
        <f ca="1">MAX(GT17*(1+CU18)-(Dashboard!$C$11)/(1-Dashboard!$C$17)*((1+Dashboard!$C$12)^$CZ18),0)</f>
        <v>2692690.0712684244</v>
      </c>
      <c r="GU18" s="126">
        <f ca="1">MAX(GU17*(1+CV18)-(Dashboard!$C$11)/(1-Dashboard!$C$17)*((1+Dashboard!$C$12)^$CZ18),0)</f>
        <v>593426.95029356645</v>
      </c>
      <c r="GV18" s="126">
        <f ca="1">MAX(GV17*(1+CW18)-(Dashboard!$C$11)/(1-Dashboard!$C$17)*((1+Dashboard!$C$12)^$CZ18),0)</f>
        <v>505315.8744740258</v>
      </c>
      <c r="GW18" s="115">
        <f t="shared" si="4"/>
        <v>67</v>
      </c>
      <c r="GX18" s="130">
        <f t="shared" ca="1" si="2"/>
        <v>100</v>
      </c>
      <c r="HC18" s="130">
        <f t="shared" si="0"/>
        <v>67</v>
      </c>
      <c r="HD18" s="137">
        <f t="shared" ca="1" si="1"/>
        <v>844268.4534928737</v>
      </c>
      <c r="HE18" s="137">
        <f t="shared" ca="1" si="1"/>
        <v>1405488.0438898595</v>
      </c>
      <c r="HF18" s="137">
        <f t="shared" ca="1" si="1"/>
        <v>2289275.299064639</v>
      </c>
    </row>
    <row r="19" spans="1:214" ht="16">
      <c r="A19" s="145">
        <f t="shared" si="3"/>
        <v>68</v>
      </c>
      <c r="B19" s="119">
        <f ca="1">(Dashboard!$C$7*'Equity and Bond Returns'!N19)+(Dashboard!$C$8*'Equity and Bond Returns'!DL19)</f>
        <v>2.8602721074257081E-2</v>
      </c>
      <c r="C19" s="119">
        <f ca="1">(Dashboard!$C$7*'Equity and Bond Returns'!O19)+(Dashboard!$C$8*'Equity and Bond Returns'!DM19)</f>
        <v>6.4855942935907157E-2</v>
      </c>
      <c r="D19" s="119">
        <f ca="1">(Dashboard!$C$7*'Equity and Bond Returns'!P19)+(Dashboard!$C$8*'Equity and Bond Returns'!DN19)</f>
        <v>0.26357541076219465</v>
      </c>
      <c r="E19" s="119">
        <f ca="1">(Dashboard!$C$7*'Equity and Bond Returns'!Q19)+(Dashboard!$C$8*'Equity and Bond Returns'!DO19)</f>
        <v>-4.3447863725877126E-2</v>
      </c>
      <c r="F19" s="119">
        <f ca="1">(Dashboard!$C$7*'Equity and Bond Returns'!R19)+(Dashboard!$C$8*'Equity and Bond Returns'!DP19)</f>
        <v>-5.7822899917685508E-2</v>
      </c>
      <c r="G19" s="119">
        <f ca="1">(Dashboard!$C$7*'Equity and Bond Returns'!S19)+(Dashboard!$C$8*'Equity and Bond Returns'!DQ19)</f>
        <v>0.14365197068993574</v>
      </c>
      <c r="H19" s="119">
        <f ca="1">(Dashboard!$C$7*'Equity and Bond Returns'!T19)+(Dashboard!$C$8*'Equity and Bond Returns'!DR19)</f>
        <v>0.15756099130108023</v>
      </c>
      <c r="I19" s="119">
        <f ca="1">(Dashboard!$C$7*'Equity and Bond Returns'!U19)+(Dashboard!$C$8*'Equity and Bond Returns'!DS19)</f>
        <v>-9.0686184050265423E-3</v>
      </c>
      <c r="J19" s="119">
        <f ca="1">(Dashboard!$C$7*'Equity and Bond Returns'!V19)+(Dashboard!$C$8*'Equity and Bond Returns'!DT19)</f>
        <v>-5.2194982498109527E-2</v>
      </c>
      <c r="K19" s="119">
        <f ca="1">(Dashboard!$C$7*'Equity and Bond Returns'!W19)+(Dashboard!$C$8*'Equity and Bond Returns'!DU19)</f>
        <v>7.2757405412631499E-3</v>
      </c>
      <c r="L19" s="119">
        <f ca="1">(Dashboard!$C$7*'Equity and Bond Returns'!X19)+(Dashboard!$C$8*'Equity and Bond Returns'!DV19)</f>
        <v>2.6446737063740275E-2</v>
      </c>
      <c r="M19" s="119">
        <f ca="1">(Dashboard!$C$7*'Equity and Bond Returns'!Y19)+(Dashboard!$C$8*'Equity and Bond Returns'!DW19)</f>
        <v>0.12683799365668119</v>
      </c>
      <c r="N19" s="119">
        <f ca="1">(Dashboard!$C$7*'Equity and Bond Returns'!Z19)+(Dashboard!$C$8*'Equity and Bond Returns'!DX19)</f>
        <v>-1.853931078477843E-2</v>
      </c>
      <c r="O19" s="119">
        <f ca="1">(Dashboard!$C$7*'Equity and Bond Returns'!AA19)+(Dashboard!$C$8*'Equity and Bond Returns'!DY19)</f>
        <v>-9.9872127841173872E-2</v>
      </c>
      <c r="P19" s="119">
        <f ca="1">(Dashboard!$C$7*'Equity and Bond Returns'!AB19)+(Dashboard!$C$8*'Equity and Bond Returns'!DZ19)</f>
        <v>-4.1605155677351853E-2</v>
      </c>
      <c r="Q19" s="119">
        <f ca="1">(Dashboard!$C$7*'Equity and Bond Returns'!AC19)+(Dashboard!$C$8*'Equity and Bond Returns'!EA19)</f>
        <v>-0.14815064126043007</v>
      </c>
      <c r="R19" s="119">
        <f ca="1">(Dashboard!$C$7*'Equity and Bond Returns'!AD19)+(Dashboard!$C$8*'Equity and Bond Returns'!EB19)</f>
        <v>9.6005476646328053E-2</v>
      </c>
      <c r="S19" s="119">
        <f ca="1">(Dashboard!$C$7*'Equity and Bond Returns'!AE19)+(Dashboard!$C$8*'Equity and Bond Returns'!EC19)</f>
        <v>0.34998004980893221</v>
      </c>
      <c r="T19" s="119">
        <f ca="1">(Dashboard!$C$7*'Equity and Bond Returns'!AF19)+(Dashboard!$C$8*'Equity and Bond Returns'!ED19)</f>
        <v>0.14937392487656836</v>
      </c>
      <c r="U19" s="119">
        <f ca="1">(Dashboard!$C$7*'Equity and Bond Returns'!AG19)+(Dashboard!$C$8*'Equity and Bond Returns'!EE19)</f>
        <v>5.9703062784744014E-2</v>
      </c>
      <c r="V19" s="119">
        <f ca="1">(Dashboard!$C$7*'Equity and Bond Returns'!AH19)+(Dashboard!$C$8*'Equity and Bond Returns'!EF19)</f>
        <v>0.13277453892755739</v>
      </c>
      <c r="W19" s="119">
        <f ca="1">(Dashboard!$C$7*'Equity and Bond Returns'!AI19)+(Dashboard!$C$8*'Equity and Bond Returns'!EG19)</f>
        <v>-0.21955788410370949</v>
      </c>
      <c r="X19" s="119">
        <f ca="1">(Dashboard!$C$7*'Equity and Bond Returns'!AJ19)+(Dashboard!$C$8*'Equity and Bond Returns'!EH19)</f>
        <v>6.1736849632497294E-2</v>
      </c>
      <c r="Y19" s="119">
        <f ca="1">(Dashboard!$C$7*'Equity and Bond Returns'!AK19)+(Dashboard!$C$8*'Equity and Bond Returns'!EI19)</f>
        <v>1.1513223126338817E-2</v>
      </c>
      <c r="Z19" s="119">
        <f ca="1">(Dashboard!$C$7*'Equity and Bond Returns'!AL19)+(Dashboard!$C$8*'Equity and Bond Returns'!EJ19)</f>
        <v>-6.3146787051743633E-2</v>
      </c>
      <c r="AA19" s="119">
        <f ca="1">(Dashboard!$C$7*'Equity and Bond Returns'!AM19)+(Dashboard!$C$8*'Equity and Bond Returns'!EK19)</f>
        <v>0.11207646478437186</v>
      </c>
      <c r="AB19" s="119">
        <f ca="1">(Dashboard!$C$7*'Equity and Bond Returns'!AN19)+(Dashboard!$C$8*'Equity and Bond Returns'!EL19)</f>
        <v>3.1520967981889129E-2</v>
      </c>
      <c r="AC19" s="119">
        <f ca="1">(Dashboard!$C$7*'Equity and Bond Returns'!AO19)+(Dashboard!$C$8*'Equity and Bond Returns'!EM19)</f>
        <v>0.16322478439689841</v>
      </c>
      <c r="AD19" s="119">
        <f ca="1">(Dashboard!$C$7*'Equity and Bond Returns'!AP19)+(Dashboard!$C$8*'Equity and Bond Returns'!EN19)</f>
        <v>1.585394060389899E-2</v>
      </c>
      <c r="AE19" s="119">
        <f ca="1">(Dashboard!$C$7*'Equity and Bond Returns'!AQ19)+(Dashboard!$C$8*'Equity and Bond Returns'!EO19)</f>
        <v>0.18323868088105805</v>
      </c>
      <c r="AF19" s="119">
        <f ca="1">(Dashboard!$C$7*'Equity and Bond Returns'!AR19)+(Dashboard!$C$8*'Equity and Bond Returns'!EP19)</f>
        <v>7.5135158139639793E-2</v>
      </c>
      <c r="AG19" s="119">
        <f ca="1">(Dashboard!$C$7*'Equity and Bond Returns'!AS19)+(Dashboard!$C$8*'Equity and Bond Returns'!EQ19)</f>
        <v>-0.12639654247621285</v>
      </c>
      <c r="AH19" s="119">
        <f ca="1">(Dashboard!$C$7*'Equity and Bond Returns'!AT19)+(Dashboard!$C$8*'Equity and Bond Returns'!ER19)</f>
        <v>9.5115731481228899E-2</v>
      </c>
      <c r="AI19" s="119">
        <f ca="1">(Dashboard!$C$7*'Equity and Bond Returns'!AU19)+(Dashboard!$C$8*'Equity and Bond Returns'!ES19)</f>
        <v>0.26190118393177092</v>
      </c>
      <c r="AJ19" s="119">
        <f ca="1">(Dashboard!$C$7*'Equity and Bond Returns'!AV19)+(Dashboard!$C$8*'Equity and Bond Returns'!ET19)</f>
        <v>2.5941662425830476E-2</v>
      </c>
      <c r="AK19" s="119">
        <f ca="1">(Dashboard!$C$7*'Equity and Bond Returns'!AW19)+(Dashboard!$C$8*'Equity and Bond Returns'!EU19)</f>
        <v>0.14864146556059965</v>
      </c>
      <c r="AL19" s="119">
        <f ca="1">(Dashboard!$C$7*'Equity and Bond Returns'!AX19)+(Dashboard!$C$8*'Equity and Bond Returns'!EV19)</f>
        <v>0.11948042629597595</v>
      </c>
      <c r="AM19" s="119">
        <f ca="1">(Dashboard!$C$7*'Equity and Bond Returns'!AY19)+(Dashboard!$C$8*'Equity and Bond Returns'!EW19)</f>
        <v>-5.6658452470809258E-2</v>
      </c>
      <c r="AN19" s="119">
        <f ca="1">(Dashboard!$C$7*'Equity and Bond Returns'!AZ19)+(Dashboard!$C$8*'Equity and Bond Returns'!EX19)</f>
        <v>0.14305802165545081</v>
      </c>
      <c r="AO19" s="119">
        <f ca="1">(Dashboard!$C$7*'Equity and Bond Returns'!BA19)+(Dashboard!$C$8*'Equity and Bond Returns'!EY19)</f>
        <v>-0.10615571467184481</v>
      </c>
      <c r="AP19" s="119">
        <f ca="1">(Dashboard!$C$7*'Equity and Bond Returns'!BB19)+(Dashboard!$C$8*'Equity and Bond Returns'!EZ19)</f>
        <v>8.2077561127697818E-2</v>
      </c>
      <c r="AQ19" s="119">
        <f ca="1">(Dashboard!$C$7*'Equity and Bond Returns'!BC19)+(Dashboard!$C$8*'Equity and Bond Returns'!FA19)</f>
        <v>-6.9549858551666219E-2</v>
      </c>
      <c r="AR19" s="119">
        <f ca="1">(Dashboard!$C$7*'Equity and Bond Returns'!BD19)+(Dashboard!$C$8*'Equity and Bond Returns'!FB19)</f>
        <v>0.37106875859466926</v>
      </c>
      <c r="AS19" s="119">
        <f ca="1">(Dashboard!$C$7*'Equity and Bond Returns'!BE19)+(Dashboard!$C$8*'Equity and Bond Returns'!FC19)</f>
        <v>-6.6858257477024147E-2</v>
      </c>
      <c r="AT19" s="119">
        <f ca="1">(Dashboard!$C$7*'Equity and Bond Returns'!BF19)+(Dashboard!$C$8*'Equity and Bond Returns'!FD19)</f>
        <v>0.43477828131641444</v>
      </c>
      <c r="AU19" s="119">
        <f ca="1">(Dashboard!$C$7*'Equity and Bond Returns'!BG19)+(Dashboard!$C$8*'Equity and Bond Returns'!FE19)</f>
        <v>-0.13652072480950717</v>
      </c>
      <c r="AV19" s="119">
        <f ca="1">(Dashboard!$C$7*'Equity and Bond Returns'!BH19)+(Dashboard!$C$8*'Equity and Bond Returns'!FF19)</f>
        <v>0.18956778471048125</v>
      </c>
      <c r="AW19" s="119">
        <f ca="1">(Dashboard!$C$7*'Equity and Bond Returns'!BI19)+(Dashboard!$C$8*'Equity and Bond Returns'!FG19)</f>
        <v>5.8838852231547084E-2</v>
      </c>
      <c r="AX19" s="119">
        <f ca="1">(Dashboard!$C$7*'Equity and Bond Returns'!BJ19)+(Dashboard!$C$8*'Equity and Bond Returns'!FH19)</f>
        <v>0.14977116362278425</v>
      </c>
      <c r="AY19" s="119">
        <f ca="1">(Dashboard!$C$7*'Equity and Bond Returns'!BK19)+(Dashboard!$C$8*'Equity and Bond Returns'!FI19)</f>
        <v>0.24749555612178595</v>
      </c>
      <c r="AZ19" s="119">
        <f ca="1">(Dashboard!$C$7*'Equity and Bond Returns'!BL19)+(Dashboard!$C$8*'Equity and Bond Returns'!FJ19)</f>
        <v>0.30245051377754223</v>
      </c>
      <c r="BA19" s="119">
        <f ca="1">(Dashboard!$C$7*'Equity and Bond Returns'!BM19)+(Dashboard!$C$8*'Equity and Bond Returns'!FK19)</f>
        <v>0.1838755443417433</v>
      </c>
      <c r="BB19" s="119">
        <f ca="1">(Dashboard!$C$7*'Equity and Bond Returns'!BN19)+(Dashboard!$C$8*'Equity and Bond Returns'!FL19)</f>
        <v>0.4636533820178631</v>
      </c>
      <c r="BC19" s="119">
        <f ca="1">(Dashboard!$C$7*'Equity and Bond Returns'!BO19)+(Dashboard!$C$8*'Equity and Bond Returns'!FM19)</f>
        <v>0.36858068818554518</v>
      </c>
      <c r="BD19" s="119">
        <f ca="1">(Dashboard!$C$7*'Equity and Bond Returns'!BP19)+(Dashboard!$C$8*'Equity and Bond Returns'!FN19)</f>
        <v>0.28969302629152388</v>
      </c>
      <c r="BE19" s="119">
        <f ca="1">(Dashboard!$C$7*'Equity and Bond Returns'!BQ19)+(Dashboard!$C$8*'Equity and Bond Returns'!FO19)</f>
        <v>0.18688296569436336</v>
      </c>
      <c r="BF19" s="119">
        <f ca="1">(Dashboard!$C$7*'Equity and Bond Returns'!BR19)+(Dashboard!$C$8*'Equity and Bond Returns'!FP19)</f>
        <v>0.21759941291581816</v>
      </c>
      <c r="BG19" s="119">
        <f ca="1">(Dashboard!$C$7*'Equity and Bond Returns'!BS19)+(Dashboard!$C$8*'Equity and Bond Returns'!FQ19)</f>
        <v>1.3467610522224066E-2</v>
      </c>
      <c r="BH19" s="119">
        <f ca="1">(Dashboard!$C$7*'Equity and Bond Returns'!BT19)+(Dashboard!$C$8*'Equity and Bond Returns'!FR19)</f>
        <v>-1.1749713984065756E-2</v>
      </c>
      <c r="BI19" s="119">
        <f ca="1">(Dashboard!$C$7*'Equity and Bond Returns'!BU19)+(Dashboard!$C$8*'Equity and Bond Returns'!FS19)</f>
        <v>0.28878876829037414</v>
      </c>
      <c r="BJ19" s="119">
        <f ca="1">(Dashboard!$C$7*'Equity and Bond Returns'!BV19)+(Dashboard!$C$8*'Equity and Bond Returns'!FT19)</f>
        <v>0.11724602844046547</v>
      </c>
      <c r="BK19" s="119">
        <f ca="1">(Dashboard!$C$7*'Equity and Bond Returns'!BW19)+(Dashboard!$C$8*'Equity and Bond Returns'!FU19)</f>
        <v>4.4726833506945674E-2</v>
      </c>
      <c r="BL19" s="119">
        <f ca="1">(Dashboard!$C$7*'Equity and Bond Returns'!BX19)+(Dashboard!$C$8*'Equity and Bond Returns'!FV19)</f>
        <v>-0.10533209987762003</v>
      </c>
      <c r="BM19" s="119">
        <f ca="1">(Dashboard!$C$7*'Equity and Bond Returns'!BY19)+(Dashboard!$C$8*'Equity and Bond Returns'!FW19)</f>
        <v>3.0980994616075921E-2</v>
      </c>
      <c r="BN19" s="119">
        <f ca="1">(Dashboard!$C$7*'Equity and Bond Returns'!BZ19)+(Dashboard!$C$8*'Equity and Bond Returns'!FX19)</f>
        <v>-8.4534604455774841E-3</v>
      </c>
      <c r="BO19" s="119">
        <f ca="1">(Dashboard!$C$7*'Equity and Bond Returns'!CA19)+(Dashboard!$C$8*'Equity and Bond Returns'!FY19)</f>
        <v>-4.2902311794694593E-2</v>
      </c>
      <c r="BP19" s="119">
        <f ca="1">(Dashboard!$C$7*'Equity and Bond Returns'!CB19)+(Dashboard!$C$8*'Equity and Bond Returns'!FZ19)</f>
        <v>6.6634113509172685E-2</v>
      </c>
      <c r="BQ19" s="119">
        <f ca="1">(Dashboard!$C$7*'Equity and Bond Returns'!CC19)+(Dashboard!$C$8*'Equity and Bond Returns'!GA19)</f>
        <v>-0.11919189268647579</v>
      </c>
      <c r="BR19" s="119">
        <f ca="1">(Dashboard!$C$7*'Equity and Bond Returns'!CD19)+(Dashboard!$C$8*'Equity and Bond Returns'!GB19)</f>
        <v>0.29432594723195638</v>
      </c>
      <c r="BS19" s="119">
        <f ca="1">(Dashboard!$C$7*'Equity and Bond Returns'!CE19)+(Dashboard!$C$8*'Equity and Bond Returns'!GC19)</f>
        <v>9.2479758174488155E-3</v>
      </c>
      <c r="BT19" s="119">
        <f ca="1">(Dashboard!$C$7*'Equity and Bond Returns'!CF19)+(Dashboard!$C$8*'Equity and Bond Returns'!GD19)</f>
        <v>0.13438115076272369</v>
      </c>
      <c r="BU19" s="119">
        <f ca="1">(Dashboard!$C$7*'Equity and Bond Returns'!CG19)+(Dashboard!$C$8*'Equity and Bond Returns'!GE19)</f>
        <v>-0.10693270798157874</v>
      </c>
      <c r="BV19" s="119">
        <f ca="1">(Dashboard!$C$7*'Equity and Bond Returns'!CH19)+(Dashboard!$C$8*'Equity and Bond Returns'!GF19)</f>
        <v>7.2435053626324547E-2</v>
      </c>
      <c r="BW19" s="119">
        <f ca="1">(Dashboard!$C$7*'Equity and Bond Returns'!CI19)+(Dashboard!$C$8*'Equity and Bond Returns'!GG19)</f>
        <v>0.22078393651312928</v>
      </c>
      <c r="BX19" s="119">
        <f ca="1">(Dashboard!$C$7*'Equity and Bond Returns'!CJ19)+(Dashboard!$C$8*'Equity and Bond Returns'!GH19)</f>
        <v>-7.2777885081797403E-2</v>
      </c>
      <c r="BY19" s="119">
        <f ca="1">(Dashboard!$C$7*'Equity and Bond Returns'!CK19)+(Dashboard!$C$8*'Equity and Bond Returns'!GI19)</f>
        <v>-0.2406639389703607</v>
      </c>
      <c r="BZ19" s="119">
        <f ca="1">(Dashboard!$C$7*'Equity and Bond Returns'!CL19)+(Dashboard!$C$8*'Equity and Bond Returns'!GJ19)</f>
        <v>-4.5714183436411669E-2</v>
      </c>
      <c r="CA19" s="119">
        <f ca="1">(Dashboard!$C$7*'Equity and Bond Returns'!CM19)+(Dashboard!$C$8*'Equity and Bond Returns'!GK19)</f>
        <v>7.1984329806613651E-2</v>
      </c>
      <c r="CB19" s="119">
        <f ca="1">(Dashboard!$C$7*'Equity and Bond Returns'!CN19)+(Dashboard!$C$8*'Equity and Bond Returns'!GL19)</f>
        <v>4.5298446472173945E-2</v>
      </c>
      <c r="CC19" s="119">
        <f ca="1">(Dashboard!$C$7*'Equity and Bond Returns'!CO19)+(Dashboard!$C$8*'Equity and Bond Returns'!GM19)</f>
        <v>0.13324984893730735</v>
      </c>
      <c r="CD19" s="119">
        <f ca="1">(Dashboard!$C$7*'Equity and Bond Returns'!CP19)+(Dashboard!$C$8*'Equity and Bond Returns'!GN19)</f>
        <v>0.20315308510829683</v>
      </c>
      <c r="CE19" s="119">
        <f ca="1">(Dashboard!$C$7*'Equity and Bond Returns'!CQ19)+(Dashboard!$C$8*'Equity and Bond Returns'!GO19)</f>
        <v>0.37380429538206533</v>
      </c>
      <c r="CF19" s="119">
        <f ca="1">(Dashboard!$C$7*'Equity and Bond Returns'!CR19)+(Dashboard!$C$8*'Equity and Bond Returns'!GP19)</f>
        <v>5.1576305383704661E-2</v>
      </c>
      <c r="CG19" s="119">
        <f ca="1">(Dashboard!$C$7*'Equity and Bond Returns'!CS19)+(Dashboard!$C$8*'Equity and Bond Returns'!GQ19)</f>
        <v>0.17450658391207086</v>
      </c>
      <c r="CH19" s="119">
        <f ca="1">(Dashboard!$C$7*'Equity and Bond Returns'!CT19)+(Dashboard!$C$8*'Equity and Bond Returns'!GR19)</f>
        <v>0.23713532900029577</v>
      </c>
      <c r="CI19" s="119">
        <f ca="1">(Dashboard!$C$7*'Equity and Bond Returns'!CU19)+(Dashboard!$C$8*'Equity and Bond Returns'!GS19)</f>
        <v>0.11502564576484688</v>
      </c>
      <c r="CJ19" s="119">
        <f ca="1">(Dashboard!$C$7*'Equity and Bond Returns'!CV19)+(Dashboard!$C$8*'Equity and Bond Returns'!GT19)</f>
        <v>3.227153260100997E-2</v>
      </c>
      <c r="CK19" s="119">
        <f ca="1">(Dashboard!$C$7*'Equity and Bond Returns'!CW19)+(Dashboard!$C$8*'Equity and Bond Returns'!GU19)</f>
        <v>0.13035230784349297</v>
      </c>
      <c r="CL19" s="119">
        <f ca="1">(Dashboard!$C$7*'Equity and Bond Returns'!CX19)+(Dashboard!$C$8*'Equity and Bond Returns'!GV19)</f>
        <v>-0.11452150623932336</v>
      </c>
      <c r="CM19" s="119">
        <f ca="1">(Dashboard!$C$7*'Equity and Bond Returns'!CY19)+(Dashboard!$C$8*'Equity and Bond Returns'!GW19)</f>
        <v>-9.6694865341900305E-2</v>
      </c>
      <c r="CN19" s="119">
        <f ca="1">(Dashboard!$C$7*'Equity and Bond Returns'!CZ19)+(Dashboard!$C$8*'Equity and Bond Returns'!GX19)</f>
        <v>-9.9391555851811031E-2</v>
      </c>
      <c r="CO19" s="119">
        <f ca="1">(Dashboard!$C$7*'Equity and Bond Returns'!DA19)+(Dashboard!$C$8*'Equity and Bond Returns'!GY19)</f>
        <v>-0.32316069702848627</v>
      </c>
      <c r="CP19" s="119">
        <f ca="1">(Dashboard!$C$7*'Equity and Bond Returns'!DB19)+(Dashboard!$C$8*'Equity and Bond Returns'!GZ19)</f>
        <v>-0.10894728789035851</v>
      </c>
      <c r="CQ19" s="119">
        <f ca="1">(Dashboard!$C$7*'Equity and Bond Returns'!DC19)+(Dashboard!$C$8*'Equity and Bond Returns'!HA19)</f>
        <v>9.6924033919779953E-2</v>
      </c>
      <c r="CR19" s="119">
        <f ca="1">(Dashboard!$C$7*'Equity and Bond Returns'!DD19)+(Dashboard!$C$8*'Equity and Bond Returns'!HB19)</f>
        <v>-0.14847791035359406</v>
      </c>
      <c r="CS19" s="119">
        <f ca="1">(Dashboard!$C$7*'Equity and Bond Returns'!DE19)+(Dashboard!$C$8*'Equity and Bond Returns'!HC19)</f>
        <v>0.24960151018218696</v>
      </c>
      <c r="CT19" s="119">
        <f ca="1">(Dashboard!$C$7*'Equity and Bond Returns'!DF19)+(Dashboard!$C$8*'Equity and Bond Returns'!HD19)</f>
        <v>-0.21991705673495127</v>
      </c>
      <c r="CU19" s="119">
        <f ca="1">(Dashboard!$C$7*'Equity and Bond Returns'!DG19)+(Dashboard!$C$8*'Equity and Bond Returns'!HE19)</f>
        <v>0.28949659004906403</v>
      </c>
      <c r="CV19" s="119">
        <f ca="1">(Dashboard!$C$7*'Equity and Bond Returns'!DH19)+(Dashboard!$C$8*'Equity and Bond Returns'!HF19)</f>
        <v>0.12084900943470031</v>
      </c>
      <c r="CW19" s="119">
        <f ca="1">(Dashboard!$C$7*'Equity and Bond Returns'!DI19)+(Dashboard!$C$8*'Equity and Bond Returns'!HG19)</f>
        <v>6.0488109436688156E-2</v>
      </c>
      <c r="CY19" s="147">
        <f t="shared" si="5"/>
        <v>68</v>
      </c>
      <c r="CZ19" s="147">
        <v>18</v>
      </c>
      <c r="DA19" s="126">
        <f ca="1">MAX(DA18*(1+B19)-(Dashboard!$C$11)/(1-Dashboard!$C$17)*((1+Dashboard!$C$12)^$CZ19),0)</f>
        <v>3442510.2878163168</v>
      </c>
      <c r="DB19" s="126">
        <f ca="1">MAX(DB18*(1+C19)-(Dashboard!$C$11)/(1-Dashboard!$C$17)*((1+Dashboard!$C$12)^$CZ19),0)</f>
        <v>21086.496962891259</v>
      </c>
      <c r="DC19" s="126">
        <f ca="1">MAX(DC18*(1+D19)-(Dashboard!$C$11)/(1-Dashboard!$C$17)*((1+Dashboard!$C$12)^$CZ19),0)</f>
        <v>1884512.0364836727</v>
      </c>
      <c r="DD19" s="126">
        <f ca="1">MAX(DD18*(1+E19)-(Dashboard!$C$11)/(1-Dashboard!$C$17)*((1+Dashboard!$C$12)^$CZ19),0)</f>
        <v>369425.16996003612</v>
      </c>
      <c r="DE19" s="126">
        <f ca="1">MAX(DE18*(1+F19)-(Dashboard!$C$11)/(1-Dashboard!$C$17)*((1+Dashboard!$C$12)^$CZ19),0)</f>
        <v>1928354.3399227697</v>
      </c>
      <c r="DF19" s="126">
        <f ca="1">MAX(DF18*(1+G19)-(Dashboard!$C$11)/(1-Dashboard!$C$17)*((1+Dashboard!$C$12)^$CZ19),0)</f>
        <v>2203080.8797110743</v>
      </c>
      <c r="DG19" s="126">
        <f ca="1">MAX(DG18*(1+H19)-(Dashboard!$C$11)/(1-Dashboard!$C$17)*((1+Dashboard!$C$12)^$CZ19),0)</f>
        <v>261353.40672191649</v>
      </c>
      <c r="DH19" s="126">
        <f ca="1">MAX(DH18*(1+I19)-(Dashboard!$C$11)/(1-Dashboard!$C$17)*((1+Dashboard!$C$12)^$CZ19),0)</f>
        <v>2485240.399444289</v>
      </c>
      <c r="DI19" s="126">
        <f ca="1">MAX(DI18*(1+J19)-(Dashboard!$C$11)/(1-Dashboard!$C$17)*((1+Dashboard!$C$12)^$CZ19),0)</f>
        <v>1263882.1977737995</v>
      </c>
      <c r="DJ19" s="126">
        <f ca="1">MAX(DJ18*(1+K19)-(Dashboard!$C$11)/(1-Dashboard!$C$17)*((1+Dashboard!$C$12)^$CZ19),0)</f>
        <v>1764056.9557143666</v>
      </c>
      <c r="DK19" s="126">
        <f ca="1">MAX(DK18*(1+L19)-(Dashboard!$C$11)/(1-Dashboard!$C$17)*((1+Dashboard!$C$12)^$CZ19),0)</f>
        <v>2383435.8539828216</v>
      </c>
      <c r="DL19" s="126">
        <f ca="1">MAX(DL18*(1+M19)-(Dashboard!$C$11)/(1-Dashboard!$C$17)*((1+Dashboard!$C$12)^$CZ19),0)</f>
        <v>1032274.9108367455</v>
      </c>
      <c r="DM19" s="126">
        <f ca="1">MAX(DM18*(1+N19)-(Dashboard!$C$11)/(1-Dashboard!$C$17)*((1+Dashboard!$C$12)^$CZ19),0)</f>
        <v>1336000.2957596022</v>
      </c>
      <c r="DN19" s="126">
        <f ca="1">MAX(DN18*(1+O19)-(Dashboard!$C$11)/(1-Dashboard!$C$17)*((1+Dashboard!$C$12)^$CZ19),0)</f>
        <v>7532140.7754708994</v>
      </c>
      <c r="DO19" s="126">
        <f ca="1">MAX(DO18*(1+P19)-(Dashboard!$C$11)/(1-Dashboard!$C$17)*((1+Dashboard!$C$12)^$CZ19),0)</f>
        <v>1397809.5245704246</v>
      </c>
      <c r="DP19" s="126">
        <f ca="1">MAX(DP18*(1+Q19)-(Dashboard!$C$11)/(1-Dashboard!$C$17)*((1+Dashboard!$C$12)^$CZ19),0)</f>
        <v>1235056.0240743849</v>
      </c>
      <c r="DQ19" s="126">
        <f ca="1">MAX(DQ18*(1+R19)-(Dashboard!$C$11)/(1-Dashboard!$C$17)*((1+Dashboard!$C$12)^$CZ19),0)</f>
        <v>1585688.460824281</v>
      </c>
      <c r="DR19" s="126">
        <f ca="1">MAX(DR18*(1+S19)-(Dashboard!$C$11)/(1-Dashboard!$C$17)*((1+Dashboard!$C$12)^$CZ19),0)</f>
        <v>1890137.6909948471</v>
      </c>
      <c r="DS19" s="126">
        <f ca="1">MAX(DS18*(1+T19)-(Dashboard!$C$11)/(1-Dashboard!$C$17)*((1+Dashboard!$C$12)^$CZ19),0)</f>
        <v>743503.32526238309</v>
      </c>
      <c r="DT19" s="126">
        <f ca="1">MAX(DT18*(1+U19)-(Dashboard!$C$11)/(1-Dashboard!$C$17)*((1+Dashboard!$C$12)^$CZ19),0)</f>
        <v>820996.02946050721</v>
      </c>
      <c r="DU19" s="126">
        <f ca="1">MAX(DU18*(1+V19)-(Dashboard!$C$11)/(1-Dashboard!$C$17)*((1+Dashboard!$C$12)^$CZ19),0)</f>
        <v>1705820.3059748169</v>
      </c>
      <c r="DV19" s="126">
        <f ca="1">MAX(DV18*(1+W19)-(Dashboard!$C$11)/(1-Dashboard!$C$17)*((1+Dashboard!$C$12)^$CZ19),0)</f>
        <v>3059562.2983596856</v>
      </c>
      <c r="DW19" s="126">
        <f ca="1">MAX(DW18*(1+X19)-(Dashboard!$C$11)/(1-Dashboard!$C$17)*((1+Dashboard!$C$12)^$CZ19),0)</f>
        <v>1636961.8942130958</v>
      </c>
      <c r="DX19" s="126">
        <f ca="1">MAX(DX18*(1+Y19)-(Dashboard!$C$11)/(1-Dashboard!$C$17)*((1+Dashboard!$C$12)^$CZ19),0)</f>
        <v>928411.65646423143</v>
      </c>
      <c r="DY19" s="126">
        <f ca="1">MAX(DY18*(1+Z19)-(Dashboard!$C$11)/(1-Dashboard!$C$17)*((1+Dashboard!$C$12)^$CZ19),0)</f>
        <v>4359810.8917446323</v>
      </c>
      <c r="DZ19" s="126">
        <f ca="1">MAX(DZ18*(1+AA19)-(Dashboard!$C$11)/(1-Dashboard!$C$17)*((1+Dashboard!$C$12)^$CZ19),0)</f>
        <v>1077938.6977859309</v>
      </c>
      <c r="EA19" s="126">
        <f ca="1">MAX(EA18*(1+AB19)-(Dashboard!$C$11)/(1-Dashboard!$C$17)*((1+Dashboard!$C$12)^$CZ19),0)</f>
        <v>953991.72843565827</v>
      </c>
      <c r="EB19" s="126">
        <f ca="1">MAX(EB18*(1+AC19)-(Dashboard!$C$11)/(1-Dashboard!$C$17)*((1+Dashboard!$C$12)^$CZ19),0)</f>
        <v>2251985.3415460247</v>
      </c>
      <c r="EC19" s="126">
        <f ca="1">MAX(EC18*(1+AD19)-(Dashboard!$C$11)/(1-Dashboard!$C$17)*((1+Dashboard!$C$12)^$CZ19),0)</f>
        <v>2535535.1523151039</v>
      </c>
      <c r="ED19" s="126">
        <f ca="1">MAX(ED18*(1+AE19)-(Dashboard!$C$11)/(1-Dashboard!$C$17)*((1+Dashboard!$C$12)^$CZ19),0)</f>
        <v>2442167.0529669649</v>
      </c>
      <c r="EE19" s="126">
        <f ca="1">MAX(EE18*(1+AF19)-(Dashboard!$C$11)/(1-Dashboard!$C$17)*((1+Dashboard!$C$12)^$CZ19),0)</f>
        <v>2719095.9740705146</v>
      </c>
      <c r="EF19" s="126">
        <f ca="1">MAX(EF18*(1+AG19)-(Dashboard!$C$11)/(1-Dashboard!$C$17)*((1+Dashboard!$C$12)^$CZ19),0)</f>
        <v>697209.24680465378</v>
      </c>
      <c r="EG19" s="126">
        <f ca="1">MAX(EG18*(1+AH19)-(Dashboard!$C$11)/(1-Dashboard!$C$17)*((1+Dashboard!$C$12)^$CZ19),0)</f>
        <v>2359396.6496873228</v>
      </c>
      <c r="EH19" s="126">
        <f ca="1">MAX(EH18*(1+AI19)-(Dashboard!$C$11)/(1-Dashboard!$C$17)*((1+Dashboard!$C$12)^$CZ19),0)</f>
        <v>1489607.4005720266</v>
      </c>
      <c r="EI19" s="126">
        <f ca="1">MAX(EI18*(1+AJ19)-(Dashboard!$C$11)/(1-Dashboard!$C$17)*((1+Dashboard!$C$12)^$CZ19),0)</f>
        <v>409863.55311274459</v>
      </c>
      <c r="EJ19" s="126">
        <f ca="1">MAX(EJ18*(1+AK19)-(Dashboard!$C$11)/(1-Dashboard!$C$17)*((1+Dashboard!$C$12)^$CZ19),0)</f>
        <v>1321125.5649710915</v>
      </c>
      <c r="EK19" s="126">
        <f ca="1">MAX(EK18*(1+AL19)-(Dashboard!$C$11)/(1-Dashboard!$C$17)*((1+Dashboard!$C$12)^$CZ19),0)</f>
        <v>2067532.9418730692</v>
      </c>
      <c r="EL19" s="126">
        <f ca="1">MAX(EL18*(1+AM19)-(Dashboard!$C$11)/(1-Dashboard!$C$17)*((1+Dashboard!$C$12)^$CZ19),0)</f>
        <v>639618.64138444629</v>
      </c>
      <c r="EM19" s="126">
        <f ca="1">MAX(EM18*(1+AN19)-(Dashboard!$C$11)/(1-Dashboard!$C$17)*((1+Dashboard!$C$12)^$CZ19),0)</f>
        <v>1268706.2438155531</v>
      </c>
      <c r="EN19" s="126">
        <f ca="1">MAX(EN18*(1+AO19)-(Dashboard!$C$11)/(1-Dashboard!$C$17)*((1+Dashboard!$C$12)^$CZ19),0)</f>
        <v>1756104.2598791122</v>
      </c>
      <c r="EO19" s="126">
        <f ca="1">MAX(EO18*(1+AP19)-(Dashboard!$C$11)/(1-Dashboard!$C$17)*((1+Dashboard!$C$12)^$CZ19),0)</f>
        <v>252228.55290797548</v>
      </c>
      <c r="EP19" s="126">
        <f ca="1">MAX(EP18*(1+AQ19)-(Dashboard!$C$11)/(1-Dashboard!$C$17)*((1+Dashboard!$C$12)^$CZ19),0)</f>
        <v>1280509.8183865689</v>
      </c>
      <c r="EQ19" s="126">
        <f ca="1">MAX(EQ18*(1+AR19)-(Dashboard!$C$11)/(1-Dashboard!$C$17)*((1+Dashboard!$C$12)^$CZ19),0)</f>
        <v>1050331.912558408</v>
      </c>
      <c r="ER19" s="126">
        <f ca="1">MAX(ER18*(1+AS19)-(Dashboard!$C$11)/(1-Dashboard!$C$17)*((1+Dashboard!$C$12)^$CZ19),0)</f>
        <v>342886.31602494704</v>
      </c>
      <c r="ES19" s="126">
        <f ca="1">MAX(ES18*(1+AT19)-(Dashboard!$C$11)/(1-Dashboard!$C$17)*((1+Dashboard!$C$12)^$CZ19),0)</f>
        <v>3642780.8452326767</v>
      </c>
      <c r="ET19" s="126">
        <f ca="1">MAX(ET18*(1+AU19)-(Dashboard!$C$11)/(1-Dashboard!$C$17)*((1+Dashboard!$C$12)^$CZ19),0)</f>
        <v>931506.40128685767</v>
      </c>
      <c r="EU19" s="126">
        <f ca="1">MAX(EU18*(1+AV19)-(Dashboard!$C$11)/(1-Dashboard!$C$17)*((1+Dashboard!$C$12)^$CZ19),0)</f>
        <v>2056312.5784305271</v>
      </c>
      <c r="EV19" s="126">
        <f ca="1">MAX(EV18*(1+AW19)-(Dashboard!$C$11)/(1-Dashboard!$C$17)*((1+Dashboard!$C$12)^$CZ19),0)</f>
        <v>3759699.3987806421</v>
      </c>
      <c r="EW19" s="126">
        <f ca="1">MAX(EW18*(1+AX19)-(Dashboard!$C$11)/(1-Dashboard!$C$17)*((1+Dashboard!$C$12)^$CZ19),0)</f>
        <v>2501197.3725259188</v>
      </c>
      <c r="EX19" s="126">
        <f ca="1">MAX(EX18*(1+AY19)-(Dashboard!$C$11)/(1-Dashboard!$C$17)*((1+Dashboard!$C$12)^$CZ19),0)</f>
        <v>1305919.666837398</v>
      </c>
      <c r="EY19" s="126">
        <f ca="1">MAX(EY18*(1+AZ19)-(Dashboard!$C$11)/(1-Dashboard!$C$17)*((1+Dashboard!$C$12)^$CZ19),0)</f>
        <v>3642904.0839070282</v>
      </c>
      <c r="EZ19" s="126">
        <f ca="1">MAX(EZ18*(1+BA19)-(Dashboard!$C$11)/(1-Dashboard!$C$17)*((1+Dashboard!$C$12)^$CZ19),0)</f>
        <v>1173361.5082255371</v>
      </c>
      <c r="FA19" s="126">
        <f ca="1">MAX(FA18*(1+BB19)-(Dashboard!$C$11)/(1-Dashboard!$C$17)*((1+Dashboard!$C$12)^$CZ19),0)</f>
        <v>3723487.8091315217</v>
      </c>
      <c r="FB19" s="126">
        <f ca="1">MAX(FB18*(1+BC19)-(Dashboard!$C$11)/(1-Dashboard!$C$17)*((1+Dashboard!$C$12)^$CZ19),0)</f>
        <v>740612.42790544836</v>
      </c>
      <c r="FC19" s="126">
        <f ca="1">MAX(FC18*(1+BD19)-(Dashboard!$C$11)/(1-Dashboard!$C$17)*((1+Dashboard!$C$12)^$CZ19),0)</f>
        <v>2953181.3949911008</v>
      </c>
      <c r="FD19" s="126">
        <f ca="1">MAX(FD18*(1+BE19)-(Dashboard!$C$11)/(1-Dashboard!$C$17)*((1+Dashboard!$C$12)^$CZ19),0)</f>
        <v>3307529.348459864</v>
      </c>
      <c r="FE19" s="126">
        <f ca="1">MAX(FE18*(1+BF19)-(Dashboard!$C$11)/(1-Dashboard!$C$17)*((1+Dashboard!$C$12)^$CZ19),0)</f>
        <v>1948469.28797323</v>
      </c>
      <c r="FF19" s="126">
        <f ca="1">MAX(FF18*(1+BG19)-(Dashboard!$C$11)/(1-Dashboard!$C$17)*((1+Dashboard!$C$12)^$CZ19),0)</f>
        <v>917444.80948563491</v>
      </c>
      <c r="FG19" s="126">
        <f ca="1">MAX(FG18*(1+BH19)-(Dashboard!$C$11)/(1-Dashboard!$C$17)*((1+Dashboard!$C$12)^$CZ19),0)</f>
        <v>816998.20052317914</v>
      </c>
      <c r="FH19" s="126">
        <f ca="1">MAX(FH18*(1+BI19)-(Dashboard!$C$11)/(1-Dashboard!$C$17)*((1+Dashboard!$C$12)^$CZ19),0)</f>
        <v>2585998.1256146054</v>
      </c>
      <c r="FI19" s="126">
        <f ca="1">MAX(FI18*(1+BJ19)-(Dashboard!$C$11)/(1-Dashboard!$C$17)*((1+Dashboard!$C$12)^$CZ19),0)</f>
        <v>2595032.1899760175</v>
      </c>
      <c r="FJ19" s="126">
        <f ca="1">MAX(FJ18*(1+BK19)-(Dashboard!$C$11)/(1-Dashboard!$C$17)*((1+Dashboard!$C$12)^$CZ19),0)</f>
        <v>781165.42651903362</v>
      </c>
      <c r="FK19" s="126">
        <f ca="1">MAX(FK18*(1+BL19)-(Dashboard!$C$11)/(1-Dashboard!$C$17)*((1+Dashboard!$C$12)^$CZ19),0)</f>
        <v>1427042.161513835</v>
      </c>
      <c r="FL19" s="126">
        <f ca="1">MAX(FL18*(1+BM19)-(Dashboard!$C$11)/(1-Dashboard!$C$17)*((1+Dashboard!$C$12)^$CZ19),0)</f>
        <v>1114748.6174607195</v>
      </c>
      <c r="FM19" s="126">
        <f ca="1">MAX(FM18*(1+BN19)-(Dashboard!$C$11)/(1-Dashboard!$C$17)*((1+Dashboard!$C$12)^$CZ19),0)</f>
        <v>2513428.3124239007</v>
      </c>
      <c r="FN19" s="126">
        <f ca="1">MAX(FN18*(1+BO19)-(Dashboard!$C$11)/(1-Dashboard!$C$17)*((1+Dashboard!$C$12)^$CZ19),0)</f>
        <v>302143.85580206435</v>
      </c>
      <c r="FO19" s="126">
        <f ca="1">MAX(FO18*(1+BP19)-(Dashboard!$C$11)/(1-Dashboard!$C$17)*((1+Dashboard!$C$12)^$CZ19),0)</f>
        <v>1369111.9176716711</v>
      </c>
      <c r="FP19" s="126">
        <f ca="1">MAX(FP18*(1+BQ19)-(Dashboard!$C$11)/(1-Dashboard!$C$17)*((1+Dashboard!$C$12)^$CZ19),0)</f>
        <v>1028644.9022812787</v>
      </c>
      <c r="FQ19" s="126">
        <f ca="1">MAX(FQ18*(1+BR19)-(Dashboard!$C$11)/(1-Dashboard!$C$17)*((1+Dashboard!$C$12)^$CZ19),0)</f>
        <v>1408529.6210470011</v>
      </c>
      <c r="FR19" s="126">
        <f ca="1">MAX(FR18*(1+BS19)-(Dashboard!$C$11)/(1-Dashboard!$C$17)*((1+Dashboard!$C$12)^$CZ19),0)</f>
        <v>2662464.0192580502</v>
      </c>
      <c r="FS19" s="126">
        <f ca="1">MAX(FS18*(1+BT19)-(Dashboard!$C$11)/(1-Dashboard!$C$17)*((1+Dashboard!$C$12)^$CZ19),0)</f>
        <v>3883429.930439977</v>
      </c>
      <c r="FT19" s="126">
        <f ca="1">MAX(FT18*(1+BU19)-(Dashboard!$C$11)/(1-Dashboard!$C$17)*((1+Dashboard!$C$12)^$CZ19),0)</f>
        <v>614456.99735098192</v>
      </c>
      <c r="FU19" s="126">
        <f ca="1">MAX(FU18*(1+BV19)-(Dashboard!$C$11)/(1-Dashboard!$C$17)*((1+Dashboard!$C$12)^$CZ19),0)</f>
        <v>1883965.2755637704</v>
      </c>
      <c r="FV19" s="126">
        <f ca="1">MAX(FV18*(1+BW19)-(Dashboard!$C$11)/(1-Dashboard!$C$17)*((1+Dashboard!$C$12)^$CZ19),0)</f>
        <v>1295345.5389497089</v>
      </c>
      <c r="FW19" s="126">
        <f ca="1">MAX(FW18*(1+BX19)-(Dashboard!$C$11)/(1-Dashboard!$C$17)*((1+Dashboard!$C$12)^$CZ19),0)</f>
        <v>1878047.857187639</v>
      </c>
      <c r="FX19" s="126">
        <f ca="1">MAX(FX18*(1+BY19)-(Dashboard!$C$11)/(1-Dashboard!$C$17)*((1+Dashboard!$C$12)^$CZ19),0)</f>
        <v>623607.75843925506</v>
      </c>
      <c r="FY19" s="126">
        <f ca="1">MAX(FY18*(1+BZ19)-(Dashboard!$C$11)/(1-Dashboard!$C$17)*((1+Dashboard!$C$12)^$CZ19),0)</f>
        <v>568973.72504305083</v>
      </c>
      <c r="FZ19" s="126">
        <f ca="1">MAX(FZ18*(1+CA19)-(Dashboard!$C$11)/(1-Dashboard!$C$17)*((1+Dashboard!$C$12)^$CZ19),0)</f>
        <v>2294402.5064771557</v>
      </c>
      <c r="GA19" s="126">
        <f ca="1">MAX(GA18*(1+CB19)-(Dashboard!$C$11)/(1-Dashboard!$C$17)*((1+Dashboard!$C$12)^$CZ19),0)</f>
        <v>2707403.9503274676</v>
      </c>
      <c r="GB19" s="126">
        <f ca="1">MAX(GB18*(1+CC19)-(Dashboard!$C$11)/(1-Dashboard!$C$17)*((1+Dashboard!$C$12)^$CZ19),0)</f>
        <v>1030656.8956953869</v>
      </c>
      <c r="GC19" s="126">
        <f ca="1">MAX(GC18*(1+CD19)-(Dashboard!$C$11)/(1-Dashboard!$C$17)*((1+Dashboard!$C$12)^$CZ19),0)</f>
        <v>3020659.6626820536</v>
      </c>
      <c r="GD19" s="126">
        <f ca="1">MAX(GD18*(1+CE19)-(Dashboard!$C$11)/(1-Dashboard!$C$17)*((1+Dashboard!$C$12)^$CZ19),0)</f>
        <v>3498662.7727292492</v>
      </c>
      <c r="GE19" s="126">
        <f ca="1">MAX(GE18*(1+CF19)-(Dashboard!$C$11)/(1-Dashboard!$C$17)*((1+Dashboard!$C$12)^$CZ19),0)</f>
        <v>1144905.8874804473</v>
      </c>
      <c r="GF19" s="126">
        <f ca="1">MAX(GF18*(1+CG19)-(Dashboard!$C$11)/(1-Dashboard!$C$17)*((1+Dashboard!$C$12)^$CZ19),0)</f>
        <v>3440847.2345985426</v>
      </c>
      <c r="GG19" s="126">
        <f ca="1">MAX(GG18*(1+CH19)-(Dashboard!$C$11)/(1-Dashboard!$C$17)*((1+Dashboard!$C$12)^$CZ19),0)</f>
        <v>494003.29379038303</v>
      </c>
      <c r="GH19" s="126">
        <f ca="1">MAX(GH18*(1+CI19)-(Dashboard!$C$11)/(1-Dashboard!$C$17)*((1+Dashboard!$C$12)^$CZ19),0)</f>
        <v>977819.24109215452</v>
      </c>
      <c r="GI19" s="126">
        <f ca="1">MAX(GI18*(1+CJ19)-(Dashboard!$C$11)/(1-Dashboard!$C$17)*((1+Dashboard!$C$12)^$CZ19),0)</f>
        <v>664508.38727298914</v>
      </c>
      <c r="GJ19" s="126">
        <f ca="1">MAX(GJ18*(1+CK19)-(Dashboard!$C$11)/(1-Dashboard!$C$17)*((1+Dashboard!$C$12)^$CZ19),0)</f>
        <v>1784740.9386351441</v>
      </c>
      <c r="GK19" s="126">
        <f ca="1">MAX(GK18*(1+CL19)-(Dashboard!$C$11)/(1-Dashboard!$C$17)*((1+Dashboard!$C$12)^$CZ19),0)</f>
        <v>3030477.3665050939</v>
      </c>
      <c r="GL19" s="126">
        <f ca="1">MAX(GL18*(1+CM19)-(Dashboard!$C$11)/(1-Dashboard!$C$17)*((1+Dashboard!$C$12)^$CZ19),0)</f>
        <v>2414804.2420637961</v>
      </c>
      <c r="GM19" s="126">
        <f ca="1">MAX(GM18*(1+CN19)-(Dashboard!$C$11)/(1-Dashboard!$C$17)*((1+Dashboard!$C$12)^$CZ19),0)</f>
        <v>864820.08842590288</v>
      </c>
      <c r="GN19" s="126">
        <f ca="1">MAX(GN18*(1+CO19)-(Dashboard!$C$11)/(1-Dashboard!$C$17)*((1+Dashboard!$C$12)^$CZ19),0)</f>
        <v>44072.837155105815</v>
      </c>
      <c r="GO19" s="126">
        <f ca="1">MAX(GO18*(1+CP19)-(Dashboard!$C$11)/(1-Dashboard!$C$17)*((1+Dashboard!$C$12)^$CZ19),0)</f>
        <v>570644.14418246283</v>
      </c>
      <c r="GP19" s="126">
        <f ca="1">MAX(GP18*(1+CQ19)-(Dashboard!$C$11)/(1-Dashboard!$C$17)*((1+Dashboard!$C$12)^$CZ19),0)</f>
        <v>961792.27118024568</v>
      </c>
      <c r="GQ19" s="126">
        <f ca="1">MAX(GQ18*(1+CR19)-(Dashboard!$C$11)/(1-Dashboard!$C$17)*((1+Dashboard!$C$12)^$CZ19),0)</f>
        <v>290094.18847927143</v>
      </c>
      <c r="GR19" s="126">
        <f ca="1">MAX(GR18*(1+CS19)-(Dashboard!$C$11)/(1-Dashboard!$C$17)*((1+Dashboard!$C$12)^$CZ19),0)</f>
        <v>800347.03310588049</v>
      </c>
      <c r="GS19" s="126">
        <f ca="1">MAX(GS18*(1+CT19)-(Dashboard!$C$11)/(1-Dashboard!$C$17)*((1+Dashboard!$C$12)^$CZ19),0)</f>
        <v>2353427.7880868036</v>
      </c>
      <c r="GT19" s="126">
        <f ca="1">MAX(GT18*(1+CU19)-(Dashboard!$C$11)/(1-Dashboard!$C$17)*((1+Dashboard!$C$12)^$CZ19),0)</f>
        <v>3437101.9830715312</v>
      </c>
      <c r="GU19" s="126">
        <f ca="1">MAX(GU18*(1+CV19)-(Dashboard!$C$11)/(1-Dashboard!$C$17)*((1+Dashboard!$C$12)^$CZ19),0)</f>
        <v>630029.32752032613</v>
      </c>
      <c r="GV19" s="126">
        <f ca="1">MAX(GV18*(1+CW19)-(Dashboard!$C$11)/(1-Dashboard!$C$17)*((1+Dashboard!$C$12)^$CZ19),0)</f>
        <v>500768.7945012335</v>
      </c>
      <c r="GW19" s="115">
        <f t="shared" si="4"/>
        <v>68</v>
      </c>
      <c r="GX19" s="130">
        <f t="shared" ca="1" si="2"/>
        <v>100</v>
      </c>
      <c r="HC19" s="130">
        <f t="shared" si="0"/>
        <v>68</v>
      </c>
      <c r="HD19" s="137">
        <f t="shared" ca="1" si="1"/>
        <v>817997.65775751113</v>
      </c>
      <c r="HE19" s="137">
        <f t="shared" ca="1" si="1"/>
        <v>1383460.7211210479</v>
      </c>
      <c r="HF19" s="137">
        <f t="shared" ca="1" si="1"/>
        <v>2435326.3502411726</v>
      </c>
    </row>
    <row r="20" spans="1:214" ht="16">
      <c r="A20" s="145">
        <f t="shared" si="3"/>
        <v>69</v>
      </c>
      <c r="B20" s="119">
        <f ca="1">(Dashboard!$C$7*'Equity and Bond Returns'!N20)+(Dashboard!$C$8*'Equity and Bond Returns'!DL20)</f>
        <v>0.14117378859514992</v>
      </c>
      <c r="C20" s="119">
        <f ca="1">(Dashboard!$C$7*'Equity and Bond Returns'!O20)+(Dashboard!$C$8*'Equity and Bond Returns'!DM20)</f>
        <v>9.3047179298359359E-2</v>
      </c>
      <c r="D20" s="119">
        <f ca="1">(Dashboard!$C$7*'Equity and Bond Returns'!P20)+(Dashboard!$C$8*'Equity and Bond Returns'!DN20)</f>
        <v>0.15667892350952828</v>
      </c>
      <c r="E20" s="119">
        <f ca="1">(Dashboard!$C$7*'Equity and Bond Returns'!Q20)+(Dashboard!$C$8*'Equity and Bond Returns'!DO20)</f>
        <v>0.34906399019450518</v>
      </c>
      <c r="F20" s="119">
        <f ca="1">(Dashboard!$C$7*'Equity and Bond Returns'!R20)+(Dashboard!$C$8*'Equity and Bond Returns'!DP20)</f>
        <v>-0.14502044136270439</v>
      </c>
      <c r="G20" s="119">
        <f ca="1">(Dashboard!$C$7*'Equity and Bond Returns'!S20)+(Dashboard!$C$8*'Equity and Bond Returns'!DQ20)</f>
        <v>8.4498966466813902E-2</v>
      </c>
      <c r="H20" s="119">
        <f ca="1">(Dashboard!$C$7*'Equity and Bond Returns'!T20)+(Dashboard!$C$8*'Equity and Bond Returns'!DR20)</f>
        <v>4.2764358767142012E-2</v>
      </c>
      <c r="I20" s="119">
        <f ca="1">(Dashboard!$C$7*'Equity and Bond Returns'!U20)+(Dashboard!$C$8*'Equity and Bond Returns'!DS20)</f>
        <v>0.28600357220115624</v>
      </c>
      <c r="J20" s="119">
        <f ca="1">(Dashboard!$C$7*'Equity and Bond Returns'!V20)+(Dashboard!$C$8*'Equity and Bond Returns'!DT20)</f>
        <v>3.2590183656343846E-3</v>
      </c>
      <c r="K20" s="119">
        <f ca="1">(Dashboard!$C$7*'Equity and Bond Returns'!W20)+(Dashboard!$C$8*'Equity and Bond Returns'!DU20)</f>
        <v>0.18045884528933923</v>
      </c>
      <c r="L20" s="119">
        <f ca="1">(Dashboard!$C$7*'Equity and Bond Returns'!X20)+(Dashboard!$C$8*'Equity and Bond Returns'!DV20)</f>
        <v>0.13631905429980548</v>
      </c>
      <c r="M20" s="119">
        <f ca="1">(Dashboard!$C$7*'Equity and Bond Returns'!Y20)+(Dashboard!$C$8*'Equity and Bond Returns'!DW20)</f>
        <v>0.14476579646071103</v>
      </c>
      <c r="N20" s="119">
        <f ca="1">(Dashboard!$C$7*'Equity and Bond Returns'!Z20)+(Dashboard!$C$8*'Equity and Bond Returns'!DX20)</f>
        <v>0.24380954259423634</v>
      </c>
      <c r="O20" s="119">
        <f ca="1">(Dashboard!$C$7*'Equity and Bond Returns'!AA20)+(Dashboard!$C$8*'Equity and Bond Returns'!DY20)</f>
        <v>0.18972162963470593</v>
      </c>
      <c r="P20" s="119">
        <f ca="1">(Dashboard!$C$7*'Equity and Bond Returns'!AB20)+(Dashboard!$C$8*'Equity and Bond Returns'!DZ20)</f>
        <v>0.22896136601107686</v>
      </c>
      <c r="Q20" s="119">
        <f ca="1">(Dashboard!$C$7*'Equity and Bond Returns'!AC20)+(Dashboard!$C$8*'Equity and Bond Returns'!EA20)</f>
        <v>6.5351686659084807E-2</v>
      </c>
      <c r="R20" s="119">
        <f ca="1">(Dashboard!$C$7*'Equity and Bond Returns'!AD20)+(Dashboard!$C$8*'Equity and Bond Returns'!EB20)</f>
        <v>6.518357166706279E-2</v>
      </c>
      <c r="S20" s="119">
        <f ca="1">(Dashboard!$C$7*'Equity and Bond Returns'!AE20)+(Dashboard!$C$8*'Equity and Bond Returns'!EC20)</f>
        <v>0.25582752356989696</v>
      </c>
      <c r="T20" s="119">
        <f ca="1">(Dashboard!$C$7*'Equity and Bond Returns'!AF20)+(Dashboard!$C$8*'Equity and Bond Returns'!ED20)</f>
        <v>-0.13987003657453537</v>
      </c>
      <c r="U20" s="119">
        <f ca="1">(Dashboard!$C$7*'Equity and Bond Returns'!AG20)+(Dashboard!$C$8*'Equity and Bond Returns'!EE20)</f>
        <v>9.7115959125259277E-2</v>
      </c>
      <c r="V20" s="119">
        <f ca="1">(Dashboard!$C$7*'Equity and Bond Returns'!AH20)+(Dashboard!$C$8*'Equity and Bond Returns'!EF20)</f>
        <v>9.8049085677596709E-2</v>
      </c>
      <c r="W20" s="119">
        <f ca="1">(Dashboard!$C$7*'Equity and Bond Returns'!AI20)+(Dashboard!$C$8*'Equity and Bond Returns'!EG20)</f>
        <v>0.31101621619515341</v>
      </c>
      <c r="X20" s="119">
        <f ca="1">(Dashboard!$C$7*'Equity and Bond Returns'!AJ20)+(Dashboard!$C$8*'Equity and Bond Returns'!EH20)</f>
        <v>0.23426345981257762</v>
      </c>
      <c r="Y20" s="119">
        <f ca="1">(Dashboard!$C$7*'Equity and Bond Returns'!AK20)+(Dashboard!$C$8*'Equity and Bond Returns'!EI20)</f>
        <v>7.0753515307092063E-2</v>
      </c>
      <c r="Z20" s="119">
        <f ca="1">(Dashboard!$C$7*'Equity and Bond Returns'!AL20)+(Dashboard!$C$8*'Equity and Bond Returns'!EJ20)</f>
        <v>9.4820802165851509E-2</v>
      </c>
      <c r="AA20" s="119">
        <f ca="1">(Dashboard!$C$7*'Equity and Bond Returns'!AM20)+(Dashboard!$C$8*'Equity and Bond Returns'!EK20)</f>
        <v>-0.16128575617016941</v>
      </c>
      <c r="AB20" s="119">
        <f ca="1">(Dashboard!$C$7*'Equity and Bond Returns'!AN20)+(Dashboard!$C$8*'Equity and Bond Returns'!EL20)</f>
        <v>-6.585846978180164E-2</v>
      </c>
      <c r="AC20" s="119">
        <f ca="1">(Dashboard!$C$7*'Equity and Bond Returns'!AO20)+(Dashboard!$C$8*'Equity and Bond Returns'!EM20)</f>
        <v>0.37628085235379316</v>
      </c>
      <c r="AD20" s="119">
        <f ca="1">(Dashboard!$C$7*'Equity and Bond Returns'!AP20)+(Dashboard!$C$8*'Equity and Bond Returns'!EN20)</f>
        <v>2.9215862019013536E-3</v>
      </c>
      <c r="AE20" s="119">
        <f ca="1">(Dashboard!$C$7*'Equity and Bond Returns'!AQ20)+(Dashboard!$C$8*'Equity and Bond Returns'!EO20)</f>
        <v>-7.2322357528193312E-2</v>
      </c>
      <c r="AF20" s="119">
        <f ca="1">(Dashboard!$C$7*'Equity and Bond Returns'!AR20)+(Dashboard!$C$8*'Equity and Bond Returns'!EP20)</f>
        <v>0.11544796119437775</v>
      </c>
      <c r="AG20" s="119">
        <f ca="1">(Dashboard!$C$7*'Equity and Bond Returns'!AS20)+(Dashboard!$C$8*'Equity and Bond Returns'!EQ20)</f>
        <v>-2.8493916649156691E-3</v>
      </c>
      <c r="AH20" s="119">
        <f ca="1">(Dashboard!$C$7*'Equity and Bond Returns'!AT20)+(Dashboard!$C$8*'Equity and Bond Returns'!ER20)</f>
        <v>6.2555888688001632E-2</v>
      </c>
      <c r="AI20" s="119">
        <f ca="1">(Dashboard!$C$7*'Equity and Bond Returns'!AU20)+(Dashboard!$C$8*'Equity and Bond Returns'!ES20)</f>
        <v>0.15171358867716914</v>
      </c>
      <c r="AJ20" s="119">
        <f ca="1">(Dashboard!$C$7*'Equity and Bond Returns'!AV20)+(Dashboard!$C$8*'Equity and Bond Returns'!ET20)</f>
        <v>0.45500323298017048</v>
      </c>
      <c r="AK20" s="119">
        <f ca="1">(Dashboard!$C$7*'Equity and Bond Returns'!AW20)+(Dashboard!$C$8*'Equity and Bond Returns'!EU20)</f>
        <v>0.14589067090839367</v>
      </c>
      <c r="AL20" s="119">
        <f ca="1">(Dashboard!$C$7*'Equity and Bond Returns'!AX20)+(Dashboard!$C$8*'Equity and Bond Returns'!EV20)</f>
        <v>0.17497465208160798</v>
      </c>
      <c r="AM20" s="119">
        <f ca="1">(Dashboard!$C$7*'Equity and Bond Returns'!AY20)+(Dashboard!$C$8*'Equity and Bond Returns'!EW20)</f>
        <v>0.19269649803359665</v>
      </c>
      <c r="AN20" s="119">
        <f ca="1">(Dashboard!$C$7*'Equity and Bond Returns'!AZ20)+(Dashboard!$C$8*'Equity and Bond Returns'!EX20)</f>
        <v>3.270318936189856E-2</v>
      </c>
      <c r="AO20" s="119">
        <f ca="1">(Dashboard!$C$7*'Equity and Bond Returns'!BA20)+(Dashboard!$C$8*'Equity and Bond Returns'!EY20)</f>
        <v>-0.13720258264285135</v>
      </c>
      <c r="AP20" s="119">
        <f ca="1">(Dashboard!$C$7*'Equity and Bond Returns'!BB20)+(Dashboard!$C$8*'Equity and Bond Returns'!EZ20)</f>
        <v>0.16190247376108108</v>
      </c>
      <c r="AQ20" s="119">
        <f ca="1">(Dashboard!$C$7*'Equity and Bond Returns'!BC20)+(Dashboard!$C$8*'Equity and Bond Returns'!FA20)</f>
        <v>5.1389423283423885E-2</v>
      </c>
      <c r="AR20" s="119">
        <f ca="1">(Dashboard!$C$7*'Equity and Bond Returns'!BD20)+(Dashboard!$C$8*'Equity and Bond Returns'!FB20)</f>
        <v>0.1474630993711093</v>
      </c>
      <c r="AS20" s="119">
        <f ca="1">(Dashboard!$C$7*'Equity and Bond Returns'!BE20)+(Dashboard!$C$8*'Equity and Bond Returns'!FC20)</f>
        <v>-0.23367156137444448</v>
      </c>
      <c r="AT20" s="119">
        <f ca="1">(Dashboard!$C$7*'Equity and Bond Returns'!BF20)+(Dashboard!$C$8*'Equity and Bond Returns'!FD20)</f>
        <v>7.9855159770735318E-2</v>
      </c>
      <c r="AU20" s="119">
        <f ca="1">(Dashboard!$C$7*'Equity and Bond Returns'!BG20)+(Dashboard!$C$8*'Equity and Bond Returns'!FE20)</f>
        <v>-5.8073983087096034E-2</v>
      </c>
      <c r="AV20" s="119">
        <f ca="1">(Dashboard!$C$7*'Equity and Bond Returns'!BH20)+(Dashboard!$C$8*'Equity and Bond Returns'!FF20)</f>
        <v>4.5008734937788772E-2</v>
      </c>
      <c r="AW20" s="119">
        <f ca="1">(Dashboard!$C$7*'Equity and Bond Returns'!BI20)+(Dashboard!$C$8*'Equity and Bond Returns'!FG20)</f>
        <v>-6.5973834689179528E-2</v>
      </c>
      <c r="AX20" s="119">
        <f ca="1">(Dashboard!$C$7*'Equity and Bond Returns'!BJ20)+(Dashboard!$C$8*'Equity and Bond Returns'!FH20)</f>
        <v>-0.25265908248969832</v>
      </c>
      <c r="AY20" s="119">
        <f ca="1">(Dashboard!$C$7*'Equity and Bond Returns'!BK20)+(Dashboard!$C$8*'Equity and Bond Returns'!FI20)</f>
        <v>0.19602657583500305</v>
      </c>
      <c r="AZ20" s="119">
        <f ca="1">(Dashboard!$C$7*'Equity and Bond Returns'!BL20)+(Dashboard!$C$8*'Equity and Bond Returns'!FJ20)</f>
        <v>5.4076949816023727E-2</v>
      </c>
      <c r="BA20" s="119">
        <f ca="1">(Dashboard!$C$7*'Equity and Bond Returns'!BM20)+(Dashboard!$C$8*'Equity and Bond Returns'!FK20)</f>
        <v>-2.3196631205114695E-2</v>
      </c>
      <c r="BB20" s="119">
        <f ca="1">(Dashboard!$C$7*'Equity and Bond Returns'!BN20)+(Dashboard!$C$8*'Equity and Bond Returns'!FL20)</f>
        <v>6.2919211847242862E-2</v>
      </c>
      <c r="BC20" s="119">
        <f ca="1">(Dashboard!$C$7*'Equity and Bond Returns'!BO20)+(Dashboard!$C$8*'Equity and Bond Returns'!FM20)</f>
        <v>3.5235164626997412E-2</v>
      </c>
      <c r="BD20" s="119">
        <f ca="1">(Dashboard!$C$7*'Equity and Bond Returns'!BP20)+(Dashboard!$C$8*'Equity and Bond Returns'!FN20)</f>
        <v>0.24559809047711978</v>
      </c>
      <c r="BE20" s="119">
        <f ca="1">(Dashboard!$C$7*'Equity and Bond Returns'!BQ20)+(Dashboard!$C$8*'Equity and Bond Returns'!FO20)</f>
        <v>-9.9894787214098141E-2</v>
      </c>
      <c r="BF20" s="119">
        <f ca="1">(Dashboard!$C$7*'Equity and Bond Returns'!BR20)+(Dashboard!$C$8*'Equity and Bond Returns'!FP20)</f>
        <v>-5.1161190606057866E-3</v>
      </c>
      <c r="BG20" s="119">
        <f ca="1">(Dashboard!$C$7*'Equity and Bond Returns'!BS20)+(Dashboard!$C$8*'Equity and Bond Returns'!FQ20)</f>
        <v>0.14000505758852078</v>
      </c>
      <c r="BH20" s="119">
        <f ca="1">(Dashboard!$C$7*'Equity and Bond Returns'!BT20)+(Dashboard!$C$8*'Equity and Bond Returns'!FR20)</f>
        <v>0.14771011779526491</v>
      </c>
      <c r="BI20" s="119">
        <f ca="1">(Dashboard!$C$7*'Equity and Bond Returns'!BU20)+(Dashboard!$C$8*'Equity and Bond Returns'!FS20)</f>
        <v>0.1229794250538612</v>
      </c>
      <c r="BJ20" s="119">
        <f ca="1">(Dashboard!$C$7*'Equity and Bond Returns'!BV20)+(Dashboard!$C$8*'Equity and Bond Returns'!FT20)</f>
        <v>3.7705868664292416E-2</v>
      </c>
      <c r="BK20" s="119">
        <f ca="1">(Dashboard!$C$7*'Equity and Bond Returns'!BW20)+(Dashboard!$C$8*'Equity and Bond Returns'!FU20)</f>
        <v>0.29108476278372353</v>
      </c>
      <c r="BL20" s="119">
        <f ca="1">(Dashboard!$C$7*'Equity and Bond Returns'!BX20)+(Dashboard!$C$8*'Equity and Bond Returns'!FV20)</f>
        <v>4.9191270038581245E-2</v>
      </c>
      <c r="BM20" s="119">
        <f ca="1">(Dashboard!$C$7*'Equity and Bond Returns'!BY20)+(Dashboard!$C$8*'Equity and Bond Returns'!FW20)</f>
        <v>3.3666817115631388E-2</v>
      </c>
      <c r="BN20" s="119">
        <f ca="1">(Dashboard!$C$7*'Equity and Bond Returns'!BZ20)+(Dashboard!$C$8*'Equity and Bond Returns'!FX20)</f>
        <v>2.0263405614195408E-3</v>
      </c>
      <c r="BO20" s="119">
        <f ca="1">(Dashboard!$C$7*'Equity and Bond Returns'!CA20)+(Dashboard!$C$8*'Equity and Bond Returns'!FY20)</f>
        <v>0.17964384707963638</v>
      </c>
      <c r="BP20" s="119">
        <f ca="1">(Dashboard!$C$7*'Equity and Bond Returns'!CB20)+(Dashboard!$C$8*'Equity and Bond Returns'!FZ20)</f>
        <v>-0.18599472070837891</v>
      </c>
      <c r="BQ20" s="119">
        <f ca="1">(Dashboard!$C$7*'Equity and Bond Returns'!CC20)+(Dashboard!$C$8*'Equity and Bond Returns'!GA20)</f>
        <v>0.3303480498722729</v>
      </c>
      <c r="BR20" s="119">
        <f ca="1">(Dashboard!$C$7*'Equity and Bond Returns'!CD20)+(Dashboard!$C$8*'Equity and Bond Returns'!GB20)</f>
        <v>-1.4946069069412045E-2</v>
      </c>
      <c r="BS20" s="119">
        <f ca="1">(Dashboard!$C$7*'Equity and Bond Returns'!CE20)+(Dashboard!$C$8*'Equity and Bond Returns'!GC20)</f>
        <v>0.19343507253450609</v>
      </c>
      <c r="BT20" s="119">
        <f ca="1">(Dashboard!$C$7*'Equity and Bond Returns'!CF20)+(Dashboard!$C$8*'Equity and Bond Returns'!GD20)</f>
        <v>0.14847363181794945</v>
      </c>
      <c r="BU20" s="119">
        <f ca="1">(Dashboard!$C$7*'Equity and Bond Returns'!CG20)+(Dashboard!$C$8*'Equity and Bond Returns'!GE20)</f>
        <v>0.28038035293798297</v>
      </c>
      <c r="BV20" s="119">
        <f ca="1">(Dashboard!$C$7*'Equity and Bond Returns'!CH20)+(Dashboard!$C$8*'Equity and Bond Returns'!GF20)</f>
        <v>0.34986764923581121</v>
      </c>
      <c r="BW20" s="119">
        <f ca="1">(Dashboard!$C$7*'Equity and Bond Returns'!CI20)+(Dashboard!$C$8*'Equity and Bond Returns'!GG20)</f>
        <v>-1.7650851839692637E-2</v>
      </c>
      <c r="BX20" s="119">
        <f ca="1">(Dashboard!$C$7*'Equity and Bond Returns'!CJ20)+(Dashboard!$C$8*'Equity and Bond Returns'!GH20)</f>
        <v>-0.12182937016992881</v>
      </c>
      <c r="BY20" s="119">
        <f ca="1">(Dashboard!$C$7*'Equity and Bond Returns'!CK20)+(Dashboard!$C$8*'Equity and Bond Returns'!GI20)</f>
        <v>3.1650021323746107E-2</v>
      </c>
      <c r="BZ20" s="119">
        <f ca="1">(Dashboard!$C$7*'Equity and Bond Returns'!CL20)+(Dashboard!$C$8*'Equity and Bond Returns'!GJ20)</f>
        <v>0.22565794691812638</v>
      </c>
      <c r="CA20" s="119">
        <f ca="1">(Dashboard!$C$7*'Equity and Bond Returns'!CM20)+(Dashboard!$C$8*'Equity and Bond Returns'!GK20)</f>
        <v>0.11972066152837618</v>
      </c>
      <c r="CB20" s="119">
        <f ca="1">(Dashboard!$C$7*'Equity and Bond Returns'!CN20)+(Dashboard!$C$8*'Equity and Bond Returns'!GL20)</f>
        <v>-0.14366234154080557</v>
      </c>
      <c r="CC20" s="119">
        <f ca="1">(Dashboard!$C$7*'Equity and Bond Returns'!CO20)+(Dashboard!$C$8*'Equity and Bond Returns'!GM20)</f>
        <v>0.32846746285197198</v>
      </c>
      <c r="CD20" s="119">
        <f ca="1">(Dashboard!$C$7*'Equity and Bond Returns'!CP20)+(Dashboard!$C$8*'Equity and Bond Returns'!GN20)</f>
        <v>-0.14742851147892574</v>
      </c>
      <c r="CE20" s="119">
        <f ca="1">(Dashboard!$C$7*'Equity and Bond Returns'!CQ20)+(Dashboard!$C$8*'Equity and Bond Returns'!GO20)</f>
        <v>9.4416092363954193E-2</v>
      </c>
      <c r="CF20" s="119">
        <f ca="1">(Dashboard!$C$7*'Equity and Bond Returns'!CR20)+(Dashboard!$C$8*'Equity and Bond Returns'!GP20)</f>
        <v>-1.6153959930141591E-3</v>
      </c>
      <c r="CG20" s="119">
        <f ca="1">(Dashboard!$C$7*'Equity and Bond Returns'!CS20)+(Dashboard!$C$8*'Equity and Bond Returns'!GQ20)</f>
        <v>-1.4787867003129E-2</v>
      </c>
      <c r="CH20" s="119">
        <f ca="1">(Dashboard!$C$7*'Equity and Bond Returns'!CT20)+(Dashboard!$C$8*'Equity and Bond Returns'!GR20)</f>
        <v>0.41087466420526325</v>
      </c>
      <c r="CI20" s="119">
        <f ca="1">(Dashboard!$C$7*'Equity and Bond Returns'!CU20)+(Dashboard!$C$8*'Equity and Bond Returns'!GS20)</f>
        <v>0.28991038908934025</v>
      </c>
      <c r="CJ20" s="119">
        <f ca="1">(Dashboard!$C$7*'Equity and Bond Returns'!CV20)+(Dashboard!$C$8*'Equity and Bond Returns'!GT20)</f>
        <v>0.12265135118115665</v>
      </c>
      <c r="CK20" s="119">
        <f ca="1">(Dashboard!$C$7*'Equity and Bond Returns'!CW20)+(Dashboard!$C$8*'Equity and Bond Returns'!GU20)</f>
        <v>7.2982506809230352E-2</v>
      </c>
      <c r="CL20" s="119">
        <f ca="1">(Dashboard!$C$7*'Equity and Bond Returns'!CX20)+(Dashboard!$C$8*'Equity and Bond Returns'!GV20)</f>
        <v>0.22637148833044216</v>
      </c>
      <c r="CM20" s="119">
        <f ca="1">(Dashboard!$C$7*'Equity and Bond Returns'!CY20)+(Dashboard!$C$8*'Equity and Bond Returns'!GW20)</f>
        <v>-9.2539473288042337E-2</v>
      </c>
      <c r="CN20" s="119">
        <f ca="1">(Dashboard!$C$7*'Equity and Bond Returns'!CZ20)+(Dashboard!$C$8*'Equity and Bond Returns'!GX20)</f>
        <v>-0.33494464743359237</v>
      </c>
      <c r="CO20" s="119">
        <f ca="1">(Dashboard!$C$7*'Equity and Bond Returns'!DA20)+(Dashboard!$C$8*'Equity and Bond Returns'!GY20)</f>
        <v>0.11246970774031029</v>
      </c>
      <c r="CP20" s="119">
        <f ca="1">(Dashboard!$C$7*'Equity and Bond Returns'!DB20)+(Dashboard!$C$8*'Equity and Bond Returns'!GZ20)</f>
        <v>0.12074215288660411</v>
      </c>
      <c r="CQ20" s="119">
        <f ca="1">(Dashboard!$C$7*'Equity and Bond Returns'!DC20)+(Dashboard!$C$8*'Equity and Bond Returns'!HA20)</f>
        <v>-3.4917308065051285E-2</v>
      </c>
      <c r="CR20" s="119">
        <f ca="1">(Dashboard!$C$7*'Equity and Bond Returns'!DD20)+(Dashboard!$C$8*'Equity and Bond Returns'!HB20)</f>
        <v>0.16896295156515376</v>
      </c>
      <c r="CS20" s="119">
        <f ca="1">(Dashboard!$C$7*'Equity and Bond Returns'!DE20)+(Dashboard!$C$8*'Equity and Bond Returns'!HC20)</f>
        <v>-5.9774789478220632E-2</v>
      </c>
      <c r="CT20" s="119">
        <f ca="1">(Dashboard!$C$7*'Equity and Bond Returns'!DF20)+(Dashboard!$C$8*'Equity and Bond Returns'!HD20)</f>
        <v>-7.0864188960266528E-2</v>
      </c>
      <c r="CU20" s="119">
        <f ca="1">(Dashboard!$C$7*'Equity and Bond Returns'!DG20)+(Dashboard!$C$8*'Equity and Bond Returns'!HE20)</f>
        <v>0.28173618583522697</v>
      </c>
      <c r="CV20" s="119">
        <f ca="1">(Dashboard!$C$7*'Equity and Bond Returns'!DH20)+(Dashboard!$C$8*'Equity and Bond Returns'!HF20)</f>
        <v>0.20429672022616258</v>
      </c>
      <c r="CW20" s="119">
        <f ca="1">(Dashboard!$C$7*'Equity and Bond Returns'!DI20)+(Dashboard!$C$8*'Equity and Bond Returns'!HG20)</f>
        <v>0.12858226515103327</v>
      </c>
      <c r="CY20" s="147">
        <f t="shared" si="5"/>
        <v>69</v>
      </c>
      <c r="CZ20" s="147">
        <v>19</v>
      </c>
      <c r="DA20" s="126">
        <f ca="1">MAX(DA19*(1+B20)-(Dashboard!$C$11)/(1-Dashboard!$C$17)*((1+Dashboard!$C$12)^$CZ20),0)</f>
        <v>3892336.4450804112</v>
      </c>
      <c r="DB20" s="126">
        <f ca="1">MAX(DB19*(1+C20)-(Dashboard!$C$11)/(1-Dashboard!$C$17)*((1+Dashboard!$C$12)^$CZ20),0)</f>
        <v>0</v>
      </c>
      <c r="DC20" s="126">
        <f ca="1">MAX(DC19*(1+D20)-(Dashboard!$C$11)/(1-Dashboard!$C$17)*((1+Dashboard!$C$12)^$CZ20),0)</f>
        <v>2143609.2913559685</v>
      </c>
      <c r="DD20" s="126">
        <f ca="1">MAX(DD19*(1+E20)-(Dashboard!$C$11)/(1-Dashboard!$C$17)*((1+Dashboard!$C$12)^$CZ20),0)</f>
        <v>462212.13151985442</v>
      </c>
      <c r="DE20" s="126">
        <f ca="1">MAX(DE19*(1+F20)-(Dashboard!$C$11)/(1-Dashboard!$C$17)*((1+Dashboard!$C$12)^$CZ20),0)</f>
        <v>1612537.4800987679</v>
      </c>
      <c r="DF20" s="126">
        <f ca="1">MAX(DF19*(1+G20)-(Dashboard!$C$11)/(1-Dashboard!$C$17)*((1+Dashboard!$C$12)^$CZ20),0)</f>
        <v>2353072.874744744</v>
      </c>
      <c r="DG20" s="126">
        <f ca="1">MAX(DG19*(1+H20)-(Dashboard!$C$11)/(1-Dashboard!$C$17)*((1+Dashboard!$C$12)^$CZ20),0)</f>
        <v>236363.95522727209</v>
      </c>
      <c r="DH20" s="126">
        <f ca="1">MAX(DH19*(1+I20)-(Dashboard!$C$11)/(1-Dashboard!$C$17)*((1+Dashboard!$C$12)^$CZ20),0)</f>
        <v>3159861.9691192689</v>
      </c>
      <c r="DI20" s="126">
        <f ca="1">MAX(DI19*(1+J20)-(Dashboard!$C$11)/(1-Dashboard!$C$17)*((1+Dashboard!$C$12)^$CZ20),0)</f>
        <v>1231835.1507236275</v>
      </c>
      <c r="DJ20" s="126">
        <f ca="1">MAX(DJ19*(1+K20)-(Dashboard!$C$11)/(1-Dashboard!$C$17)*((1+Dashboard!$C$12)^$CZ20),0)</f>
        <v>2046230.574622493</v>
      </c>
      <c r="DK20" s="126">
        <f ca="1">MAX(DK19*(1+L20)-(Dashboard!$C$11)/(1-Dashboard!$C$17)*((1+Dashboard!$C$12)^$CZ20),0)</f>
        <v>2672177.5132372938</v>
      </c>
      <c r="DL20" s="126">
        <f ca="1">MAX(DL19*(1+M20)-(Dashboard!$C$11)/(1-Dashboard!$C$17)*((1+Dashboard!$C$12)^$CZ20),0)</f>
        <v>1145546.9481257212</v>
      </c>
      <c r="DM20" s="126">
        <f ca="1">MAX(DM19*(1+N20)-(Dashboard!$C$11)/(1-Dashboard!$C$17)*((1+Dashboard!$C$12)^$CZ20),0)</f>
        <v>1625563.8544298001</v>
      </c>
      <c r="DN20" s="126">
        <f ca="1">MAX(DN19*(1+O20)-(Dashboard!$C$11)/(1-Dashboard!$C$17)*((1+Dashboard!$C$12)^$CZ20),0)</f>
        <v>8924984.7356865406</v>
      </c>
      <c r="DO20" s="126">
        <f ca="1">MAX(DO19*(1+P20)-(Dashboard!$C$11)/(1-Dashboard!$C$17)*((1+Dashboard!$C$12)^$CZ20),0)</f>
        <v>1681687.8403946478</v>
      </c>
      <c r="DP20" s="126">
        <f ca="1">MAX(DP19*(1+Q20)-(Dashboard!$C$11)/(1-Dashboard!$C$17)*((1+Dashboard!$C$12)^$CZ20),0)</f>
        <v>1279602.9560213941</v>
      </c>
      <c r="DQ20" s="126">
        <f ca="1">MAX(DQ19*(1+R20)-(Dashboard!$C$11)/(1-Dashboard!$C$17)*((1+Dashboard!$C$12)^$CZ20),0)</f>
        <v>1652883.2359073397</v>
      </c>
      <c r="DR20" s="126">
        <f ca="1">MAX(DR19*(1+S20)-(Dashboard!$C$11)/(1-Dashboard!$C$17)*((1+Dashboard!$C$12)^$CZ20),0)</f>
        <v>2337520.8733434672</v>
      </c>
      <c r="DS20" s="126">
        <f ca="1">MAX(DS19*(1+T20)-(Dashboard!$C$11)/(1-Dashboard!$C$17)*((1+Dashboard!$C$12)^$CZ20),0)</f>
        <v>603343.42561992968</v>
      </c>
      <c r="DT20" s="126">
        <f ca="1">MAX(DT19*(1+U20)-(Dashboard!$C$11)/(1-Dashboard!$C$17)*((1+Dashboard!$C$12)^$CZ20),0)</f>
        <v>864561.7839548788</v>
      </c>
      <c r="DU20" s="126">
        <f ca="1">MAX(DU19*(1+V20)-(Dashboard!$C$11)/(1-Dashboard!$C$17)*((1+Dashboard!$C$12)^$CZ20),0)</f>
        <v>1836908.3649612106</v>
      </c>
      <c r="DV20" s="126">
        <f ca="1">MAX(DV19*(1+W20)-(Dashboard!$C$11)/(1-Dashboard!$C$17)*((1+Dashboard!$C$12)^$CZ20),0)</f>
        <v>3974969.7252641465</v>
      </c>
      <c r="DW20" s="126">
        <f ca="1">MAX(DW19*(1+X20)-(Dashboard!$C$11)/(1-Dashboard!$C$17)*((1+Dashboard!$C$12)^$CZ20),0)</f>
        <v>1984276.1887880911</v>
      </c>
      <c r="DX20" s="126">
        <f ca="1">MAX(DX19*(1+Y20)-(Dashboard!$C$11)/(1-Dashboard!$C$17)*((1+Dashboard!$C$12)^$CZ20),0)</f>
        <v>957933.98246644076</v>
      </c>
      <c r="DY20" s="126">
        <f ca="1">MAX(DY19*(1+Z20)-(Dashboard!$C$11)/(1-Dashboard!$C$17)*((1+Dashboard!$C$12)^$CZ20),0)</f>
        <v>4737045.5954465596</v>
      </c>
      <c r="DZ20" s="126">
        <f ca="1">MAX(DZ19*(1+AA20)-(Dashboard!$C$11)/(1-Dashboard!$C$17)*((1+Dashboard!$C$12)^$CZ20),0)</f>
        <v>867916.47746372421</v>
      </c>
      <c r="EA20" s="126">
        <f ca="1">MAX(EA19*(1+AB20)-(Dashboard!$C$11)/(1-Dashboard!$C$17)*((1+Dashboard!$C$12)^$CZ20),0)</f>
        <v>854997.23067167448</v>
      </c>
      <c r="EB20" s="126">
        <f ca="1">MAX(EB19*(1+AC20)-(Dashboard!$C$11)/(1-Dashboard!$C$17)*((1+Dashboard!$C$12)^$CZ20),0)</f>
        <v>3063198.2430064962</v>
      </c>
      <c r="EC20" s="126">
        <f ca="1">MAX(EC19*(1+AD20)-(Dashboard!$C$11)/(1-Dashboard!$C$17)*((1+Dashboard!$C$12)^$CZ20),0)</f>
        <v>2506776.8744858289</v>
      </c>
      <c r="ED20" s="126">
        <f ca="1">MAX(ED19*(1+AE20)-(Dashboard!$C$11)/(1-Dashboard!$C$17)*((1+Dashboard!$C$12)^$CZ20),0)</f>
        <v>2229377.7118739989</v>
      </c>
      <c r="EE20" s="126">
        <f ca="1">MAX(EE19*(1+AF20)-(Dashboard!$C$11)/(1-Dashboard!$C$17)*((1+Dashboard!$C$12)^$CZ20),0)</f>
        <v>2996843.998224081</v>
      </c>
      <c r="EF20" s="126">
        <f ca="1">MAX(EF19*(1+AG20)-(Dashboard!$C$11)/(1-Dashboard!$C$17)*((1+Dashboard!$C$12)^$CZ20),0)</f>
        <v>659056.56224339118</v>
      </c>
      <c r="EG20" s="126">
        <f ca="1">MAX(EG19*(1+AH20)-(Dashboard!$C$11)/(1-Dashboard!$C$17)*((1+Dashboard!$C$12)^$CZ20),0)</f>
        <v>2470824.7415312915</v>
      </c>
      <c r="EH20" s="126">
        <f ca="1">MAX(EH19*(1+AI20)-(Dashboard!$C$11)/(1-Dashboard!$C$17)*((1+Dashboard!$C$12)^$CZ20),0)</f>
        <v>1679435.022688163</v>
      </c>
      <c r="EI20" s="126">
        <f ca="1">MAX(EI19*(1+AJ20)-(Dashboard!$C$11)/(1-Dashboard!$C$17)*((1+Dashboard!$C$12)^$CZ20),0)</f>
        <v>560186.73251506803</v>
      </c>
      <c r="EJ20" s="126">
        <f ca="1">MAX(EJ19*(1+AK20)-(Dashboard!$C$11)/(1-Dashboard!$C$17)*((1+Dashboard!$C$12)^$CZ20),0)</f>
        <v>1477699.3976542393</v>
      </c>
      <c r="EK20" s="126">
        <f ca="1">MAX(EK19*(1+AL20)-(Dashboard!$C$11)/(1-Dashboard!$C$17)*((1+Dashboard!$C$12)^$CZ20),0)</f>
        <v>2393132.7366998577</v>
      </c>
      <c r="EL20" s="126">
        <f ca="1">MAX(EL19*(1+AM20)-(Dashboard!$C$11)/(1-Dashboard!$C$17)*((1+Dashboard!$C$12)^$CZ20),0)</f>
        <v>726704.85131152067</v>
      </c>
      <c r="EM20" s="126">
        <f ca="1">MAX(EM19*(1+AN20)-(Dashboard!$C$11)/(1-Dashboard!$C$17)*((1+Dashboard!$C$12)^$CZ20),0)</f>
        <v>1274030.922006961</v>
      </c>
      <c r="EN20" s="126">
        <f ca="1">MAX(EN19*(1+AO20)-(Dashboard!$C$11)/(1-Dashboard!$C$17)*((1+Dashboard!$C$12)^$CZ20),0)</f>
        <v>1478996.1576888699</v>
      </c>
      <c r="EO20" s="126">
        <f ca="1">MAX(EO19*(1+AP20)-(Dashboard!$C$11)/(1-Dashboard!$C$17)*((1+Dashboard!$C$12)^$CZ20),0)</f>
        <v>256898.91723223918</v>
      </c>
      <c r="EP20" s="126">
        <f ca="1">MAX(EP19*(1+AQ20)-(Dashboard!$C$11)/(1-Dashboard!$C$17)*((1+Dashboard!$C$12)^$CZ20),0)</f>
        <v>1310148.4171175011</v>
      </c>
      <c r="EQ20" s="126">
        <f ca="1">MAX(EQ19*(1+AR20)-(Dashboard!$C$11)/(1-Dashboard!$C$17)*((1+Dashboard!$C$12)^$CZ20),0)</f>
        <v>1169051.0494079406</v>
      </c>
      <c r="ER20" s="126">
        <f ca="1">MAX(ER19*(1+AS20)-(Dashboard!$C$11)/(1-Dashboard!$C$17)*((1+Dashboard!$C$12)^$CZ20),0)</f>
        <v>226597.47284075126</v>
      </c>
      <c r="ES20" s="126">
        <f ca="1">MAX(ES19*(1+AT20)-(Dashboard!$C$11)/(1-Dashboard!$C$17)*((1+Dashboard!$C$12)^$CZ20),0)</f>
        <v>3897509.6292937915</v>
      </c>
      <c r="ET20" s="126">
        <f ca="1">MAX(ET19*(1+AU20)-(Dashboard!$C$11)/(1-Dashboard!$C$17)*((1+Dashboard!$C$12)^$CZ20),0)</f>
        <v>841244.05194828776</v>
      </c>
      <c r="EU20" s="126">
        <f ca="1">MAX(EU19*(1+AV20)-(Dashboard!$C$11)/(1-Dashboard!$C$17)*((1+Dashboard!$C$12)^$CZ20),0)</f>
        <v>2112698.5438776328</v>
      </c>
      <c r="EV20" s="126">
        <f ca="1">MAX(EV19*(1+AW20)-(Dashboard!$C$11)/(1-Dashboard!$C$17)*((1+Dashboard!$C$12)^$CZ20),0)</f>
        <v>3475491.5498197656</v>
      </c>
      <c r="EW20" s="126">
        <f ca="1">MAX(EW19*(1+AX20)-(Dashboard!$C$11)/(1-Dashboard!$C$17)*((1+Dashboard!$C$12)^$CZ20),0)</f>
        <v>1833081.0769131605</v>
      </c>
      <c r="EX20" s="126">
        <f ca="1">MAX(EX19*(1+AY20)-(Dashboard!$C$11)/(1-Dashboard!$C$17)*((1+Dashboard!$C$12)^$CZ20),0)</f>
        <v>1525748.5650984058</v>
      </c>
      <c r="EY20" s="126">
        <f ca="1">MAX(EY19*(1+AZ20)-(Dashboard!$C$11)/(1-Dashboard!$C$17)*((1+Dashboard!$C$12)^$CZ20),0)</f>
        <v>3803735.1628923411</v>
      </c>
      <c r="EZ20" s="126">
        <f ca="1">MAX(EZ19*(1+BA20)-(Dashboard!$C$11)/(1-Dashboard!$C$17)*((1+Dashboard!$C$12)^$CZ20),0)</f>
        <v>1109977.4117042369</v>
      </c>
      <c r="FA20" s="126">
        <f ca="1">MAX(FA19*(1+BB20)-(Dashboard!$C$11)/(1-Dashboard!$C$17)*((1+Dashboard!$C$12)^$CZ20),0)</f>
        <v>3921600.6650601788</v>
      </c>
      <c r="FB20" s="126">
        <f ca="1">MAX(FB19*(1+BC20)-(Dashboard!$C$11)/(1-Dashboard!$C$17)*((1+Dashboard!$C$12)^$CZ20),0)</f>
        <v>730541.96638278197</v>
      </c>
      <c r="FC20" s="126">
        <f ca="1">MAX(FC19*(1+BD20)-(Dashboard!$C$11)/(1-Dashboard!$C$17)*((1+Dashboard!$C$12)^$CZ20),0)</f>
        <v>3642311.0440887571</v>
      </c>
      <c r="FD20" s="126">
        <f ca="1">MAX(FD19*(1+BE20)-(Dashboard!$C$11)/(1-Dashboard!$C$17)*((1+Dashboard!$C$12)^$CZ20),0)</f>
        <v>2940958.345646366</v>
      </c>
      <c r="FE20" s="126">
        <f ca="1">MAX(FE19*(1+BF20)-(Dashboard!$C$11)/(1-Dashboard!$C$17)*((1+Dashboard!$C$12)^$CZ20),0)</f>
        <v>1902334.62476531</v>
      </c>
      <c r="FF20" s="126">
        <f ca="1">MAX(FF19*(1+BG20)-(Dashboard!$C$11)/(1-Dashboard!$C$17)*((1+Dashboard!$C$12)^$CZ20),0)</f>
        <v>1009725.6605272455</v>
      </c>
      <c r="FG20" s="126">
        <f ca="1">MAX(FG19*(1+BH20)-(Dashboard!$C$11)/(1-Dashboard!$C$17)*((1+Dashboard!$C$12)^$CZ20),0)</f>
        <v>901511.03861626214</v>
      </c>
      <c r="FH20" s="126">
        <f ca="1">MAX(FH19*(1+BI20)-(Dashboard!$C$11)/(1-Dashboard!$C$17)*((1+Dashboard!$C$12)^$CZ20),0)</f>
        <v>2867856.6259483374</v>
      </c>
      <c r="FI20" s="126">
        <f ca="1">MAX(FI19*(1+BJ20)-(Dashboard!$C$11)/(1-Dashboard!$C$17)*((1+Dashboard!$C$12)^$CZ20),0)</f>
        <v>2656714.070566149</v>
      </c>
      <c r="FJ20" s="126">
        <f ca="1">MAX(FJ19*(1+BK20)-(Dashboard!$C$11)/(1-Dashboard!$C$17)*((1+Dashboard!$C$12)^$CZ20),0)</f>
        <v>972384.71704745747</v>
      </c>
      <c r="FK20" s="126">
        <f ca="1">MAX(FK19*(1+BL20)-(Dashboard!$C$11)/(1-Dashboard!$C$17)*((1+Dashboard!$C$12)^$CZ20),0)</f>
        <v>1461074.1154925874</v>
      </c>
      <c r="FL20" s="126">
        <f ca="1">MAX(FL19*(1+BM20)-(Dashboard!$C$11)/(1-Dashboard!$C$17)*((1+Dashboard!$C$12)^$CZ20),0)</f>
        <v>1116112.5929499574</v>
      </c>
      <c r="FM20" s="126">
        <f ca="1">MAX(FM19*(1+BN20)-(Dashboard!$C$11)/(1-Dashboard!$C$17)*((1+Dashboard!$C$12)^$CZ20),0)</f>
        <v>2482355.3118168707</v>
      </c>
      <c r="FN20" s="126">
        <f ca="1">MAX(FN19*(1+BO20)-(Dashboard!$C$11)/(1-Dashboard!$C$17)*((1+Dashboard!$C$12)^$CZ20),0)</f>
        <v>320256.07808510697</v>
      </c>
      <c r="FO20" s="126">
        <f ca="1">MAX(FO19*(1+BP20)-(Dashboard!$C$11)/(1-Dashboard!$C$17)*((1+Dashboard!$C$12)^$CZ20),0)</f>
        <v>1078298.2665811002</v>
      </c>
      <c r="FP20" s="126">
        <f ca="1">MAX(FP19*(1+BQ20)-(Dashboard!$C$11)/(1-Dashboard!$C$17)*((1+Dashboard!$C$12)^$CZ20),0)</f>
        <v>1332289.6774162387</v>
      </c>
      <c r="FQ20" s="126">
        <f ca="1">MAX(FQ19*(1+BR20)-(Dashboard!$C$11)/(1-Dashboard!$C$17)*((1+Dashboard!$C$12)^$CZ20),0)</f>
        <v>1351311.5776998044</v>
      </c>
      <c r="FR20" s="126">
        <f ca="1">MAX(FR19*(1+BS20)-(Dashboard!$C$11)/(1-Dashboard!$C$17)*((1+Dashboard!$C$12)^$CZ20),0)</f>
        <v>3141311.8775990284</v>
      </c>
      <c r="FS20" s="126">
        <f ca="1">MAX(FS19*(1+BT20)-(Dashboard!$C$11)/(1-Dashboard!$C$17)*((1+Dashboard!$C$12)^$CZ20),0)</f>
        <v>4423850.8137782123</v>
      </c>
      <c r="FT20" s="126">
        <f ca="1">MAX(FT19*(1+BU20)-(Dashboard!$C$11)/(1-Dashboard!$C$17)*((1+Dashboard!$C$12)^$CZ20),0)</f>
        <v>750572.6047887482</v>
      </c>
      <c r="FU20" s="126">
        <f ca="1">MAX(FU19*(1+BV20)-(Dashboard!$C$11)/(1-Dashboard!$C$17)*((1+Dashboard!$C$12)^$CZ20),0)</f>
        <v>2506937.7154224492</v>
      </c>
      <c r="FV20" s="126">
        <f ca="1">MAX(FV19*(1+BW20)-(Dashboard!$C$11)/(1-Dashboard!$C$17)*((1+Dashboard!$C$12)^$CZ20),0)</f>
        <v>1236315.5244157857</v>
      </c>
      <c r="FW20" s="126">
        <f ca="1">MAX(FW19*(1+BX20)-(Dashboard!$C$11)/(1-Dashboard!$C$17)*((1+Dashboard!$C$12)^$CZ20),0)</f>
        <v>1613080.4072527695</v>
      </c>
      <c r="FX20" s="126">
        <f ca="1">MAX(FX19*(1+BY20)-(Dashboard!$C$11)/(1-Dashboard!$C$17)*((1+Dashboard!$C$12)^$CZ20),0)</f>
        <v>607178.89494679577</v>
      </c>
      <c r="FY20" s="126">
        <f ca="1">MAX(FY19*(1+BZ20)-(Dashboard!$C$11)/(1-Dashboard!$C$17)*((1+Dashboard!$C$12)^$CZ20),0)</f>
        <v>661201.10534190899</v>
      </c>
      <c r="FZ20" s="126">
        <f ca="1">MAX(FZ19*(1+CA20)-(Dashboard!$C$11)/(1-Dashboard!$C$17)*((1+Dashboard!$C$12)^$CZ20),0)</f>
        <v>2532923.8300202503</v>
      </c>
      <c r="GA20" s="126">
        <f ca="1">MAX(GA19*(1+CB20)-(Dashboard!$C$11)/(1-Dashboard!$C$17)*((1+Dashboard!$C$12)^$CZ20),0)</f>
        <v>2282285.8969818819</v>
      </c>
      <c r="GB20" s="126">
        <f ca="1">MAX(GB19*(1+CC20)-(Dashboard!$C$11)/(1-Dashboard!$C$17)*((1+Dashboard!$C$12)^$CZ20),0)</f>
        <v>1333028.0889506249</v>
      </c>
      <c r="GC20" s="126">
        <f ca="1">MAX(GC19*(1+CD20)-(Dashboard!$C$11)/(1-Dashboard!$C$17)*((1+Dashboard!$C$12)^$CZ20),0)</f>
        <v>2539162.2425836893</v>
      </c>
      <c r="GD20" s="126">
        <f ca="1">MAX(GD19*(1+CE20)-(Dashboard!$C$11)/(1-Dashboard!$C$17)*((1+Dashboard!$C$12)^$CZ20),0)</f>
        <v>3792826.7778848666</v>
      </c>
      <c r="GE20" s="126">
        <f ca="1">MAX(GE19*(1+CF20)-(Dashboard!$C$11)/(1-Dashboard!$C$17)*((1+Dashboard!$C$12)^$CZ20),0)</f>
        <v>1106890.3487527177</v>
      </c>
      <c r="GF20" s="126">
        <f ca="1">MAX(GF19*(1+CG20)-(Dashboard!$C$11)/(1-Dashboard!$C$17)*((1+Dashboard!$C$12)^$CZ20),0)</f>
        <v>3353798.3809705004</v>
      </c>
      <c r="GG20" s="126">
        <f ca="1">MAX(GG19*(1+CH20)-(Dashboard!$C$11)/(1-Dashboard!$C$17)*((1+Dashboard!$C$12)^$CZ20),0)</f>
        <v>660810.66889808537</v>
      </c>
      <c r="GH20" s="126">
        <f ca="1">MAX(GH19*(1+CI20)-(Dashboard!$C$11)/(1-Dashboard!$C$17)*((1+Dashboard!$C$12)^$CZ20),0)</f>
        <v>1225133.1353915092</v>
      </c>
      <c r="GI20" s="126">
        <f ca="1">MAX(GI19*(1+CJ20)-(Dashboard!$C$11)/(1-Dashboard!$C$17)*((1+Dashboard!$C$12)^$CZ20),0)</f>
        <v>709845.17649851739</v>
      </c>
      <c r="GJ20" s="126">
        <f ca="1">MAX(GJ19*(1+CK20)-(Dashboard!$C$11)/(1-Dashboard!$C$17)*((1+Dashboard!$C$12)^$CZ20),0)</f>
        <v>1878829.7439970803</v>
      </c>
      <c r="GK20" s="126">
        <f ca="1">MAX(GK19*(1+CL20)-(Dashboard!$C$11)/(1-Dashboard!$C$17)*((1+Dashboard!$C$12)^$CZ20),0)</f>
        <v>3680324.9759678557</v>
      </c>
      <c r="GL20" s="126">
        <f ca="1">MAX(GL19*(1+CM20)-(Dashboard!$C$11)/(1-Dashboard!$C$17)*((1+Dashboard!$C$12)^$CZ20),0)</f>
        <v>2155173.4670647671</v>
      </c>
      <c r="GM20" s="126">
        <f ca="1">MAX(GM19*(1+CN20)-(Dashboard!$C$11)/(1-Dashboard!$C$17)*((1+Dashboard!$C$12)^$CZ20),0)</f>
        <v>538987.16646988539</v>
      </c>
      <c r="GN20" s="126">
        <f ca="1">MAX(GN19*(1+CO20)-(Dashboard!$C$11)/(1-Dashboard!$C$17)*((1+Dashboard!$C$12)^$CZ20),0)</f>
        <v>12863.633924511661</v>
      </c>
      <c r="GO20" s="126">
        <f ca="1">MAX(GO19*(1+CP20)-(Dashboard!$C$11)/(1-Dashboard!$C$17)*((1+Dashboard!$C$12)^$CZ20),0)</f>
        <v>603378.88433847192</v>
      </c>
      <c r="GP20" s="126">
        <f ca="1">MAX(GP19*(1+CQ20)-(Dashboard!$C$11)/(1-Dashboard!$C$17)*((1+Dashboard!$C$12)^$CZ20),0)</f>
        <v>892043.01180814439</v>
      </c>
      <c r="GQ20" s="126">
        <f ca="1">MAX(GQ19*(1+CR20)-(Dashboard!$C$11)/(1-Dashboard!$C$17)*((1+Dashboard!$C$12)^$CZ20),0)</f>
        <v>302943.29645191203</v>
      </c>
      <c r="GR20" s="126">
        <f ca="1">MAX(GR19*(1+CS20)-(Dashboard!$C$11)/(1-Dashboard!$C$17)*((1+Dashboard!$C$12)^$CZ20),0)</f>
        <v>716340.39534774271</v>
      </c>
      <c r="GS20" s="126">
        <f ca="1">MAX(GS19*(1+CT20)-(Dashboard!$C$11)/(1-Dashboard!$C$17)*((1+Dashboard!$C$12)^$CZ20),0)</f>
        <v>2150487.9742627633</v>
      </c>
      <c r="GT20" s="126">
        <f ca="1">MAX(GT19*(1+CU20)-(Dashboard!$C$11)/(1-Dashboard!$C$17)*((1+Dashboard!$C$12)^$CZ20),0)</f>
        <v>4369291.9237640845</v>
      </c>
      <c r="GU20" s="126">
        <f ca="1">MAX(GU19*(1+CV20)-(Dashboard!$C$11)/(1-Dashboard!$C$17)*((1+Dashboard!$C$12)^$CZ20),0)</f>
        <v>722576.19043430826</v>
      </c>
      <c r="GV20" s="126">
        <f ca="1">MAX(GV19*(1+CW20)-(Dashboard!$C$11)/(1-Dashboard!$C$17)*((1+Dashboard!$C$12)^$CZ20),0)</f>
        <v>528992.71807043918</v>
      </c>
      <c r="GW20" s="115">
        <f t="shared" si="4"/>
        <v>69</v>
      </c>
      <c r="GX20" s="130">
        <f t="shared" ca="1" si="2"/>
        <v>99</v>
      </c>
      <c r="HC20" s="130">
        <f t="shared" si="0"/>
        <v>69</v>
      </c>
      <c r="HD20" s="137">
        <f t="shared" ca="1" si="1"/>
        <v>844682.34662913438</v>
      </c>
      <c r="HE20" s="137">
        <f t="shared" ca="1" si="1"/>
        <v>1478347.7776715546</v>
      </c>
      <c r="HF20" s="137">
        <f t="shared" ca="1" si="1"/>
        <v>2500671.4838185892</v>
      </c>
    </row>
    <row r="21" spans="1:214" ht="16">
      <c r="A21" s="145">
        <f t="shared" si="3"/>
        <v>70</v>
      </c>
      <c r="B21" s="119">
        <f ca="1">(Dashboard!$C$7*'Equity and Bond Returns'!N21)+(Dashboard!$C$8*'Equity and Bond Returns'!DL21)</f>
        <v>-3.7529303463375935E-2</v>
      </c>
      <c r="C21" s="119">
        <f ca="1">(Dashboard!$C$7*'Equity and Bond Returns'!O21)+(Dashboard!$C$8*'Equity and Bond Returns'!DM21)</f>
        <v>6.1057186605877022E-2</v>
      </c>
      <c r="D21" s="119">
        <f ca="1">(Dashboard!$C$7*'Equity and Bond Returns'!P21)+(Dashboard!$C$8*'Equity and Bond Returns'!DN21)</f>
        <v>3.166764101960963E-3</v>
      </c>
      <c r="E21" s="119">
        <f ca="1">(Dashboard!$C$7*'Equity and Bond Returns'!Q21)+(Dashboard!$C$8*'Equity and Bond Returns'!DO21)</f>
        <v>0.18224430239375083</v>
      </c>
      <c r="F21" s="119">
        <f ca="1">(Dashboard!$C$7*'Equity and Bond Returns'!R21)+(Dashboard!$C$8*'Equity and Bond Returns'!DP21)</f>
        <v>4.5368725803052956E-2</v>
      </c>
      <c r="G21" s="119">
        <f ca="1">(Dashboard!$C$7*'Equity and Bond Returns'!S21)+(Dashboard!$C$8*'Equity and Bond Returns'!DQ21)</f>
        <v>7.707129291093559E-2</v>
      </c>
      <c r="H21" s="119">
        <f ca="1">(Dashboard!$C$7*'Equity and Bond Returns'!T21)+(Dashboard!$C$8*'Equity and Bond Returns'!DR21)</f>
        <v>-1.3769472639400808E-2</v>
      </c>
      <c r="I21" s="119">
        <f ca="1">(Dashboard!$C$7*'Equity and Bond Returns'!U21)+(Dashboard!$C$8*'Equity and Bond Returns'!DS21)</f>
        <v>0.39746548789114922</v>
      </c>
      <c r="J21" s="119">
        <f ca="1">(Dashboard!$C$7*'Equity and Bond Returns'!V21)+(Dashboard!$C$8*'Equity and Bond Returns'!DT21)</f>
        <v>0.10020442955047359</v>
      </c>
      <c r="K21" s="119">
        <f ca="1">(Dashboard!$C$7*'Equity and Bond Returns'!W21)+(Dashboard!$C$8*'Equity and Bond Returns'!DU21)</f>
        <v>0.25540732089401075</v>
      </c>
      <c r="L21" s="119">
        <f ca="1">(Dashboard!$C$7*'Equity and Bond Returns'!X21)+(Dashboard!$C$8*'Equity and Bond Returns'!DV21)</f>
        <v>0.34039497395986745</v>
      </c>
      <c r="M21" s="119">
        <f ca="1">(Dashboard!$C$7*'Equity and Bond Returns'!Y21)+(Dashboard!$C$8*'Equity and Bond Returns'!DW21)</f>
        <v>-0.27964730808418437</v>
      </c>
      <c r="N21" s="119">
        <f ca="1">(Dashboard!$C$7*'Equity and Bond Returns'!Z21)+(Dashboard!$C$8*'Equity and Bond Returns'!DX21)</f>
        <v>0.2350282867001878</v>
      </c>
      <c r="O21" s="119">
        <f ca="1">(Dashboard!$C$7*'Equity and Bond Returns'!AA21)+(Dashboard!$C$8*'Equity and Bond Returns'!DY21)</f>
        <v>0.10078157436362332</v>
      </c>
      <c r="P21" s="119">
        <f ca="1">(Dashboard!$C$7*'Equity and Bond Returns'!AB21)+(Dashboard!$C$8*'Equity and Bond Returns'!DZ21)</f>
        <v>0.186619620121067</v>
      </c>
      <c r="Q21" s="119">
        <f ca="1">(Dashboard!$C$7*'Equity and Bond Returns'!AC21)+(Dashboard!$C$8*'Equity and Bond Returns'!EA21)</f>
        <v>0.15826887698674658</v>
      </c>
      <c r="R21" s="119">
        <f ca="1">(Dashboard!$C$7*'Equity and Bond Returns'!AD21)+(Dashboard!$C$8*'Equity and Bond Returns'!EB21)</f>
        <v>0.2250651506139604</v>
      </c>
      <c r="S21" s="119">
        <f ca="1">(Dashboard!$C$7*'Equity and Bond Returns'!AE21)+(Dashboard!$C$8*'Equity and Bond Returns'!EC21)</f>
        <v>0.35224064642415331</v>
      </c>
      <c r="T21" s="119">
        <f ca="1">(Dashboard!$C$7*'Equity and Bond Returns'!AF21)+(Dashboard!$C$8*'Equity and Bond Returns'!ED21)</f>
        <v>0.19416966049953477</v>
      </c>
      <c r="U21" s="119">
        <f ca="1">(Dashboard!$C$7*'Equity and Bond Returns'!AG21)+(Dashboard!$C$8*'Equity and Bond Returns'!EE21)</f>
        <v>6.5017490338772493E-2</v>
      </c>
      <c r="V21" s="119">
        <f ca="1">(Dashboard!$C$7*'Equity and Bond Returns'!AH21)+(Dashboard!$C$8*'Equity and Bond Returns'!EF21)</f>
        <v>0.19702429727574533</v>
      </c>
      <c r="W21" s="119">
        <f ca="1">(Dashboard!$C$7*'Equity and Bond Returns'!AI21)+(Dashboard!$C$8*'Equity and Bond Returns'!EG21)</f>
        <v>0.12776014399554242</v>
      </c>
      <c r="X21" s="119">
        <f ca="1">(Dashboard!$C$7*'Equity and Bond Returns'!AJ21)+(Dashboard!$C$8*'Equity and Bond Returns'!EH21)</f>
        <v>7.2227834055807127E-2</v>
      </c>
      <c r="Y21" s="119">
        <f ca="1">(Dashboard!$C$7*'Equity and Bond Returns'!AK21)+(Dashboard!$C$8*'Equity and Bond Returns'!EI21)</f>
        <v>3.8106081428537122E-2</v>
      </c>
      <c r="Z21" s="119">
        <f ca="1">(Dashboard!$C$7*'Equity and Bond Returns'!AL21)+(Dashboard!$C$8*'Equity and Bond Returns'!EJ21)</f>
        <v>-0.11469559737658995</v>
      </c>
      <c r="AA21" s="119">
        <f ca="1">(Dashboard!$C$7*'Equity and Bond Returns'!AM21)+(Dashboard!$C$8*'Equity and Bond Returns'!EK21)</f>
        <v>0.16012219969525113</v>
      </c>
      <c r="AB21" s="119">
        <f ca="1">(Dashboard!$C$7*'Equity and Bond Returns'!AN21)+(Dashboard!$C$8*'Equity and Bond Returns'!EL21)</f>
        <v>6.2929445025709407E-2</v>
      </c>
      <c r="AC21" s="119">
        <f ca="1">(Dashboard!$C$7*'Equity and Bond Returns'!AO21)+(Dashboard!$C$8*'Equity and Bond Returns'!EM21)</f>
        <v>4.3692681027314544E-2</v>
      </c>
      <c r="AD21" s="119">
        <f ca="1">(Dashboard!$C$7*'Equity and Bond Returns'!AP21)+(Dashboard!$C$8*'Equity and Bond Returns'!EN21)</f>
        <v>-4.7377308359311456E-2</v>
      </c>
      <c r="AE21" s="119">
        <f ca="1">(Dashboard!$C$7*'Equity and Bond Returns'!AQ21)+(Dashboard!$C$8*'Equity and Bond Returns'!EO21)</f>
        <v>-1.2564179943994173E-2</v>
      </c>
      <c r="AF21" s="119">
        <f ca="1">(Dashboard!$C$7*'Equity and Bond Returns'!AR21)+(Dashboard!$C$8*'Equity and Bond Returns'!EP21)</f>
        <v>0.11873239797901777</v>
      </c>
      <c r="AG21" s="119">
        <f ca="1">(Dashboard!$C$7*'Equity and Bond Returns'!AS21)+(Dashboard!$C$8*'Equity and Bond Returns'!EQ21)</f>
        <v>4.3873360234234458E-4</v>
      </c>
      <c r="AH21" s="119">
        <f ca="1">(Dashboard!$C$7*'Equity and Bond Returns'!AT21)+(Dashboard!$C$8*'Equity and Bond Returns'!ER21)</f>
        <v>4.9901956053533272E-2</v>
      </c>
      <c r="AI21" s="119">
        <f ca="1">(Dashboard!$C$7*'Equity and Bond Returns'!AU21)+(Dashboard!$C$8*'Equity and Bond Returns'!ES21)</f>
        <v>0.20809919203560898</v>
      </c>
      <c r="AJ21" s="119">
        <f ca="1">(Dashboard!$C$7*'Equity and Bond Returns'!AV21)+(Dashboard!$C$8*'Equity and Bond Returns'!ET21)</f>
        <v>-0.13956416490761614</v>
      </c>
      <c r="AK21" s="119">
        <f ca="1">(Dashboard!$C$7*'Equity and Bond Returns'!AW21)+(Dashboard!$C$8*'Equity and Bond Returns'!EU21)</f>
        <v>-0.15896983912115281</v>
      </c>
      <c r="AL21" s="119">
        <f ca="1">(Dashboard!$C$7*'Equity and Bond Returns'!AX21)+(Dashboard!$C$8*'Equity and Bond Returns'!EV21)</f>
        <v>0.26538922226665984</v>
      </c>
      <c r="AM21" s="119">
        <f ca="1">(Dashboard!$C$7*'Equity and Bond Returns'!AY21)+(Dashboard!$C$8*'Equity and Bond Returns'!EW21)</f>
        <v>0.12980115718017371</v>
      </c>
      <c r="AN21" s="119">
        <f ca="1">(Dashboard!$C$7*'Equity and Bond Returns'!AZ21)+(Dashboard!$C$8*'Equity and Bond Returns'!EX21)</f>
        <v>0.11280371995751048</v>
      </c>
      <c r="AO21" s="119">
        <f ca="1">(Dashboard!$C$7*'Equity and Bond Returns'!BA21)+(Dashboard!$C$8*'Equity and Bond Returns'!EY21)</f>
        <v>0.1490227465572678</v>
      </c>
      <c r="AP21" s="119">
        <f ca="1">(Dashboard!$C$7*'Equity and Bond Returns'!BB21)+(Dashboard!$C$8*'Equity and Bond Returns'!EZ21)</f>
        <v>5.7027584975061579E-2</v>
      </c>
      <c r="AQ21" s="119">
        <f ca="1">(Dashboard!$C$7*'Equity and Bond Returns'!BC21)+(Dashboard!$C$8*'Equity and Bond Returns'!FA21)</f>
        <v>-1.3419176929106033E-2</v>
      </c>
      <c r="AR21" s="119">
        <f ca="1">(Dashboard!$C$7*'Equity and Bond Returns'!BD21)+(Dashboard!$C$8*'Equity and Bond Returns'!FB21)</f>
        <v>0.18396823504945253</v>
      </c>
      <c r="AS21" s="119">
        <f ca="1">(Dashboard!$C$7*'Equity and Bond Returns'!BE21)+(Dashboard!$C$8*'Equity and Bond Returns'!FC21)</f>
        <v>0.16039761157199214</v>
      </c>
      <c r="AT21" s="119">
        <f ca="1">(Dashboard!$C$7*'Equity and Bond Returns'!BF21)+(Dashboard!$C$8*'Equity and Bond Returns'!FD21)</f>
        <v>0.2543126778676994</v>
      </c>
      <c r="AU21" s="119">
        <f ca="1">(Dashboard!$C$7*'Equity and Bond Returns'!BG21)+(Dashboard!$C$8*'Equity and Bond Returns'!FE21)</f>
        <v>0.19336892787847823</v>
      </c>
      <c r="AV21" s="119">
        <f ca="1">(Dashboard!$C$7*'Equity and Bond Returns'!BH21)+(Dashboard!$C$8*'Equity and Bond Returns'!FF21)</f>
        <v>-0.16187621870517691</v>
      </c>
      <c r="AW21" s="119">
        <f ca="1">(Dashboard!$C$7*'Equity and Bond Returns'!BI21)+(Dashboard!$C$8*'Equity and Bond Returns'!FG21)</f>
        <v>7.6690560616993808E-2</v>
      </c>
      <c r="AX21" s="119">
        <f ca="1">(Dashboard!$C$7*'Equity and Bond Returns'!BJ21)+(Dashboard!$C$8*'Equity and Bond Returns'!FH21)</f>
        <v>-9.7700645347895909E-2</v>
      </c>
      <c r="AY21" s="119">
        <f ca="1">(Dashboard!$C$7*'Equity and Bond Returns'!BK21)+(Dashboard!$C$8*'Equity and Bond Returns'!FI21)</f>
        <v>0.12166783006938693</v>
      </c>
      <c r="AZ21" s="119">
        <f ca="1">(Dashboard!$C$7*'Equity and Bond Returns'!BL21)+(Dashboard!$C$8*'Equity and Bond Returns'!FJ21)</f>
        <v>2.7087655872339838E-2</v>
      </c>
      <c r="BA21" s="119">
        <f ca="1">(Dashboard!$C$7*'Equity and Bond Returns'!BM21)+(Dashboard!$C$8*'Equity and Bond Returns'!FK21)</f>
        <v>9.0222049574095783E-2</v>
      </c>
      <c r="BB21" s="119">
        <f ca="1">(Dashboard!$C$7*'Equity and Bond Returns'!BN21)+(Dashboard!$C$8*'Equity and Bond Returns'!FL21)</f>
        <v>0.18554765740708906</v>
      </c>
      <c r="BC21" s="119">
        <f ca="1">(Dashboard!$C$7*'Equity and Bond Returns'!BO21)+(Dashboard!$C$8*'Equity and Bond Returns'!FM21)</f>
        <v>0.11731275004647679</v>
      </c>
      <c r="BD21" s="119">
        <f ca="1">(Dashboard!$C$7*'Equity and Bond Returns'!BP21)+(Dashboard!$C$8*'Equity and Bond Returns'!FN21)</f>
        <v>0.19987867239120782</v>
      </c>
      <c r="BE21" s="119">
        <f ca="1">(Dashboard!$C$7*'Equity and Bond Returns'!BQ21)+(Dashboard!$C$8*'Equity and Bond Returns'!FO21)</f>
        <v>0.11474709556726047</v>
      </c>
      <c r="BF21" s="119">
        <f ca="1">(Dashboard!$C$7*'Equity and Bond Returns'!BR21)+(Dashboard!$C$8*'Equity and Bond Returns'!FP21)</f>
        <v>0.2630921414811474</v>
      </c>
      <c r="BG21" s="119">
        <f ca="1">(Dashboard!$C$7*'Equity and Bond Returns'!BS21)+(Dashboard!$C$8*'Equity and Bond Returns'!FQ21)</f>
        <v>0.34734726792808596</v>
      </c>
      <c r="BH21" s="119">
        <f ca="1">(Dashboard!$C$7*'Equity and Bond Returns'!BT21)+(Dashboard!$C$8*'Equity and Bond Returns'!FR21)</f>
        <v>0.13896876542875061</v>
      </c>
      <c r="BI21" s="119">
        <f ca="1">(Dashboard!$C$7*'Equity and Bond Returns'!BU21)+(Dashboard!$C$8*'Equity and Bond Returns'!FS21)</f>
        <v>0.12184388048719097</v>
      </c>
      <c r="BJ21" s="119">
        <f ca="1">(Dashboard!$C$7*'Equity and Bond Returns'!BV21)+(Dashboard!$C$8*'Equity and Bond Returns'!FT21)</f>
        <v>-6.2894675257933422E-2</v>
      </c>
      <c r="BK21" s="119">
        <f ca="1">(Dashboard!$C$7*'Equity and Bond Returns'!BW21)+(Dashboard!$C$8*'Equity and Bond Returns'!FU21)</f>
        <v>-3.871862985390407E-2</v>
      </c>
      <c r="BL21" s="119">
        <f ca="1">(Dashboard!$C$7*'Equity and Bond Returns'!BX21)+(Dashboard!$C$8*'Equity and Bond Returns'!FV21)</f>
        <v>0.23461324982475892</v>
      </c>
      <c r="BM21" s="119">
        <f ca="1">(Dashboard!$C$7*'Equity and Bond Returns'!BY21)+(Dashboard!$C$8*'Equity and Bond Returns'!FW21)</f>
        <v>0.22911553085950717</v>
      </c>
      <c r="BN21" s="119">
        <f ca="1">(Dashboard!$C$7*'Equity and Bond Returns'!BZ21)+(Dashboard!$C$8*'Equity and Bond Returns'!FX21)</f>
        <v>-1.677396272017195E-2</v>
      </c>
      <c r="BO21" s="119">
        <f ca="1">(Dashboard!$C$7*'Equity and Bond Returns'!CA21)+(Dashboard!$C$8*'Equity and Bond Returns'!FY21)</f>
        <v>-0.12731731492786408</v>
      </c>
      <c r="BP21" s="119">
        <f ca="1">(Dashboard!$C$7*'Equity and Bond Returns'!CB21)+(Dashboard!$C$8*'Equity and Bond Returns'!FZ21)</f>
        <v>0.21345615310414806</v>
      </c>
      <c r="BQ21" s="119">
        <f ca="1">(Dashboard!$C$7*'Equity and Bond Returns'!CC21)+(Dashboard!$C$8*'Equity and Bond Returns'!GA21)</f>
        <v>0.17534420870708248</v>
      </c>
      <c r="BR21" s="119">
        <f ca="1">(Dashboard!$C$7*'Equity and Bond Returns'!CD21)+(Dashboard!$C$8*'Equity and Bond Returns'!GB21)</f>
        <v>-5.4919543638007481E-2</v>
      </c>
      <c r="BS21" s="119">
        <f ca="1">(Dashboard!$C$7*'Equity and Bond Returns'!CE21)+(Dashboard!$C$8*'Equity and Bond Returns'!GC21)</f>
        <v>-4.7957717907991665E-2</v>
      </c>
      <c r="BT21" s="119">
        <f ca="1">(Dashboard!$C$7*'Equity and Bond Returns'!CF21)+(Dashboard!$C$8*'Equity and Bond Returns'!GD21)</f>
        <v>5.0025364931878133E-2</v>
      </c>
      <c r="BU21" s="119">
        <f ca="1">(Dashboard!$C$7*'Equity and Bond Returns'!CG21)+(Dashboard!$C$8*'Equity and Bond Returns'!GE21)</f>
        <v>9.1892627561091705E-2</v>
      </c>
      <c r="BV21" s="119">
        <f ca="1">(Dashboard!$C$7*'Equity and Bond Returns'!CH21)+(Dashboard!$C$8*'Equity and Bond Returns'!GF21)</f>
        <v>-0.25988292634311222</v>
      </c>
      <c r="BW21" s="119">
        <f ca="1">(Dashboard!$C$7*'Equity and Bond Returns'!CI21)+(Dashboard!$C$8*'Equity and Bond Returns'!GG21)</f>
        <v>0.21986579776150666</v>
      </c>
      <c r="BX21" s="119">
        <f ca="1">(Dashboard!$C$7*'Equity and Bond Returns'!CJ21)+(Dashboard!$C$8*'Equity and Bond Returns'!GH21)</f>
        <v>-0.15827518828228745</v>
      </c>
      <c r="BY21" s="119">
        <f ca="1">(Dashboard!$C$7*'Equity and Bond Returns'!CK21)+(Dashboard!$C$8*'Equity and Bond Returns'!GI21)</f>
        <v>6.8096600620005943E-4</v>
      </c>
      <c r="BZ21" s="119">
        <f ca="1">(Dashboard!$C$7*'Equity and Bond Returns'!CL21)+(Dashboard!$C$8*'Equity and Bond Returns'!GJ21)</f>
        <v>2.7728712541171281E-3</v>
      </c>
      <c r="CA21" s="119">
        <f ca="1">(Dashboard!$C$7*'Equity and Bond Returns'!CM21)+(Dashboard!$C$8*'Equity and Bond Returns'!GK21)</f>
        <v>0.10765962844512511</v>
      </c>
      <c r="CB21" s="119">
        <f ca="1">(Dashboard!$C$7*'Equity and Bond Returns'!CN21)+(Dashboard!$C$8*'Equity and Bond Returns'!GL21)</f>
        <v>4.0423906976455544E-2</v>
      </c>
      <c r="CC21" s="119">
        <f ca="1">(Dashboard!$C$7*'Equity and Bond Returns'!CO21)+(Dashboard!$C$8*'Equity and Bond Returns'!GM21)</f>
        <v>-0.17441549071266715</v>
      </c>
      <c r="CD21" s="119">
        <f ca="1">(Dashboard!$C$7*'Equity and Bond Returns'!CP21)+(Dashboard!$C$8*'Equity and Bond Returns'!GN21)</f>
        <v>2.8232708587241872E-2</v>
      </c>
      <c r="CE21" s="119">
        <f ca="1">(Dashboard!$C$7*'Equity and Bond Returns'!CQ21)+(Dashboard!$C$8*'Equity and Bond Returns'!GO21)</f>
        <v>0.10063823624133227</v>
      </c>
      <c r="CF21" s="119">
        <f ca="1">(Dashboard!$C$7*'Equity and Bond Returns'!CR21)+(Dashboard!$C$8*'Equity and Bond Returns'!GP21)</f>
        <v>-3.7127853309747522E-2</v>
      </c>
      <c r="CG21" s="119">
        <f ca="1">(Dashboard!$C$7*'Equity and Bond Returns'!CS21)+(Dashboard!$C$8*'Equity and Bond Returns'!GQ21)</f>
        <v>-5.3035610600218247E-2</v>
      </c>
      <c r="CH21" s="119">
        <f ca="1">(Dashboard!$C$7*'Equity and Bond Returns'!CT21)+(Dashboard!$C$8*'Equity and Bond Returns'!GR21)</f>
        <v>0.11255525335818282</v>
      </c>
      <c r="CI21" s="119">
        <f ca="1">(Dashboard!$C$7*'Equity and Bond Returns'!CU21)+(Dashboard!$C$8*'Equity and Bond Returns'!GS21)</f>
        <v>-7.5715022829805925E-2</v>
      </c>
      <c r="CJ21" s="119">
        <f ca="1">(Dashboard!$C$7*'Equity and Bond Returns'!CV21)+(Dashboard!$C$8*'Equity and Bond Returns'!GT21)</f>
        <v>0.19115326771872818</v>
      </c>
      <c r="CK21" s="119">
        <f ca="1">(Dashboard!$C$7*'Equity and Bond Returns'!CW21)+(Dashboard!$C$8*'Equity and Bond Returns'!GU21)</f>
        <v>1.8596658739325068E-2</v>
      </c>
      <c r="CL21" s="119">
        <f ca="1">(Dashboard!$C$7*'Equity and Bond Returns'!CX21)+(Dashboard!$C$8*'Equity and Bond Returns'!GV21)</f>
        <v>0.20507334662719909</v>
      </c>
      <c r="CM21" s="119">
        <f ca="1">(Dashboard!$C$7*'Equity and Bond Returns'!CY21)+(Dashboard!$C$8*'Equity and Bond Returns'!GW21)</f>
        <v>-0.12494816500684598</v>
      </c>
      <c r="CN21" s="119">
        <f ca="1">(Dashboard!$C$7*'Equity and Bond Returns'!CZ21)+(Dashboard!$C$8*'Equity and Bond Returns'!GX21)</f>
        <v>0.20419745881040258</v>
      </c>
      <c r="CO21" s="119">
        <f ca="1">(Dashboard!$C$7*'Equity and Bond Returns'!DA21)+(Dashboard!$C$8*'Equity and Bond Returns'!GY21)</f>
        <v>-8.9451497257271889E-2</v>
      </c>
      <c r="CP21" s="119">
        <f ca="1">(Dashboard!$C$7*'Equity and Bond Returns'!DB21)+(Dashboard!$C$8*'Equity and Bond Returns'!GZ21)</f>
        <v>0.18416309705012854</v>
      </c>
      <c r="CQ21" s="119">
        <f ca="1">(Dashboard!$C$7*'Equity and Bond Returns'!DC21)+(Dashboard!$C$8*'Equity and Bond Returns'!HA21)</f>
        <v>7.1182348637249732E-2</v>
      </c>
      <c r="CR21" s="119">
        <f ca="1">(Dashboard!$C$7*'Equity and Bond Returns'!DD21)+(Dashboard!$C$8*'Equity and Bond Returns'!HB21)</f>
        <v>0.1590929593117571</v>
      </c>
      <c r="CS21" s="119">
        <f ca="1">(Dashboard!$C$7*'Equity and Bond Returns'!DE21)+(Dashboard!$C$8*'Equity and Bond Returns'!HC21)</f>
        <v>0.10526921163865008</v>
      </c>
      <c r="CT21" s="119">
        <f ca="1">(Dashboard!$C$7*'Equity and Bond Returns'!DF21)+(Dashboard!$C$8*'Equity and Bond Returns'!HD21)</f>
        <v>-2.1250918566767953E-2</v>
      </c>
      <c r="CU21" s="119">
        <f ca="1">(Dashboard!$C$7*'Equity and Bond Returns'!DG21)+(Dashboard!$C$8*'Equity and Bond Returns'!HE21)</f>
        <v>0.35620849298278862</v>
      </c>
      <c r="CV21" s="119">
        <f ca="1">(Dashboard!$C$7*'Equity and Bond Returns'!DH21)+(Dashboard!$C$8*'Equity and Bond Returns'!HF21)</f>
        <v>0.10980223295105278</v>
      </c>
      <c r="CW21" s="119">
        <f ca="1">(Dashboard!$C$7*'Equity and Bond Returns'!DI21)+(Dashboard!$C$8*'Equity and Bond Returns'!HG21)</f>
        <v>7.6485471452939865E-2</v>
      </c>
      <c r="CY21" s="147">
        <f t="shared" si="5"/>
        <v>70</v>
      </c>
      <c r="CZ21" s="147">
        <v>20</v>
      </c>
      <c r="DA21" s="126">
        <f ca="1">MAX(DA20*(1+B21)-(Dashboard!$C$11)/(1-Dashboard!$C$17)*((1+Dashboard!$C$12)^$CZ21),0)</f>
        <v>3709008.725236374</v>
      </c>
      <c r="DB21" s="126">
        <f ca="1">MAX(DB20*(1+C21)-(Dashboard!$C$11)/(1-Dashboard!$C$17)*((1+Dashboard!$C$12)^$CZ21),0)</f>
        <v>0</v>
      </c>
      <c r="DC21" s="126">
        <f ca="1">MAX(DC20*(1+D21)-(Dashboard!$C$11)/(1-Dashboard!$C$17)*((1+Dashboard!$C$12)^$CZ21),0)</f>
        <v>2113146.5520934081</v>
      </c>
      <c r="DD21" s="126">
        <f ca="1">MAX(DD20*(1+E21)-(Dashboard!$C$11)/(1-Dashboard!$C$17)*((1+Dashboard!$C$12)^$CZ21),0)</f>
        <v>509196.61477156222</v>
      </c>
      <c r="DE21" s="126">
        <f ca="1">MAX(DE20*(1+F21)-(Dashboard!$C$11)/(1-Dashboard!$C$17)*((1+Dashboard!$C$12)^$CZ21),0)</f>
        <v>1648445.2066654584</v>
      </c>
      <c r="DF21" s="126">
        <f ca="1">MAX(DF20*(1+G21)-(Dashboard!$C$11)/(1-Dashboard!$C$17)*((1+Dashboard!$C$12)^$CZ21),0)</f>
        <v>2497176.1992999171</v>
      </c>
      <c r="DG21" s="126">
        <f ca="1">MAX(DG20*(1+H21)-(Dashboard!$C$11)/(1-Dashboard!$C$17)*((1+Dashboard!$C$12)^$CZ21),0)</f>
        <v>195858.30399777298</v>
      </c>
      <c r="DH21" s="126">
        <f ca="1">MAX(DH20*(1+I21)-(Dashboard!$C$11)/(1-Dashboard!$C$17)*((1+Dashboard!$C$12)^$CZ21),0)</f>
        <v>4378547.0041288892</v>
      </c>
      <c r="DI21" s="126">
        <f ca="1">MAX(DI20*(1+J21)-(Dashboard!$C$11)/(1-Dashboard!$C$17)*((1+Dashboard!$C$12)^$CZ21),0)</f>
        <v>1318019.4450870538</v>
      </c>
      <c r="DJ21" s="126">
        <f ca="1">MAX(DJ20*(1+K21)-(Dashboard!$C$11)/(1-Dashboard!$C$17)*((1+Dashboard!$C$12)^$CZ21),0)</f>
        <v>2531601.7994031799</v>
      </c>
      <c r="DK21" s="126">
        <f ca="1">MAX(DK20*(1+L21)-(Dashboard!$C$11)/(1-Dashboard!$C$17)*((1+Dashboard!$C$12)^$CZ21),0)</f>
        <v>3544522.2640567892</v>
      </c>
      <c r="DL21" s="126">
        <f ca="1">MAX(DL20*(1+M21)-(Dashboard!$C$11)/(1-Dashboard!$C$17)*((1+Dashboard!$C$12)^$CZ21),0)</f>
        <v>787946.78358325374</v>
      </c>
      <c r="DM21" s="126">
        <f ca="1">MAX(DM20*(1+N21)-(Dashboard!$C$11)/(1-Dashboard!$C$17)*((1+Dashboard!$C$12)^$CZ21),0)</f>
        <v>1970366.2978431329</v>
      </c>
      <c r="DN21" s="126">
        <f ca="1">MAX(DN20*(1+O21)-(Dashboard!$C$11)/(1-Dashboard!$C$17)*((1+Dashboard!$C$12)^$CZ21),0)</f>
        <v>9787207.70430528</v>
      </c>
      <c r="DO21" s="126">
        <f ca="1">MAX(DO20*(1+P21)-(Dashboard!$C$11)/(1-Dashboard!$C$17)*((1+Dashboard!$C$12)^$CZ21),0)</f>
        <v>1958272.742116258</v>
      </c>
      <c r="DP21" s="126">
        <f ca="1">MAX(DP20*(1+Q21)-(Dashboard!$C$11)/(1-Dashboard!$C$17)*((1+Dashboard!$C$12)^$CZ21),0)</f>
        <v>1444873.234644765</v>
      </c>
      <c r="DQ21" s="126">
        <f ca="1">MAX(DQ20*(1+R21)-(Dashboard!$C$11)/(1-Dashboard!$C$17)*((1+Dashboard!$C$12)^$CZ21),0)</f>
        <v>1987638.6061290589</v>
      </c>
      <c r="DR21" s="126">
        <f ca="1">MAX(DR20*(1+S21)-(Dashboard!$C$11)/(1-Dashboard!$C$17)*((1+Dashboard!$C$12)^$CZ21),0)</f>
        <v>3123639.6925848653</v>
      </c>
      <c r="DS21" s="126">
        <f ca="1">MAX(DS20*(1+T21)-(Dashboard!$C$11)/(1-Dashboard!$C$17)*((1+Dashboard!$C$12)^$CZ21),0)</f>
        <v>683243.36952212092</v>
      </c>
      <c r="DT21" s="126">
        <f ca="1">MAX(DT20*(1+U21)-(Dashboard!$C$11)/(1-Dashboard!$C$17)*((1+Dashboard!$C$12)^$CZ21),0)</f>
        <v>883522.37717538048</v>
      </c>
      <c r="DU21" s="126">
        <f ca="1">MAX(DU20*(1+V21)-(Dashboard!$C$11)/(1-Dashboard!$C$17)*((1+Dashboard!$C$12)^$CZ21),0)</f>
        <v>2161572.9005125747</v>
      </c>
      <c r="DV21" s="126">
        <f ca="1">MAX(DV20*(1+W21)-(Dashboard!$C$11)/(1-Dashboard!$C$17)*((1+Dashboard!$C$12)^$CZ21),0)</f>
        <v>4445561.3855267586</v>
      </c>
      <c r="DW21" s="126">
        <f ca="1">MAX(DW20*(1+X21)-(Dashboard!$C$11)/(1-Dashboard!$C$17)*((1+Dashboard!$C$12)^$CZ21),0)</f>
        <v>2090345.1158577101</v>
      </c>
      <c r="DX21" s="126">
        <f ca="1">MAX(DX20*(1+Y21)-(Dashboard!$C$11)/(1-Dashboard!$C$17)*((1+Dashboard!$C$12)^$CZ21),0)</f>
        <v>957186.04859041318</v>
      </c>
      <c r="DY21" s="126">
        <f ca="1">MAX(DY20*(1+Z21)-(Dashboard!$C$11)/(1-Dashboard!$C$17)*((1+Dashboard!$C$12)^$CZ21),0)</f>
        <v>4156476.2768616155</v>
      </c>
      <c r="DZ21" s="126">
        <f ca="1">MAX(DZ20*(1+AA21)-(Dashboard!$C$11)/(1-Dashboard!$C$17)*((1+Dashboard!$C$12)^$CZ21),0)</f>
        <v>969638.12877191289</v>
      </c>
      <c r="EA21" s="126">
        <f ca="1">MAX(EA20*(1+AB21)-(Dashboard!$C$11)/(1-Dashboard!$C$17)*((1+Dashboard!$C$12)^$CZ21),0)</f>
        <v>871550.68768130476</v>
      </c>
      <c r="EB21" s="126">
        <f ca="1">MAX(EB20*(1+AC21)-(Dashboard!$C$11)/(1-Dashboard!$C$17)*((1+Dashboard!$C$12)^$CZ21),0)</f>
        <v>3159786.5425465531</v>
      </c>
      <c r="EC21" s="126">
        <f ca="1">MAX(EC20*(1+AD21)-(Dashboard!$C$11)/(1-Dashboard!$C$17)*((1+Dashboard!$C$12)^$CZ21),0)</f>
        <v>2350761.4893002664</v>
      </c>
      <c r="ED21" s="126">
        <f ca="1">MAX(ED20*(1+AE21)-(Dashboard!$C$11)/(1-Dashboard!$C$17)*((1+Dashboard!$C$12)^$CZ21),0)</f>
        <v>2164116.3649238274</v>
      </c>
      <c r="EE21" s="126">
        <f ca="1">MAX(EE20*(1+AF21)-(Dashboard!$C$11)/(1-Dashboard!$C$17)*((1+Dashboard!$C$12)^$CZ21),0)</f>
        <v>3315415.4282871969</v>
      </c>
      <c r="EF21" s="126">
        <f ca="1">MAX(EF20*(1+AG21)-(Dashboard!$C$11)/(1-Dashboard!$C$17)*((1+Dashboard!$C$12)^$CZ21),0)</f>
        <v>622094.66828803485</v>
      </c>
      <c r="EG21" s="126">
        <f ca="1">MAX(EG20*(1+AH21)-(Dashboard!$C$11)/(1-Dashboard!$C$17)*((1+Dashboard!$C$12)^$CZ21),0)</f>
        <v>2556872.6849841122</v>
      </c>
      <c r="EH21" s="126">
        <f ca="1">MAX(EH20*(1+AI21)-(Dashboard!$C$11)/(1-Dashboard!$C$17)*((1+Dashboard!$C$12)^$CZ21),0)</f>
        <v>1991673.0497708179</v>
      </c>
      <c r="EI21" s="126">
        <f ca="1">MAX(EI20*(1+AJ21)-(Dashboard!$C$11)/(1-Dashboard!$C$17)*((1+Dashboard!$C$12)^$CZ21),0)</f>
        <v>444753.69478421978</v>
      </c>
      <c r="EJ21" s="126">
        <f ca="1">MAX(EJ20*(1+AK21)-(Dashboard!$C$11)/(1-Dashboard!$C$17)*((1+Dashboard!$C$12)^$CZ21),0)</f>
        <v>1205538.7179246638</v>
      </c>
      <c r="EK21" s="126">
        <f ca="1">MAX(EK20*(1+AL21)-(Dashboard!$C$11)/(1-Dashboard!$C$17)*((1+Dashboard!$C$12)^$CZ21),0)</f>
        <v>2990993.3282584595</v>
      </c>
      <c r="EL21" s="126">
        <f ca="1">MAX(EL20*(1+AM21)-(Dashboard!$C$11)/(1-Dashboard!$C$17)*((1+Dashboard!$C$12)^$CZ21),0)</f>
        <v>783780.93772514549</v>
      </c>
      <c r="EM21" s="126">
        <f ca="1">MAX(EM20*(1+AN21)-(Dashboard!$C$11)/(1-Dashboard!$C$17)*((1+Dashboard!$C$12)^$CZ21),0)</f>
        <v>1380495.3051351865</v>
      </c>
      <c r="EN21" s="126">
        <f ca="1">MAX(EN20*(1+AO21)-(Dashboard!$C$11)/(1-Dashboard!$C$17)*((1+Dashboard!$C$12)^$CZ21),0)</f>
        <v>1662149.1830402545</v>
      </c>
      <c r="EO21" s="126">
        <f ca="1">MAX(EO20*(1+AP21)-(Dashboard!$C$11)/(1-Dashboard!$C$17)*((1+Dashboard!$C$12)^$CZ21),0)</f>
        <v>234298.1978496454</v>
      </c>
      <c r="EP21" s="126">
        <f ca="1">MAX(EP20*(1+AQ21)-(Dashboard!$C$11)/(1-Dashboard!$C$17)*((1+Dashboard!$C$12)^$CZ21),0)</f>
        <v>1255316.2594897565</v>
      </c>
      <c r="EQ21" s="126">
        <f ca="1">MAX(EQ20*(1+AR21)-(Dashboard!$C$11)/(1-Dashboard!$C$17)*((1+Dashboard!$C$12)^$CZ21),0)</f>
        <v>1346868.2634351731</v>
      </c>
      <c r="ER21" s="126">
        <f ca="1">MAX(ER20*(1+AS21)-(Dashboard!$C$11)/(1-Dashboard!$C$17)*((1+Dashboard!$C$12)^$CZ21),0)</f>
        <v>225692.12205760047</v>
      </c>
      <c r="ES21" s="126">
        <f ca="1">MAX(ES20*(1+AT21)-(Dashboard!$C$11)/(1-Dashboard!$C$17)*((1+Dashboard!$C$12)^$CZ21),0)</f>
        <v>4851444.6959195826</v>
      </c>
      <c r="ET21" s="126">
        <f ca="1">MAX(ET20*(1+AU21)-(Dashboard!$C$11)/(1-Dashboard!$C$17)*((1+Dashboard!$C$12)^$CZ21),0)</f>
        <v>966663.46814261831</v>
      </c>
      <c r="EU21" s="126">
        <f ca="1">MAX(EU20*(1+AV21)-(Dashboard!$C$11)/(1-Dashboard!$C$17)*((1+Dashboard!$C$12)^$CZ21),0)</f>
        <v>1733451.8481157317</v>
      </c>
      <c r="EV21" s="126">
        <f ca="1">MAX(EV20*(1+AW21)-(Dashboard!$C$11)/(1-Dashboard!$C$17)*((1+Dashboard!$C$12)^$CZ21),0)</f>
        <v>3704777.9009800116</v>
      </c>
      <c r="EW21" s="126">
        <f ca="1">MAX(EW20*(1+AX21)-(Dashboard!$C$11)/(1-Dashboard!$C$17)*((1+Dashboard!$C$12)^$CZ21),0)</f>
        <v>1616736.8285086721</v>
      </c>
      <c r="EX21" s="126">
        <f ca="1">MAX(EX20*(1+AY21)-(Dashboard!$C$11)/(1-Dashboard!$C$17)*((1+Dashboard!$C$12)^$CZ21),0)</f>
        <v>1674132.0380303531</v>
      </c>
      <c r="EY21" s="126">
        <f ca="1">MAX(EY20*(1+AZ21)-(Dashboard!$C$11)/(1-Dashboard!$C$17)*((1+Dashboard!$C$12)^$CZ21),0)</f>
        <v>3869518.3877992309</v>
      </c>
      <c r="EZ21" s="126">
        <f ca="1">MAX(EZ20*(1+BA21)-(Dashboard!$C$11)/(1-Dashboard!$C$17)*((1+Dashboard!$C$12)^$CZ21),0)</f>
        <v>1172870.8045540864</v>
      </c>
      <c r="FA21" s="126">
        <f ca="1">MAX(FA20*(1+BB21)-(Dashboard!$C$11)/(1-Dashboard!$C$17)*((1+Dashboard!$C$12)^$CZ21),0)</f>
        <v>4611993.4375331206</v>
      </c>
      <c r="FB21" s="126">
        <f ca="1">MAX(FB20*(1+BC21)-(Dashboard!$C$11)/(1-Dashboard!$C$17)*((1+Dashboard!$C$12)^$CZ21),0)</f>
        <v>778992.80926845025</v>
      </c>
      <c r="FC21" s="126">
        <f ca="1">MAX(FC20*(1+BD21)-(Dashboard!$C$11)/(1-Dashboard!$C$17)*((1+Dashboard!$C$12)^$CZ21),0)</f>
        <v>4333080.2958019953</v>
      </c>
      <c r="FD21" s="126">
        <f ca="1">MAX(FD20*(1+BE21)-(Dashboard!$C$11)/(1-Dashboard!$C$17)*((1+Dashboard!$C$12)^$CZ21),0)</f>
        <v>3241173.7297785254</v>
      </c>
      <c r="FE21" s="126">
        <f ca="1">MAX(FE20*(1+BF21)-(Dashboard!$C$11)/(1-Dashboard!$C$17)*((1+Dashboard!$C$12)^$CZ21),0)</f>
        <v>2365572.8707934935</v>
      </c>
      <c r="FF21" s="126">
        <f ca="1">MAX(FF20*(1+BG21)-(Dashboard!$C$11)/(1-Dashboard!$C$17)*((1+Dashboard!$C$12)^$CZ21),0)</f>
        <v>1323200.0658532097</v>
      </c>
      <c r="FG21" s="126">
        <f ca="1">MAX(FG20*(1+BH21)-(Dashboard!$C$11)/(1-Dashboard!$C$17)*((1+Dashboard!$C$12)^$CZ21),0)</f>
        <v>989541.87045809813</v>
      </c>
      <c r="FH21" s="126">
        <f ca="1">MAX(FH20*(1+BI21)-(Dashboard!$C$11)/(1-Dashboard!$C$17)*((1+Dashboard!$C$12)^$CZ21),0)</f>
        <v>3180036.3617197284</v>
      </c>
      <c r="FI21" s="126">
        <f ca="1">MAX(FI20*(1+BJ21)-(Dashboard!$C$11)/(1-Dashboard!$C$17)*((1+Dashboard!$C$12)^$CZ21),0)</f>
        <v>2452369.8576296521</v>
      </c>
      <c r="FJ21" s="126">
        <f ca="1">MAX(FJ20*(1+BK21)-(Dashboard!$C$11)/(1-Dashboard!$C$17)*((1+Dashboard!$C$12)^$CZ21),0)</f>
        <v>897484.26889744704</v>
      </c>
      <c r="FK21" s="126">
        <f ca="1">MAX(FK20*(1+BL21)-(Dashboard!$C$11)/(1-Dashboard!$C$17)*((1+Dashboard!$C$12)^$CZ21),0)</f>
        <v>1766610.4177480817</v>
      </c>
      <c r="FL21" s="126">
        <f ca="1">MAX(FL20*(1+BM21)-(Dashboard!$C$11)/(1-Dashboard!$C$17)*((1+Dashboard!$C$12)^$CZ21),0)</f>
        <v>1334580.2779676113</v>
      </c>
      <c r="FM21" s="126">
        <f ca="1">MAX(FM20*(1+BN21)-(Dashboard!$C$11)/(1-Dashboard!$C$17)*((1+Dashboard!$C$12)^$CZ21),0)</f>
        <v>2403465.3321431773</v>
      </c>
      <c r="FN21" s="126">
        <f ca="1">MAX(FN20*(1+BO21)-(Dashboard!$C$11)/(1-Dashboard!$C$17)*((1+Dashboard!$C$12)^$CZ21),0)</f>
        <v>242230.88991892611</v>
      </c>
      <c r="FO21" s="126">
        <f ca="1">MAX(FO20*(1+BP21)-(Dashboard!$C$11)/(1-Dashboard!$C$17)*((1+Dashboard!$C$12)^$CZ21),0)</f>
        <v>1271216.6222493164</v>
      </c>
      <c r="FP21" s="126">
        <f ca="1">MAX(FP20*(1+BQ21)-(Dashboard!$C$11)/(1-Dashboard!$C$17)*((1+Dashboard!$C$12)^$CZ21),0)</f>
        <v>1528647.9124563467</v>
      </c>
      <c r="FQ21" s="126">
        <f ca="1">MAX(FQ20*(1+BR21)-(Dashboard!$C$11)/(1-Dashboard!$C$17)*((1+Dashboard!$C$12)^$CZ21),0)</f>
        <v>1239847.1183247187</v>
      </c>
      <c r="FR21" s="126">
        <f ca="1">MAX(FR20*(1+BS21)-(Dashboard!$C$11)/(1-Dashboard!$C$17)*((1+Dashboard!$C$12)^$CZ21),0)</f>
        <v>2953410.6844970542</v>
      </c>
      <c r="FS21" s="126">
        <f ca="1">MAX(FS20*(1+BT21)-(Dashboard!$C$11)/(1-Dashboard!$C$17)*((1+Dashboard!$C$12)^$CZ21),0)</f>
        <v>4607904.5209265957</v>
      </c>
      <c r="FT21" s="126">
        <f ca="1">MAX(FT20*(1+BU21)-(Dashboard!$C$11)/(1-Dashboard!$C$17)*((1+Dashboard!$C$12)^$CZ21),0)</f>
        <v>782293.64940310235</v>
      </c>
      <c r="FU21" s="126">
        <f ca="1">MAX(FU20*(1+BV21)-(Dashboard!$C$11)/(1-Dashboard!$C$17)*((1+Dashboard!$C$12)^$CZ21),0)</f>
        <v>1818176.3615634902</v>
      </c>
      <c r="FV21" s="126">
        <f ca="1">MAX(FV20*(1+BW21)-(Dashboard!$C$11)/(1-Dashboard!$C$17)*((1+Dashboard!$C$12)^$CZ21),0)</f>
        <v>1470887.9792613413</v>
      </c>
      <c r="FW21" s="126">
        <f ca="1">MAX(FW20*(1+BX21)-(Dashboard!$C$11)/(1-Dashboard!$C$17)*((1+Dashboard!$C$12)^$CZ21),0)</f>
        <v>1320518.7578653118</v>
      </c>
      <c r="FX21" s="126">
        <f ca="1">MAX(FX20*(1+BY21)-(Dashboard!$C$11)/(1-Dashboard!$C$17)*((1+Dashboard!$C$12)^$CZ21),0)</f>
        <v>570341.31891888008</v>
      </c>
      <c r="FY21" s="126">
        <f ca="1">MAX(FY20*(1+BZ21)-(Dashboard!$C$11)/(1-Dashboard!$C$17)*((1+Dashboard!$C$12)^$CZ21),0)</f>
        <v>625783.48666504526</v>
      </c>
      <c r="FZ21" s="126">
        <f ca="1">MAX(FZ20*(1+CA21)-(Dashboard!$C$11)/(1-Dashboard!$C$17)*((1+Dashboard!$C$12)^$CZ21),0)</f>
        <v>2768366.4242249774</v>
      </c>
      <c r="GA21" s="126">
        <f ca="1">MAX(GA20*(1+CB21)-(Dashboard!$C$11)/(1-Dashboard!$C$17)*((1+Dashboard!$C$12)^$CZ21),0)</f>
        <v>2337293.7655600975</v>
      </c>
      <c r="GB21" s="126">
        <f ca="1">MAX(GB20*(1+CC21)-(Dashboard!$C$11)/(1-Dashboard!$C$17)*((1+Dashboard!$C$12)^$CZ21),0)</f>
        <v>1063276.2964674763</v>
      </c>
      <c r="GC21" s="126">
        <f ca="1">MAX(GC20*(1+CD21)-(Dashboard!$C$11)/(1-Dashboard!$C$17)*((1+Dashboard!$C$12)^$CZ21),0)</f>
        <v>2573598.6260192255</v>
      </c>
      <c r="GD21" s="126">
        <f ca="1">MAX(GD20*(1+CE21)-(Dashboard!$C$11)/(1-Dashboard!$C$17)*((1+Dashboard!$C$12)^$CZ21),0)</f>
        <v>4137279.1309650382</v>
      </c>
      <c r="GE21" s="126">
        <f ca="1">MAX(GE20*(1+CF21)-(Dashboard!$C$11)/(1-Dashboard!$C$17)*((1+Dashboard!$C$12)^$CZ21),0)</f>
        <v>1028542.8420391948</v>
      </c>
      <c r="GF21" s="126">
        <f ca="1">MAX(GF20*(1+CG21)-(Dashboard!$C$11)/(1-Dashboard!$C$17)*((1+Dashboard!$C$12)^$CZ21),0)</f>
        <v>3138676.59179065</v>
      </c>
      <c r="GG21" s="126">
        <f ca="1">MAX(GG20*(1+CH21)-(Dashboard!$C$11)/(1-Dashboard!$C$17)*((1+Dashboard!$C$12)^$CZ21),0)</f>
        <v>697937.33694264293</v>
      </c>
      <c r="GH21" s="126">
        <f ca="1">MAX(GH20*(1+CI21)-(Dashboard!$C$11)/(1-Dashboard!$C$17)*((1+Dashboard!$C$12)^$CZ21),0)</f>
        <v>1095121.1078607328</v>
      </c>
      <c r="GI21" s="126">
        <f ca="1">MAX(GI20*(1+CJ21)-(Dashboard!$C$11)/(1-Dashboard!$C$17)*((1+Dashboard!$C$12)^$CZ21),0)</f>
        <v>808283.35734552972</v>
      </c>
      <c r="GJ21" s="126">
        <f ca="1">MAX(GJ20*(1+CK21)-(Dashboard!$C$11)/(1-Dashboard!$C$17)*((1+Dashboard!$C$12)^$CZ21),0)</f>
        <v>1876518.6553604309</v>
      </c>
      <c r="GK21" s="126">
        <f ca="1">MAX(GK20*(1+CL21)-(Dashboard!$C$11)/(1-Dashboard!$C$17)*((1+Dashboard!$C$12)^$CZ21),0)</f>
        <v>4397810.4912501927</v>
      </c>
      <c r="GL21" s="126">
        <f ca="1">MAX(GL20*(1+CM21)-(Dashboard!$C$11)/(1-Dashboard!$C$17)*((1+Dashboard!$C$12)^$CZ21),0)</f>
        <v>1848637.4528685256</v>
      </c>
      <c r="GM21" s="126">
        <f ca="1">MAX(GM20*(1+CN21)-(Dashboard!$C$11)/(1-Dashboard!$C$17)*((1+Dashboard!$C$12)^$CZ21),0)</f>
        <v>611795.93197939871</v>
      </c>
      <c r="GN21" s="126">
        <f ca="1">MAX(GN20*(1+CO21)-(Dashboard!$C$11)/(1-Dashboard!$C$17)*((1+Dashboard!$C$12)^$CZ21),0)</f>
        <v>0</v>
      </c>
      <c r="GO21" s="126">
        <f ca="1">MAX(GO20*(1+CP21)-(Dashboard!$C$11)/(1-Dashboard!$C$17)*((1+Dashboard!$C$12)^$CZ21),0)</f>
        <v>677247.96415783942</v>
      </c>
      <c r="GP21" s="126">
        <f ca="1">MAX(GP20*(1+CQ21)-(Dashboard!$C$11)/(1-Dashboard!$C$17)*((1+Dashboard!$C$12)^$CZ21),0)</f>
        <v>918289.68425903737</v>
      </c>
      <c r="GQ21" s="126">
        <f ca="1">MAX(GQ20*(1+CR21)-(Dashboard!$C$11)/(1-Dashboard!$C$17)*((1+Dashboard!$C$12)^$CZ21),0)</f>
        <v>313888.39777304902</v>
      </c>
      <c r="GR21" s="126">
        <f ca="1">MAX(GR20*(1+CS21)-(Dashboard!$C$11)/(1-Dashboard!$C$17)*((1+Dashboard!$C$12)^$CZ21),0)</f>
        <v>754497.93981586176</v>
      </c>
      <c r="GS21" s="126">
        <f ca="1">MAX(GS20*(1+CT21)-(Dashboard!$C$11)/(1-Dashboard!$C$17)*((1+Dashboard!$C$12)^$CZ21),0)</f>
        <v>2067537.085227835</v>
      </c>
      <c r="GT21" s="126">
        <f ca="1">MAX(GT20*(1+CU21)-(Dashboard!$C$11)/(1-Dashboard!$C$17)*((1+Dashboard!$C$12)^$CZ21),0)</f>
        <v>5888419.7711149016</v>
      </c>
      <c r="GU21" s="126">
        <f ca="1">MAX(GU20*(1+CV21)-(Dashboard!$C$11)/(1-Dashboard!$C$17)*((1+Dashboard!$C$12)^$CZ21),0)</f>
        <v>764665.62540620379</v>
      </c>
      <c r="GV21" s="126">
        <f ca="1">MAX(GV20*(1+CW21)-(Dashboard!$C$11)/(1-Dashboard!$C$17)*((1+Dashboard!$C$12)^$CZ21),0)</f>
        <v>532201.93129217217</v>
      </c>
      <c r="GW21" s="115">
        <f t="shared" si="4"/>
        <v>70</v>
      </c>
      <c r="GX21" s="130">
        <f t="shared" ca="1" si="2"/>
        <v>98</v>
      </c>
      <c r="HC21" s="130">
        <f t="shared" si="0"/>
        <v>70</v>
      </c>
      <c r="HD21" s="137">
        <f t="shared" ca="1" si="1"/>
        <v>824100.18992947345</v>
      </c>
      <c r="HE21" s="137">
        <f t="shared" ca="1" si="1"/>
        <v>1572692.3704825095</v>
      </c>
      <c r="HF21" s="137">
        <f t="shared" ca="1" si="1"/>
        <v>2550554.963588879</v>
      </c>
    </row>
    <row r="22" spans="1:214" ht="16">
      <c r="A22" s="145">
        <f t="shared" si="3"/>
        <v>71</v>
      </c>
      <c r="B22" s="119">
        <f ca="1">(Dashboard!$C$7*'Equity and Bond Returns'!N22)+(Dashboard!$C$8*'Equity and Bond Returns'!DL22)</f>
        <v>0.14635132111389082</v>
      </c>
      <c r="C22" s="119">
        <f ca="1">(Dashboard!$C$7*'Equity and Bond Returns'!O22)+(Dashboard!$C$8*'Equity and Bond Returns'!DM22)</f>
        <v>2.7758564139333843E-2</v>
      </c>
      <c r="D22" s="119">
        <f ca="1">(Dashboard!$C$7*'Equity and Bond Returns'!P22)+(Dashboard!$C$8*'Equity and Bond Returns'!DN22)</f>
        <v>-4.0150578343577041E-2</v>
      </c>
      <c r="E22" s="119">
        <f ca="1">(Dashboard!$C$7*'Equity and Bond Returns'!Q22)+(Dashboard!$C$8*'Equity and Bond Returns'!DO22)</f>
        <v>8.5811749588827702E-2</v>
      </c>
      <c r="F22" s="119">
        <f ca="1">(Dashboard!$C$7*'Equity and Bond Returns'!R22)+(Dashboard!$C$8*'Equity and Bond Returns'!DP22)</f>
        <v>0.11266712102629552</v>
      </c>
      <c r="G22" s="119">
        <f ca="1">(Dashboard!$C$7*'Equity and Bond Returns'!S22)+(Dashboard!$C$8*'Equity and Bond Returns'!DQ22)</f>
        <v>0.27253609652667171</v>
      </c>
      <c r="H22" s="119">
        <f ca="1">(Dashboard!$C$7*'Equity and Bond Returns'!T22)+(Dashboard!$C$8*'Equity and Bond Returns'!DR22)</f>
        <v>0.19040184631087892</v>
      </c>
      <c r="I22" s="119">
        <f ca="1">(Dashboard!$C$7*'Equity and Bond Returns'!U22)+(Dashboard!$C$8*'Equity and Bond Returns'!DS22)</f>
        <v>-0.13391500759998434</v>
      </c>
      <c r="J22" s="119">
        <f ca="1">(Dashboard!$C$7*'Equity and Bond Returns'!V22)+(Dashboard!$C$8*'Equity and Bond Returns'!DT22)</f>
        <v>0.14248280813307709</v>
      </c>
      <c r="K22" s="119">
        <f ca="1">(Dashboard!$C$7*'Equity and Bond Returns'!W22)+(Dashboard!$C$8*'Equity and Bond Returns'!DU22)</f>
        <v>0.12223807784733612</v>
      </c>
      <c r="L22" s="119">
        <f ca="1">(Dashboard!$C$7*'Equity and Bond Returns'!X22)+(Dashboard!$C$8*'Equity and Bond Returns'!DV22)</f>
        <v>0.1336395777729377</v>
      </c>
      <c r="M22" s="119">
        <f ca="1">(Dashboard!$C$7*'Equity and Bond Returns'!Y22)+(Dashboard!$C$8*'Equity and Bond Returns'!DW22)</f>
        <v>7.6794198075535627E-2</v>
      </c>
      <c r="N22" s="119">
        <f ca="1">(Dashboard!$C$7*'Equity and Bond Returns'!Z22)+(Dashboard!$C$8*'Equity and Bond Returns'!DX22)</f>
        <v>-4.5016312160707998E-2</v>
      </c>
      <c r="O22" s="119">
        <f ca="1">(Dashboard!$C$7*'Equity and Bond Returns'!AA22)+(Dashboard!$C$8*'Equity and Bond Returns'!DY22)</f>
        <v>0.37416647679418508</v>
      </c>
      <c r="P22" s="119">
        <f ca="1">(Dashboard!$C$7*'Equity and Bond Returns'!AB22)+(Dashboard!$C$8*'Equity and Bond Returns'!DZ22)</f>
        <v>-7.7324900589829271E-2</v>
      </c>
      <c r="Q22" s="119">
        <f ca="1">(Dashboard!$C$7*'Equity and Bond Returns'!AC22)+(Dashboard!$C$8*'Equity and Bond Returns'!EA22)</f>
        <v>-0.30347495734175467</v>
      </c>
      <c r="R22" s="119">
        <f ca="1">(Dashboard!$C$7*'Equity and Bond Returns'!AD22)+(Dashboard!$C$8*'Equity and Bond Returns'!EB22)</f>
        <v>0.2945240537172461</v>
      </c>
      <c r="S22" s="119">
        <f ca="1">(Dashboard!$C$7*'Equity and Bond Returns'!AE22)+(Dashboard!$C$8*'Equity and Bond Returns'!EC22)</f>
        <v>0.11353130435729333</v>
      </c>
      <c r="T22" s="119">
        <f ca="1">(Dashboard!$C$7*'Equity and Bond Returns'!AF22)+(Dashboard!$C$8*'Equity and Bond Returns'!ED22)</f>
        <v>0.14379580597347988</v>
      </c>
      <c r="U22" s="119">
        <f ca="1">(Dashboard!$C$7*'Equity and Bond Returns'!AG22)+(Dashboard!$C$8*'Equity and Bond Returns'!EE22)</f>
        <v>-3.2038394782080322E-2</v>
      </c>
      <c r="V22" s="119">
        <f ca="1">(Dashboard!$C$7*'Equity and Bond Returns'!AH22)+(Dashboard!$C$8*'Equity and Bond Returns'!EF22)</f>
        <v>-7.9259987678036048E-2</v>
      </c>
      <c r="W22" s="119">
        <f ca="1">(Dashboard!$C$7*'Equity and Bond Returns'!AI22)+(Dashboard!$C$8*'Equity and Bond Returns'!EG22)</f>
        <v>0.1477554875045928</v>
      </c>
      <c r="X22" s="119">
        <f ca="1">(Dashboard!$C$7*'Equity and Bond Returns'!AJ22)+(Dashboard!$C$8*'Equity and Bond Returns'!EH22)</f>
        <v>-1.333066733799905E-2</v>
      </c>
      <c r="Y22" s="119">
        <f ca="1">(Dashboard!$C$7*'Equity and Bond Returns'!AK22)+(Dashboard!$C$8*'Equity and Bond Returns'!EI22)</f>
        <v>3.6102753078036953E-2</v>
      </c>
      <c r="Z22" s="119">
        <f ca="1">(Dashboard!$C$7*'Equity and Bond Returns'!AL22)+(Dashboard!$C$8*'Equity and Bond Returns'!EJ22)</f>
        <v>3.7581923821527183E-2</v>
      </c>
      <c r="AA22" s="119">
        <f ca="1">(Dashboard!$C$7*'Equity and Bond Returns'!AM22)+(Dashboard!$C$8*'Equity and Bond Returns'!EK22)</f>
        <v>0.38449105304612718</v>
      </c>
      <c r="AB22" s="119">
        <f ca="1">(Dashboard!$C$7*'Equity and Bond Returns'!AN22)+(Dashboard!$C$8*'Equity and Bond Returns'!EL22)</f>
        <v>6.7704209467663284E-2</v>
      </c>
      <c r="AC22" s="119">
        <f ca="1">(Dashboard!$C$7*'Equity and Bond Returns'!AO22)+(Dashboard!$C$8*'Equity and Bond Returns'!EM22)</f>
        <v>7.7430167885060616E-2</v>
      </c>
      <c r="AD22" s="119">
        <f ca="1">(Dashboard!$C$7*'Equity and Bond Returns'!AP22)+(Dashboard!$C$8*'Equity and Bond Returns'!EN22)</f>
        <v>4.1420781176655437E-2</v>
      </c>
      <c r="AE22" s="119">
        <f ca="1">(Dashboard!$C$7*'Equity and Bond Returns'!AQ22)+(Dashboard!$C$8*'Equity and Bond Returns'!EO22)</f>
        <v>-0.25346144550800925</v>
      </c>
      <c r="AF22" s="119">
        <f ca="1">(Dashboard!$C$7*'Equity and Bond Returns'!AR22)+(Dashboard!$C$8*'Equity and Bond Returns'!EP22)</f>
        <v>0.15490549848131774</v>
      </c>
      <c r="AG22" s="119">
        <f ca="1">(Dashboard!$C$7*'Equity and Bond Returns'!AS22)+(Dashboard!$C$8*'Equity and Bond Returns'!EQ22)</f>
        <v>7.837068812899553E-2</v>
      </c>
      <c r="AH22" s="119">
        <f ca="1">(Dashboard!$C$7*'Equity and Bond Returns'!AT22)+(Dashboard!$C$8*'Equity and Bond Returns'!ER22)</f>
        <v>3.9255943228955877E-2</v>
      </c>
      <c r="AI22" s="119">
        <f ca="1">(Dashboard!$C$7*'Equity and Bond Returns'!AU22)+(Dashboard!$C$8*'Equity and Bond Returns'!ES22)</f>
        <v>-2.2975618435587063E-2</v>
      </c>
      <c r="AJ22" s="119">
        <f ca="1">(Dashboard!$C$7*'Equity and Bond Returns'!AV22)+(Dashboard!$C$8*'Equity and Bond Returns'!ET22)</f>
        <v>-0.22375105498067799</v>
      </c>
      <c r="AK22" s="119">
        <f ca="1">(Dashboard!$C$7*'Equity and Bond Returns'!AW22)+(Dashboard!$C$8*'Equity and Bond Returns'!EU22)</f>
        <v>8.4805617848426829E-2</v>
      </c>
      <c r="AL22" s="119">
        <f ca="1">(Dashboard!$C$7*'Equity and Bond Returns'!AX22)+(Dashboard!$C$8*'Equity and Bond Returns'!EV22)</f>
        <v>3.667302968293408E-2</v>
      </c>
      <c r="AM22" s="119">
        <f ca="1">(Dashboard!$C$7*'Equity and Bond Returns'!AY22)+(Dashboard!$C$8*'Equity and Bond Returns'!EW22)</f>
        <v>0.1103629976827832</v>
      </c>
      <c r="AN22" s="119">
        <f ca="1">(Dashboard!$C$7*'Equity and Bond Returns'!AZ22)+(Dashboard!$C$8*'Equity and Bond Returns'!EX22)</f>
        <v>0.41209087150230816</v>
      </c>
      <c r="AO22" s="119">
        <f ca="1">(Dashboard!$C$7*'Equity and Bond Returns'!BA22)+(Dashboard!$C$8*'Equity and Bond Returns'!EY22)</f>
        <v>0.34582895457591589</v>
      </c>
      <c r="AP22" s="119">
        <f ca="1">(Dashboard!$C$7*'Equity and Bond Returns'!BB22)+(Dashboard!$C$8*'Equity and Bond Returns'!EZ22)</f>
        <v>7.1315467799690432E-3</v>
      </c>
      <c r="AQ22" s="119">
        <f ca="1">(Dashboard!$C$7*'Equity and Bond Returns'!BC22)+(Dashboard!$C$8*'Equity and Bond Returns'!FA22)</f>
        <v>-0.10186417040509993</v>
      </c>
      <c r="AR22" s="119">
        <f ca="1">(Dashboard!$C$7*'Equity and Bond Returns'!BD22)+(Dashboard!$C$8*'Equity and Bond Returns'!FB22)</f>
        <v>-0.22135394991035859</v>
      </c>
      <c r="AS22" s="119">
        <f ca="1">(Dashboard!$C$7*'Equity and Bond Returns'!BE22)+(Dashboard!$C$8*'Equity and Bond Returns'!FC22)</f>
        <v>5.5946259066364523E-3</v>
      </c>
      <c r="AT22" s="119">
        <f ca="1">(Dashboard!$C$7*'Equity and Bond Returns'!BF22)+(Dashboard!$C$8*'Equity and Bond Returns'!FD22)</f>
        <v>1.3472609139359871E-2</v>
      </c>
      <c r="AU22" s="119">
        <f ca="1">(Dashboard!$C$7*'Equity and Bond Returns'!BG22)+(Dashboard!$C$8*'Equity and Bond Returns'!FE22)</f>
        <v>8.4255832787970258E-3</v>
      </c>
      <c r="AV22" s="119">
        <f ca="1">(Dashboard!$C$7*'Equity and Bond Returns'!BH22)+(Dashboard!$C$8*'Equity and Bond Returns'!FF22)</f>
        <v>7.1189072434698318E-4</v>
      </c>
      <c r="AW22" s="119">
        <f ca="1">(Dashboard!$C$7*'Equity and Bond Returns'!BI22)+(Dashboard!$C$8*'Equity and Bond Returns'!FG22)</f>
        <v>7.7514937216792493E-3</v>
      </c>
      <c r="AX22" s="119">
        <f ca="1">(Dashboard!$C$7*'Equity and Bond Returns'!BJ22)+(Dashboard!$C$8*'Equity and Bond Returns'!FH22)</f>
        <v>9.0448052359912101E-2</v>
      </c>
      <c r="AY22" s="119">
        <f ca="1">(Dashboard!$C$7*'Equity and Bond Returns'!BK22)+(Dashboard!$C$8*'Equity and Bond Returns'!FI22)</f>
        <v>6.8685233297628809E-2</v>
      </c>
      <c r="AZ22" s="119">
        <f ca="1">(Dashboard!$C$7*'Equity and Bond Returns'!BL22)+(Dashboard!$C$8*'Equity and Bond Returns'!FJ22)</f>
        <v>7.5561632707643586E-2</v>
      </c>
      <c r="BA22" s="119">
        <f ca="1">(Dashboard!$C$7*'Equity and Bond Returns'!BM22)+(Dashboard!$C$8*'Equity and Bond Returns'!FK22)</f>
        <v>0.21450637593428587</v>
      </c>
      <c r="BB22" s="119">
        <f ca="1">(Dashboard!$C$7*'Equity and Bond Returns'!BN22)+(Dashboard!$C$8*'Equity and Bond Returns'!FL22)</f>
        <v>0.12655851915525274</v>
      </c>
      <c r="BC22" s="119">
        <f ca="1">(Dashboard!$C$7*'Equity and Bond Returns'!BO22)+(Dashboard!$C$8*'Equity and Bond Returns'!FM22)</f>
        <v>0.1940283053319154</v>
      </c>
      <c r="BD22" s="119">
        <f ca="1">(Dashboard!$C$7*'Equity and Bond Returns'!BP22)+(Dashboard!$C$8*'Equity and Bond Returns'!FN22)</f>
        <v>6.279423109023638E-2</v>
      </c>
      <c r="BE22" s="119">
        <f ca="1">(Dashboard!$C$7*'Equity and Bond Returns'!BQ22)+(Dashboard!$C$8*'Equity and Bond Returns'!FO22)</f>
        <v>0.15409091170130301</v>
      </c>
      <c r="BF22" s="119">
        <f ca="1">(Dashboard!$C$7*'Equity and Bond Returns'!BR22)+(Dashboard!$C$8*'Equity and Bond Returns'!FP22)</f>
        <v>4.6218891471751192E-2</v>
      </c>
      <c r="BG22" s="119">
        <f ca="1">(Dashboard!$C$7*'Equity and Bond Returns'!BS22)+(Dashboard!$C$8*'Equity and Bond Returns'!FQ22)</f>
        <v>0.1820148765943107</v>
      </c>
      <c r="BH22" s="119">
        <f ca="1">(Dashboard!$C$7*'Equity and Bond Returns'!BT22)+(Dashboard!$C$8*'Equity and Bond Returns'!FR22)</f>
        <v>0.37915088930936736</v>
      </c>
      <c r="BI22" s="119">
        <f ca="1">(Dashboard!$C$7*'Equity and Bond Returns'!BU22)+(Dashboard!$C$8*'Equity and Bond Returns'!FS22)</f>
        <v>0.27398866902374086</v>
      </c>
      <c r="BJ22" s="119">
        <f ca="1">(Dashboard!$C$7*'Equity and Bond Returns'!BV22)+(Dashboard!$C$8*'Equity and Bond Returns'!FT22)</f>
        <v>0.16543418452188735</v>
      </c>
      <c r="BK22" s="119">
        <f ca="1">(Dashboard!$C$7*'Equity and Bond Returns'!BW22)+(Dashboard!$C$8*'Equity and Bond Returns'!FU22)</f>
        <v>0.35614771293082126</v>
      </c>
      <c r="BL22" s="119">
        <f ca="1">(Dashboard!$C$7*'Equity and Bond Returns'!BX22)+(Dashboard!$C$8*'Equity and Bond Returns'!FV22)</f>
        <v>0.1046237218352824</v>
      </c>
      <c r="BM22" s="119">
        <f ca="1">(Dashboard!$C$7*'Equity and Bond Returns'!BY22)+(Dashboard!$C$8*'Equity and Bond Returns'!FW22)</f>
        <v>3.8498866988271659E-2</v>
      </c>
      <c r="BN22" s="119">
        <f ca="1">(Dashboard!$C$7*'Equity and Bond Returns'!BZ22)+(Dashboard!$C$8*'Equity and Bond Returns'!FX22)</f>
        <v>5.5423136739607151E-2</v>
      </c>
      <c r="BO22" s="119">
        <f ca="1">(Dashboard!$C$7*'Equity and Bond Returns'!CA22)+(Dashboard!$C$8*'Equity and Bond Returns'!FY22)</f>
        <v>0.19368418266672455</v>
      </c>
      <c r="BP22" s="119">
        <f ca="1">(Dashboard!$C$7*'Equity and Bond Returns'!CB22)+(Dashboard!$C$8*'Equity and Bond Returns'!FZ22)</f>
        <v>0.25206091072539338</v>
      </c>
      <c r="BQ22" s="119">
        <f ca="1">(Dashboard!$C$7*'Equity and Bond Returns'!CC22)+(Dashboard!$C$8*'Equity and Bond Returns'!GA22)</f>
        <v>3.2016845156073587E-2</v>
      </c>
      <c r="BR22" s="119">
        <f ca="1">(Dashboard!$C$7*'Equity and Bond Returns'!CD22)+(Dashboard!$C$8*'Equity and Bond Returns'!GB22)</f>
        <v>0.22623202735173492</v>
      </c>
      <c r="BS22" s="119">
        <f ca="1">(Dashboard!$C$7*'Equity and Bond Returns'!CE22)+(Dashboard!$C$8*'Equity and Bond Returns'!GC22)</f>
        <v>0.259899119719462</v>
      </c>
      <c r="BT22" s="119">
        <f ca="1">(Dashboard!$C$7*'Equity and Bond Returns'!CF22)+(Dashboard!$C$8*'Equity and Bond Returns'!GD22)</f>
        <v>-0.14521871910860695</v>
      </c>
      <c r="BU22" s="119">
        <f ca="1">(Dashboard!$C$7*'Equity and Bond Returns'!CG22)+(Dashboard!$C$8*'Equity and Bond Returns'!GE22)</f>
        <v>-0.16441797908706982</v>
      </c>
      <c r="BV22" s="119">
        <f ca="1">(Dashboard!$C$7*'Equity and Bond Returns'!CH22)+(Dashboard!$C$8*'Equity and Bond Returns'!GF22)</f>
        <v>-4.8295033085838948E-2</v>
      </c>
      <c r="BW22" s="119">
        <f ca="1">(Dashboard!$C$7*'Equity and Bond Returns'!CI22)+(Dashboard!$C$8*'Equity and Bond Returns'!GG22)</f>
        <v>-5.6120668623095109E-2</v>
      </c>
      <c r="BX22" s="119">
        <f ca="1">(Dashboard!$C$7*'Equity and Bond Returns'!CJ22)+(Dashboard!$C$8*'Equity and Bond Returns'!GH22)</f>
        <v>-2.92613341728351E-2</v>
      </c>
      <c r="BY22" s="119">
        <f ca="1">(Dashboard!$C$7*'Equity and Bond Returns'!CK22)+(Dashboard!$C$8*'Equity and Bond Returns'!GI22)</f>
        <v>0.10270555516591592</v>
      </c>
      <c r="BZ22" s="119">
        <f ca="1">(Dashboard!$C$7*'Equity and Bond Returns'!CL22)+(Dashboard!$C$8*'Equity and Bond Returns'!GJ22)</f>
        <v>7.3487430535176299E-2</v>
      </c>
      <c r="CA22" s="119">
        <f ca="1">(Dashboard!$C$7*'Equity and Bond Returns'!CM22)+(Dashboard!$C$8*'Equity and Bond Returns'!GK22)</f>
        <v>1.5111976354536968E-2</v>
      </c>
      <c r="CB22" s="119">
        <f ca="1">(Dashboard!$C$7*'Equity and Bond Returns'!CN22)+(Dashboard!$C$8*'Equity and Bond Returns'!GL22)</f>
        <v>0.30130439746054871</v>
      </c>
      <c r="CC22" s="119">
        <f ca="1">(Dashboard!$C$7*'Equity and Bond Returns'!CO22)+(Dashboard!$C$8*'Equity and Bond Returns'!GM22)</f>
        <v>4.6286817374096123E-2</v>
      </c>
      <c r="CD22" s="119">
        <f ca="1">(Dashboard!$C$7*'Equity and Bond Returns'!CP22)+(Dashboard!$C$8*'Equity and Bond Returns'!GN22)</f>
        <v>0.18875378424238548</v>
      </c>
      <c r="CE22" s="119">
        <f ca="1">(Dashboard!$C$7*'Equity and Bond Returns'!CQ22)+(Dashboard!$C$8*'Equity and Bond Returns'!GO22)</f>
        <v>0.16248712424938239</v>
      </c>
      <c r="CF22" s="119">
        <f ca="1">(Dashboard!$C$7*'Equity and Bond Returns'!CR22)+(Dashboard!$C$8*'Equity and Bond Returns'!GP22)</f>
        <v>0.22019501673818273</v>
      </c>
      <c r="CG22" s="119">
        <f ca="1">(Dashboard!$C$7*'Equity and Bond Returns'!CS22)+(Dashboard!$C$8*'Equity and Bond Returns'!GQ22)</f>
        <v>-0.17735494867501891</v>
      </c>
      <c r="CH22" s="119">
        <f ca="1">(Dashboard!$C$7*'Equity and Bond Returns'!CT22)+(Dashboard!$C$8*'Equity and Bond Returns'!GR22)</f>
        <v>2.9394356295339118E-3</v>
      </c>
      <c r="CI22" s="119">
        <f ca="1">(Dashboard!$C$7*'Equity and Bond Returns'!CU22)+(Dashboard!$C$8*'Equity and Bond Returns'!GS22)</f>
        <v>-2.2622495473667983E-2</v>
      </c>
      <c r="CJ22" s="119">
        <f ca="1">(Dashboard!$C$7*'Equity and Bond Returns'!CV22)+(Dashboard!$C$8*'Equity and Bond Returns'!GT22)</f>
        <v>6.8602952219943197E-2</v>
      </c>
      <c r="CK22" s="119">
        <f ca="1">(Dashboard!$C$7*'Equity and Bond Returns'!CW22)+(Dashboard!$C$8*'Equity and Bond Returns'!GU22)</f>
        <v>1.1330951948052233E-2</v>
      </c>
      <c r="CL22" s="119">
        <f ca="1">(Dashboard!$C$7*'Equity and Bond Returns'!CX22)+(Dashboard!$C$8*'Equity and Bond Returns'!GV22)</f>
        <v>2.2349503635665999E-3</v>
      </c>
      <c r="CM22" s="119">
        <f ca="1">(Dashboard!$C$7*'Equity and Bond Returns'!CY22)+(Dashboard!$C$8*'Equity and Bond Returns'!GW22)</f>
        <v>0.23770938592935126</v>
      </c>
      <c r="CN22" s="119">
        <f ca="1">(Dashboard!$C$7*'Equity and Bond Returns'!CZ22)+(Dashboard!$C$8*'Equity and Bond Returns'!GX22)</f>
        <v>-0.14189364959141029</v>
      </c>
      <c r="CO22" s="119">
        <f ca="1">(Dashboard!$C$7*'Equity and Bond Returns'!DA22)+(Dashboard!$C$8*'Equity and Bond Returns'!GY22)</f>
        <v>0.12539391331396604</v>
      </c>
      <c r="CP22" s="119">
        <f ca="1">(Dashboard!$C$7*'Equity and Bond Returns'!DB22)+(Dashboard!$C$8*'Equity and Bond Returns'!GZ22)</f>
        <v>-9.7073103402335492E-2</v>
      </c>
      <c r="CQ22" s="119">
        <f ca="1">(Dashboard!$C$7*'Equity and Bond Returns'!DC22)+(Dashboard!$C$8*'Equity and Bond Returns'!HA22)</f>
        <v>5.5026627099681043E-2</v>
      </c>
      <c r="CR22" s="119">
        <f ca="1">(Dashboard!$C$7*'Equity and Bond Returns'!DD22)+(Dashboard!$C$8*'Equity and Bond Returns'!HB22)</f>
        <v>8.2917736683142382E-2</v>
      </c>
      <c r="CS22" s="119">
        <f ca="1">(Dashboard!$C$7*'Equity and Bond Returns'!DE22)+(Dashboard!$C$8*'Equity and Bond Returns'!HC22)</f>
        <v>0.10231401797616088</v>
      </c>
      <c r="CT22" s="119">
        <f ca="1">(Dashboard!$C$7*'Equity and Bond Returns'!DF22)+(Dashboard!$C$8*'Equity and Bond Returns'!HD22)</f>
        <v>1.3600202030777574E-2</v>
      </c>
      <c r="CU22" s="119">
        <f ca="1">(Dashboard!$C$7*'Equity and Bond Returns'!DG22)+(Dashboard!$C$8*'Equity and Bond Returns'!HE22)</f>
        <v>7.9770921158335548E-2</v>
      </c>
      <c r="CV22" s="119">
        <f ca="1">(Dashboard!$C$7*'Equity and Bond Returns'!DH22)+(Dashboard!$C$8*'Equity and Bond Returns'!HF22)</f>
        <v>0.28601091958691593</v>
      </c>
      <c r="CW22" s="119">
        <f ca="1">(Dashboard!$C$7*'Equity and Bond Returns'!DI22)+(Dashboard!$C$8*'Equity and Bond Returns'!HG22)</f>
        <v>-5.1619701326181142E-2</v>
      </c>
      <c r="CY22" s="147">
        <f t="shared" si="5"/>
        <v>71</v>
      </c>
      <c r="CZ22" s="147">
        <v>21</v>
      </c>
      <c r="DA22" s="126">
        <f ca="1">MAX(DA21*(1+B22)-(Dashboard!$C$11)/(1-Dashboard!$C$17)*((1+Dashboard!$C$12)^$CZ22),0)</f>
        <v>4213458.4766561566</v>
      </c>
      <c r="DB22" s="126">
        <f ca="1">MAX(DB21*(1+C22)-(Dashboard!$C$11)/(1-Dashboard!$C$17)*((1+Dashboard!$C$12)^$CZ22),0)</f>
        <v>0</v>
      </c>
      <c r="DC22" s="126">
        <f ca="1">MAX(DC21*(1+D22)-(Dashboard!$C$11)/(1-Dashboard!$C$17)*((1+Dashboard!$C$12)^$CZ22),0)</f>
        <v>1989933.9203606136</v>
      </c>
      <c r="DD22" s="126">
        <f ca="1">MAX(DD21*(1+E22)-(Dashboard!$C$11)/(1-Dashboard!$C$17)*((1+Dashboard!$C$12)^$CZ22),0)</f>
        <v>514523.09162830998</v>
      </c>
      <c r="DE22" s="126">
        <f ca="1">MAX(DE21*(1+F22)-(Dashboard!$C$11)/(1-Dashboard!$C$17)*((1+Dashboard!$C$12)^$CZ22),0)</f>
        <v>1795802.2067285439</v>
      </c>
      <c r="DF22" s="126">
        <f ca="1">MAX(DF21*(1+G22)-(Dashboard!$C$11)/(1-Dashboard!$C$17)*((1+Dashboard!$C$12)^$CZ22),0)</f>
        <v>3139378.2774549178</v>
      </c>
      <c r="DG22" s="126">
        <f ca="1">MAX(DG21*(1+H22)-(Dashboard!$C$11)/(1-Dashboard!$C$17)*((1+Dashboard!$C$12)^$CZ22),0)</f>
        <v>194781.51115275803</v>
      </c>
      <c r="DH22" s="126">
        <f ca="1">MAX(DH21*(1+I22)-(Dashboard!$C$11)/(1-Dashboard!$C$17)*((1+Dashboard!$C$12)^$CZ22),0)</f>
        <v>3753825.2732525719</v>
      </c>
      <c r="DI22" s="126">
        <f ca="1">MAX(DI21*(1+J22)-(Dashboard!$C$11)/(1-Dashboard!$C$17)*((1+Dashboard!$C$12)^$CZ22),0)</f>
        <v>1467445.981255549</v>
      </c>
      <c r="DJ22" s="126">
        <f ca="1">MAX(DJ21*(1+K22)-(Dashboard!$C$11)/(1-Dashboard!$C$17)*((1+Dashboard!$C$12)^$CZ22),0)</f>
        <v>2802691.3616955737</v>
      </c>
      <c r="DK22" s="126">
        <f ca="1">MAX(DK21*(1+L22)-(Dashboard!$C$11)/(1-Dashboard!$C$17)*((1+Dashboard!$C$12)^$CZ22),0)</f>
        <v>3979842.1472906074</v>
      </c>
      <c r="DL22" s="126">
        <f ca="1">MAX(DL21*(1+M22)-(Dashboard!$C$11)/(1-Dashboard!$C$17)*((1+Dashboard!$C$12)^$CZ22),0)</f>
        <v>810087.94941321888</v>
      </c>
      <c r="DM22" s="126">
        <f ca="1">MAX(DM21*(1+N22)-(Dashboard!$C$11)/(1-Dashboard!$C$17)*((1+Dashboard!$C$12)^$CZ22),0)</f>
        <v>1843299.0979669795</v>
      </c>
      <c r="DN22" s="126">
        <f ca="1">MAX(DN21*(1+O22)-(Dashboard!$C$11)/(1-Dashboard!$C$17)*((1+Dashboard!$C$12)^$CZ22),0)</f>
        <v>13410884.153136583</v>
      </c>
      <c r="DO22" s="126">
        <f ca="1">MAX(DO21*(1+P22)-(Dashboard!$C$11)/(1-Dashboard!$C$17)*((1+Dashboard!$C$12)^$CZ22),0)</f>
        <v>1768480.9214628376</v>
      </c>
      <c r="DP22" s="126">
        <f ca="1">MAX(DP21*(1+Q22)-(Dashboard!$C$11)/(1-Dashboard!$C$17)*((1+Dashboard!$C$12)^$CZ22),0)</f>
        <v>968021.81585519353</v>
      </c>
      <c r="DQ22" s="126">
        <f ca="1">MAX(DQ21*(1+R22)-(Dashboard!$C$11)/(1-Dashboard!$C$17)*((1+Dashboard!$C$12)^$CZ22),0)</f>
        <v>2534677.4101895778</v>
      </c>
      <c r="DR22" s="126">
        <f ca="1">MAX(DR21*(1+S22)-(Dashboard!$C$11)/(1-Dashboard!$C$17)*((1+Dashboard!$C$12)^$CZ22),0)</f>
        <v>3439902.0056847315</v>
      </c>
      <c r="DS22" s="126">
        <f ca="1">MAX(DS21*(1+T22)-(Dashboard!$C$11)/(1-Dashboard!$C$17)*((1+Dashboard!$C$12)^$CZ22),0)</f>
        <v>743122.32497708208</v>
      </c>
      <c r="DT22" s="126">
        <f ca="1">MAX(DT21*(1+U22)-(Dashboard!$C$11)/(1-Dashboard!$C$17)*((1+Dashboard!$C$12)^$CZ22),0)</f>
        <v>816847.16291512514</v>
      </c>
      <c r="DU22" s="126">
        <f ca="1">MAX(DU21*(1+V22)-(Dashboard!$C$11)/(1-Dashboard!$C$17)*((1+Dashboard!$C$12)^$CZ22),0)</f>
        <v>1951878.0835112631</v>
      </c>
      <c r="DV22" s="126">
        <f ca="1">MAX(DV21*(1+W22)-(Dashboard!$C$11)/(1-Dashboard!$C$17)*((1+Dashboard!$C$12)^$CZ22),0)</f>
        <v>5064048.8997353492</v>
      </c>
      <c r="DW22" s="126">
        <f ca="1">MAX(DW21*(1+X22)-(Dashboard!$C$11)/(1-Dashboard!$C$17)*((1+Dashboard!$C$12)^$CZ22),0)</f>
        <v>2024110.8449550916</v>
      </c>
      <c r="DX22" s="126">
        <f ca="1">MAX(DX21*(1+Y22)-(Dashboard!$C$11)/(1-Dashboard!$C$17)*((1+Dashboard!$C$12)^$CZ22),0)</f>
        <v>953374.52461090626</v>
      </c>
      <c r="DY22" s="126">
        <f ca="1">MAX(DY21*(1+Z22)-(Dashboard!$C$11)/(1-Dashboard!$C$17)*((1+Dashboard!$C$12)^$CZ22),0)</f>
        <v>4274316.0761231054</v>
      </c>
      <c r="DZ22" s="126">
        <f ca="1">MAX(DZ21*(1+AA22)-(Dashboard!$C$11)/(1-Dashboard!$C$17)*((1+Dashboard!$C$12)^$CZ22),0)</f>
        <v>1304086.7384355937</v>
      </c>
      <c r="EA22" s="126">
        <f ca="1">MAX(EA21*(1+AB22)-(Dashboard!$C$11)/(1-Dashboard!$C$17)*((1+Dashboard!$C$12)^$CZ22),0)</f>
        <v>892189.76246025739</v>
      </c>
      <c r="EB22" s="126">
        <f ca="1">MAX(EB21*(1+AC22)-(Dashboard!$C$11)/(1-Dashboard!$C$17)*((1+Dashboard!$C$12)^$CZ22),0)</f>
        <v>3366080.7694753795</v>
      </c>
      <c r="EC22" s="126">
        <f ca="1">MAX(EC21*(1+AD22)-(Dashboard!$C$11)/(1-Dashboard!$C$17)*((1+Dashboard!$C$12)^$CZ22),0)</f>
        <v>2409763.2910055728</v>
      </c>
      <c r="ED22" s="126">
        <f ca="1">MAX(ED21*(1+AE22)-(Dashboard!$C$11)/(1-Dashboard!$C$17)*((1+Dashboard!$C$12)^$CZ22),0)</f>
        <v>1577227.7272811872</v>
      </c>
      <c r="EE22" s="126">
        <f ca="1">MAX(EE21*(1+AF22)-(Dashboard!$C$11)/(1-Dashboard!$C$17)*((1+Dashboard!$C$12)^$CZ22),0)</f>
        <v>3790622.9323371686</v>
      </c>
      <c r="EF22" s="126">
        <f ca="1">MAX(EF21*(1+AG22)-(Dashboard!$C$11)/(1-Dashboard!$C$17)*((1+Dashboard!$C$12)^$CZ22),0)</f>
        <v>632480.07998163905</v>
      </c>
      <c r="EG22" s="126">
        <f ca="1">MAX(EG21*(1+AH22)-(Dashboard!$C$11)/(1-Dashboard!$C$17)*((1+Dashboard!$C$12)^$CZ22),0)</f>
        <v>2618876.558408008</v>
      </c>
      <c r="EH22" s="126">
        <f ca="1">MAX(EH21*(1+AI22)-(Dashboard!$C$11)/(1-Dashboard!$C$17)*((1+Dashboard!$C$12)^$CZ22),0)</f>
        <v>1907544.5541893332</v>
      </c>
      <c r="EI22" s="126">
        <f ca="1">MAX(EI21*(1+AJ22)-(Dashboard!$C$11)/(1-Dashboard!$C$17)*((1+Dashboard!$C$12)^$CZ22),0)</f>
        <v>306871.01082818781</v>
      </c>
      <c r="EJ22" s="126">
        <f ca="1">MAX(EJ21*(1+AK22)-(Dashboard!$C$11)/(1-Dashboard!$C$17)*((1+Dashboard!$C$12)^$CZ22),0)</f>
        <v>1269406.598196957</v>
      </c>
      <c r="EK22" s="126">
        <f ca="1">MAX(EK21*(1+AL22)-(Dashboard!$C$11)/(1-Dashboard!$C$17)*((1+Dashboard!$C$12)^$CZ22),0)</f>
        <v>3062313.5398256313</v>
      </c>
      <c r="EL22" s="126">
        <f ca="1">MAX(EL21*(1+AM22)-(Dashboard!$C$11)/(1-Dashboard!$C$17)*((1+Dashboard!$C$12)^$CZ22),0)</f>
        <v>831912.77599760692</v>
      </c>
      <c r="EM22" s="126">
        <f ca="1">MAX(EM21*(1+AN22)-(Dashboard!$C$11)/(1-Dashboard!$C$17)*((1+Dashboard!$C$12)^$CZ22),0)</f>
        <v>1911016.2429916819</v>
      </c>
      <c r="EN22" s="126">
        <f ca="1">MAX(EN21*(1+AO22)-(Dashboard!$C$11)/(1-Dashboard!$C$17)*((1+Dashboard!$C$12)^$CZ22),0)</f>
        <v>2198599.92181877</v>
      </c>
      <c r="EO22" s="126">
        <f ca="1">MAX(EO21*(1+AP22)-(Dashboard!$C$11)/(1-Dashboard!$C$17)*((1+Dashboard!$C$12)^$CZ22),0)</f>
        <v>197600.53086656425</v>
      </c>
      <c r="EP22" s="126">
        <f ca="1">MAX(EP21*(1+AQ22)-(Dashboard!$C$11)/(1-Dashboard!$C$17)*((1+Dashboard!$C$12)^$CZ22),0)</f>
        <v>1089075.9345792909</v>
      </c>
      <c r="EQ22" s="126">
        <f ca="1">MAX(EQ21*(1+AR22)-(Dashboard!$C$11)/(1-Dashboard!$C$17)*((1+Dashboard!$C$12)^$CZ22),0)</f>
        <v>1010365.0777733836</v>
      </c>
      <c r="ER22" s="126">
        <f ca="1">MAX(ER21*(1+AS22)-(Dashboard!$C$11)/(1-Dashboard!$C$17)*((1+Dashboard!$C$12)^$CZ22),0)</f>
        <v>188586.20950907934</v>
      </c>
      <c r="ES22" s="126">
        <f ca="1">MAX(ES21*(1+AT22)-(Dashboard!$C$11)/(1-Dashboard!$C$17)*((1+Dashboard!$C$12)^$CZ22),0)</f>
        <v>4878437.738527419</v>
      </c>
      <c r="ET22" s="126">
        <f ca="1">MAX(ET21*(1+AU22)-(Dashboard!$C$11)/(1-Dashboard!$C$17)*((1+Dashboard!$C$12)^$CZ22),0)</f>
        <v>936439.59615451621</v>
      </c>
      <c r="EU22" s="126">
        <f ca="1">MAX(EU21*(1+AV22)-(Dashboard!$C$11)/(1-Dashboard!$C$17)*((1+Dashboard!$C$12)^$CZ22),0)</f>
        <v>1696317.3008659992</v>
      </c>
      <c r="EV22" s="126">
        <f ca="1">MAX(EV21*(1+AW22)-(Dashboard!$C$11)/(1-Dashboard!$C$17)*((1+Dashboard!$C$12)^$CZ22),0)</f>
        <v>3695126.8880781652</v>
      </c>
      <c r="EW22" s="126">
        <f ca="1">MAX(EW21*(1+AX22)-(Dashboard!$C$11)/(1-Dashboard!$C$17)*((1+Dashboard!$C$12)^$CZ22),0)</f>
        <v>1724598.9502843141</v>
      </c>
      <c r="EX22" s="126">
        <f ca="1">MAX(EX21*(1+AY22)-(Dashboard!$C$11)/(1-Dashboard!$C$17)*((1+Dashboard!$C$12)^$CZ22),0)</f>
        <v>1750751.6120919944</v>
      </c>
      <c r="EY22" s="126">
        <f ca="1">MAX(EY21*(1+AZ22)-(Dashboard!$C$11)/(1-Dashboard!$C$17)*((1+Dashboard!$C$12)^$CZ22),0)</f>
        <v>4123536.9394320813</v>
      </c>
      <c r="EZ22" s="126">
        <f ca="1">MAX(EZ21*(1+BA22)-(Dashboard!$C$11)/(1-Dashboard!$C$17)*((1+Dashboard!$C$12)^$CZ22),0)</f>
        <v>1386090.4947366051</v>
      </c>
      <c r="FA22" s="126">
        <f ca="1">MAX(FA21*(1+BB22)-(Dashboard!$C$11)/(1-Dashboard!$C$17)*((1+Dashboard!$C$12)^$CZ22),0)</f>
        <v>5157311.921799548</v>
      </c>
      <c r="FB22" s="126">
        <f ca="1">MAX(FB21*(1+BC22)-(Dashboard!$C$11)/(1-Dashboard!$C$17)*((1+Dashboard!$C$12)^$CZ22),0)</f>
        <v>891770.88837504725</v>
      </c>
      <c r="FC22" s="126">
        <f ca="1">MAX(FC21*(1+BD22)-(Dashboard!$C$11)/(1-Dashboard!$C$17)*((1+Dashboard!$C$12)^$CZ22),0)</f>
        <v>4566804.1656876272</v>
      </c>
      <c r="FD22" s="126">
        <f ca="1">MAX(FD21*(1+BE22)-(Dashboard!$C$11)/(1-Dashboard!$C$17)*((1+Dashboard!$C$12)^$CZ22),0)</f>
        <v>3702240.5692409026</v>
      </c>
      <c r="FE22" s="126">
        <f ca="1">MAX(FE21*(1+BF22)-(Dashboard!$C$11)/(1-Dashboard!$C$17)*((1+Dashboard!$C$12)^$CZ22),0)</f>
        <v>2436538.4510357087</v>
      </c>
      <c r="FF22" s="126">
        <f ca="1">MAX(FF21*(1+BG22)-(Dashboard!$C$11)/(1-Dashboard!$C$17)*((1+Dashboard!$C$12)^$CZ22),0)</f>
        <v>1525673.587007557</v>
      </c>
      <c r="FG22" s="126">
        <f ca="1">MAX(FG21*(1+BH22)-(Dashboard!$C$11)/(1-Dashboard!$C$17)*((1+Dashboard!$C$12)^$CZ22),0)</f>
        <v>1326358.9751096324</v>
      </c>
      <c r="FH22" s="126">
        <f ca="1">MAX(FH21*(1+BI22)-(Dashboard!$C$11)/(1-Dashboard!$C$17)*((1+Dashboard!$C$12)^$CZ22),0)</f>
        <v>4012961.7163729081</v>
      </c>
      <c r="FI22" s="126">
        <f ca="1">MAX(FI21*(1+BJ22)-(Dashboard!$C$11)/(1-Dashboard!$C$17)*((1+Dashboard!$C$12)^$CZ22),0)</f>
        <v>2819707.0896311626</v>
      </c>
      <c r="FJ22" s="126">
        <f ca="1">MAX(FJ21*(1+BK22)-(Dashboard!$C$11)/(1-Dashboard!$C$17)*((1+Dashboard!$C$12)^$CZ22),0)</f>
        <v>1178752.6631151547</v>
      </c>
      <c r="FK22" s="126">
        <f ca="1">MAX(FK21*(1+BL22)-(Dashboard!$C$11)/(1-Dashboard!$C$17)*((1+Dashboard!$C$12)^$CZ22),0)</f>
        <v>1913071.1991443606</v>
      </c>
      <c r="FL22" s="126">
        <f ca="1">MAX(FL21*(1+BM22)-(Dashboard!$C$11)/(1-Dashboard!$C$17)*((1+Dashboard!$C$12)^$CZ22),0)</f>
        <v>1347591.5310327488</v>
      </c>
      <c r="FM22" s="126">
        <f ca="1">MAX(FM21*(1+BN22)-(Dashboard!$C$11)/(1-Dashboard!$C$17)*((1+Dashboard!$C$12)^$CZ22),0)</f>
        <v>2498304.3443539455</v>
      </c>
      <c r="FN22" s="126">
        <f ca="1">MAX(FN21*(1+BO22)-(Dashboard!$C$11)/(1-Dashboard!$C$17)*((1+Dashboard!$C$12)^$CZ22),0)</f>
        <v>250778.60630799836</v>
      </c>
      <c r="FO22" s="126">
        <f ca="1">MAX(FO21*(1+BP22)-(Dashboard!$C$11)/(1-Dashboard!$C$17)*((1+Dashboard!$C$12)^$CZ22),0)</f>
        <v>1553272.0662412292</v>
      </c>
      <c r="FP22" s="126">
        <f ca="1">MAX(FP21*(1+BQ22)-(Dashboard!$C$11)/(1-Dashboard!$C$17)*((1+Dashboard!$C$12)^$CZ22),0)</f>
        <v>1539221.8204261083</v>
      </c>
      <c r="FQ22" s="126">
        <f ca="1">MAX(FQ21*(1+BR22)-(Dashboard!$C$11)/(1-Dashboard!$C$17)*((1+Dashboard!$C$12)^$CZ22),0)</f>
        <v>1481971.6699680176</v>
      </c>
      <c r="FR22" s="126">
        <f ca="1">MAX(FR21*(1+BS22)-(Dashboard!$C$11)/(1-Dashboard!$C$17)*((1+Dashboard!$C$12)^$CZ22),0)</f>
        <v>3682630.9460263839</v>
      </c>
      <c r="FS22" s="126">
        <f ca="1">MAX(FS21*(1+BT22)-(Dashboard!$C$11)/(1-Dashboard!$C$17)*((1+Dashboard!$C$12)^$CZ22),0)</f>
        <v>3900381.953081368</v>
      </c>
      <c r="FT22" s="126">
        <f ca="1">MAX(FT21*(1+BU22)-(Dashboard!$C$11)/(1-Dashboard!$C$17)*((1+Dashboard!$C$12)^$CZ22),0)</f>
        <v>615301.93297408719</v>
      </c>
      <c r="FU22" s="126">
        <f ca="1">MAX(FU21*(1+BV22)-(Dashboard!$C$11)/(1-Dashboard!$C$17)*((1+Dashboard!$C$12)^$CZ22),0)</f>
        <v>1691998.8984843828</v>
      </c>
      <c r="FV22" s="126">
        <f ca="1">MAX(FV21*(1+BW22)-(Dashboard!$C$11)/(1-Dashboard!$C$17)*((1+Dashboard!$C$12)^$CZ22),0)</f>
        <v>1349972.1868540132</v>
      </c>
      <c r="FW22" s="126">
        <f ca="1">MAX(FW21*(1+BX22)-(Dashboard!$C$11)/(1-Dashboard!$C$17)*((1+Dashboard!$C$12)^$CZ22),0)</f>
        <v>1243510.0416684095</v>
      </c>
      <c r="FX22" s="126">
        <f ca="1">MAX(FX21*(1+BY22)-(Dashboard!$C$11)/(1-Dashboard!$C$17)*((1+Dashboard!$C$12)^$CZ22),0)</f>
        <v>590549.96517099603</v>
      </c>
      <c r="FY22" s="126">
        <f ca="1">MAX(FY21*(1+BZ22)-(Dashboard!$C$11)/(1-Dashboard!$C$17)*((1+Dashboard!$C$12)^$CZ22),0)</f>
        <v>633402.13162989484</v>
      </c>
      <c r="FZ22" s="126">
        <f ca="1">MAX(FZ21*(1+CA22)-(Dashboard!$C$11)/(1-Dashboard!$C$17)*((1+Dashboard!$C$12)^$CZ22),0)</f>
        <v>2771833.3366270508</v>
      </c>
      <c r="GA22" s="126">
        <f ca="1">MAX(GA21*(1+CB22)-(Dashboard!$C$11)/(1-Dashboard!$C$17)*((1+Dashboard!$C$12)^$CZ22),0)</f>
        <v>3003162.0797389713</v>
      </c>
      <c r="GB22" s="126">
        <f ca="1">MAX(GB21*(1+CC22)-(Dashboard!$C$11)/(1-Dashboard!$C$17)*((1+Dashboard!$C$12)^$CZ22),0)</f>
        <v>1074123.3966787634</v>
      </c>
      <c r="GC22" s="126">
        <f ca="1">MAX(GC21*(1+CD22)-(Dashboard!$C$11)/(1-Dashboard!$C$17)*((1+Dashboard!$C$12)^$CZ22),0)</f>
        <v>3021006.5302598495</v>
      </c>
      <c r="GD22" s="126">
        <f ca="1">MAX(GD21*(1+CE22)-(Dashboard!$C$11)/(1-Dashboard!$C$17)*((1+Dashboard!$C$12)^$CZ22),0)</f>
        <v>4771165.1436310224</v>
      </c>
      <c r="GE22" s="126">
        <f ca="1">MAX(GE21*(1+CF22)-(Dashboard!$C$11)/(1-Dashboard!$C$17)*((1+Dashboard!$C$12)^$CZ22),0)</f>
        <v>1216654.2748164448</v>
      </c>
      <c r="GF22" s="126">
        <f ca="1">MAX(GF21*(1+CG22)-(Dashboard!$C$11)/(1-Dashboard!$C$17)*((1+Dashboard!$C$12)^$CZ22),0)</f>
        <v>2543648.1904046279</v>
      </c>
      <c r="GG22" s="126">
        <f ca="1">MAX(GG21*(1+CH22)-(Dashboard!$C$11)/(1-Dashboard!$C$17)*((1+Dashboard!$C$12)^$CZ22),0)</f>
        <v>661620.30327652569</v>
      </c>
      <c r="GH22" s="126">
        <f ca="1">MAX(GH21*(1+CI22)-(Dashboard!$C$11)/(1-Dashboard!$C$17)*((1+Dashboard!$C$12)^$CZ22),0)</f>
        <v>1031978.1600135267</v>
      </c>
      <c r="GI22" s="126">
        <f ca="1">MAX(GI21*(1+CJ22)-(Dashboard!$C$11)/(1-Dashboard!$C$17)*((1+Dashboard!$C$12)^$CZ22),0)</f>
        <v>825365.40634817199</v>
      </c>
      <c r="GJ22" s="126">
        <f ca="1">MAX(GJ21*(1+CK22)-(Dashboard!$C$11)/(1-Dashboard!$C$17)*((1+Dashboard!$C$12)^$CZ22),0)</f>
        <v>1859412.8225324352</v>
      </c>
      <c r="GK22" s="126">
        <f ca="1">MAX(GK21*(1+CL22)-(Dashboard!$C$11)/(1-Dashboard!$C$17)*((1+Dashboard!$C$12)^$CZ22),0)</f>
        <v>4369270.8038650006</v>
      </c>
      <c r="GL22" s="126">
        <f ca="1">MAX(GL21*(1+CM22)-(Dashboard!$C$11)/(1-Dashboard!$C$17)*((1+Dashboard!$C$12)^$CZ22),0)</f>
        <v>2249707.3510543946</v>
      </c>
      <c r="GM22" s="126">
        <f ca="1">MAX(GM21*(1+CN22)-(Dashboard!$C$11)/(1-Dashboard!$C$17)*((1+Dashboard!$C$12)^$CZ22),0)</f>
        <v>486617.39884415531</v>
      </c>
      <c r="GN22" s="126">
        <f ca="1">MAX(GN21*(1+CO22)-(Dashboard!$C$11)/(1-Dashboard!$C$17)*((1+Dashboard!$C$12)^$CZ22),0)</f>
        <v>0</v>
      </c>
      <c r="GO22" s="126">
        <f ca="1">MAX(GO21*(1+CP22)-(Dashboard!$C$11)/(1-Dashboard!$C$17)*((1+Dashboard!$C$12)^$CZ22),0)</f>
        <v>573136.82696261583</v>
      </c>
      <c r="GP22" s="126">
        <f ca="1">MAX(GP21*(1+CQ22)-(Dashboard!$C$11)/(1-Dashboard!$C$17)*((1+Dashboard!$C$12)^$CZ22),0)</f>
        <v>930451.49274273496</v>
      </c>
      <c r="GQ22" s="126">
        <f ca="1">MAX(GQ21*(1+CR22)-(Dashboard!$C$11)/(1-Dashboard!$C$17)*((1+Dashboard!$C$12)^$CZ22),0)</f>
        <v>301546.7377459798</v>
      </c>
      <c r="GR22" s="126">
        <f ca="1">MAX(GR21*(1+CS22)-(Dashboard!$C$11)/(1-Dashboard!$C$17)*((1+Dashboard!$C$12)^$CZ22),0)</f>
        <v>793325.08005164971</v>
      </c>
      <c r="GS22" s="126">
        <f ca="1">MAX(GS21*(1+CT22)-(Dashboard!$C$11)/(1-Dashboard!$C$17)*((1+Dashboard!$C$12)^$CZ22),0)</f>
        <v>2057287.4317515499</v>
      </c>
      <c r="GT22" s="126">
        <f ca="1">MAX(GT21*(1+CU22)-(Dashboard!$C$11)/(1-Dashboard!$C$17)*((1+Dashboard!$C$12)^$CZ22),0)</f>
        <v>6319775.8648821842</v>
      </c>
      <c r="GU22" s="126">
        <f ca="1">MAX(GU21*(1+CV22)-(Dashboard!$C$11)/(1-Dashboard!$C$17)*((1+Dashboard!$C$12)^$CZ22),0)</f>
        <v>944999.76856362808</v>
      </c>
      <c r="GV22" s="126">
        <f ca="1">MAX(GV21*(1+CW22)-(Dashboard!$C$11)/(1-Dashboard!$C$17)*((1+Dashboard!$C$12)^$CZ22),0)</f>
        <v>466361.25101214519</v>
      </c>
      <c r="GW22" s="115">
        <f t="shared" si="4"/>
        <v>71</v>
      </c>
      <c r="GX22" s="130">
        <f t="shared" ca="1" si="2"/>
        <v>98</v>
      </c>
      <c r="HC22" s="130">
        <f t="shared" si="0"/>
        <v>71</v>
      </c>
      <c r="HD22" s="137">
        <f t="shared" ref="HD22:HF41" ca="1" si="6">PERCENTILE($CY22:$GV22,HD$1)</f>
        <v>891875.60689634981</v>
      </c>
      <c r="HE22" s="137">
        <f t="shared" ca="1" si="6"/>
        <v>1634613.312882785</v>
      </c>
      <c r="HF22" s="137">
        <f t="shared" ca="1" si="6"/>
        <v>2815453.1576472651</v>
      </c>
    </row>
    <row r="23" spans="1:214" ht="16">
      <c r="A23" s="145">
        <f t="shared" si="3"/>
        <v>72</v>
      </c>
      <c r="B23" s="119">
        <f ca="1">(Dashboard!$C$7*'Equity and Bond Returns'!N23)+(Dashboard!$C$8*'Equity and Bond Returns'!DL23)</f>
        <v>0.2156585122442343</v>
      </c>
      <c r="C23" s="119">
        <f ca="1">(Dashboard!$C$7*'Equity and Bond Returns'!O23)+(Dashboard!$C$8*'Equity and Bond Returns'!DM23)</f>
        <v>-4.4464222985580275E-2</v>
      </c>
      <c r="D23" s="119">
        <f ca="1">(Dashboard!$C$7*'Equity and Bond Returns'!P23)+(Dashboard!$C$8*'Equity and Bond Returns'!DN23)</f>
        <v>-0.19676435448117074</v>
      </c>
      <c r="E23" s="119">
        <f ca="1">(Dashboard!$C$7*'Equity and Bond Returns'!Q23)+(Dashboard!$C$8*'Equity and Bond Returns'!DO23)</f>
        <v>-2.3970313436926662E-2</v>
      </c>
      <c r="F23" s="119">
        <f ca="1">(Dashboard!$C$7*'Equity and Bond Returns'!R23)+(Dashboard!$C$8*'Equity and Bond Returns'!DP23)</f>
        <v>0.11784634394439159</v>
      </c>
      <c r="G23" s="119">
        <f ca="1">(Dashboard!$C$7*'Equity and Bond Returns'!S23)+(Dashboard!$C$8*'Equity and Bond Returns'!DQ23)</f>
        <v>0.45389052530116969</v>
      </c>
      <c r="H23" s="119">
        <f ca="1">(Dashboard!$C$7*'Equity and Bond Returns'!T23)+(Dashboard!$C$8*'Equity and Bond Returns'!DR23)</f>
        <v>0.18999803415968322</v>
      </c>
      <c r="I23" s="119">
        <f ca="1">(Dashboard!$C$7*'Equity and Bond Returns'!U23)+(Dashboard!$C$8*'Equity and Bond Returns'!DS23)</f>
        <v>0.23753336029454847</v>
      </c>
      <c r="J23" s="119">
        <f ca="1">(Dashboard!$C$7*'Equity and Bond Returns'!V23)+(Dashboard!$C$8*'Equity and Bond Returns'!DT23)</f>
        <v>0.34687372291944435</v>
      </c>
      <c r="K23" s="119">
        <f ca="1">(Dashboard!$C$7*'Equity and Bond Returns'!W23)+(Dashboard!$C$8*'Equity and Bond Returns'!DU23)</f>
        <v>-5.5796546524455849E-2</v>
      </c>
      <c r="L23" s="119">
        <f ca="1">(Dashboard!$C$7*'Equity and Bond Returns'!X23)+(Dashboard!$C$8*'Equity and Bond Returns'!DV23)</f>
        <v>0.15534917885555666</v>
      </c>
      <c r="M23" s="119">
        <f ca="1">(Dashboard!$C$7*'Equity and Bond Returns'!Y23)+(Dashboard!$C$8*'Equity and Bond Returns'!DW23)</f>
        <v>-7.7828386670463073E-2</v>
      </c>
      <c r="N23" s="119">
        <f ca="1">(Dashboard!$C$7*'Equity and Bond Returns'!Z23)+(Dashboard!$C$8*'Equity and Bond Returns'!DX23)</f>
        <v>0.24556456633875218</v>
      </c>
      <c r="O23" s="119">
        <f ca="1">(Dashboard!$C$7*'Equity and Bond Returns'!AA23)+(Dashboard!$C$8*'Equity and Bond Returns'!DY23)</f>
        <v>0.22979739143260319</v>
      </c>
      <c r="P23" s="119">
        <f ca="1">(Dashboard!$C$7*'Equity and Bond Returns'!AB23)+(Dashboard!$C$8*'Equity and Bond Returns'!DZ23)</f>
        <v>4.6182980701776649E-2</v>
      </c>
      <c r="Q23" s="119">
        <f ca="1">(Dashboard!$C$7*'Equity and Bond Returns'!AC23)+(Dashboard!$C$8*'Equity and Bond Returns'!EA23)</f>
        <v>-9.8223492169890077E-3</v>
      </c>
      <c r="R23" s="119">
        <f ca="1">(Dashboard!$C$7*'Equity and Bond Returns'!AD23)+(Dashboard!$C$8*'Equity and Bond Returns'!EB23)</f>
        <v>0.21682057603458355</v>
      </c>
      <c r="S23" s="119">
        <f ca="1">(Dashboard!$C$7*'Equity and Bond Returns'!AE23)+(Dashboard!$C$8*'Equity and Bond Returns'!EC23)</f>
        <v>1.8147929045270569E-2</v>
      </c>
      <c r="T23" s="119">
        <f ca="1">(Dashboard!$C$7*'Equity and Bond Returns'!AF23)+(Dashboard!$C$8*'Equity and Bond Returns'!ED23)</f>
        <v>-9.3646502864828431E-3</v>
      </c>
      <c r="U23" s="119">
        <f ca="1">(Dashboard!$C$7*'Equity and Bond Returns'!AG23)+(Dashboard!$C$8*'Equity and Bond Returns'!EE23)</f>
        <v>6.371541339210765E-2</v>
      </c>
      <c r="V23" s="119">
        <f ca="1">(Dashboard!$C$7*'Equity and Bond Returns'!AH23)+(Dashboard!$C$8*'Equity and Bond Returns'!EF23)</f>
        <v>0.19834850571809132</v>
      </c>
      <c r="W23" s="119">
        <f ca="1">(Dashboard!$C$7*'Equity and Bond Returns'!AI23)+(Dashboard!$C$8*'Equity and Bond Returns'!EG23)</f>
        <v>0.29689040548585444</v>
      </c>
      <c r="X23" s="119">
        <f ca="1">(Dashboard!$C$7*'Equity and Bond Returns'!AJ23)+(Dashboard!$C$8*'Equity and Bond Returns'!EH23)</f>
        <v>0.12210511278992983</v>
      </c>
      <c r="Y23" s="119">
        <f ca="1">(Dashboard!$C$7*'Equity and Bond Returns'!AK23)+(Dashboard!$C$8*'Equity and Bond Returns'!EI23)</f>
        <v>0.20421568753468033</v>
      </c>
      <c r="Z23" s="119">
        <f ca="1">(Dashboard!$C$7*'Equity and Bond Returns'!AL23)+(Dashboard!$C$8*'Equity and Bond Returns'!EJ23)</f>
        <v>3.1311518552926014E-2</v>
      </c>
      <c r="AA23" s="119">
        <f ca="1">(Dashboard!$C$7*'Equity and Bond Returns'!AM23)+(Dashboard!$C$8*'Equity and Bond Returns'!EK23)</f>
        <v>0.23057146348023835</v>
      </c>
      <c r="AB23" s="119">
        <f ca="1">(Dashboard!$C$7*'Equity and Bond Returns'!AN23)+(Dashboard!$C$8*'Equity and Bond Returns'!EL23)</f>
        <v>0.11829673053946194</v>
      </c>
      <c r="AC23" s="119">
        <f ca="1">(Dashboard!$C$7*'Equity and Bond Returns'!AO23)+(Dashboard!$C$8*'Equity and Bond Returns'!EM23)</f>
        <v>-0.16085631938977762</v>
      </c>
      <c r="AD23" s="119">
        <f ca="1">(Dashboard!$C$7*'Equity and Bond Returns'!AP23)+(Dashboard!$C$8*'Equity and Bond Returns'!EN23)</f>
        <v>-9.5969384707220579E-2</v>
      </c>
      <c r="AE23" s="119">
        <f ca="1">(Dashboard!$C$7*'Equity and Bond Returns'!AQ23)+(Dashboard!$C$8*'Equity and Bond Returns'!EO23)</f>
        <v>3.6437327587619993E-2</v>
      </c>
      <c r="AF23" s="119">
        <f ca="1">(Dashboard!$C$7*'Equity and Bond Returns'!AR23)+(Dashboard!$C$8*'Equity and Bond Returns'!EP23)</f>
        <v>3.2787933107981095E-2</v>
      </c>
      <c r="AG23" s="119">
        <f ca="1">(Dashboard!$C$7*'Equity and Bond Returns'!AS23)+(Dashboard!$C$8*'Equity and Bond Returns'!EQ23)</f>
        <v>3.8308901311010814E-2</v>
      </c>
      <c r="AH23" s="119">
        <f ca="1">(Dashboard!$C$7*'Equity and Bond Returns'!AT23)+(Dashboard!$C$8*'Equity and Bond Returns'!ER23)</f>
        <v>-0.16663363199822268</v>
      </c>
      <c r="AI23" s="119">
        <f ca="1">(Dashboard!$C$7*'Equity and Bond Returns'!AU23)+(Dashboard!$C$8*'Equity and Bond Returns'!ES23)</f>
        <v>-4.5081838964659865E-2</v>
      </c>
      <c r="AJ23" s="119">
        <f ca="1">(Dashboard!$C$7*'Equity and Bond Returns'!AV23)+(Dashboard!$C$8*'Equity and Bond Returns'!ET23)</f>
        <v>-9.1856205791243845E-2</v>
      </c>
      <c r="AK23" s="119">
        <f ca="1">(Dashboard!$C$7*'Equity and Bond Returns'!AW23)+(Dashboard!$C$8*'Equity and Bond Returns'!EU23)</f>
        <v>0.29558207226880701</v>
      </c>
      <c r="AL23" s="119">
        <f ca="1">(Dashboard!$C$7*'Equity and Bond Returns'!AX23)+(Dashboard!$C$8*'Equity and Bond Returns'!EV23)</f>
        <v>0.26816490294252521</v>
      </c>
      <c r="AM23" s="119">
        <f ca="1">(Dashboard!$C$7*'Equity and Bond Returns'!AY23)+(Dashboard!$C$8*'Equity and Bond Returns'!EW23)</f>
        <v>0.1564855963925158</v>
      </c>
      <c r="AN23" s="119">
        <f ca="1">(Dashboard!$C$7*'Equity and Bond Returns'!AZ23)+(Dashboard!$C$8*'Equity and Bond Returns'!EX23)</f>
        <v>0.21841286710675983</v>
      </c>
      <c r="AO23" s="119">
        <f ca="1">(Dashboard!$C$7*'Equity and Bond Returns'!BA23)+(Dashboard!$C$8*'Equity and Bond Returns'!EY23)</f>
        <v>-0.12450217266961131</v>
      </c>
      <c r="AP23" s="119">
        <f ca="1">(Dashboard!$C$7*'Equity and Bond Returns'!BB23)+(Dashboard!$C$8*'Equity and Bond Returns'!EZ23)</f>
        <v>-5.9074491873176718E-2</v>
      </c>
      <c r="AQ23" s="119">
        <f ca="1">(Dashboard!$C$7*'Equity and Bond Returns'!BC23)+(Dashboard!$C$8*'Equity and Bond Returns'!FA23)</f>
        <v>6.648270762422781E-2</v>
      </c>
      <c r="AR23" s="119">
        <f ca="1">(Dashboard!$C$7*'Equity and Bond Returns'!BD23)+(Dashboard!$C$8*'Equity and Bond Returns'!FB23)</f>
        <v>0.18213909200988798</v>
      </c>
      <c r="AS23" s="119">
        <f ca="1">(Dashboard!$C$7*'Equity and Bond Returns'!BE23)+(Dashboard!$C$8*'Equity and Bond Returns'!FC23)</f>
        <v>-8.8029342123600696E-2</v>
      </c>
      <c r="AT23" s="119">
        <f ca="1">(Dashboard!$C$7*'Equity and Bond Returns'!BF23)+(Dashboard!$C$8*'Equity and Bond Returns'!FD23)</f>
        <v>8.4128001263177821E-2</v>
      </c>
      <c r="AU23" s="119">
        <f ca="1">(Dashboard!$C$7*'Equity and Bond Returns'!BG23)+(Dashboard!$C$8*'Equity and Bond Returns'!FE23)</f>
        <v>0.2853313015587316</v>
      </c>
      <c r="AV23" s="119">
        <f ca="1">(Dashboard!$C$7*'Equity and Bond Returns'!BH23)+(Dashboard!$C$8*'Equity and Bond Returns'!FF23)</f>
        <v>-0.1358661215454022</v>
      </c>
      <c r="AW23" s="119">
        <f ca="1">(Dashboard!$C$7*'Equity and Bond Returns'!BI23)+(Dashboard!$C$8*'Equity and Bond Returns'!FG23)</f>
        <v>0.14519652572566941</v>
      </c>
      <c r="AX23" s="119">
        <f ca="1">(Dashboard!$C$7*'Equity and Bond Returns'!BJ23)+(Dashboard!$C$8*'Equity and Bond Returns'!FH23)</f>
        <v>5.9278583964572057E-2</v>
      </c>
      <c r="AY23" s="119">
        <f ca="1">(Dashboard!$C$7*'Equity and Bond Returns'!BK23)+(Dashboard!$C$8*'Equity and Bond Returns'!FI23)</f>
        <v>-6.3544070299732455E-3</v>
      </c>
      <c r="AZ23" s="119">
        <f ca="1">(Dashboard!$C$7*'Equity and Bond Returns'!BL23)+(Dashboard!$C$8*'Equity and Bond Returns'!FJ23)</f>
        <v>-0.16227433528779106</v>
      </c>
      <c r="BA23" s="119">
        <f ca="1">(Dashboard!$C$7*'Equity and Bond Returns'!BM23)+(Dashboard!$C$8*'Equity and Bond Returns'!FK23)</f>
        <v>-4.342132094000014E-2</v>
      </c>
      <c r="BB23" s="119">
        <f ca="1">(Dashboard!$C$7*'Equity and Bond Returns'!BN23)+(Dashboard!$C$8*'Equity and Bond Returns'!FL23)</f>
        <v>0.23214351621149582</v>
      </c>
      <c r="BC23" s="119">
        <f ca="1">(Dashboard!$C$7*'Equity and Bond Returns'!BO23)+(Dashboard!$C$8*'Equity and Bond Returns'!FM23)</f>
        <v>0.18621661619882987</v>
      </c>
      <c r="BD23" s="119">
        <f ca="1">(Dashboard!$C$7*'Equity and Bond Returns'!BP23)+(Dashboard!$C$8*'Equity and Bond Returns'!FN23)</f>
        <v>7.5863389519858382E-2</v>
      </c>
      <c r="BE23" s="119">
        <f ca="1">(Dashboard!$C$7*'Equity and Bond Returns'!BQ23)+(Dashboard!$C$8*'Equity and Bond Returns'!FO23)</f>
        <v>0.2081003162525446</v>
      </c>
      <c r="BF23" s="119">
        <f ca="1">(Dashboard!$C$7*'Equity and Bond Returns'!BR23)+(Dashboard!$C$8*'Equity and Bond Returns'!FP23)</f>
        <v>0.35854389604508652</v>
      </c>
      <c r="BG23" s="119">
        <f ca="1">(Dashboard!$C$7*'Equity and Bond Returns'!BS23)+(Dashboard!$C$8*'Equity and Bond Returns'!FQ23)</f>
        <v>-7.2911356115053602E-2</v>
      </c>
      <c r="BH23" s="119">
        <f ca="1">(Dashboard!$C$7*'Equity and Bond Returns'!BT23)+(Dashboard!$C$8*'Equity and Bond Returns'!FR23)</f>
        <v>-6.0195737293360856E-2</v>
      </c>
      <c r="BI23" s="119">
        <f ca="1">(Dashboard!$C$7*'Equity and Bond Returns'!BU23)+(Dashboard!$C$8*'Equity and Bond Returns'!FS23)</f>
        <v>-7.0672849669191878E-2</v>
      </c>
      <c r="BJ23" s="119">
        <f ca="1">(Dashboard!$C$7*'Equity and Bond Returns'!BV23)+(Dashboard!$C$8*'Equity and Bond Returns'!FT23)</f>
        <v>0.23556659956097217</v>
      </c>
      <c r="BK23" s="119">
        <f ca="1">(Dashboard!$C$7*'Equity and Bond Returns'!BW23)+(Dashboard!$C$8*'Equity and Bond Returns'!FU23)</f>
        <v>-7.2343487578714841E-3</v>
      </c>
      <c r="BL23" s="119">
        <f ca="1">(Dashboard!$C$7*'Equity and Bond Returns'!BX23)+(Dashboard!$C$8*'Equity and Bond Returns'!FV23)</f>
        <v>0.20649428170925668</v>
      </c>
      <c r="BM23" s="119">
        <f ca="1">(Dashboard!$C$7*'Equity and Bond Returns'!BY23)+(Dashboard!$C$8*'Equity and Bond Returns'!FW23)</f>
        <v>0.25313028819201011</v>
      </c>
      <c r="BN23" s="119">
        <f ca="1">(Dashboard!$C$7*'Equity and Bond Returns'!BZ23)+(Dashboard!$C$8*'Equity and Bond Returns'!FX23)</f>
        <v>7.9384549493396017E-2</v>
      </c>
      <c r="BO23" s="119">
        <f ca="1">(Dashboard!$C$7*'Equity and Bond Returns'!CA23)+(Dashboard!$C$8*'Equity and Bond Returns'!FY23)</f>
        <v>4.7304275971228084E-2</v>
      </c>
      <c r="BP23" s="119">
        <f ca="1">(Dashboard!$C$7*'Equity and Bond Returns'!CB23)+(Dashboard!$C$8*'Equity and Bond Returns'!FZ23)</f>
        <v>-6.0618433810011786E-2</v>
      </c>
      <c r="BQ23" s="119">
        <f ca="1">(Dashboard!$C$7*'Equity and Bond Returns'!CC23)+(Dashboard!$C$8*'Equity and Bond Returns'!GA23)</f>
        <v>-1.1735921911362447E-2</v>
      </c>
      <c r="BR23" s="119">
        <f ca="1">(Dashboard!$C$7*'Equity and Bond Returns'!CD23)+(Dashboard!$C$8*'Equity and Bond Returns'!GB23)</f>
        <v>-8.5872257421894249E-3</v>
      </c>
      <c r="BS23" s="119">
        <f ca="1">(Dashboard!$C$7*'Equity and Bond Returns'!CE23)+(Dashboard!$C$8*'Equity and Bond Returns'!GC23)</f>
        <v>-0.10839995511807439</v>
      </c>
      <c r="BT23" s="119">
        <f ca="1">(Dashboard!$C$7*'Equity and Bond Returns'!CF23)+(Dashboard!$C$8*'Equity and Bond Returns'!GD23)</f>
        <v>-0.26698470436352556</v>
      </c>
      <c r="BU23" s="119">
        <f ca="1">(Dashboard!$C$7*'Equity and Bond Returns'!CG23)+(Dashboard!$C$8*'Equity and Bond Returns'!GE23)</f>
        <v>9.7912254337722548E-2</v>
      </c>
      <c r="BV23" s="119">
        <f ca="1">(Dashboard!$C$7*'Equity and Bond Returns'!CH23)+(Dashboard!$C$8*'Equity and Bond Returns'!GF23)</f>
        <v>0.10199858925856276</v>
      </c>
      <c r="BW23" s="119">
        <f ca="1">(Dashboard!$C$7*'Equity and Bond Returns'!CI23)+(Dashboard!$C$8*'Equity and Bond Returns'!GG23)</f>
        <v>0.18506460343608638</v>
      </c>
      <c r="BX23" s="119">
        <f ca="1">(Dashboard!$C$7*'Equity and Bond Returns'!CJ23)+(Dashboard!$C$8*'Equity and Bond Returns'!GH23)</f>
        <v>-3.0734363819384984E-2</v>
      </c>
      <c r="BY23" s="119">
        <f ca="1">(Dashboard!$C$7*'Equity and Bond Returns'!CK23)+(Dashboard!$C$8*'Equity and Bond Returns'!GI23)</f>
        <v>1.3873117131113362E-2</v>
      </c>
      <c r="BZ23" s="119">
        <f ca="1">(Dashboard!$C$7*'Equity and Bond Returns'!CL23)+(Dashboard!$C$8*'Equity and Bond Returns'!GJ23)</f>
        <v>6.3329153589960427E-2</v>
      </c>
      <c r="CA23" s="119">
        <f ca="1">(Dashboard!$C$7*'Equity and Bond Returns'!CM23)+(Dashboard!$C$8*'Equity and Bond Returns'!GK23)</f>
        <v>0.15486207067837979</v>
      </c>
      <c r="CB23" s="119">
        <f ca="1">(Dashboard!$C$7*'Equity and Bond Returns'!CN23)+(Dashboard!$C$8*'Equity and Bond Returns'!GL23)</f>
        <v>6.3643863282858218E-2</v>
      </c>
      <c r="CC23" s="119">
        <f ca="1">(Dashboard!$C$7*'Equity and Bond Returns'!CO23)+(Dashboard!$C$8*'Equity and Bond Returns'!GM23)</f>
        <v>-9.2223923861602067E-2</v>
      </c>
      <c r="CD23" s="119">
        <f ca="1">(Dashboard!$C$7*'Equity and Bond Returns'!CP23)+(Dashboard!$C$8*'Equity and Bond Returns'!GN23)</f>
        <v>0.13158146606113832</v>
      </c>
      <c r="CE23" s="119">
        <f ca="1">(Dashboard!$C$7*'Equity and Bond Returns'!CQ23)+(Dashboard!$C$8*'Equity and Bond Returns'!GO23)</f>
        <v>4.9934499553489699E-2</v>
      </c>
      <c r="CF23" s="119">
        <f ca="1">(Dashboard!$C$7*'Equity and Bond Returns'!CR23)+(Dashboard!$C$8*'Equity and Bond Returns'!GP23)</f>
        <v>4.39059440529651E-2</v>
      </c>
      <c r="CG23" s="119">
        <f ca="1">(Dashboard!$C$7*'Equity and Bond Returns'!CS23)+(Dashboard!$C$8*'Equity and Bond Returns'!GQ23)</f>
        <v>7.3134916335586525E-2</v>
      </c>
      <c r="CH23" s="119">
        <f ca="1">(Dashboard!$C$7*'Equity and Bond Returns'!CT23)+(Dashboard!$C$8*'Equity and Bond Returns'!GR23)</f>
        <v>0.24194149526836264</v>
      </c>
      <c r="CI23" s="119">
        <f ca="1">(Dashboard!$C$7*'Equity and Bond Returns'!CU23)+(Dashboard!$C$8*'Equity and Bond Returns'!GS23)</f>
        <v>0.36178632594714888</v>
      </c>
      <c r="CJ23" s="119">
        <f ca="1">(Dashboard!$C$7*'Equity and Bond Returns'!CV23)+(Dashboard!$C$8*'Equity and Bond Returns'!GT23)</f>
        <v>0.33378371644074084</v>
      </c>
      <c r="CK23" s="119">
        <f ca="1">(Dashboard!$C$7*'Equity and Bond Returns'!CW23)+(Dashboard!$C$8*'Equity and Bond Returns'!GU23)</f>
        <v>0.29832425757654946</v>
      </c>
      <c r="CL23" s="119">
        <f ca="1">(Dashboard!$C$7*'Equity and Bond Returns'!CX23)+(Dashboard!$C$8*'Equity and Bond Returns'!GV23)</f>
        <v>-6.6429673387030944E-2</v>
      </c>
      <c r="CM23" s="119">
        <f ca="1">(Dashboard!$C$7*'Equity and Bond Returns'!CY23)+(Dashboard!$C$8*'Equity and Bond Returns'!GW23)</f>
        <v>0.17648681615149434</v>
      </c>
      <c r="CN23" s="119">
        <f ca="1">(Dashboard!$C$7*'Equity and Bond Returns'!CZ23)+(Dashboard!$C$8*'Equity and Bond Returns'!GX23)</f>
        <v>0.35560032248740364</v>
      </c>
      <c r="CO23" s="119">
        <f ca="1">(Dashboard!$C$7*'Equity and Bond Returns'!DA23)+(Dashboard!$C$8*'Equity and Bond Returns'!GY23)</f>
        <v>5.0427636857255667E-2</v>
      </c>
      <c r="CP23" s="119">
        <f ca="1">(Dashboard!$C$7*'Equity and Bond Returns'!DB23)+(Dashboard!$C$8*'Equity and Bond Returns'!GZ23)</f>
        <v>0.10879210114545314</v>
      </c>
      <c r="CQ23" s="119">
        <f ca="1">(Dashboard!$C$7*'Equity and Bond Returns'!DC23)+(Dashboard!$C$8*'Equity and Bond Returns'!HA23)</f>
        <v>9.9028051309227969E-2</v>
      </c>
      <c r="CR23" s="119">
        <f ca="1">(Dashboard!$C$7*'Equity and Bond Returns'!DD23)+(Dashboard!$C$8*'Equity and Bond Returns'!HB23)</f>
        <v>-0.15099219781862472</v>
      </c>
      <c r="CS23" s="119">
        <f ca="1">(Dashboard!$C$7*'Equity and Bond Returns'!DE23)+(Dashboard!$C$8*'Equity and Bond Returns'!HC23)</f>
        <v>0.24273180120490198</v>
      </c>
      <c r="CT23" s="119">
        <f ca="1">(Dashboard!$C$7*'Equity and Bond Returns'!DF23)+(Dashboard!$C$8*'Equity and Bond Returns'!HD23)</f>
        <v>0.20410885844589291</v>
      </c>
      <c r="CU23" s="119">
        <f ca="1">(Dashboard!$C$7*'Equity and Bond Returns'!DG23)+(Dashboard!$C$8*'Equity and Bond Returns'!HE23)</f>
        <v>0.2350281676180897</v>
      </c>
      <c r="CV23" s="119">
        <f ca="1">(Dashboard!$C$7*'Equity and Bond Returns'!DH23)+(Dashboard!$C$8*'Equity and Bond Returns'!HF23)</f>
        <v>0.21733511892614027</v>
      </c>
      <c r="CW23" s="119">
        <f ca="1">(Dashboard!$C$7*'Equity and Bond Returns'!DI23)+(Dashboard!$C$8*'Equity and Bond Returns'!HG23)</f>
        <v>0.25141826187339267</v>
      </c>
      <c r="CY23" s="147">
        <f t="shared" si="5"/>
        <v>72</v>
      </c>
      <c r="CZ23" s="147">
        <v>22</v>
      </c>
      <c r="DA23" s="126">
        <f ca="1">MAX(DA22*(1+B23)-(Dashboard!$C$11)/(1-Dashboard!$C$17)*((1+Dashboard!$C$12)^$CZ23),0)</f>
        <v>5082607.0303269271</v>
      </c>
      <c r="DB23" s="126">
        <f ca="1">MAX(DB22*(1+C23)-(Dashboard!$C$11)/(1-Dashboard!$C$17)*((1+Dashboard!$C$12)^$CZ23),0)</f>
        <v>0</v>
      </c>
      <c r="DC23" s="126">
        <f ca="1">MAX(DC22*(1+D23)-(Dashboard!$C$11)/(1-Dashboard!$C$17)*((1+Dashboard!$C$12)^$CZ23),0)</f>
        <v>1558866.2242529185</v>
      </c>
      <c r="DD23" s="126">
        <f ca="1">MAX(DD22*(1+E23)-(Dashboard!$C$11)/(1-Dashboard!$C$17)*((1+Dashboard!$C$12)^$CZ23),0)</f>
        <v>462670.17904368928</v>
      </c>
      <c r="DE23" s="126">
        <f ca="1">MAX(DE22*(1+F23)-(Dashboard!$C$11)/(1-Dashboard!$C$17)*((1+Dashboard!$C$12)^$CZ23),0)</f>
        <v>1967911.2984310195</v>
      </c>
      <c r="DF23" s="126">
        <f ca="1">MAX(DF22*(1+G23)-(Dashboard!$C$11)/(1-Dashboard!$C$17)*((1+Dashboard!$C$12)^$CZ23),0)</f>
        <v>4524792.7001202572</v>
      </c>
      <c r="DG23" s="126">
        <f ca="1">MAX(DG22*(1+H23)-(Dashboard!$C$11)/(1-Dashboard!$C$17)*((1+Dashboard!$C$12)^$CZ23),0)</f>
        <v>192269.98255468087</v>
      </c>
      <c r="DH23" s="126">
        <f ca="1">MAX(DH22*(1+I23)-(Dashboard!$C$11)/(1-Dashboard!$C$17)*((1+Dashboard!$C$12)^$CZ23),0)</f>
        <v>4605964.371559103</v>
      </c>
      <c r="DI23" s="126">
        <f ca="1">MAX(DI22*(1+J23)-(Dashboard!$C$11)/(1-Dashboard!$C$17)*((1+Dashboard!$C$12)^$CZ23),0)</f>
        <v>1936944.7991490848</v>
      </c>
      <c r="DJ23" s="126">
        <f ca="1">MAX(DJ22*(1+K23)-(Dashboard!$C$11)/(1-Dashboard!$C$17)*((1+Dashboard!$C$12)^$CZ23),0)</f>
        <v>2606791.2299312823</v>
      </c>
      <c r="DK23" s="126">
        <f ca="1">MAX(DK22*(1+L23)-(Dashboard!$C$11)/(1-Dashboard!$C$17)*((1+Dashboard!$C$12)^$CZ23),0)</f>
        <v>4558587.7240391849</v>
      </c>
      <c r="DL23" s="126">
        <f ca="1">MAX(DL22*(1+M23)-(Dashboard!$C$11)/(1-Dashboard!$C$17)*((1+Dashboard!$C$12)^$CZ23),0)</f>
        <v>707520.47844145074</v>
      </c>
      <c r="DM23" s="126">
        <f ca="1">MAX(DM22*(1+N23)-(Dashboard!$C$11)/(1-Dashboard!$C$17)*((1+Dashboard!$C$12)^$CZ23),0)</f>
        <v>2256428.4087841003</v>
      </c>
      <c r="DN23" s="126">
        <f ca="1">MAX(DN22*(1+O23)-(Dashboard!$C$11)/(1-Dashboard!$C$17)*((1+Dashboard!$C$12)^$CZ23),0)</f>
        <v>16453150.715524452</v>
      </c>
      <c r="DO23" s="126">
        <f ca="1">MAX(DO22*(1+P23)-(Dashboard!$C$11)/(1-Dashboard!$C$17)*((1+Dashboard!$C$12)^$CZ23),0)</f>
        <v>1810635.0089224624</v>
      </c>
      <c r="DP23" s="126">
        <f ca="1">MAX(DP22*(1+Q23)-(Dashboard!$C$11)/(1-Dashboard!$C$17)*((1+Dashboard!$C$12)^$CZ23),0)</f>
        <v>918993.93472244637</v>
      </c>
      <c r="DQ23" s="126">
        <f ca="1">MAX(DQ22*(1+R23)-(Dashboard!$C$11)/(1-Dashboard!$C$17)*((1+Dashboard!$C$12)^$CZ23),0)</f>
        <v>3044727.9935209751</v>
      </c>
      <c r="DR23" s="126">
        <f ca="1">MAX(DR22*(1+S23)-(Dashboard!$C$11)/(1-Dashboard!$C$17)*((1+Dashboard!$C$12)^$CZ23),0)</f>
        <v>3462809.4703988289</v>
      </c>
      <c r="DS23" s="126">
        <f ca="1">MAX(DS22*(1+T23)-(Dashboard!$C$11)/(1-Dashboard!$C$17)*((1+Dashboard!$C$12)^$CZ23),0)</f>
        <v>696643.61147584009</v>
      </c>
      <c r="DT23" s="126">
        <f ca="1">MAX(DT22*(1+U23)-(Dashboard!$C$11)/(1-Dashboard!$C$17)*((1+Dashboard!$C$12)^$CZ23),0)</f>
        <v>829373.28477067896</v>
      </c>
      <c r="DU23" s="126">
        <f ca="1">MAX(DU22*(1+V23)-(Dashboard!$C$11)/(1-Dashboard!$C$17)*((1+Dashboard!$C$12)^$CZ23),0)</f>
        <v>2299510.5519118607</v>
      </c>
      <c r="DV23" s="126">
        <f ca="1">MAX(DV22*(1+W23)-(Dashboard!$C$11)/(1-Dashboard!$C$17)*((1+Dashboard!$C$12)^$CZ23),0)</f>
        <v>6527996.7981702182</v>
      </c>
      <c r="DW23" s="126">
        <f ca="1">MAX(DW22*(1+X23)-(Dashboard!$C$11)/(1-Dashboard!$C$17)*((1+Dashboard!$C$12)^$CZ23),0)</f>
        <v>2231745.4951698994</v>
      </c>
      <c r="DX23" s="126">
        <f ca="1">MAX(DX22*(1+Y23)-(Dashboard!$C$11)/(1-Dashboard!$C$17)*((1+Dashboard!$C$12)^$CZ23),0)</f>
        <v>1108548.925824618</v>
      </c>
      <c r="DY23" s="126">
        <f ca="1">MAX(DY22*(1+Z23)-(Dashboard!$C$11)/(1-Dashboard!$C$17)*((1+Dashboard!$C$12)^$CZ23),0)</f>
        <v>4368631.7704339502</v>
      </c>
      <c r="DZ23" s="126">
        <f ca="1">MAX(DZ22*(1+AA23)-(Dashboard!$C$11)/(1-Dashboard!$C$17)*((1+Dashboard!$C$12)^$CZ23),0)</f>
        <v>1565252.2934141057</v>
      </c>
      <c r="EA23" s="126">
        <f ca="1">MAX(EA22*(1+AB23)-(Dashboard!$C$11)/(1-Dashboard!$C$17)*((1+Dashboard!$C$12)^$CZ23),0)</f>
        <v>958213.26157233142</v>
      </c>
      <c r="EB23" s="126">
        <f ca="1">MAX(EB22*(1+AC23)-(Dashboard!$C$11)/(1-Dashboard!$C$17)*((1+Dashboard!$C$12)^$CZ23),0)</f>
        <v>2785105.7733211061</v>
      </c>
      <c r="EC23" s="126">
        <f ca="1">MAX(EC22*(1+AD23)-(Dashboard!$C$11)/(1-Dashboard!$C$17)*((1+Dashboard!$C$12)^$CZ23),0)</f>
        <v>2138980.1578699676</v>
      </c>
      <c r="ED23" s="126">
        <f ca="1">MAX(ED22*(1+AE23)-(Dashboard!$C$11)/(1-Dashboard!$C$17)*((1+Dashboard!$C$12)^$CZ23),0)</f>
        <v>1595178.0578526556</v>
      </c>
      <c r="EE23" s="126">
        <f ca="1">MAX(EE22*(1+AF23)-(Dashboard!$C$11)/(1-Dashboard!$C$17)*((1+Dashboard!$C$12)^$CZ23),0)</f>
        <v>3875389.9906724649</v>
      </c>
      <c r="EF23" s="126">
        <f ca="1">MAX(EF22*(1+AG23)-(Dashboard!$C$11)/(1-Dashboard!$C$17)*((1+Dashboard!$C$12)^$CZ23),0)</f>
        <v>617190.06413908221</v>
      </c>
      <c r="EG23" s="126">
        <f ca="1">MAX(EG22*(1+AH23)-(Dashboard!$C$11)/(1-Dashboard!$C$17)*((1+Dashboard!$C$12)^$CZ23),0)</f>
        <v>2142964.0129177226</v>
      </c>
      <c r="EH23" s="126">
        <f ca="1">MAX(EH22*(1+AI23)-(Dashboard!$C$11)/(1-Dashboard!$C$17)*((1+Dashboard!$C$12)^$CZ23),0)</f>
        <v>1782029.3049717022</v>
      </c>
      <c r="EI23" s="126">
        <f ca="1">MAX(EI22*(1+AJ23)-(Dashboard!$C$11)/(1-Dashboard!$C$17)*((1+Dashboard!$C$12)^$CZ23),0)</f>
        <v>239163.37129843314</v>
      </c>
      <c r="EJ23" s="126">
        <f ca="1">MAX(EJ22*(1+AK23)-(Dashboard!$C$11)/(1-Dashboard!$C$17)*((1+Dashboard!$C$12)^$CZ23),0)</f>
        <v>1605100.7982359568</v>
      </c>
      <c r="EK23" s="126">
        <f ca="1">MAX(EK22*(1+AL23)-(Dashboard!$C$11)/(1-Dashboard!$C$17)*((1+Dashboard!$C$12)^$CZ23),0)</f>
        <v>3843998.9202047992</v>
      </c>
      <c r="EL23" s="126">
        <f ca="1">MAX(EL22*(1+AM23)-(Dashboard!$C$11)/(1-Dashboard!$C$17)*((1+Dashboard!$C$12)^$CZ23),0)</f>
        <v>922575.51008839218</v>
      </c>
      <c r="EM23" s="126">
        <f ca="1">MAX(EM22*(1+AN23)-(Dashboard!$C$11)/(1-Dashboard!$C$17)*((1+Dashboard!$C$12)^$CZ23),0)</f>
        <v>2288887.14690333</v>
      </c>
      <c r="EN23" s="126">
        <f ca="1">MAX(EN22*(1+AO23)-(Dashboard!$C$11)/(1-Dashboard!$C$17)*((1+Dashboard!$C$12)^$CZ23),0)</f>
        <v>1885349.8219133422</v>
      </c>
      <c r="EO23" s="126">
        <f ca="1">MAX(EO22*(1+AP23)-(Dashboard!$C$11)/(1-Dashboard!$C$17)*((1+Dashboard!$C$12)^$CZ23),0)</f>
        <v>146407.74710399841</v>
      </c>
      <c r="EP23" s="126">
        <f ca="1">MAX(EP22*(1+AQ23)-(Dashboard!$C$11)/(1-Dashboard!$C$17)*((1+Dashboard!$C$12)^$CZ23),0)</f>
        <v>1121961.018710755</v>
      </c>
      <c r="EQ23" s="126">
        <f ca="1">MAX(EQ22*(1+AR23)-(Dashboard!$C$11)/(1-Dashboard!$C$17)*((1+Dashboard!$C$12)^$CZ23),0)</f>
        <v>1154872.422829774</v>
      </c>
      <c r="ER23" s="126">
        <f ca="1">MAX(ER22*(1+AS23)-(Dashboard!$C$11)/(1-Dashboard!$C$17)*((1+Dashboard!$C$12)^$CZ23),0)</f>
        <v>132465.45674465795</v>
      </c>
      <c r="ES23" s="126">
        <f ca="1">MAX(ES22*(1+AT23)-(Dashboard!$C$11)/(1-Dashboard!$C$17)*((1+Dashboard!$C$12)^$CZ23),0)</f>
        <v>5249331.3219488338</v>
      </c>
      <c r="ET23" s="126">
        <f ca="1">MAX(ET22*(1+AU23)-(Dashboard!$C$11)/(1-Dashboard!$C$17)*((1+Dashboard!$C$12)^$CZ23),0)</f>
        <v>1164115.4921486638</v>
      </c>
      <c r="EU23" s="126">
        <f ca="1">MAX(EU22*(1+AV23)-(Dashboard!$C$11)/(1-Dashboard!$C$17)*((1+Dashboard!$C$12)^$CZ23),0)</f>
        <v>1426325.6154792171</v>
      </c>
      <c r="EV23" s="126">
        <f ca="1">MAX(EV22*(1+AW23)-(Dashboard!$C$11)/(1-Dashboard!$C$17)*((1+Dashboard!$C$12)^$CZ23),0)</f>
        <v>4192126.8415348656</v>
      </c>
      <c r="EW23" s="126">
        <f ca="1">MAX(EW22*(1+AX23)-(Dashboard!$C$11)/(1-Dashboard!$C$17)*((1+Dashboard!$C$12)^$CZ23),0)</f>
        <v>1787311.1011562019</v>
      </c>
      <c r="EX23" s="126">
        <f ca="1">MAX(EX22*(1+AY23)-(Dashboard!$C$11)/(1-Dashboard!$C$17)*((1+Dashboard!$C$12)^$CZ23),0)</f>
        <v>1700106.9909326264</v>
      </c>
      <c r="EY23" s="126">
        <f ca="1">MAX(EY22*(1+AZ23)-(Dashboard!$C$11)/(1-Dashboard!$C$17)*((1+Dashboard!$C$12)^$CZ23),0)</f>
        <v>3414873.090743334</v>
      </c>
      <c r="EZ23" s="126">
        <f ca="1">MAX(EZ22*(1+BA23)-(Dashboard!$C$11)/(1-Dashboard!$C$17)*((1+Dashboard!$C$12)^$CZ23),0)</f>
        <v>1286384.9817050099</v>
      </c>
      <c r="FA23" s="126">
        <f ca="1">MAX(FA22*(1+BB23)-(Dashboard!$C$11)/(1-Dashboard!$C$17)*((1+Dashboard!$C$12)^$CZ23),0)</f>
        <v>6315028.8127178075</v>
      </c>
      <c r="FB23" s="126">
        <f ca="1">MAX(FB22*(1+BC23)-(Dashboard!$C$11)/(1-Dashboard!$C$17)*((1+Dashboard!$C$12)^$CZ23),0)</f>
        <v>1018313.8128251195</v>
      </c>
      <c r="FC23" s="126">
        <f ca="1">MAX(FC22*(1+BD23)-(Dashboard!$C$11)/(1-Dashboard!$C$17)*((1+Dashboard!$C$12)^$CZ23),0)</f>
        <v>4873737.7761623459</v>
      </c>
      <c r="FD23" s="126">
        <f ca="1">MAX(FD22*(1+BE23)-(Dashboard!$C$11)/(1-Dashboard!$C$17)*((1+Dashboard!$C$12)^$CZ23),0)</f>
        <v>4433158.3697351813</v>
      </c>
      <c r="FE23" s="126">
        <f ca="1">MAX(FE22*(1+BF23)-(Dashboard!$C$11)/(1-Dashboard!$C$17)*((1+Dashboard!$C$12)^$CZ23),0)</f>
        <v>3270624.8073259587</v>
      </c>
      <c r="FF23" s="126">
        <f ca="1">MAX(FF22*(1+BG23)-(Dashboard!$C$11)/(1-Dashboard!$C$17)*((1+Dashboard!$C$12)^$CZ23),0)</f>
        <v>1374915.0239821642</v>
      </c>
      <c r="FG23" s="126">
        <f ca="1">MAX(FG22*(1+BH23)-(Dashboard!$C$11)/(1-Dashboard!$C$17)*((1+Dashboard!$C$12)^$CZ23),0)</f>
        <v>1206998.1858794882</v>
      </c>
      <c r="FH23" s="126">
        <f ca="1">MAX(FH22*(1+BI23)-(Dashboard!$C$11)/(1-Dashboard!$C$17)*((1+Dashboard!$C$12)^$CZ23),0)</f>
        <v>3689834.6434557098</v>
      </c>
      <c r="FI23" s="126">
        <f ca="1">MAX(FI22*(1+BJ23)-(Dashboard!$C$11)/(1-Dashboard!$C$17)*((1+Dashboard!$C$12)^$CZ23),0)</f>
        <v>3444416.2676857873</v>
      </c>
      <c r="FJ23" s="126">
        <f ca="1">MAX(FJ22*(1+BK23)-(Dashboard!$C$11)/(1-Dashboard!$C$17)*((1+Dashboard!$C$12)^$CZ23),0)</f>
        <v>1130705.5224431565</v>
      </c>
      <c r="FK23" s="126">
        <f ca="1">MAX(FK22*(1+BL23)-(Dashboard!$C$11)/(1-Dashboard!$C$17)*((1+Dashboard!$C$12)^$CZ23),0)</f>
        <v>2268589.8294625883</v>
      </c>
      <c r="FL23" s="126">
        <f ca="1">MAX(FL22*(1+BM23)-(Dashboard!$C$11)/(1-Dashboard!$C$17)*((1+Dashboard!$C$12)^$CZ23),0)</f>
        <v>1649188.130840427</v>
      </c>
      <c r="FM23" s="126">
        <f ca="1">MAX(FM22*(1+BN23)-(Dashboard!$C$11)/(1-Dashboard!$C$17)*((1+Dashboard!$C$12)^$CZ23),0)</f>
        <v>2657111.4764201241</v>
      </c>
      <c r="FN23" s="126">
        <f ca="1">MAX(FN22*(1+BO23)-(Dashboard!$C$11)/(1-Dashboard!$C$17)*((1+Dashboard!$C$12)^$CZ23),0)</f>
        <v>223121.87390071826</v>
      </c>
      <c r="FO23" s="126">
        <f ca="1">MAX(FO22*(1+BP23)-(Dashboard!$C$11)/(1-Dashboard!$C$17)*((1+Dashboard!$C$12)^$CZ23),0)</f>
        <v>1419595.5134970916</v>
      </c>
      <c r="FP23" s="126">
        <f ca="1">MAX(FP22*(1+BQ23)-(Dashboard!$C$11)/(1-Dashboard!$C$17)*((1+Dashboard!$C$12)^$CZ23),0)</f>
        <v>1481638.0005295689</v>
      </c>
      <c r="FQ23" s="126">
        <f ca="1">MAX(FQ22*(1+BR23)-(Dashboard!$C$11)/(1-Dashboard!$C$17)*((1+Dashboard!$C$12)^$CZ23),0)</f>
        <v>1429726.0118867194</v>
      </c>
      <c r="FR23" s="126">
        <f ca="1">MAX(FR22*(1+BS23)-(Dashboard!$C$11)/(1-Dashboard!$C$17)*((1+Dashboard!$C$12)^$CZ23),0)</f>
        <v>3243914.2839529384</v>
      </c>
      <c r="FS23" s="126">
        <f ca="1">MAX(FS22*(1+BT23)-(Dashboard!$C$11)/(1-Dashboard!$C$17)*((1+Dashboard!$C$12)^$CZ23),0)</f>
        <v>2819519.9976253547</v>
      </c>
      <c r="FT23" s="126">
        <f ca="1">MAX(FT22*(1+BU23)-(Dashboard!$C$11)/(1-Dashboard!$C$17)*((1+Dashboard!$C$12)^$CZ23),0)</f>
        <v>636027.89952218463</v>
      </c>
      <c r="FU23" s="126">
        <f ca="1">MAX(FU22*(1+BV23)-(Dashboard!$C$11)/(1-Dashboard!$C$17)*((1+Dashboard!$C$12)^$CZ23),0)</f>
        <v>1825060.7663490786</v>
      </c>
      <c r="FV23" s="126">
        <f ca="1">MAX(FV22*(1+BW23)-(Dashboard!$C$11)/(1-Dashboard!$C$17)*((1+Dashboard!$C$12)^$CZ23),0)</f>
        <v>1560284.6214561439</v>
      </c>
      <c r="FW23" s="126">
        <f ca="1">MAX(FW22*(1+BX23)-(Dashboard!$C$11)/(1-Dashboard!$C$17)*((1+Dashboard!$C$12)^$CZ23),0)</f>
        <v>1165771.9188269605</v>
      </c>
      <c r="FX23" s="126">
        <f ca="1">MAX(FX22*(1+BY23)-(Dashboard!$C$11)/(1-Dashboard!$C$17)*((1+Dashboard!$C$12)^$CZ23),0)</f>
        <v>559223.10120183451</v>
      </c>
      <c r="FY23" s="126">
        <f ca="1">MAX(FY22*(1+BZ23)-(Dashboard!$C$11)/(1-Dashboard!$C$17)*((1+Dashboard!$C$12)^$CZ23),0)</f>
        <v>633995.31970033923</v>
      </c>
      <c r="FZ23" s="126">
        <f ca="1">MAX(FZ22*(1+CA23)-(Dashboard!$C$11)/(1-Dashboard!$C$17)*((1+Dashboard!$C$12)^$CZ23),0)</f>
        <v>3161565.5539047252</v>
      </c>
      <c r="GA23" s="126">
        <f ca="1">MAX(GA22*(1+CB23)-(Dashboard!$C$11)/(1-Dashboard!$C$17)*((1+Dashboard!$C$12)^$CZ23),0)</f>
        <v>3154775.2837503888</v>
      </c>
      <c r="GB23" s="126">
        <f ca="1">MAX(GB22*(1+CC23)-(Dashboard!$C$11)/(1-Dashboard!$C$17)*((1+Dashboard!$C$12)^$CZ23),0)</f>
        <v>935543.88951774221</v>
      </c>
      <c r="GC23" s="126">
        <f ca="1">MAX(GC22*(1+CD23)-(Dashboard!$C$11)/(1-Dashboard!$C$17)*((1+Dashboard!$C$12)^$CZ23),0)</f>
        <v>3378995.3656839593</v>
      </c>
      <c r="GD23" s="126">
        <f ca="1">MAX(GD22*(1+CE23)-(Dashboard!$C$11)/(1-Dashboard!$C$17)*((1+Dashboard!$C$12)^$CZ23),0)</f>
        <v>4969891.2545575369</v>
      </c>
      <c r="GE23" s="126">
        <f ca="1">MAX(GE22*(1+CF23)-(Dashboard!$C$11)/(1-Dashboard!$C$17)*((1+Dashboard!$C$12)^$CZ23),0)</f>
        <v>1230552.9965305829</v>
      </c>
      <c r="GF23" s="126">
        <f ca="1">MAX(GF22*(1+CG23)-(Dashboard!$C$11)/(1-Dashboard!$C$17)*((1+Dashboard!$C$12)^$CZ23),0)</f>
        <v>2690158.0551892831</v>
      </c>
      <c r="GG23" s="126">
        <f ca="1">MAX(GG22*(1+CH23)-(Dashboard!$C$11)/(1-Dashboard!$C$17)*((1+Dashboard!$C$12)^$CZ23),0)</f>
        <v>782174.07594340236</v>
      </c>
      <c r="GH23" s="126">
        <f ca="1">MAX(GH22*(1+CI23)-(Dashboard!$C$11)/(1-Dashboard!$C$17)*((1+Dashboard!$C$12)^$CZ23),0)</f>
        <v>1365814.1141747658</v>
      </c>
      <c r="GI23" s="126">
        <f ca="1">MAX(GI22*(1+CJ23)-(Dashboard!$C$11)/(1-Dashboard!$C$17)*((1+Dashboard!$C$12)^$CZ23),0)</f>
        <v>1061339.3062929336</v>
      </c>
      <c r="GJ23" s="126">
        <f ca="1">MAX(GJ22*(1+CK23)-(Dashboard!$C$11)/(1-Dashboard!$C$17)*((1+Dashboard!$C$12)^$CZ23),0)</f>
        <v>2374601.1395349866</v>
      </c>
      <c r="GK23" s="126">
        <f ca="1">MAX(GK22*(1+CL23)-(Dashboard!$C$11)/(1-Dashboard!$C$17)*((1+Dashboard!$C$12)^$CZ23),0)</f>
        <v>4039501.938617005</v>
      </c>
      <c r="GL23" s="126">
        <f ca="1">MAX(GL22*(1+CM23)-(Dashboard!$C$11)/(1-Dashboard!$C$17)*((1+Dashboard!$C$12)^$CZ23),0)</f>
        <v>2607231.4059068435</v>
      </c>
      <c r="GM23" s="126">
        <f ca="1">MAX(GM22*(1+CN23)-(Dashboard!$C$11)/(1-Dashboard!$C$17)*((1+Dashboard!$C$12)^$CZ23),0)</f>
        <v>620139.06999336474</v>
      </c>
      <c r="GN23" s="126">
        <f ca="1">MAX(GN22*(1+CO23)-(Dashboard!$C$11)/(1-Dashboard!$C$17)*((1+Dashboard!$C$12)^$CZ23),0)</f>
        <v>0</v>
      </c>
      <c r="GO23" s="126">
        <f ca="1">MAX(GO22*(1+CP23)-(Dashboard!$C$11)/(1-Dashboard!$C$17)*((1+Dashboard!$C$12)^$CZ23),0)</f>
        <v>595969.95380396314</v>
      </c>
      <c r="GP23" s="126">
        <f ca="1">MAX(GP22*(1+CQ23)-(Dashboard!$C$11)/(1-Dashboard!$C$17)*((1+Dashboard!$C$12)^$CZ23),0)</f>
        <v>983072.65809905657</v>
      </c>
      <c r="GQ23" s="126">
        <f ca="1">MAX(GQ22*(1+CR23)-(Dashboard!$C$11)/(1-Dashboard!$C$17)*((1+Dashboard!$C$12)^$CZ23),0)</f>
        <v>216495.90026092427</v>
      </c>
      <c r="GR23" s="126">
        <f ca="1">MAX(GR22*(1+CS23)-(Dashboard!$C$11)/(1-Dashboard!$C$17)*((1+Dashboard!$C$12)^$CZ23),0)</f>
        <v>946370.67286585609</v>
      </c>
      <c r="GS23" s="126">
        <f ca="1">MAX(GS22*(1+CT23)-(Dashboard!$C$11)/(1-Dashboard!$C$17)*((1+Dashboard!$C$12)^$CZ23),0)</f>
        <v>2437678.3881336884</v>
      </c>
      <c r="GT23" s="126">
        <f ca="1">MAX(GT22*(1+CU23)-(Dashboard!$C$11)/(1-Dashboard!$C$17)*((1+Dashboard!$C$12)^$CZ23),0)</f>
        <v>7765581.5733547173</v>
      </c>
      <c r="GU23" s="126">
        <f ca="1">MAX(GU22*(1+CV23)-(Dashboard!$C$11)/(1-Dashboard!$C$17)*((1+Dashboard!$C$12)^$CZ23),0)</f>
        <v>1110861.7728418258</v>
      </c>
      <c r="GV23" s="126">
        <f ca="1">MAX(GV22*(1+CW23)-(Dashboard!$C$11)/(1-Dashboard!$C$17)*((1+Dashboard!$C$12)^$CZ23),0)</f>
        <v>544093.35333896615</v>
      </c>
      <c r="GW23" s="115">
        <f t="shared" si="4"/>
        <v>72</v>
      </c>
      <c r="GX23" s="130">
        <f t="shared" ca="1" si="2"/>
        <v>98</v>
      </c>
      <c r="HC23" s="130">
        <f t="shared" si="0"/>
        <v>72</v>
      </c>
      <c r="HD23" s="137">
        <f t="shared" ca="1" si="6"/>
        <v>949331.32004247489</v>
      </c>
      <c r="HE23" s="137">
        <f t="shared" ca="1" si="6"/>
        <v>1627144.4645381919</v>
      </c>
      <c r="HF23" s="137">
        <f t="shared" ca="1" si="6"/>
        <v>3127263.4611930354</v>
      </c>
    </row>
    <row r="24" spans="1:214" ht="16">
      <c r="A24" s="145">
        <f t="shared" si="3"/>
        <v>73</v>
      </c>
      <c r="B24" s="119">
        <f ca="1">(Dashboard!$C$7*'Equity and Bond Returns'!N24)+(Dashboard!$C$8*'Equity and Bond Returns'!DL24)</f>
        <v>-2.1911628194783376E-3</v>
      </c>
      <c r="C24" s="119">
        <f ca="1">(Dashboard!$C$7*'Equity and Bond Returns'!O24)+(Dashboard!$C$8*'Equity and Bond Returns'!DM24)</f>
        <v>0.37250531265916292</v>
      </c>
      <c r="D24" s="119">
        <f ca="1">(Dashboard!$C$7*'Equity and Bond Returns'!P24)+(Dashboard!$C$8*'Equity and Bond Returns'!DN24)</f>
        <v>9.2747021890671577E-2</v>
      </c>
      <c r="E24" s="119">
        <f ca="1">(Dashboard!$C$7*'Equity and Bond Returns'!Q24)+(Dashboard!$C$8*'Equity and Bond Returns'!DO24)</f>
        <v>-7.9983037731095954E-2</v>
      </c>
      <c r="F24" s="119">
        <f ca="1">(Dashboard!$C$7*'Equity and Bond Returns'!R24)+(Dashboard!$C$8*'Equity and Bond Returns'!DP24)</f>
        <v>-4.3044464857423234E-2</v>
      </c>
      <c r="G24" s="119">
        <f ca="1">(Dashboard!$C$7*'Equity and Bond Returns'!S24)+(Dashboard!$C$8*'Equity and Bond Returns'!DQ24)</f>
        <v>0.32482047283314042</v>
      </c>
      <c r="H24" s="119">
        <f ca="1">(Dashboard!$C$7*'Equity and Bond Returns'!T24)+(Dashboard!$C$8*'Equity and Bond Returns'!DR24)</f>
        <v>4.5689085115513298E-2</v>
      </c>
      <c r="I24" s="119">
        <f ca="1">(Dashboard!$C$7*'Equity and Bond Returns'!U24)+(Dashboard!$C$8*'Equity and Bond Returns'!DS24)</f>
        <v>0.20706337772087882</v>
      </c>
      <c r="J24" s="119">
        <f ca="1">(Dashboard!$C$7*'Equity and Bond Returns'!V24)+(Dashboard!$C$8*'Equity and Bond Returns'!DT24)</f>
        <v>-9.384805522280984E-2</v>
      </c>
      <c r="K24" s="119">
        <f ca="1">(Dashboard!$C$7*'Equity and Bond Returns'!W24)+(Dashboard!$C$8*'Equity and Bond Returns'!DU24)</f>
        <v>8.8175531100111976E-2</v>
      </c>
      <c r="L24" s="119">
        <f ca="1">(Dashboard!$C$7*'Equity and Bond Returns'!X24)+(Dashboard!$C$8*'Equity and Bond Returns'!DV24)</f>
        <v>0.40658596537274133</v>
      </c>
      <c r="M24" s="119">
        <f ca="1">(Dashboard!$C$7*'Equity and Bond Returns'!Y24)+(Dashboard!$C$8*'Equity and Bond Returns'!DW24)</f>
        <v>-3.7175312659642107E-2</v>
      </c>
      <c r="N24" s="119">
        <f ca="1">(Dashboard!$C$7*'Equity and Bond Returns'!Z24)+(Dashboard!$C$8*'Equity and Bond Returns'!DX24)</f>
        <v>-1.4567744378645246E-2</v>
      </c>
      <c r="O24" s="119">
        <f ca="1">(Dashboard!$C$7*'Equity and Bond Returns'!AA24)+(Dashboard!$C$8*'Equity and Bond Returns'!DY24)</f>
        <v>-7.2637413088828748E-2</v>
      </c>
      <c r="P24" s="119">
        <f ca="1">(Dashboard!$C$7*'Equity and Bond Returns'!AB24)+(Dashboard!$C$8*'Equity and Bond Returns'!DZ24)</f>
        <v>0.12980687170625493</v>
      </c>
      <c r="Q24" s="119">
        <f ca="1">(Dashboard!$C$7*'Equity and Bond Returns'!AC24)+(Dashboard!$C$8*'Equity and Bond Returns'!EA24)</f>
        <v>6.4443587530679053E-2</v>
      </c>
      <c r="R24" s="119">
        <f ca="1">(Dashboard!$C$7*'Equity and Bond Returns'!AD24)+(Dashboard!$C$8*'Equity and Bond Returns'!EB24)</f>
        <v>0.16258151871811247</v>
      </c>
      <c r="S24" s="119">
        <f ca="1">(Dashboard!$C$7*'Equity and Bond Returns'!AE24)+(Dashboard!$C$8*'Equity and Bond Returns'!EC24)</f>
        <v>0.15292683899950196</v>
      </c>
      <c r="T24" s="119">
        <f ca="1">(Dashboard!$C$7*'Equity and Bond Returns'!AF24)+(Dashboard!$C$8*'Equity and Bond Returns'!ED24)</f>
        <v>1.7861690552779651E-3</v>
      </c>
      <c r="U24" s="119">
        <f ca="1">(Dashboard!$C$7*'Equity and Bond Returns'!AG24)+(Dashboard!$C$8*'Equity and Bond Returns'!EE24)</f>
        <v>0.19878024919843812</v>
      </c>
      <c r="V24" s="119">
        <f ca="1">(Dashboard!$C$7*'Equity and Bond Returns'!AH24)+(Dashboard!$C$8*'Equity and Bond Returns'!EF24)</f>
        <v>0.11936177737371362</v>
      </c>
      <c r="W24" s="119">
        <f ca="1">(Dashboard!$C$7*'Equity and Bond Returns'!AI24)+(Dashboard!$C$8*'Equity and Bond Returns'!EG24)</f>
        <v>4.6113364413553876E-2</v>
      </c>
      <c r="X24" s="119">
        <f ca="1">(Dashboard!$C$7*'Equity and Bond Returns'!AJ24)+(Dashboard!$C$8*'Equity and Bond Returns'!EH24)</f>
        <v>8.6725769903156308E-2</v>
      </c>
      <c r="Y24" s="119">
        <f ca="1">(Dashboard!$C$7*'Equity and Bond Returns'!AK24)+(Dashboard!$C$8*'Equity and Bond Returns'!EI24)</f>
        <v>-2.7391346420600815E-2</v>
      </c>
      <c r="Z24" s="119">
        <f ca="1">(Dashboard!$C$7*'Equity and Bond Returns'!AL24)+(Dashboard!$C$8*'Equity and Bond Returns'!EJ24)</f>
        <v>-0.16601440557459723</v>
      </c>
      <c r="AA24" s="119">
        <f ca="1">(Dashboard!$C$7*'Equity and Bond Returns'!AM24)+(Dashboard!$C$8*'Equity and Bond Returns'!EK24)</f>
        <v>0.19509873819066129</v>
      </c>
      <c r="AB24" s="119">
        <f ca="1">(Dashboard!$C$7*'Equity and Bond Returns'!AN24)+(Dashboard!$C$8*'Equity and Bond Returns'!EL24)</f>
        <v>0.33052719344531534</v>
      </c>
      <c r="AC24" s="119">
        <f ca="1">(Dashboard!$C$7*'Equity and Bond Returns'!AO24)+(Dashboard!$C$8*'Equity and Bond Returns'!EM24)</f>
        <v>8.7816220970053246E-2</v>
      </c>
      <c r="AD24" s="119">
        <f ca="1">(Dashboard!$C$7*'Equity and Bond Returns'!AP24)+(Dashboard!$C$8*'Equity and Bond Returns'!EN24)</f>
        <v>0.23596227762688751</v>
      </c>
      <c r="AE24" s="119">
        <f ca="1">(Dashboard!$C$7*'Equity and Bond Returns'!AQ24)+(Dashboard!$C$8*'Equity and Bond Returns'!EO24)</f>
        <v>0.19909719074081519</v>
      </c>
      <c r="AF24" s="119">
        <f ca="1">(Dashboard!$C$7*'Equity and Bond Returns'!AR24)+(Dashboard!$C$8*'Equity and Bond Returns'!EP24)</f>
        <v>0.14182976066060218</v>
      </c>
      <c r="AG24" s="119">
        <f ca="1">(Dashboard!$C$7*'Equity and Bond Returns'!AS24)+(Dashboard!$C$8*'Equity and Bond Returns'!EQ24)</f>
        <v>4.8170626429317992E-2</v>
      </c>
      <c r="AH24" s="119">
        <f ca="1">(Dashboard!$C$7*'Equity and Bond Returns'!AT24)+(Dashboard!$C$8*'Equity and Bond Returns'!ER24)</f>
        <v>0.21614572617604705</v>
      </c>
      <c r="AI24" s="119">
        <f ca="1">(Dashboard!$C$7*'Equity and Bond Returns'!AU24)+(Dashboard!$C$8*'Equity and Bond Returns'!ES24)</f>
        <v>-2.2871940307079845E-2</v>
      </c>
      <c r="AJ24" s="119">
        <f ca="1">(Dashboard!$C$7*'Equity and Bond Returns'!AV24)+(Dashboard!$C$8*'Equity and Bond Returns'!ET24)</f>
        <v>0.17819437695852902</v>
      </c>
      <c r="AK24" s="119">
        <f ca="1">(Dashboard!$C$7*'Equity and Bond Returns'!AW24)+(Dashboard!$C$8*'Equity and Bond Returns'!EU24)</f>
        <v>4.2941418170269259E-2</v>
      </c>
      <c r="AL24" s="119">
        <f ca="1">(Dashboard!$C$7*'Equity and Bond Returns'!AX24)+(Dashboard!$C$8*'Equity and Bond Returns'!EV24)</f>
        <v>-5.8341799905405813E-2</v>
      </c>
      <c r="AM24" s="119">
        <f ca="1">(Dashboard!$C$7*'Equity and Bond Returns'!AY24)+(Dashboard!$C$8*'Equity and Bond Returns'!EW24)</f>
        <v>0.28466731023170017</v>
      </c>
      <c r="AN24" s="119">
        <f ca="1">(Dashboard!$C$7*'Equity and Bond Returns'!AZ24)+(Dashboard!$C$8*'Equity and Bond Returns'!EX24)</f>
        <v>0.32294156114022921</v>
      </c>
      <c r="AO24" s="119">
        <f ca="1">(Dashboard!$C$7*'Equity and Bond Returns'!BA24)+(Dashboard!$C$8*'Equity and Bond Returns'!EY24)</f>
        <v>0.26989311988020587</v>
      </c>
      <c r="AP24" s="119">
        <f ca="1">(Dashboard!$C$7*'Equity and Bond Returns'!BB24)+(Dashboard!$C$8*'Equity and Bond Returns'!EZ24)</f>
        <v>-0.17211342297961785</v>
      </c>
      <c r="AQ24" s="119">
        <f ca="1">(Dashboard!$C$7*'Equity and Bond Returns'!BC24)+(Dashboard!$C$8*'Equity and Bond Returns'!FA24)</f>
        <v>-2.3828975957536767E-2</v>
      </c>
      <c r="AR24" s="119">
        <f ca="1">(Dashboard!$C$7*'Equity and Bond Returns'!BD24)+(Dashboard!$C$8*'Equity and Bond Returns'!FB24)</f>
        <v>3.7550183652308076E-2</v>
      </c>
      <c r="AS24" s="119">
        <f ca="1">(Dashboard!$C$7*'Equity and Bond Returns'!BE24)+(Dashboard!$C$8*'Equity and Bond Returns'!FC24)</f>
        <v>0.20220091303331916</v>
      </c>
      <c r="AT24" s="119">
        <f ca="1">(Dashboard!$C$7*'Equity and Bond Returns'!BF24)+(Dashboard!$C$8*'Equity and Bond Returns'!FD24)</f>
        <v>4.027678413701781E-2</v>
      </c>
      <c r="AU24" s="119">
        <f ca="1">(Dashboard!$C$7*'Equity and Bond Returns'!BG24)+(Dashboard!$C$8*'Equity and Bond Returns'!FE24)</f>
        <v>0.31660389246902354</v>
      </c>
      <c r="AV24" s="119">
        <f ca="1">(Dashboard!$C$7*'Equity and Bond Returns'!BH24)+(Dashboard!$C$8*'Equity and Bond Returns'!FF24)</f>
        <v>-6.4162155724527409E-2</v>
      </c>
      <c r="AW24" s="119">
        <f ca="1">(Dashboard!$C$7*'Equity and Bond Returns'!BI24)+(Dashboard!$C$8*'Equity and Bond Returns'!FG24)</f>
        <v>0.1176457192749597</v>
      </c>
      <c r="AX24" s="119">
        <f ca="1">(Dashboard!$C$7*'Equity and Bond Returns'!BJ24)+(Dashboard!$C$8*'Equity and Bond Returns'!FH24)</f>
        <v>-0.1058337086841909</v>
      </c>
      <c r="AY24" s="119">
        <f ca="1">(Dashboard!$C$7*'Equity and Bond Returns'!BK24)+(Dashboard!$C$8*'Equity and Bond Returns'!FI24)</f>
        <v>1.3351129924272337E-2</v>
      </c>
      <c r="AZ24" s="119">
        <f ca="1">(Dashboard!$C$7*'Equity and Bond Returns'!BL24)+(Dashboard!$C$8*'Equity and Bond Returns'!FJ24)</f>
        <v>0.27266735899504951</v>
      </c>
      <c r="BA24" s="119">
        <f ca="1">(Dashboard!$C$7*'Equity and Bond Returns'!BM24)+(Dashboard!$C$8*'Equity and Bond Returns'!FK24)</f>
        <v>9.1358715437543453E-2</v>
      </c>
      <c r="BB24" s="119">
        <f ca="1">(Dashboard!$C$7*'Equity and Bond Returns'!BN24)+(Dashboard!$C$8*'Equity and Bond Returns'!FL24)</f>
        <v>0.13016692968662005</v>
      </c>
      <c r="BC24" s="119">
        <f ca="1">(Dashboard!$C$7*'Equity and Bond Returns'!BO24)+(Dashboard!$C$8*'Equity and Bond Returns'!FM24)</f>
        <v>-0.18825826936171747</v>
      </c>
      <c r="BD24" s="119">
        <f ca="1">(Dashboard!$C$7*'Equity and Bond Returns'!BP24)+(Dashboard!$C$8*'Equity and Bond Returns'!FN24)</f>
        <v>0.16158307576606867</v>
      </c>
      <c r="BE24" s="119">
        <f ca="1">(Dashboard!$C$7*'Equity and Bond Returns'!BQ24)+(Dashboard!$C$8*'Equity and Bond Returns'!FO24)</f>
        <v>9.9876334993889024E-2</v>
      </c>
      <c r="BF24" s="119">
        <f ca="1">(Dashboard!$C$7*'Equity and Bond Returns'!BR24)+(Dashboard!$C$8*'Equity and Bond Returns'!FP24)</f>
        <v>7.7928584734276579E-2</v>
      </c>
      <c r="BG24" s="119">
        <f ca="1">(Dashboard!$C$7*'Equity and Bond Returns'!BS24)+(Dashboard!$C$8*'Equity and Bond Returns'!FQ24)</f>
        <v>3.1543879231458065E-2</v>
      </c>
      <c r="BH24" s="119">
        <f ca="1">(Dashboard!$C$7*'Equity and Bond Returns'!BT24)+(Dashboard!$C$8*'Equity and Bond Returns'!FR24)</f>
        <v>0.19221138502190482</v>
      </c>
      <c r="BI24" s="119">
        <f ca="1">(Dashboard!$C$7*'Equity and Bond Returns'!BU24)+(Dashboard!$C$8*'Equity and Bond Returns'!FS24)</f>
        <v>-0.193141622989706</v>
      </c>
      <c r="BJ24" s="119">
        <f ca="1">(Dashboard!$C$7*'Equity and Bond Returns'!BV24)+(Dashboard!$C$8*'Equity and Bond Returns'!FT24)</f>
        <v>-0.20369789334591917</v>
      </c>
      <c r="BK24" s="119">
        <f ca="1">(Dashboard!$C$7*'Equity and Bond Returns'!BW24)+(Dashboard!$C$8*'Equity and Bond Returns'!FU24)</f>
        <v>0.11157074238624208</v>
      </c>
      <c r="BL24" s="119">
        <f ca="1">(Dashboard!$C$7*'Equity and Bond Returns'!BX24)+(Dashboard!$C$8*'Equity and Bond Returns'!FV24)</f>
        <v>1.6818627206669438E-2</v>
      </c>
      <c r="BM24" s="119">
        <f ca="1">(Dashboard!$C$7*'Equity and Bond Returns'!BY24)+(Dashboard!$C$8*'Equity and Bond Returns'!FW24)</f>
        <v>9.8162624696242498E-2</v>
      </c>
      <c r="BN24" s="119">
        <f ca="1">(Dashboard!$C$7*'Equity and Bond Returns'!BZ24)+(Dashboard!$C$8*'Equity and Bond Returns'!FX24)</f>
        <v>7.8382695669234642E-2</v>
      </c>
      <c r="BO24" s="119">
        <f ca="1">(Dashboard!$C$7*'Equity and Bond Returns'!CA24)+(Dashboard!$C$8*'Equity and Bond Returns'!FY24)</f>
        <v>0.20124015891887065</v>
      </c>
      <c r="BP24" s="119">
        <f ca="1">(Dashboard!$C$7*'Equity and Bond Returns'!CB24)+(Dashboard!$C$8*'Equity and Bond Returns'!FZ24)</f>
        <v>0.32002910256414802</v>
      </c>
      <c r="BQ24" s="119">
        <f ca="1">(Dashboard!$C$7*'Equity and Bond Returns'!CC24)+(Dashboard!$C$8*'Equity and Bond Returns'!GA24)</f>
        <v>0.40834926943965827</v>
      </c>
      <c r="BR24" s="119">
        <f ca="1">(Dashboard!$C$7*'Equity and Bond Returns'!CD24)+(Dashboard!$C$8*'Equity and Bond Returns'!GB24)</f>
        <v>-0.18231423565522464</v>
      </c>
      <c r="BS24" s="119">
        <f ca="1">(Dashboard!$C$7*'Equity and Bond Returns'!CE24)+(Dashboard!$C$8*'Equity and Bond Returns'!GC24)</f>
        <v>4.6181877716279067E-2</v>
      </c>
      <c r="BT24" s="119">
        <f ca="1">(Dashboard!$C$7*'Equity and Bond Returns'!CF24)+(Dashboard!$C$8*'Equity and Bond Returns'!GD24)</f>
        <v>2.9391204570203028E-2</v>
      </c>
      <c r="BU24" s="119">
        <f ca="1">(Dashboard!$C$7*'Equity and Bond Returns'!CG24)+(Dashboard!$C$8*'Equity and Bond Returns'!GE24)</f>
        <v>0.12541565782554309</v>
      </c>
      <c r="BV24" s="119">
        <f ca="1">(Dashboard!$C$7*'Equity and Bond Returns'!CH24)+(Dashboard!$C$8*'Equity and Bond Returns'!GF24)</f>
        <v>4.6997826150707092E-3</v>
      </c>
      <c r="BW24" s="119">
        <f ca="1">(Dashboard!$C$7*'Equity and Bond Returns'!CI24)+(Dashboard!$C$8*'Equity and Bond Returns'!GG24)</f>
        <v>0.23567108151443603</v>
      </c>
      <c r="BX24" s="119">
        <f ca="1">(Dashboard!$C$7*'Equity and Bond Returns'!CJ24)+(Dashboard!$C$8*'Equity and Bond Returns'!GH24)</f>
        <v>0.10348084128682772</v>
      </c>
      <c r="BY24" s="119">
        <f ca="1">(Dashboard!$C$7*'Equity and Bond Returns'!CK24)+(Dashboard!$C$8*'Equity and Bond Returns'!GI24)</f>
        <v>2.6053914942381066E-2</v>
      </c>
      <c r="BZ24" s="119">
        <f ca="1">(Dashboard!$C$7*'Equity and Bond Returns'!CL24)+(Dashboard!$C$8*'Equity and Bond Returns'!GJ24)</f>
        <v>0.373605849804173</v>
      </c>
      <c r="CA24" s="119">
        <f ca="1">(Dashboard!$C$7*'Equity and Bond Returns'!CM24)+(Dashboard!$C$8*'Equity and Bond Returns'!GK24)</f>
        <v>0.20597359272523416</v>
      </c>
      <c r="CB24" s="119">
        <f ca="1">(Dashboard!$C$7*'Equity and Bond Returns'!CN24)+(Dashboard!$C$8*'Equity and Bond Returns'!GL24)</f>
        <v>0.2100512998409014</v>
      </c>
      <c r="CC24" s="119">
        <f ca="1">(Dashboard!$C$7*'Equity and Bond Returns'!CO24)+(Dashboard!$C$8*'Equity and Bond Returns'!GM24)</f>
        <v>5.9852925320546965E-2</v>
      </c>
      <c r="CD24" s="119">
        <f ca="1">(Dashboard!$C$7*'Equity and Bond Returns'!CP24)+(Dashboard!$C$8*'Equity and Bond Returns'!GN24)</f>
        <v>-6.2129585887633655E-2</v>
      </c>
      <c r="CE24" s="119">
        <f ca="1">(Dashboard!$C$7*'Equity and Bond Returns'!CQ24)+(Dashboard!$C$8*'Equity and Bond Returns'!GO24)</f>
        <v>0.28896401428032675</v>
      </c>
      <c r="CF24" s="119">
        <f ca="1">(Dashboard!$C$7*'Equity and Bond Returns'!CR24)+(Dashboard!$C$8*'Equity and Bond Returns'!GP24)</f>
        <v>8.8931884965128216E-2</v>
      </c>
      <c r="CG24" s="119">
        <f ca="1">(Dashboard!$C$7*'Equity and Bond Returns'!CS24)+(Dashboard!$C$8*'Equity and Bond Returns'!GQ24)</f>
        <v>6.3891391962544244E-2</v>
      </c>
      <c r="CH24" s="119">
        <f ca="1">(Dashboard!$C$7*'Equity and Bond Returns'!CT24)+(Dashboard!$C$8*'Equity and Bond Returns'!GR24)</f>
        <v>-0.19484155165450631</v>
      </c>
      <c r="CI24" s="119">
        <f ca="1">(Dashboard!$C$7*'Equity and Bond Returns'!CU24)+(Dashboard!$C$8*'Equity and Bond Returns'!GS24)</f>
        <v>-0.12885618106057295</v>
      </c>
      <c r="CJ24" s="119">
        <f ca="1">(Dashboard!$C$7*'Equity and Bond Returns'!CV24)+(Dashboard!$C$8*'Equity and Bond Returns'!GT24)</f>
        <v>0.17504326034654785</v>
      </c>
      <c r="CK24" s="119">
        <f ca="1">(Dashboard!$C$7*'Equity and Bond Returns'!CW24)+(Dashboard!$C$8*'Equity and Bond Returns'!GU24)</f>
        <v>0.21336255646770616</v>
      </c>
      <c r="CL24" s="119">
        <f ca="1">(Dashboard!$C$7*'Equity and Bond Returns'!CX24)+(Dashboard!$C$8*'Equity and Bond Returns'!GV24)</f>
        <v>6.8699376306267532E-2</v>
      </c>
      <c r="CM24" s="119">
        <f ca="1">(Dashboard!$C$7*'Equity and Bond Returns'!CY24)+(Dashboard!$C$8*'Equity and Bond Returns'!GW24)</f>
        <v>0.14703614258095693</v>
      </c>
      <c r="CN24" s="119">
        <f ca="1">(Dashboard!$C$7*'Equity and Bond Returns'!CZ24)+(Dashboard!$C$8*'Equity and Bond Returns'!GX24)</f>
        <v>7.601088073471568E-2</v>
      </c>
      <c r="CO24" s="119">
        <f ca="1">(Dashboard!$C$7*'Equity and Bond Returns'!DA24)+(Dashboard!$C$8*'Equity and Bond Returns'!GY24)</f>
        <v>0.10310158977488629</v>
      </c>
      <c r="CP24" s="119">
        <f ca="1">(Dashboard!$C$7*'Equity and Bond Returns'!DB24)+(Dashboard!$C$8*'Equity and Bond Returns'!GZ24)</f>
        <v>-8.8509460419615354E-2</v>
      </c>
      <c r="CQ24" s="119">
        <f ca="1">(Dashboard!$C$7*'Equity and Bond Returns'!DC24)+(Dashboard!$C$8*'Equity and Bond Returns'!HA24)</f>
        <v>0.26580334305331854</v>
      </c>
      <c r="CR24" s="119">
        <f ca="1">(Dashboard!$C$7*'Equity and Bond Returns'!DD24)+(Dashboard!$C$8*'Equity and Bond Returns'!HB24)</f>
        <v>-8.7419227820721271E-2</v>
      </c>
      <c r="CS24" s="119">
        <f ca="1">(Dashboard!$C$7*'Equity and Bond Returns'!DE24)+(Dashboard!$C$8*'Equity and Bond Returns'!HC24)</f>
        <v>-7.6340151625383698E-2</v>
      </c>
      <c r="CT24" s="119">
        <f ca="1">(Dashboard!$C$7*'Equity and Bond Returns'!DF24)+(Dashboard!$C$8*'Equity and Bond Returns'!HD24)</f>
        <v>9.2255077483195169E-2</v>
      </c>
      <c r="CU24" s="119">
        <f ca="1">(Dashboard!$C$7*'Equity and Bond Returns'!DG24)+(Dashboard!$C$8*'Equity and Bond Returns'!HE24)</f>
        <v>0.31232744898012282</v>
      </c>
      <c r="CV24" s="119">
        <f ca="1">(Dashboard!$C$7*'Equity and Bond Returns'!DH24)+(Dashboard!$C$8*'Equity and Bond Returns'!HF24)</f>
        <v>2.4894625760134733E-2</v>
      </c>
      <c r="CW24" s="119">
        <f ca="1">(Dashboard!$C$7*'Equity and Bond Returns'!DI24)+(Dashboard!$C$8*'Equity and Bond Returns'!HG24)</f>
        <v>0.15779764659357479</v>
      </c>
      <c r="CY24" s="147">
        <f t="shared" si="5"/>
        <v>73</v>
      </c>
      <c r="CZ24" s="147">
        <v>23</v>
      </c>
      <c r="DA24" s="126">
        <f ca="1">MAX(DA23*(1+B24)-(Dashboard!$C$11)/(1-Dashboard!$C$17)*((1+Dashboard!$C$12)^$CZ24),0)</f>
        <v>5030764.9889840698</v>
      </c>
      <c r="DB24" s="126">
        <f ca="1">MAX(DB23*(1+C24)-(Dashboard!$C$11)/(1-Dashboard!$C$17)*((1+Dashboard!$C$12)^$CZ24),0)</f>
        <v>0</v>
      </c>
      <c r="DC24" s="126">
        <f ca="1">MAX(DC23*(1+D24)-(Dashboard!$C$11)/(1-Dashboard!$C$17)*((1+Dashboard!$C$12)^$CZ24),0)</f>
        <v>1662741.2022863463</v>
      </c>
      <c r="DD24" s="126">
        <f ca="1">MAX(DD23*(1+E24)-(Dashboard!$C$11)/(1-Dashboard!$C$17)*((1+Dashboard!$C$12)^$CZ24),0)</f>
        <v>384959.19086419878</v>
      </c>
      <c r="DE24" s="126">
        <f ca="1">MAX(DE23*(1+F24)-(Dashboard!$C$11)/(1-Dashboard!$C$17)*((1+Dashboard!$C$12)^$CZ24),0)</f>
        <v>1842498.3879111933</v>
      </c>
      <c r="DF24" s="126">
        <f ca="1">MAX(DF23*(1+G24)-(Dashboard!$C$11)/(1-Dashboard!$C$17)*((1+Dashboard!$C$12)^$CZ24),0)</f>
        <v>5953832.7826532759</v>
      </c>
      <c r="DG24" s="126">
        <f ca="1">MAX(DG23*(1+H24)-(Dashboard!$C$11)/(1-Dashboard!$C$17)*((1+Dashboard!$C$12)^$CZ24),0)</f>
        <v>160349.40036079375</v>
      </c>
      <c r="DH24" s="126">
        <f ca="1">MAX(DH23*(1+I24)-(Dashboard!$C$11)/(1-Dashboard!$C$17)*((1+Dashboard!$C$12)^$CZ24),0)</f>
        <v>5518985.6902041696</v>
      </c>
      <c r="DI24" s="126">
        <f ca="1">MAX(DI23*(1+J24)-(Dashboard!$C$11)/(1-Dashboard!$C$17)*((1+Dashboard!$C$12)^$CZ24),0)</f>
        <v>1714461.0748830212</v>
      </c>
      <c r="DJ24" s="126">
        <f ca="1">MAX(DJ23*(1+K24)-(Dashboard!$C$11)/(1-Dashboard!$C$17)*((1+Dashboard!$C$12)^$CZ24),0)</f>
        <v>2795941.2093056012</v>
      </c>
      <c r="DK24" s="126">
        <f ca="1">MAX(DK23*(1+L24)-(Dashboard!$C$11)/(1-Dashboard!$C$17)*((1+Dashboard!$C$12)^$CZ24),0)</f>
        <v>6371340.2927619983</v>
      </c>
      <c r="DL24" s="126">
        <f ca="1">MAX(DL23*(1+M24)-(Dashboard!$C$11)/(1-Dashboard!$C$17)*((1+Dashboard!$C$12)^$CZ24),0)</f>
        <v>640512.96165030391</v>
      </c>
      <c r="DM24" s="126">
        <f ca="1">MAX(DM23*(1+N24)-(Dashboard!$C$11)/(1-Dashboard!$C$17)*((1+Dashboard!$C$12)^$CZ24),0)</f>
        <v>2182852.1147242337</v>
      </c>
      <c r="DN24" s="126">
        <f ca="1">MAX(DN23*(1+O24)-(Dashboard!$C$11)/(1-Dashboard!$C$17)*((1+Dashboard!$C$12)^$CZ24),0)</f>
        <v>15217331.188596157</v>
      </c>
      <c r="DO24" s="126">
        <f ca="1">MAX(DO23*(1+P24)-(Dashboard!$C$11)/(1-Dashboard!$C$17)*((1+Dashboard!$C$12)^$CZ24),0)</f>
        <v>2004962.6534405283</v>
      </c>
      <c r="DP24" s="126">
        <f ca="1">MAX(DP23*(1+Q24)-(Dashboard!$C$11)/(1-Dashboard!$C$17)*((1+Dashboard!$C$12)^$CZ24),0)</f>
        <v>937511.97900290915</v>
      </c>
      <c r="DQ24" s="126">
        <f ca="1">MAX(DQ23*(1+R24)-(Dashboard!$C$11)/(1-Dashboard!$C$17)*((1+Dashboard!$C$12)^$CZ24),0)</f>
        <v>3499039.2729991805</v>
      </c>
      <c r="DR24" s="126">
        <f ca="1">MAX(DR23*(1+S24)-(Dashboard!$C$11)/(1-Dashboard!$C$17)*((1+Dashboard!$C$12)^$CZ24),0)</f>
        <v>3951660.7549724751</v>
      </c>
      <c r="DS24" s="126">
        <f ca="1">MAX(DS23*(1+T24)-(Dashboard!$C$11)/(1-Dashboard!$C$17)*((1+Dashboard!$C$12)^$CZ24),0)</f>
        <v>657182.71294522914</v>
      </c>
      <c r="DT24" s="126">
        <f ca="1">MAX(DT23*(1+U24)-(Dashboard!$C$11)/(1-Dashboard!$C$17)*((1+Dashboard!$C$12)^$CZ24),0)</f>
        <v>953531.09120393544</v>
      </c>
      <c r="DU24" s="126">
        <f ca="1">MAX(DU23*(1+V24)-(Dashboard!$C$11)/(1-Dashboard!$C$17)*((1+Dashboard!$C$12)^$CZ24),0)</f>
        <v>2533278.9966856833</v>
      </c>
      <c r="DV24" s="126">
        <f ca="1">MAX(DV23*(1+W24)-(Dashboard!$C$11)/(1-Dashboard!$C$17)*((1+Dashboard!$C$12)^$CZ24),0)</f>
        <v>6788319.4716227679</v>
      </c>
      <c r="DW24" s="126">
        <f ca="1">MAX(DW23*(1+X24)-(Dashboard!$C$11)/(1-Dashboard!$C$17)*((1+Dashboard!$C$12)^$CZ24),0)</f>
        <v>2384590.1196744232</v>
      </c>
      <c r="DX24" s="126">
        <f ca="1">MAX(DX23*(1+Y24)-(Dashboard!$C$11)/(1-Dashboard!$C$17)*((1+Dashboard!$C$12)^$CZ24),0)</f>
        <v>1037479.0563811847</v>
      </c>
      <c r="DY24" s="126">
        <f ca="1">MAX(DY23*(1+Z24)-(Dashboard!$C$11)/(1-Dashboard!$C$17)*((1+Dashboard!$C$12)^$CZ24),0)</f>
        <v>3602670.7420990714</v>
      </c>
      <c r="DZ24" s="126">
        <f ca="1">MAX(DZ23*(1+AA24)-(Dashboard!$C$11)/(1-Dashboard!$C$17)*((1+Dashboard!$C$12)^$CZ24),0)</f>
        <v>1829925.8190172503</v>
      </c>
      <c r="EA24" s="126">
        <f ca="1">MAX(EA23*(1+AB24)-(Dashboard!$C$11)/(1-Dashboard!$C$17)*((1+Dashboard!$C$12)^$CZ24),0)</f>
        <v>1234223.5798499298</v>
      </c>
      <c r="EB24" s="126">
        <f ca="1">MAX(EB23*(1+AC24)-(Dashboard!$C$11)/(1-Dashboard!$C$17)*((1+Dashboard!$C$12)^$CZ24),0)</f>
        <v>2988978.0155440569</v>
      </c>
      <c r="EC24" s="126">
        <f ca="1">MAX(EC23*(1+AD24)-(Dashboard!$C$11)/(1-Dashboard!$C$17)*((1+Dashboard!$C$12)^$CZ24),0)</f>
        <v>2602993.5659276983</v>
      </c>
      <c r="ED24" s="126">
        <f ca="1">MAX(ED23*(1+AE24)-(Dashboard!$C$11)/(1-Dashboard!$C$17)*((1+Dashboard!$C$12)^$CZ24),0)</f>
        <v>1872068.3061105229</v>
      </c>
      <c r="EE24" s="126">
        <f ca="1">MAX(EE23*(1+AF24)-(Dashboard!$C$11)/(1-Dashboard!$C$17)*((1+Dashboard!$C$12)^$CZ24),0)</f>
        <v>4384330.4037240483</v>
      </c>
      <c r="EF24" s="126">
        <f ca="1">MAX(EF23*(1+AG24)-(Dashboard!$C$11)/(1-Dashboard!$C$17)*((1+Dashboard!$C$12)^$CZ24),0)</f>
        <v>606215.27436262649</v>
      </c>
      <c r="EG24" s="126">
        <f ca="1">MAX(EG23*(1+AH24)-(Dashboard!$C$11)/(1-Dashboard!$C$17)*((1+Dashboard!$C$12)^$CZ24),0)</f>
        <v>2565451.3038669731</v>
      </c>
      <c r="EH24" s="126">
        <f ca="1">MAX(EH23*(1+AI24)-(Dashboard!$C$11)/(1-Dashboard!$C$17)*((1+Dashboard!$C$12)^$CZ24),0)</f>
        <v>1700565.6152909363</v>
      </c>
      <c r="EI24" s="126">
        <f ca="1">MAX(EI23*(1+AJ24)-(Dashboard!$C$11)/(1-Dashboard!$C$17)*((1+Dashboard!$C$12)^$CZ24),0)</f>
        <v>241075.71744627255</v>
      </c>
      <c r="EJ24" s="126">
        <f ca="1">MAX(EJ23*(1+AK24)-(Dashboard!$C$11)/(1-Dashboard!$C$17)*((1+Dashboard!$C$12)^$CZ24),0)</f>
        <v>1633320.8810264538</v>
      </c>
      <c r="EK24" s="126">
        <f ca="1">MAX(EK23*(1+AL24)-(Dashboard!$C$11)/(1-Dashboard!$C$17)*((1+Dashboard!$C$12)^$CZ24),0)</f>
        <v>3579027.8825736283</v>
      </c>
      <c r="EL24" s="126">
        <f ca="1">MAX(EL23*(1+AM24)-(Dashboard!$C$11)/(1-Dashboard!$C$17)*((1+Dashboard!$C$12)^$CZ24),0)</f>
        <v>1144497.3772389074</v>
      </c>
      <c r="EM24" s="126">
        <f ca="1">MAX(EM23*(1+AN24)-(Dashboard!$C$11)/(1-Dashboard!$C$17)*((1+Dashboard!$C$12)^$CZ24),0)</f>
        <v>2987358.7136061098</v>
      </c>
      <c r="EN24" s="126">
        <f ca="1">MAX(EN23*(1+AO24)-(Dashboard!$C$11)/(1-Dashboard!$C$17)*((1+Dashboard!$C$12)^$CZ24),0)</f>
        <v>2353487.5456231385</v>
      </c>
      <c r="EO24" s="126">
        <f ca="1">MAX(EO23*(1+AP24)-(Dashboard!$C$11)/(1-Dashboard!$C$17)*((1+Dashboard!$C$12)^$CZ24),0)</f>
        <v>80503.786807208788</v>
      </c>
      <c r="EP24" s="126">
        <f ca="1">MAX(EP23*(1+AQ24)-(Dashboard!$C$11)/(1-Dashboard!$C$17)*((1+Dashboard!$C$12)^$CZ24),0)</f>
        <v>1054520.6147786169</v>
      </c>
      <c r="EQ24" s="126">
        <f ca="1">MAX(EQ23*(1+AR24)-(Dashboard!$C$11)/(1-Dashboard!$C$17)*((1+Dashboard!$C$12)^$CZ24),0)</f>
        <v>1157532.8726100316</v>
      </c>
      <c r="ER24" s="126">
        <f ca="1">MAX(ER23*(1+AS24)-(Dashboard!$C$11)/(1-Dashboard!$C$17)*((1+Dashboard!$C$12)^$CZ24),0)</f>
        <v>118544.87125181721</v>
      </c>
      <c r="ES24" s="126">
        <f ca="1">MAX(ES23*(1+AT24)-(Dashboard!$C$11)/(1-Dashboard!$C$17)*((1+Dashboard!$C$12)^$CZ24),0)</f>
        <v>5420052.2846746668</v>
      </c>
      <c r="ET24" s="126">
        <f ca="1">MAX(ET23*(1+AU24)-(Dashboard!$C$11)/(1-Dashboard!$C$17)*((1+Dashboard!$C$12)^$CZ24),0)</f>
        <v>1491973.7664544377</v>
      </c>
      <c r="EU24" s="126">
        <f ca="1">MAX(EU23*(1+AV24)-(Dashboard!$C$11)/(1-Dashboard!$C$17)*((1+Dashboard!$C$12)^$CZ24),0)</f>
        <v>1294104.2674329709</v>
      </c>
      <c r="EV24" s="126">
        <f ca="1">MAX(EV23*(1+AW24)-(Dashboard!$C$11)/(1-Dashboard!$C$17)*((1+Dashboard!$C$12)^$CZ24),0)</f>
        <v>4644607.3973071128</v>
      </c>
      <c r="EW24" s="126">
        <f ca="1">MAX(EW23*(1+AX24)-(Dashboard!$C$11)/(1-Dashboard!$C$17)*((1+Dashboard!$C$12)^$CZ24),0)</f>
        <v>1557448.1169564298</v>
      </c>
      <c r="EX24" s="126">
        <f ca="1">MAX(EX23*(1+AY24)-(Dashboard!$C$11)/(1-Dashboard!$C$17)*((1+Dashboard!$C$12)^$CZ24),0)</f>
        <v>1682100.1184617456</v>
      </c>
      <c r="EY24" s="126">
        <f ca="1">MAX(EY23*(1+AZ24)-(Dashboard!$C$11)/(1-Dashboard!$C$17)*((1+Dashboard!$C$12)^$CZ24),0)</f>
        <v>4305292.2959075943</v>
      </c>
      <c r="EZ24" s="126">
        <f ca="1">MAX(EZ23*(1+BA24)-(Dashboard!$C$11)/(1-Dashboard!$C$17)*((1+Dashboard!$C$12)^$CZ24),0)</f>
        <v>1363202.2393997414</v>
      </c>
      <c r="FA24" s="126">
        <f ca="1">MAX(FA23*(1+BB24)-(Dashboard!$C$11)/(1-Dashboard!$C$17)*((1+Dashboard!$C$12)^$CZ24),0)</f>
        <v>7096331.5023598401</v>
      </c>
      <c r="FB24" s="126">
        <f ca="1">MAX(FB23*(1+BC24)-(Dashboard!$C$11)/(1-Dashboard!$C$17)*((1+Dashboard!$C$12)^$CZ24),0)</f>
        <v>785902.5949635444</v>
      </c>
      <c r="FC24" s="126">
        <f ca="1">MAX(FC23*(1+BD24)-(Dashboard!$C$11)/(1-Dashboard!$C$17)*((1+Dashboard!$C$12)^$CZ24),0)</f>
        <v>5620546.094719951</v>
      </c>
      <c r="FD24" s="126">
        <f ca="1">MAX(FD23*(1+BE24)-(Dashboard!$C$11)/(1-Dashboard!$C$17)*((1+Dashboard!$C$12)^$CZ24),0)</f>
        <v>4835220.758359828</v>
      </c>
      <c r="FE24" s="126">
        <f ca="1">MAX(FE23*(1+BF24)-(Dashboard!$C$11)/(1-Dashboard!$C$17)*((1+Dashboard!$C$12)^$CZ24),0)</f>
        <v>3484794.7479657005</v>
      </c>
      <c r="FF24" s="126">
        <f ca="1">MAX(FF23*(1+BG24)-(Dashboard!$C$11)/(1-Dashboard!$C$17)*((1+Dashboard!$C$12)^$CZ24),0)</f>
        <v>1377579.9556601886</v>
      </c>
      <c r="FG24" s="126">
        <f ca="1">MAX(FG23*(1+BH24)-(Dashboard!$C$11)/(1-Dashboard!$C$17)*((1+Dashboard!$C$12)^$CZ24),0)</f>
        <v>1398291.7571143252</v>
      </c>
      <c r="FH24" s="126">
        <f ca="1">MAX(FH23*(1+BI24)-(Dashboard!$C$11)/(1-Dashboard!$C$17)*((1+Dashboard!$C$12)^$CZ24),0)</f>
        <v>2936468.770063044</v>
      </c>
      <c r="FI24" s="126">
        <f ca="1">MAX(FI23*(1+BJ24)-(Dashboard!$C$11)/(1-Dashboard!$C$17)*((1+Dashboard!$C$12)^$CZ24),0)</f>
        <v>2702090.7083597924</v>
      </c>
      <c r="FJ24" s="126">
        <f ca="1">MAX(FJ23*(1+BK24)-(Dashboard!$C$11)/(1-Dashboard!$C$17)*((1+Dashboard!$C$12)^$CZ24),0)</f>
        <v>1216153.9552103768</v>
      </c>
      <c r="FK24" s="126">
        <f ca="1">MAX(FK23*(1+BL24)-(Dashboard!$C$11)/(1-Dashboard!$C$17)*((1+Dashboard!$C$12)^$CZ24),0)</f>
        <v>2266039.1742971749</v>
      </c>
      <c r="FL24" s="126">
        <f ca="1">MAX(FL23*(1+BM24)-(Dashboard!$C$11)/(1-Dashboard!$C$17)*((1+Dashboard!$C$12)^$CZ24),0)</f>
        <v>1770371.5445896275</v>
      </c>
      <c r="FM24" s="126">
        <f ca="1">MAX(FM23*(1+BN24)-(Dashboard!$C$11)/(1-Dashboard!$C$17)*((1+Dashboard!$C$12)^$CZ24),0)</f>
        <v>2824677.8148436071</v>
      </c>
      <c r="FN24" s="126">
        <f ca="1">MAX(FN23*(1+BO24)-(Dashboard!$C$11)/(1-Dashboard!$C$17)*((1+Dashboard!$C$12)^$CZ24),0)</f>
        <v>227317.73347078881</v>
      </c>
      <c r="FO24" s="126">
        <f ca="1">MAX(FO23*(1+BP24)-(Dashboard!$C$11)/(1-Dashboard!$C$17)*((1+Dashboard!$C$12)^$CZ24),0)</f>
        <v>1833202.1698936704</v>
      </c>
      <c r="FP24" s="126">
        <f ca="1">MAX(FP23*(1+BQ24)-(Dashboard!$C$11)/(1-Dashboard!$C$17)*((1+Dashboard!$C$12)^$CZ24),0)</f>
        <v>2045958.5738278681</v>
      </c>
      <c r="FQ24" s="126">
        <f ca="1">MAX(FQ23*(1+BR24)-(Dashboard!$C$11)/(1-Dashboard!$C$17)*((1+Dashboard!$C$12)^$CZ24),0)</f>
        <v>1128361.3850412134</v>
      </c>
      <c r="FR24" s="126">
        <f ca="1">MAX(FR23*(1+BS24)-(Dashboard!$C$11)/(1-Dashboard!$C$17)*((1+Dashboard!$C$12)^$CZ24),0)</f>
        <v>3353019.1149445577</v>
      </c>
      <c r="FS24" s="126">
        <f ca="1">MAX(FS23*(1+BT24)-(Dashboard!$C$11)/(1-Dashboard!$C$17)*((1+Dashboard!$C$12)^$CZ24),0)</f>
        <v>2861683.8648733534</v>
      </c>
      <c r="FT24" s="126">
        <f ca="1">MAX(FT23*(1+BU24)-(Dashboard!$C$11)/(1-Dashboard!$C$17)*((1+Dashboard!$C$12)^$CZ24),0)</f>
        <v>675090.53514417168</v>
      </c>
      <c r="FU24" s="126">
        <f ca="1">MAX(FU23*(1+BV24)-(Dashboard!$C$11)/(1-Dashboard!$C$17)*((1+Dashboard!$C$12)^$CZ24),0)</f>
        <v>1792932.9334182276</v>
      </c>
      <c r="FV24" s="126">
        <f ca="1">MAX(FV23*(1+BW24)-(Dashboard!$C$11)/(1-Dashboard!$C$17)*((1+Dashboard!$C$12)^$CZ24),0)</f>
        <v>1887293.3638730696</v>
      </c>
      <c r="FW24" s="126">
        <f ca="1">MAX(FW23*(1+BX24)-(Dashboard!$C$11)/(1-Dashboard!$C$17)*((1+Dashboard!$C$12)^$CZ24),0)</f>
        <v>1245701.7559437477</v>
      </c>
      <c r="FX24" s="126">
        <f ca="1">MAX(FX23*(1+BY24)-(Dashboard!$C$11)/(1-Dashboard!$C$17)*((1+Dashboard!$C$12)^$CZ24),0)</f>
        <v>533087.83052237541</v>
      </c>
      <c r="FY24" s="126">
        <f ca="1">MAX(FY23*(1+BZ24)-(Dashboard!$C$11)/(1-Dashboard!$C$17)*((1+Dashboard!$C$12)^$CZ24),0)</f>
        <v>830154.4580968665</v>
      </c>
      <c r="FZ24" s="126">
        <f ca="1">MAX(FZ23*(1+CA24)-(Dashboard!$C$11)/(1-Dashboard!$C$17)*((1+Dashboard!$C$12)^$CZ24),0)</f>
        <v>3772059.3478868403</v>
      </c>
      <c r="GA24" s="126">
        <f ca="1">MAX(GA23*(1+CB24)-(Dashboard!$C$11)/(1-Dashboard!$C$17)*((1+Dashboard!$C$12)^$CZ24),0)</f>
        <v>3776734.7110161204</v>
      </c>
      <c r="GB24" s="126">
        <f ca="1">MAX(GB23*(1+CC24)-(Dashboard!$C$11)/(1-Dashboard!$C$17)*((1+Dashboard!$C$12)^$CZ24),0)</f>
        <v>950833.70627915533</v>
      </c>
      <c r="GC24" s="126">
        <f ca="1">MAX(GC23*(1+CD24)-(Dashboard!$C$11)/(1-Dashboard!$C$17)*((1+Dashboard!$C$12)^$CZ24),0)</f>
        <v>3128354.5611057952</v>
      </c>
      <c r="GD24" s="126">
        <f ca="1">MAX(GD23*(1+CE24)-(Dashboard!$C$11)/(1-Dashboard!$C$17)*((1+Dashboard!$C$12)^$CZ24),0)</f>
        <v>6365305.7602191856</v>
      </c>
      <c r="GE24" s="126">
        <f ca="1">MAX(GE23*(1+CF24)-(Dashboard!$C$11)/(1-Dashboard!$C$17)*((1+Dashboard!$C$12)^$CZ24),0)</f>
        <v>1299283.1722695483</v>
      </c>
      <c r="GF24" s="126">
        <f ca="1">MAX(GF23*(1+CG24)-(Dashboard!$C$11)/(1-Dashboard!$C$17)*((1+Dashboard!$C$12)^$CZ24),0)</f>
        <v>2821330.7761425911</v>
      </c>
      <c r="GG24" s="126">
        <f ca="1">MAX(GG23*(1+CH24)-(Dashboard!$C$11)/(1-Dashboard!$C$17)*((1+Dashboard!$C$12)^$CZ24),0)</f>
        <v>589068.84353067388</v>
      </c>
      <c r="GH24" s="126">
        <f ca="1">MAX(GH23*(1+CI24)-(Dashboard!$C$11)/(1-Dashboard!$C$17)*((1+Dashboard!$C$12)^$CZ24),0)</f>
        <v>1149115.30159159</v>
      </c>
      <c r="GI24" s="126">
        <f ca="1">MAX(GI23*(1+CJ24)-(Dashboard!$C$11)/(1-Dashboard!$C$17)*((1+Dashboard!$C$12)^$CZ24),0)</f>
        <v>1206414.377008406</v>
      </c>
      <c r="GJ24" s="126">
        <f ca="1">MAX(GJ23*(1+CK24)-(Dashboard!$C$11)/(1-Dashboard!$C$17)*((1+Dashboard!$C$12)^$CZ24),0)</f>
        <v>2840546.8874653131</v>
      </c>
      <c r="GK24" s="126">
        <f ca="1">MAX(GK23*(1+CL24)-(Dashboard!$C$11)/(1-Dashboard!$C$17)*((1+Dashboard!$C$12)^$CZ24),0)</f>
        <v>4276307.9805959659</v>
      </c>
      <c r="GL24" s="126">
        <f ca="1">MAX(GL23*(1+CM24)-(Dashboard!$C$11)/(1-Dashboard!$C$17)*((1+Dashboard!$C$12)^$CZ24),0)</f>
        <v>2949883.4328553248</v>
      </c>
      <c r="GM24" s="126">
        <f ca="1">MAX(GM23*(1+CN24)-(Dashboard!$C$11)/(1-Dashboard!$C$17)*((1+Dashboard!$C$12)^$CZ24),0)</f>
        <v>626571.16508958163</v>
      </c>
      <c r="GN24" s="126">
        <f ca="1">MAX(GN23*(1+CO24)-(Dashboard!$C$11)/(1-Dashboard!$C$17)*((1+Dashboard!$C$12)^$CZ24),0)</f>
        <v>0</v>
      </c>
      <c r="GO24" s="126">
        <f ca="1">MAX(GO23*(1+CP24)-(Dashboard!$C$11)/(1-Dashboard!$C$17)*((1+Dashboard!$C$12)^$CZ24),0)</f>
        <v>502515.75297448511</v>
      </c>
      <c r="GP24" s="126">
        <f ca="1">MAX(GP23*(1+CQ24)-(Dashboard!$C$11)/(1-Dashboard!$C$17)*((1+Dashboard!$C$12)^$CZ24),0)</f>
        <v>1203671.4352941117</v>
      </c>
      <c r="GQ24" s="126">
        <f ca="1">MAX(GQ23*(1+CR24)-(Dashboard!$C$11)/(1-Dashboard!$C$17)*((1+Dashboard!$C$12)^$CZ24),0)</f>
        <v>156864.77404177617</v>
      </c>
      <c r="GR24" s="126">
        <f ca="1">MAX(GR23*(1+CS24)-(Dashboard!$C$11)/(1-Dashboard!$C$17)*((1+Dashboard!$C$12)^$CZ24),0)</f>
        <v>833419.37041347404</v>
      </c>
      <c r="GS24" s="126">
        <f ca="1">MAX(GS23*(1+CT24)-(Dashboard!$C$11)/(1-Dashboard!$C$17)*((1+Dashboard!$C$12)^$CZ24),0)</f>
        <v>2621861.3749180855</v>
      </c>
      <c r="GT24" s="126">
        <f ca="1">MAX(GT23*(1+CU24)-(Dashboard!$C$11)/(1-Dashboard!$C$17)*((1+Dashboard!$C$12)^$CZ24),0)</f>
        <v>10150280.634215659</v>
      </c>
      <c r="GU24" s="126">
        <f ca="1">MAX(GU23*(1+CV24)-(Dashboard!$C$11)/(1-Dashboard!$C$17)*((1+Dashboard!$C$12)^$CZ24),0)</f>
        <v>1097811.0391559768</v>
      </c>
      <c r="GV24" s="126">
        <f ca="1">MAX(GV23*(1+CW24)-(Dashboard!$C$11)/(1-Dashboard!$C$17)*((1+Dashboard!$C$12)^$CZ24),0)</f>
        <v>589244.78223107511</v>
      </c>
      <c r="GW24" s="115">
        <f t="shared" si="4"/>
        <v>73</v>
      </c>
      <c r="GX24" s="130">
        <f t="shared" ca="1" si="2"/>
        <v>98</v>
      </c>
      <c r="HC24" s="130">
        <f t="shared" si="0"/>
        <v>73</v>
      </c>
      <c r="HD24" s="137">
        <f t="shared" ca="1" si="6"/>
        <v>974518.08249824774</v>
      </c>
      <c r="HE24" s="137">
        <f t="shared" ca="1" si="6"/>
        <v>1781652.2390039274</v>
      </c>
      <c r="HF24" s="137">
        <f t="shared" ca="1" si="6"/>
        <v>2988573.1900595701</v>
      </c>
    </row>
    <row r="25" spans="1:214" ht="16">
      <c r="A25" s="145">
        <f t="shared" si="3"/>
        <v>74</v>
      </c>
      <c r="B25" s="119">
        <f ca="1">(Dashboard!$C$7*'Equity and Bond Returns'!N25)+(Dashboard!$C$8*'Equity and Bond Returns'!DL25)</f>
        <v>5.6228556876051147E-2</v>
      </c>
      <c r="C25" s="119">
        <f ca="1">(Dashboard!$C$7*'Equity and Bond Returns'!O25)+(Dashboard!$C$8*'Equity and Bond Returns'!DM25)</f>
        <v>-3.5219137800585349E-3</v>
      </c>
      <c r="D25" s="119">
        <f ca="1">(Dashboard!$C$7*'Equity and Bond Returns'!P25)+(Dashboard!$C$8*'Equity and Bond Returns'!DN25)</f>
        <v>0.25596501949530315</v>
      </c>
      <c r="E25" s="119">
        <f ca="1">(Dashboard!$C$7*'Equity and Bond Returns'!Q25)+(Dashboard!$C$8*'Equity and Bond Returns'!DO25)</f>
        <v>0.10498611552498784</v>
      </c>
      <c r="F25" s="119">
        <f ca="1">(Dashboard!$C$7*'Equity and Bond Returns'!R25)+(Dashboard!$C$8*'Equity and Bond Returns'!DP25)</f>
        <v>-2.3130044329379637E-3</v>
      </c>
      <c r="G25" s="119">
        <f ca="1">(Dashboard!$C$7*'Equity and Bond Returns'!S25)+(Dashboard!$C$8*'Equity and Bond Returns'!DQ25)</f>
        <v>0.23378471243063659</v>
      </c>
      <c r="H25" s="119">
        <f ca="1">(Dashboard!$C$7*'Equity and Bond Returns'!T25)+(Dashboard!$C$8*'Equity and Bond Returns'!DR25)</f>
        <v>0.18650590286369392</v>
      </c>
      <c r="I25" s="119">
        <f ca="1">(Dashboard!$C$7*'Equity and Bond Returns'!U25)+(Dashboard!$C$8*'Equity and Bond Returns'!DS25)</f>
        <v>3.4232082485500546E-2</v>
      </c>
      <c r="J25" s="119">
        <f ca="1">(Dashboard!$C$7*'Equity and Bond Returns'!V25)+(Dashboard!$C$8*'Equity and Bond Returns'!DT25)</f>
        <v>-1.6136775013216517E-2</v>
      </c>
      <c r="K25" s="119">
        <f ca="1">(Dashboard!$C$7*'Equity and Bond Returns'!W25)+(Dashboard!$C$8*'Equity and Bond Returns'!DU25)</f>
        <v>0.15404685210437735</v>
      </c>
      <c r="L25" s="119">
        <f ca="1">(Dashboard!$C$7*'Equity and Bond Returns'!X25)+(Dashboard!$C$8*'Equity and Bond Returns'!DV25)</f>
        <v>-6.6216712608133749E-2</v>
      </c>
      <c r="M25" s="119">
        <f ca="1">(Dashboard!$C$7*'Equity and Bond Returns'!Y25)+(Dashboard!$C$8*'Equity and Bond Returns'!DW25)</f>
        <v>0.1095730090778286</v>
      </c>
      <c r="N25" s="119">
        <f ca="1">(Dashboard!$C$7*'Equity and Bond Returns'!Z25)+(Dashboard!$C$8*'Equity and Bond Returns'!DX25)</f>
        <v>0.21259164794170382</v>
      </c>
      <c r="O25" s="119">
        <f ca="1">(Dashboard!$C$7*'Equity and Bond Returns'!AA25)+(Dashboard!$C$8*'Equity and Bond Returns'!DY25)</f>
        <v>-0.18373573288069694</v>
      </c>
      <c r="P25" s="119">
        <f ca="1">(Dashboard!$C$7*'Equity and Bond Returns'!AB25)+(Dashboard!$C$8*'Equity and Bond Returns'!DZ25)</f>
        <v>3.2880792282732614E-2</v>
      </c>
      <c r="Q25" s="119">
        <f ca="1">(Dashboard!$C$7*'Equity and Bond Returns'!AC25)+(Dashboard!$C$8*'Equity and Bond Returns'!EA25)</f>
        <v>-4.617342236312183E-2</v>
      </c>
      <c r="R25" s="119">
        <f ca="1">(Dashboard!$C$7*'Equity and Bond Returns'!AD25)+(Dashboard!$C$8*'Equity and Bond Returns'!EB25)</f>
        <v>5.3928652958231835E-2</v>
      </c>
      <c r="S25" s="119">
        <f ca="1">(Dashboard!$C$7*'Equity and Bond Returns'!AE25)+(Dashboard!$C$8*'Equity and Bond Returns'!EC25)</f>
        <v>5.5798685092422404E-2</v>
      </c>
      <c r="T25" s="119">
        <f ca="1">(Dashboard!$C$7*'Equity and Bond Returns'!AF25)+(Dashboard!$C$8*'Equity and Bond Returns'!ED25)</f>
        <v>-0.1264242841713244</v>
      </c>
      <c r="U25" s="119">
        <f ca="1">(Dashboard!$C$7*'Equity and Bond Returns'!AG25)+(Dashboard!$C$8*'Equity and Bond Returns'!EE25)</f>
        <v>0.26749822066351336</v>
      </c>
      <c r="V25" s="119">
        <f ca="1">(Dashboard!$C$7*'Equity and Bond Returns'!AH25)+(Dashboard!$C$8*'Equity and Bond Returns'!EF25)</f>
        <v>0.24435221939296817</v>
      </c>
      <c r="W25" s="119">
        <f ca="1">(Dashboard!$C$7*'Equity and Bond Returns'!AI25)+(Dashboard!$C$8*'Equity and Bond Returns'!EG25)</f>
        <v>8.7468542937953836E-2</v>
      </c>
      <c r="X25" s="119">
        <f ca="1">(Dashboard!$C$7*'Equity and Bond Returns'!AJ25)+(Dashboard!$C$8*'Equity and Bond Returns'!EH25)</f>
        <v>0.21650072911861692</v>
      </c>
      <c r="Y25" s="119">
        <f ca="1">(Dashboard!$C$7*'Equity and Bond Returns'!AK25)+(Dashboard!$C$8*'Equity and Bond Returns'!EI25)</f>
        <v>0.217214723217386</v>
      </c>
      <c r="Z25" s="119">
        <f ca="1">(Dashboard!$C$7*'Equity and Bond Returns'!AL25)+(Dashboard!$C$8*'Equity and Bond Returns'!EJ25)</f>
        <v>-1.8655727154157833E-2</v>
      </c>
      <c r="AA25" s="119">
        <f ca="1">(Dashboard!$C$7*'Equity and Bond Returns'!AM25)+(Dashboard!$C$8*'Equity and Bond Returns'!EK25)</f>
        <v>-0.14527107302593617</v>
      </c>
      <c r="AB25" s="119">
        <f ca="1">(Dashboard!$C$7*'Equity and Bond Returns'!AN25)+(Dashboard!$C$8*'Equity and Bond Returns'!EL25)</f>
        <v>8.7285676751109001E-2</v>
      </c>
      <c r="AC25" s="119">
        <f ca="1">(Dashboard!$C$7*'Equity and Bond Returns'!AO25)+(Dashboard!$C$8*'Equity and Bond Returns'!EM25)</f>
        <v>-4.5392471318416588E-3</v>
      </c>
      <c r="AD25" s="119">
        <f ca="1">(Dashboard!$C$7*'Equity and Bond Returns'!AP25)+(Dashboard!$C$8*'Equity and Bond Returns'!EN25)</f>
        <v>-0.13961202581840265</v>
      </c>
      <c r="AE25" s="119">
        <f ca="1">(Dashboard!$C$7*'Equity and Bond Returns'!AQ25)+(Dashboard!$C$8*'Equity and Bond Returns'!EO25)</f>
        <v>-7.0124234299684174E-2</v>
      </c>
      <c r="AF25" s="119">
        <f ca="1">(Dashboard!$C$7*'Equity and Bond Returns'!AR25)+(Dashboard!$C$8*'Equity and Bond Returns'!EP25)</f>
        <v>0.30126132833969627</v>
      </c>
      <c r="AG25" s="119">
        <f ca="1">(Dashboard!$C$7*'Equity and Bond Returns'!AS25)+(Dashboard!$C$8*'Equity and Bond Returns'!EQ25)</f>
        <v>8.561039314275401E-2</v>
      </c>
      <c r="AH25" s="119">
        <f ca="1">(Dashboard!$C$7*'Equity and Bond Returns'!AT25)+(Dashboard!$C$8*'Equity and Bond Returns'!ER25)</f>
        <v>0.29856128195848786</v>
      </c>
      <c r="AI25" s="119">
        <f ca="1">(Dashboard!$C$7*'Equity and Bond Returns'!AU25)+(Dashboard!$C$8*'Equity and Bond Returns'!ES25)</f>
        <v>8.6578986456020773E-2</v>
      </c>
      <c r="AJ25" s="119">
        <f ca="1">(Dashboard!$C$7*'Equity and Bond Returns'!AV25)+(Dashboard!$C$8*'Equity and Bond Returns'!ET25)</f>
        <v>0.20131149203825674</v>
      </c>
      <c r="AK25" s="119">
        <f ca="1">(Dashboard!$C$7*'Equity and Bond Returns'!AW25)+(Dashboard!$C$8*'Equity and Bond Returns'!EU25)</f>
        <v>4.1605244092133981E-2</v>
      </c>
      <c r="AL25" s="119">
        <f ca="1">(Dashboard!$C$7*'Equity and Bond Returns'!AX25)+(Dashboard!$C$8*'Equity and Bond Returns'!EV25)</f>
        <v>-0.11342628799195043</v>
      </c>
      <c r="AM25" s="119">
        <f ca="1">(Dashboard!$C$7*'Equity and Bond Returns'!AY25)+(Dashboard!$C$8*'Equity and Bond Returns'!EW25)</f>
        <v>3.7597370857173948E-2</v>
      </c>
      <c r="AN25" s="119">
        <f ca="1">(Dashboard!$C$7*'Equity and Bond Returns'!AZ25)+(Dashboard!$C$8*'Equity and Bond Returns'!EX25)</f>
        <v>6.5961813610902309E-2</v>
      </c>
      <c r="AO25" s="119">
        <f ca="1">(Dashboard!$C$7*'Equity and Bond Returns'!BA25)+(Dashboard!$C$8*'Equity and Bond Returns'!EY25)</f>
        <v>-0.12255227084238907</v>
      </c>
      <c r="AP25" s="119">
        <f ca="1">(Dashboard!$C$7*'Equity and Bond Returns'!BB25)+(Dashboard!$C$8*'Equity and Bond Returns'!EZ25)</f>
        <v>-2.7422012481611635E-2</v>
      </c>
      <c r="AQ25" s="119">
        <f ca="1">(Dashboard!$C$7*'Equity and Bond Returns'!BC25)+(Dashboard!$C$8*'Equity and Bond Returns'!FA25)</f>
        <v>1.7392834983523425E-2</v>
      </c>
      <c r="AR25" s="119">
        <f ca="1">(Dashboard!$C$7*'Equity and Bond Returns'!BD25)+(Dashboard!$C$8*'Equity and Bond Returns'!FB25)</f>
        <v>0.22036044483597111</v>
      </c>
      <c r="AS25" s="119">
        <f ca="1">(Dashboard!$C$7*'Equity and Bond Returns'!BE25)+(Dashboard!$C$8*'Equity and Bond Returns'!FC25)</f>
        <v>-7.5970031449242498E-2</v>
      </c>
      <c r="AT25" s="119">
        <f ca="1">(Dashboard!$C$7*'Equity and Bond Returns'!BF25)+(Dashboard!$C$8*'Equity and Bond Returns'!FD25)</f>
        <v>0.14278445071894247</v>
      </c>
      <c r="AU25" s="119">
        <f ca="1">(Dashboard!$C$7*'Equity and Bond Returns'!BG25)+(Dashboard!$C$8*'Equity and Bond Returns'!FE25)</f>
        <v>0.24678727140374654</v>
      </c>
      <c r="AV25" s="119">
        <f ca="1">(Dashboard!$C$7*'Equity and Bond Returns'!BH25)+(Dashboard!$C$8*'Equity and Bond Returns'!FF25)</f>
        <v>8.7233913367847402E-2</v>
      </c>
      <c r="AW25" s="119">
        <f ca="1">(Dashboard!$C$7*'Equity and Bond Returns'!BI25)+(Dashboard!$C$8*'Equity and Bond Returns'!FG25)</f>
        <v>0.18730185133094532</v>
      </c>
      <c r="AX25" s="119">
        <f ca="1">(Dashboard!$C$7*'Equity and Bond Returns'!BJ25)+(Dashboard!$C$8*'Equity and Bond Returns'!FH25)</f>
        <v>-0.11070386736459449</v>
      </c>
      <c r="AY25" s="119">
        <f ca="1">(Dashboard!$C$7*'Equity and Bond Returns'!BK25)+(Dashboard!$C$8*'Equity and Bond Returns'!FI25)</f>
        <v>-2.9998074964328967E-2</v>
      </c>
      <c r="AZ25" s="119">
        <f ca="1">(Dashboard!$C$7*'Equity and Bond Returns'!BL25)+(Dashboard!$C$8*'Equity and Bond Returns'!FJ25)</f>
        <v>-3.0329895065901377E-4</v>
      </c>
      <c r="BA25" s="119">
        <f ca="1">(Dashboard!$C$7*'Equity and Bond Returns'!BM25)+(Dashboard!$C$8*'Equity and Bond Returns'!FK25)</f>
        <v>-0.14119666215417814</v>
      </c>
      <c r="BB25" s="119">
        <f ca="1">(Dashboard!$C$7*'Equity and Bond Returns'!BN25)+(Dashboard!$C$8*'Equity and Bond Returns'!FL25)</f>
        <v>-2.9650232875716696E-2</v>
      </c>
      <c r="BC25" s="119">
        <f ca="1">(Dashboard!$C$7*'Equity and Bond Returns'!BO25)+(Dashboard!$C$8*'Equity and Bond Returns'!FM25)</f>
        <v>0.25764708466912795</v>
      </c>
      <c r="BD25" s="119">
        <f ca="1">(Dashboard!$C$7*'Equity and Bond Returns'!BP25)+(Dashboard!$C$8*'Equity and Bond Returns'!FN25)</f>
        <v>8.6564224033126483E-2</v>
      </c>
      <c r="BE25" s="119">
        <f ca="1">(Dashboard!$C$7*'Equity and Bond Returns'!BQ25)+(Dashboard!$C$8*'Equity and Bond Returns'!FO25)</f>
        <v>0.13084041664734783</v>
      </c>
      <c r="BF25" s="119">
        <f ca="1">(Dashboard!$C$7*'Equity and Bond Returns'!BR25)+(Dashboard!$C$8*'Equity and Bond Returns'!FP25)</f>
        <v>0.22604891858932039</v>
      </c>
      <c r="BG25" s="119">
        <f ca="1">(Dashboard!$C$7*'Equity and Bond Returns'!BS25)+(Dashboard!$C$8*'Equity and Bond Returns'!FQ25)</f>
        <v>-4.5128437015976561E-2</v>
      </c>
      <c r="BH25" s="119">
        <f ca="1">(Dashboard!$C$7*'Equity and Bond Returns'!BT25)+(Dashboard!$C$8*'Equity and Bond Returns'!FR25)</f>
        <v>6.5736756076879815E-2</v>
      </c>
      <c r="BI25" s="119">
        <f ca="1">(Dashboard!$C$7*'Equity and Bond Returns'!BU25)+(Dashboard!$C$8*'Equity and Bond Returns'!FS25)</f>
        <v>-0.1707487772762675</v>
      </c>
      <c r="BJ25" s="119">
        <f ca="1">(Dashboard!$C$7*'Equity and Bond Returns'!BV25)+(Dashboard!$C$8*'Equity and Bond Returns'!FT25)</f>
        <v>0.22844804168953711</v>
      </c>
      <c r="BK25" s="119">
        <f ca="1">(Dashboard!$C$7*'Equity and Bond Returns'!BW25)+(Dashboard!$C$8*'Equity and Bond Returns'!FU25)</f>
        <v>2.2723144875894975E-2</v>
      </c>
      <c r="BL25" s="119">
        <f ca="1">(Dashboard!$C$7*'Equity and Bond Returns'!BX25)+(Dashboard!$C$8*'Equity and Bond Returns'!FV25)</f>
        <v>-4.9247290946139957E-2</v>
      </c>
      <c r="BM25" s="119">
        <f ca="1">(Dashboard!$C$7*'Equity and Bond Returns'!BY25)+(Dashboard!$C$8*'Equity and Bond Returns'!FW25)</f>
        <v>9.9413588937655811E-2</v>
      </c>
      <c r="BN25" s="119">
        <f ca="1">(Dashboard!$C$7*'Equity and Bond Returns'!BZ25)+(Dashboard!$C$8*'Equity and Bond Returns'!FX25)</f>
        <v>0.19185133867585413</v>
      </c>
      <c r="BO25" s="119">
        <f ca="1">(Dashboard!$C$7*'Equity and Bond Returns'!CA25)+(Dashboard!$C$8*'Equity and Bond Returns'!FY25)</f>
        <v>3.6620170996105553E-2</v>
      </c>
      <c r="BP25" s="119">
        <f ca="1">(Dashboard!$C$7*'Equity and Bond Returns'!CB25)+(Dashboard!$C$8*'Equity and Bond Returns'!FZ25)</f>
        <v>8.295376808024825E-2</v>
      </c>
      <c r="BQ25" s="119">
        <f ca="1">(Dashboard!$C$7*'Equity and Bond Returns'!CC25)+(Dashboard!$C$8*'Equity and Bond Returns'!GA25)</f>
        <v>0.12758492715778633</v>
      </c>
      <c r="BR25" s="119">
        <f ca="1">(Dashboard!$C$7*'Equity and Bond Returns'!CD25)+(Dashboard!$C$8*'Equity and Bond Returns'!GB25)</f>
        <v>2.2916791449027914E-2</v>
      </c>
      <c r="BS25" s="119">
        <f ca="1">(Dashboard!$C$7*'Equity and Bond Returns'!CE25)+(Dashboard!$C$8*'Equity and Bond Returns'!GC25)</f>
        <v>-0.11804048277735066</v>
      </c>
      <c r="BT25" s="119">
        <f ca="1">(Dashboard!$C$7*'Equity and Bond Returns'!CF25)+(Dashboard!$C$8*'Equity and Bond Returns'!GD25)</f>
        <v>0.10004190366951102</v>
      </c>
      <c r="BU25" s="119">
        <f ca="1">(Dashboard!$C$7*'Equity and Bond Returns'!CG25)+(Dashboard!$C$8*'Equity and Bond Returns'!GE25)</f>
        <v>1.3998743392962879E-2</v>
      </c>
      <c r="BV25" s="119">
        <f ca="1">(Dashboard!$C$7*'Equity and Bond Returns'!CH25)+(Dashboard!$C$8*'Equity and Bond Returns'!GF25)</f>
        <v>0.15516204387076563</v>
      </c>
      <c r="BW25" s="119">
        <f ca="1">(Dashboard!$C$7*'Equity and Bond Returns'!CI25)+(Dashboard!$C$8*'Equity and Bond Returns'!GG25)</f>
        <v>0.26652658555427533</v>
      </c>
      <c r="BX25" s="119">
        <f ca="1">(Dashboard!$C$7*'Equity and Bond Returns'!CJ25)+(Dashboard!$C$8*'Equity and Bond Returns'!GH25)</f>
        <v>0.26925981126042176</v>
      </c>
      <c r="BY25" s="119">
        <f ca="1">(Dashboard!$C$7*'Equity and Bond Returns'!CK25)+(Dashboard!$C$8*'Equity and Bond Returns'!GI25)</f>
        <v>6.2831801871860771E-2</v>
      </c>
      <c r="BZ25" s="119">
        <f ca="1">(Dashboard!$C$7*'Equity and Bond Returns'!CL25)+(Dashboard!$C$8*'Equity and Bond Returns'!GJ25)</f>
        <v>-9.9518196750683519E-2</v>
      </c>
      <c r="CA25" s="119">
        <f ca="1">(Dashboard!$C$7*'Equity and Bond Returns'!CM25)+(Dashboard!$C$8*'Equity and Bond Returns'!GK25)</f>
        <v>-8.8782463074289455E-2</v>
      </c>
      <c r="CB25" s="119">
        <f ca="1">(Dashboard!$C$7*'Equity and Bond Returns'!CN25)+(Dashboard!$C$8*'Equity and Bond Returns'!GL25)</f>
        <v>0.33699930503115483</v>
      </c>
      <c r="CC25" s="119">
        <f ca="1">(Dashboard!$C$7*'Equity and Bond Returns'!CO25)+(Dashboard!$C$8*'Equity and Bond Returns'!GM25)</f>
        <v>0.25113608695569456</v>
      </c>
      <c r="CD25" s="119">
        <f ca="1">(Dashboard!$C$7*'Equity and Bond Returns'!CP25)+(Dashboard!$C$8*'Equity and Bond Returns'!GN25)</f>
        <v>5.806441426797096E-2</v>
      </c>
      <c r="CE25" s="119">
        <f ca="1">(Dashboard!$C$7*'Equity and Bond Returns'!CQ25)+(Dashboard!$C$8*'Equity and Bond Returns'!GO25)</f>
        <v>0.14528248196539842</v>
      </c>
      <c r="CF25" s="119">
        <f ca="1">(Dashboard!$C$7*'Equity and Bond Returns'!CR25)+(Dashboard!$C$8*'Equity and Bond Returns'!GP25)</f>
        <v>8.0351189676063722E-2</v>
      </c>
      <c r="CG25" s="119">
        <f ca="1">(Dashboard!$C$7*'Equity and Bond Returns'!CS25)+(Dashboard!$C$8*'Equity and Bond Returns'!GQ25)</f>
        <v>0.1789997916973195</v>
      </c>
      <c r="CH25" s="119">
        <f ca="1">(Dashboard!$C$7*'Equity and Bond Returns'!CT25)+(Dashboard!$C$8*'Equity and Bond Returns'!GR25)</f>
        <v>5.5782773120552541E-2</v>
      </c>
      <c r="CI25" s="119">
        <f ca="1">(Dashboard!$C$7*'Equity and Bond Returns'!CU25)+(Dashboard!$C$8*'Equity and Bond Returns'!GS25)</f>
        <v>4.9919021594567133E-2</v>
      </c>
      <c r="CJ25" s="119">
        <f ca="1">(Dashboard!$C$7*'Equity and Bond Returns'!CV25)+(Dashboard!$C$8*'Equity and Bond Returns'!GT25)</f>
        <v>0.16664531787896775</v>
      </c>
      <c r="CK25" s="119">
        <f ca="1">(Dashboard!$C$7*'Equity and Bond Returns'!CW25)+(Dashboard!$C$8*'Equity and Bond Returns'!GU25)</f>
        <v>0.11410184347219307</v>
      </c>
      <c r="CL25" s="119">
        <f ca="1">(Dashboard!$C$7*'Equity and Bond Returns'!CX25)+(Dashboard!$C$8*'Equity and Bond Returns'!GV25)</f>
        <v>-1.9596631283801055E-3</v>
      </c>
      <c r="CM25" s="119">
        <f ca="1">(Dashboard!$C$7*'Equity and Bond Returns'!CY25)+(Dashboard!$C$8*'Equity and Bond Returns'!GW25)</f>
        <v>0.25372382745539362</v>
      </c>
      <c r="CN25" s="119">
        <f ca="1">(Dashboard!$C$7*'Equity and Bond Returns'!CZ25)+(Dashboard!$C$8*'Equity and Bond Returns'!GX25)</f>
        <v>0.34952613683715456</v>
      </c>
      <c r="CO25" s="119">
        <f ca="1">(Dashboard!$C$7*'Equity and Bond Returns'!DA25)+(Dashboard!$C$8*'Equity and Bond Returns'!GY25)</f>
        <v>8.3580020131188593E-2</v>
      </c>
      <c r="CP25" s="119">
        <f ca="1">(Dashboard!$C$7*'Equity and Bond Returns'!DB25)+(Dashboard!$C$8*'Equity and Bond Returns'!GZ25)</f>
        <v>6.20532791088792E-2</v>
      </c>
      <c r="CQ25" s="119">
        <f ca="1">(Dashboard!$C$7*'Equity and Bond Returns'!DC25)+(Dashboard!$C$8*'Equity and Bond Returns'!HA25)</f>
        <v>0.19987034573634288</v>
      </c>
      <c r="CR25" s="119">
        <f ca="1">(Dashboard!$C$7*'Equity and Bond Returns'!DD25)+(Dashboard!$C$8*'Equity and Bond Returns'!HB25)</f>
        <v>5.7285080645004469E-3</v>
      </c>
      <c r="CS25" s="119">
        <f ca="1">(Dashboard!$C$7*'Equity and Bond Returns'!DE25)+(Dashboard!$C$8*'Equity and Bond Returns'!HC25)</f>
        <v>0.20516544943067599</v>
      </c>
      <c r="CT25" s="119">
        <f ca="1">(Dashboard!$C$7*'Equity and Bond Returns'!DF25)+(Dashboard!$C$8*'Equity and Bond Returns'!HD25)</f>
        <v>-2.0936566311032904E-2</v>
      </c>
      <c r="CU25" s="119">
        <f ca="1">(Dashboard!$C$7*'Equity and Bond Returns'!DG25)+(Dashboard!$C$8*'Equity and Bond Returns'!HE25)</f>
        <v>-6.2395427251293219E-2</v>
      </c>
      <c r="CV25" s="119">
        <f ca="1">(Dashboard!$C$7*'Equity and Bond Returns'!DH25)+(Dashboard!$C$8*'Equity and Bond Returns'!HF25)</f>
        <v>-4.5310079434537881E-2</v>
      </c>
      <c r="CW25" s="119">
        <f ca="1">(Dashboard!$C$7*'Equity and Bond Returns'!DI25)+(Dashboard!$C$8*'Equity and Bond Returns'!HG25)</f>
        <v>0.14204632573248807</v>
      </c>
      <c r="CY25" s="147">
        <f t="shared" si="5"/>
        <v>74</v>
      </c>
      <c r="CZ25" s="147">
        <v>24</v>
      </c>
      <c r="DA25" s="126">
        <f ca="1">MAX(DA24*(1+B25)-(Dashboard!$C$11)/(1-Dashboard!$C$17)*((1+Dashboard!$C$12)^$CZ25),0)</f>
        <v>5271711.2658514623</v>
      </c>
      <c r="DB25" s="126">
        <f ca="1">MAX(DB24*(1+C25)-(Dashboard!$C$11)/(1-Dashboard!$C$17)*((1+Dashboard!$C$12)^$CZ25),0)</f>
        <v>0</v>
      </c>
      <c r="DC25" s="126">
        <f ca="1">MAX(DC24*(1+D25)-(Dashboard!$C$11)/(1-Dashboard!$C$17)*((1+Dashboard!$C$12)^$CZ25),0)</f>
        <v>2046418.408099469</v>
      </c>
      <c r="DD25" s="126">
        <f ca="1">MAX(DD24*(1+E25)-(Dashboard!$C$11)/(1-Dashboard!$C$17)*((1+Dashboard!$C$12)^$CZ25),0)</f>
        <v>383448.18250292761</v>
      </c>
      <c r="DE25" s="126">
        <f ca="1">MAX(DE24*(1+F25)-(Dashboard!$C$11)/(1-Dashboard!$C$17)*((1+Dashboard!$C$12)^$CZ25),0)</f>
        <v>1796310.302526528</v>
      </c>
      <c r="DF25" s="126">
        <f ca="1">MAX(DF24*(1+G25)-(Dashboard!$C$11)/(1-Dashboard!$C$17)*((1+Dashboard!$C$12)^$CZ25),0)</f>
        <v>7303821.4891602239</v>
      </c>
      <c r="DG25" s="126">
        <f ca="1">MAX(DG24*(1+H25)-(Dashboard!$C$11)/(1-Dashboard!$C$17)*((1+Dashboard!$C$12)^$CZ25),0)</f>
        <v>148329.13160298971</v>
      </c>
      <c r="DH25" s="126">
        <f ca="1">MAX(DH24*(1+I25)-(Dashboard!$C$11)/(1-Dashboard!$C$17)*((1+Dashboard!$C$12)^$CZ25),0)</f>
        <v>5665985.6851417897</v>
      </c>
      <c r="DI25" s="126">
        <f ca="1">MAX(DI24*(1+J25)-(Dashboard!$C$11)/(1-Dashboard!$C$17)*((1+Dashboard!$C$12)^$CZ25),0)</f>
        <v>1644868.8238029708</v>
      </c>
      <c r="DJ25" s="126">
        <f ca="1">MAX(DJ24*(1+K25)-(Dashboard!$C$11)/(1-Dashboard!$C$17)*((1+Dashboard!$C$12)^$CZ25),0)</f>
        <v>3184720.7728222893</v>
      </c>
      <c r="DK25" s="126">
        <f ca="1">MAX(DK24*(1+L25)-(Dashboard!$C$11)/(1-Dashboard!$C$17)*((1+Dashboard!$C$12)^$CZ25),0)</f>
        <v>5907524.7052218085</v>
      </c>
      <c r="DL25" s="126">
        <f ca="1">MAX(DL24*(1+M25)-(Dashboard!$C$11)/(1-Dashboard!$C$17)*((1+Dashboard!$C$12)^$CZ25),0)</f>
        <v>668769.51576593379</v>
      </c>
      <c r="DM25" s="126">
        <f ca="1">MAX(DM24*(1+N25)-(Dashboard!$C$11)/(1-Dashboard!$C$17)*((1+Dashboard!$C$12)^$CZ25),0)</f>
        <v>2604981.8645607457</v>
      </c>
      <c r="DN25" s="126">
        <f ca="1">MAX(DN24*(1+O25)-(Dashboard!$C$11)/(1-Dashboard!$C$17)*((1+Dashboard!$C$12)^$CZ25),0)</f>
        <v>12379437.311725408</v>
      </c>
      <c r="DO25" s="126">
        <f ca="1">MAX(DO24*(1+P25)-(Dashboard!$C$11)/(1-Dashboard!$C$17)*((1+Dashboard!$C$12)^$CZ25),0)</f>
        <v>2028961.035537197</v>
      </c>
      <c r="DP25" s="126">
        <f ca="1">MAX(DP24*(1+Q25)-(Dashboard!$C$11)/(1-Dashboard!$C$17)*((1+Dashboard!$C$12)^$CZ25),0)</f>
        <v>852297.46398017579</v>
      </c>
      <c r="DQ25" s="126">
        <f ca="1">MAX(DQ24*(1+R25)-(Dashboard!$C$11)/(1-Dashboard!$C$17)*((1+Dashboard!$C$12)^$CZ25),0)</f>
        <v>3645811.3691942315</v>
      </c>
      <c r="DR25" s="126">
        <f ca="1">MAX(DR24*(1+S25)-(Dashboard!$C$11)/(1-Dashboard!$C$17)*((1+Dashboard!$C$12)^$CZ25),0)</f>
        <v>4130231.8505855221</v>
      </c>
      <c r="DS25" s="126">
        <f ca="1">MAX(DS24*(1+T25)-(Dashboard!$C$11)/(1-Dashboard!$C$17)*((1+Dashboard!$C$12)^$CZ25),0)</f>
        <v>532172.48044561385</v>
      </c>
      <c r="DT25" s="126">
        <f ca="1">MAX(DT24*(1+U25)-(Dashboard!$C$11)/(1-Dashboard!$C$17)*((1+Dashboard!$C$12)^$CZ25),0)</f>
        <v>1166672.5830025808</v>
      </c>
      <c r="DU25" s="126">
        <f ca="1">MAX(DU24*(1+V25)-(Dashboard!$C$11)/(1-Dashboard!$C$17)*((1+Dashboard!$C$12)^$CZ25),0)</f>
        <v>3110364.9634216758</v>
      </c>
      <c r="DV25" s="126">
        <f ca="1">MAX(DV24*(1+W25)-(Dashboard!$C$11)/(1-Dashboard!$C$17)*((1+Dashboard!$C$12)^$CZ25),0)</f>
        <v>7340157.506357206</v>
      </c>
      <c r="DW25" s="126">
        <f ca="1">MAX(DW24*(1+X25)-(Dashboard!$C$11)/(1-Dashboard!$C$17)*((1+Dashboard!$C$12)^$CZ25),0)</f>
        <v>2858929.2407872402</v>
      </c>
      <c r="DX25" s="126">
        <f ca="1">MAX(DX24*(1+Y25)-(Dashboard!$C$11)/(1-Dashboard!$C$17)*((1+Dashboard!$C$12)^$CZ25),0)</f>
        <v>1220908.4040111129</v>
      </c>
      <c r="DY25" s="126">
        <f ca="1">MAX(DY24*(1+Z25)-(Dashboard!$C$11)/(1-Dashboard!$C$17)*((1+Dashboard!$C$12)^$CZ25),0)</f>
        <v>3493533.921262458</v>
      </c>
      <c r="DZ25" s="126">
        <f ca="1">MAX(DZ24*(1+AA25)-(Dashboard!$C$11)/(1-Dashboard!$C$17)*((1+Dashboard!$C$12)^$CZ25),0)</f>
        <v>1522164.1532850037</v>
      </c>
      <c r="EA25" s="126">
        <f ca="1">MAX(EA24*(1+AB25)-(Dashboard!$C$11)/(1-Dashboard!$C$17)*((1+Dashboard!$C$12)^$CZ25),0)</f>
        <v>1300027.2418335616</v>
      </c>
      <c r="EB25" s="126">
        <f ca="1">MAX(EB24*(1+AC25)-(Dashboard!$C$11)/(1-Dashboard!$C$17)*((1+Dashboard!$C$12)^$CZ25),0)</f>
        <v>2933483.9272141149</v>
      </c>
      <c r="EC25" s="126">
        <f ca="1">MAX(EC24*(1+AD25)-(Dashboard!$C$11)/(1-Dashboard!$C$17)*((1+Dashboard!$C$12)^$CZ25),0)</f>
        <v>2197657.9825505186</v>
      </c>
      <c r="ED25" s="126">
        <f ca="1">MAX(ED24*(1+AE25)-(Dashboard!$C$11)/(1-Dashboard!$C$17)*((1+Dashboard!$C$12)^$CZ25),0)</f>
        <v>1698864.57114207</v>
      </c>
      <c r="EE25" s="126">
        <f ca="1">MAX(EE24*(1+AF25)-(Dashboard!$C$11)/(1-Dashboard!$C$17)*((1+Dashboard!$C$12)^$CZ25),0)</f>
        <v>5663233.2265843265</v>
      </c>
      <c r="EF25" s="126">
        <f ca="1">MAX(EF24*(1+AG25)-(Dashboard!$C$11)/(1-Dashboard!$C$17)*((1+Dashboard!$C$12)^$CZ25),0)</f>
        <v>616187.22388420766</v>
      </c>
      <c r="EG25" s="126">
        <f ca="1">MAX(EG24*(1+AH25)-(Dashboard!$C$11)/(1-Dashboard!$C$17)*((1+Dashboard!$C$12)^$CZ25),0)</f>
        <v>3289469.355505825</v>
      </c>
      <c r="EH25" s="126">
        <f ca="1">MAX(EH24*(1+AI25)-(Dashboard!$C$11)/(1-Dashboard!$C$17)*((1+Dashboard!$C$12)^$CZ25),0)</f>
        <v>1805872.4842190391</v>
      </c>
      <c r="EI25" s="126">
        <f ca="1">MAX(EI24*(1+AJ25)-(Dashboard!$C$11)/(1-Dashboard!$C$17)*((1+Dashboard!$C$12)^$CZ25),0)</f>
        <v>247680.65137382911</v>
      </c>
      <c r="EJ25" s="126">
        <f ca="1">MAX(EJ24*(1+AK25)-(Dashboard!$C$11)/(1-Dashboard!$C$17)*((1+Dashboard!$C$12)^$CZ25),0)</f>
        <v>1659349.216516593</v>
      </c>
      <c r="EK25" s="126">
        <f ca="1">MAX(EK24*(1+AL25)-(Dashboard!$C$11)/(1-Dashboard!$C$17)*((1+Dashboard!$C$12)^$CZ25),0)</f>
        <v>3131145.6567878653</v>
      </c>
      <c r="EL25" s="126">
        <f ca="1">MAX(EL24*(1+AM25)-(Dashboard!$C$11)/(1-Dashboard!$C$17)*((1+Dashboard!$C$12)^$CZ25),0)</f>
        <v>1145601.0911302757</v>
      </c>
      <c r="EM25" s="126">
        <f ca="1">MAX(EM24*(1+AN25)-(Dashboard!$C$11)/(1-Dashboard!$C$17)*((1+Dashboard!$C$12)^$CZ25),0)</f>
        <v>3142483.9338161554</v>
      </c>
      <c r="EN25" s="126">
        <f ca="1">MAX(EN24*(1+AO25)-(Dashboard!$C$11)/(1-Dashboard!$C$17)*((1+Dashboard!$C$12)^$CZ25),0)</f>
        <v>2023135.9240619964</v>
      </c>
      <c r="EO25" s="126">
        <f ca="1">MAX(EO24*(1+AP25)-(Dashboard!$C$11)/(1-Dashboard!$C$17)*((1+Dashboard!$C$12)^$CZ25),0)</f>
        <v>36369.832514818721</v>
      </c>
      <c r="EP25" s="126">
        <f ca="1">MAX(EP24*(1+AQ25)-(Dashboard!$C$11)/(1-Dashboard!$C$17)*((1+Dashboard!$C$12)^$CZ25),0)</f>
        <v>1030935.3393724394</v>
      </c>
      <c r="EQ25" s="126">
        <f ca="1">MAX(EQ24*(1+AR25)-(Dashboard!$C$11)/(1-Dashboard!$C$17)*((1+Dashboard!$C$12)^$CZ25),0)</f>
        <v>1370680.952884892</v>
      </c>
      <c r="ER25" s="126">
        <f ca="1">MAX(ER24*(1+AS25)-(Dashboard!$C$11)/(1-Dashboard!$C$17)*((1+Dashboard!$C$12)^$CZ25),0)</f>
        <v>67612.635208924476</v>
      </c>
      <c r="ES25" s="126">
        <f ca="1">MAX(ES24*(1+AT25)-(Dashboard!$C$11)/(1-Dashboard!$C$17)*((1+Dashboard!$C$12)^$CZ25),0)</f>
        <v>6152025.0945641426</v>
      </c>
      <c r="ET25" s="126">
        <f ca="1">MAX(ET24*(1+AU25)-(Dashboard!$C$11)/(1-Dashboard!$C$17)*((1+Dashboard!$C$12)^$CZ25),0)</f>
        <v>1818247.5228379532</v>
      </c>
      <c r="EU25" s="126">
        <f ca="1">MAX(EU24*(1+AV25)-(Dashboard!$C$11)/(1-Dashboard!$C$17)*((1+Dashboard!$C$12)^$CZ25),0)</f>
        <v>1365067.6685414347</v>
      </c>
      <c r="EV25" s="126">
        <f ca="1">MAX(EV24*(1+AW25)-(Dashboard!$C$11)/(1-Dashboard!$C$17)*((1+Dashboard!$C$12)^$CZ25),0)</f>
        <v>5472624.5830823928</v>
      </c>
      <c r="EW25" s="126">
        <f ca="1">MAX(EW24*(1+AX25)-(Dashboard!$C$11)/(1-Dashboard!$C$17)*((1+Dashboard!$C$12)^$CZ25),0)</f>
        <v>1343106.2087439022</v>
      </c>
      <c r="EX25" s="126">
        <f ca="1">MAX(EX24*(1+AY25)-(Dashboard!$C$11)/(1-Dashboard!$C$17)*((1+Dashboard!$C$12)^$CZ25),0)</f>
        <v>1589713.9745648778</v>
      </c>
      <c r="EY25" s="126">
        <f ca="1">MAX(EY24*(1+AZ25)-(Dashboard!$C$11)/(1-Dashboard!$C$17)*((1+Dashboard!$C$12)^$CZ25),0)</f>
        <v>4262060.1268262193</v>
      </c>
      <c r="EZ25" s="126">
        <f ca="1">MAX(EZ24*(1+BA25)-(Dashboard!$C$11)/(1-Dashboard!$C$17)*((1+Dashboard!$C$12)^$CZ25),0)</f>
        <v>1128796.2549096514</v>
      </c>
      <c r="FA25" s="126">
        <f ca="1">MAX(FA24*(1+BB25)-(Dashboard!$C$11)/(1-Dashboard!$C$17)*((1+Dashboard!$C$12)^$CZ25),0)</f>
        <v>6843997.2423058413</v>
      </c>
      <c r="FB25" s="126">
        <f ca="1">MAX(FB24*(1+BC25)-(Dashboard!$C$11)/(1-Dashboard!$C$17)*((1+Dashboard!$C$12)^$CZ25),0)</f>
        <v>946461.7289440583</v>
      </c>
      <c r="FC25" s="126">
        <f ca="1">MAX(FC24*(1+BD25)-(Dashboard!$C$11)/(1-Dashboard!$C$17)*((1+Dashboard!$C$12)^$CZ25),0)</f>
        <v>6065157.9276060583</v>
      </c>
      <c r="FD25" s="126">
        <f ca="1">MAX(FD24*(1+BE25)-(Dashboard!$C$11)/(1-Dashboard!$C$17)*((1+Dashboard!$C$12)^$CZ25),0)</f>
        <v>5425936.6785197873</v>
      </c>
      <c r="FE25" s="126">
        <f ca="1">MAX(FE24*(1+BF25)-(Dashboard!$C$11)/(1-Dashboard!$C$17)*((1+Dashboard!$C$12)^$CZ25),0)</f>
        <v>4230602.4538033446</v>
      </c>
      <c r="FF25" s="126">
        <f ca="1">MAX(FF24*(1+BG25)-(Dashboard!$C$11)/(1-Dashboard!$C$17)*((1+Dashboard!$C$12)^$CZ25),0)</f>
        <v>1273485.5469509603</v>
      </c>
      <c r="FG25" s="126">
        <f ca="1">MAX(FG24*(1+BH25)-(Dashboard!$C$11)/(1-Dashboard!$C$17)*((1+Dashboard!$C$12)^$CZ25),0)</f>
        <v>1448284.5428303157</v>
      </c>
      <c r="FH25" s="126">
        <f ca="1">MAX(FH24*(1+BI25)-(Dashboard!$C$11)/(1-Dashboard!$C$17)*((1+Dashboard!$C$12)^$CZ25),0)</f>
        <v>2393143.9396190885</v>
      </c>
      <c r="FI25" s="126">
        <f ca="1">MAX(FI24*(1+BJ25)-(Dashboard!$C$11)/(1-Dashboard!$C$17)*((1+Dashboard!$C$12)^$CZ25),0)</f>
        <v>3277451.6607063352</v>
      </c>
      <c r="FJ25" s="126">
        <f ca="1">MAX(FJ24*(1+BK25)-(Dashboard!$C$11)/(1-Dashboard!$C$17)*((1+Dashboard!$C$12)^$CZ25),0)</f>
        <v>1201862.419280269</v>
      </c>
      <c r="FK25" s="126">
        <f ca="1">MAX(FK24*(1+BL25)-(Dashboard!$C$11)/(1-Dashboard!$C$17)*((1+Dashboard!$C$12)^$CZ25),0)</f>
        <v>2112516.5053394651</v>
      </c>
      <c r="FL25" s="126">
        <f ca="1">MAX(FL24*(1+BM25)-(Dashboard!$C$11)/(1-Dashboard!$C$17)*((1+Dashboard!$C$12)^$CZ25),0)</f>
        <v>1904444.1551446377</v>
      </c>
      <c r="FM25" s="126">
        <f ca="1">MAX(FM24*(1+BN25)-(Dashboard!$C$11)/(1-Dashboard!$C$17)*((1+Dashboard!$C$12)^$CZ25),0)</f>
        <v>3324669.656503594</v>
      </c>
      <c r="FN25" s="126">
        <f ca="1">MAX(FN24*(1+BO25)-(Dashboard!$C$11)/(1-Dashboard!$C$17)*((1+Dashboard!$C$12)^$CZ25),0)</f>
        <v>193715.76929519046</v>
      </c>
      <c r="FO25" s="126">
        <f ca="1">MAX(FO24*(1+BP25)-(Dashboard!$C$11)/(1-Dashboard!$C$17)*((1+Dashboard!$C$12)^$CZ25),0)</f>
        <v>1943346.8190934923</v>
      </c>
      <c r="FP25" s="126">
        <f ca="1">MAX(FP24*(1+BQ25)-(Dashboard!$C$11)/(1-Dashboard!$C$17)*((1+Dashboard!$C$12)^$CZ25),0)</f>
        <v>2265065.6709917989</v>
      </c>
      <c r="FQ25" s="126">
        <f ca="1">MAX(FQ24*(1+BR25)-(Dashboard!$C$11)/(1-Dashboard!$C$17)*((1+Dashboard!$C$12)^$CZ25),0)</f>
        <v>1112293.4291355934</v>
      </c>
      <c r="FR25" s="126">
        <f ca="1">MAX(FR24*(1+BS25)-(Dashboard!$C$11)/(1-Dashboard!$C$17)*((1+Dashboard!$C$12)^$CZ25),0)</f>
        <v>2915300.7414090713</v>
      </c>
      <c r="FS25" s="126">
        <f ca="1">MAX(FS24*(1+BT25)-(Dashboard!$C$11)/(1-Dashboard!$C$17)*((1+Dashboard!$C$12)^$CZ25),0)</f>
        <v>3106045.7879698616</v>
      </c>
      <c r="FT25" s="126">
        <f ca="1">MAX(FT24*(1+BU25)-(Dashboard!$C$11)/(1-Dashboard!$C$17)*((1+Dashboard!$C$12)^$CZ25),0)</f>
        <v>642614.57586692716</v>
      </c>
      <c r="FU25" s="126">
        <f ca="1">MAX(FU24*(1+BV25)-(Dashboard!$C$11)/(1-Dashboard!$C$17)*((1+Dashboard!$C$12)^$CZ25),0)</f>
        <v>2029201.6934448616</v>
      </c>
      <c r="FV25" s="126">
        <f ca="1">MAX(FV24*(1+BW25)-(Dashboard!$C$11)/(1-Dashboard!$C$17)*((1+Dashboard!$C$12)^$CZ25),0)</f>
        <v>2348380.8416396556</v>
      </c>
      <c r="FW25" s="126">
        <f ca="1">MAX(FW24*(1+BX25)-(Dashboard!$C$11)/(1-Dashboard!$C$17)*((1+Dashboard!$C$12)^$CZ25),0)</f>
        <v>1539192.7971901917</v>
      </c>
      <c r="FX25" s="126">
        <f ca="1">MAX(FX24*(1+BY25)-(Dashboard!$C$11)/(1-Dashboard!$C$17)*((1+Dashboard!$C$12)^$CZ25),0)</f>
        <v>524656.32102431159</v>
      </c>
      <c r="FY25" s="126">
        <f ca="1">MAX(FY24*(1+BZ25)-(Dashboard!$C$11)/(1-Dashboard!$C$17)*((1+Dashboard!$C$12)^$CZ25),0)</f>
        <v>705612.60495677963</v>
      </c>
      <c r="FZ25" s="126">
        <f ca="1">MAX(FZ24*(1+CA25)-(Dashboard!$C$11)/(1-Dashboard!$C$17)*((1+Dashboard!$C$12)^$CZ25),0)</f>
        <v>3395240.2496733023</v>
      </c>
      <c r="GA25" s="126">
        <f ca="1">MAX(GA24*(1+CB25)-(Dashboard!$C$11)/(1-Dashboard!$C$17)*((1+Dashboard!$C$12)^$CZ25),0)</f>
        <v>5007565.3054698473</v>
      </c>
      <c r="GB25" s="126">
        <f ca="1">MAX(GB24*(1+CC25)-(Dashboard!$C$11)/(1-Dashboard!$C$17)*((1+Dashboard!$C$12)^$CZ25),0)</f>
        <v>1147695.9841739368</v>
      </c>
      <c r="GC25" s="126">
        <f ca="1">MAX(GC24*(1+CD25)-(Dashboard!$C$11)/(1-Dashboard!$C$17)*((1+Dashboard!$C$12)^$CZ25),0)</f>
        <v>3268074.2578731924</v>
      </c>
      <c r="GD25" s="126">
        <f ca="1">MAX(GD24*(1+CE25)-(Dashboard!$C$11)/(1-Dashboard!$C$17)*((1+Dashboard!$C$12)^$CZ25),0)</f>
        <v>7248146.8010867303</v>
      </c>
      <c r="GE25" s="126">
        <f ca="1">MAX(GE24*(1+CF25)-(Dashboard!$C$11)/(1-Dashboard!$C$17)*((1+Dashboard!$C$12)^$CZ25),0)</f>
        <v>1361755.7424417511</v>
      </c>
      <c r="GF25" s="126">
        <f ca="1">MAX(GF24*(1+CG25)-(Dashboard!$C$11)/(1-Dashboard!$C$17)*((1+Dashboard!$C$12)^$CZ25),0)</f>
        <v>3284422.0189356054</v>
      </c>
      <c r="GG25" s="126">
        <f ca="1">MAX(GG24*(1+CH25)-(Dashboard!$C$11)/(1-Dashboard!$C$17)*((1+Dashboard!$C$12)^$CZ25),0)</f>
        <v>580002.35873598594</v>
      </c>
      <c r="GH25" s="126">
        <f ca="1">MAX(GH24*(1+CI25)-(Dashboard!$C$11)/(1-Dashboard!$C$17)*((1+Dashboard!$C$12)^$CZ25),0)</f>
        <v>1164551.6347006424</v>
      </c>
      <c r="GI25" s="126">
        <f ca="1">MAX(GI24*(1+CJ25)-(Dashboard!$C$11)/(1-Dashboard!$C$17)*((1+Dashboard!$C$12)^$CZ25),0)</f>
        <v>1365531.3059129829</v>
      </c>
      <c r="GJ25" s="126">
        <f ca="1">MAX(GJ24*(1+CK25)-(Dashboard!$C$11)/(1-Dashboard!$C$17)*((1+Dashboard!$C$12)^$CZ25),0)</f>
        <v>3122732.1453485591</v>
      </c>
      <c r="GK25" s="126">
        <f ca="1">MAX(GK24*(1+CL25)-(Dashboard!$C$11)/(1-Dashboard!$C$17)*((1+Dashboard!$C$12)^$CZ25),0)</f>
        <v>4226001.4790750491</v>
      </c>
      <c r="GL25" s="126">
        <f ca="1">MAX(GL24*(1+CM25)-(Dashboard!$C$11)/(1-Dashboard!$C$17)*((1+Dashboard!$C$12)^$CZ25),0)</f>
        <v>3656412.7695408878</v>
      </c>
      <c r="GM25" s="126">
        <f ca="1">MAX(GM24*(1+CN25)-(Dashboard!$C$11)/(1-Dashboard!$C$17)*((1+Dashboard!$C$12)^$CZ25),0)</f>
        <v>803647.78543115221</v>
      </c>
      <c r="GN25" s="126">
        <f ca="1">MAX(GN24*(1+CO25)-(Dashboard!$C$11)/(1-Dashboard!$C$17)*((1+Dashboard!$C$12)^$CZ25),0)</f>
        <v>0</v>
      </c>
      <c r="GO25" s="126">
        <f ca="1">MAX(GO24*(1+CP25)-(Dashboard!$C$11)/(1-Dashboard!$C$17)*((1+Dashboard!$C$12)^$CZ25),0)</f>
        <v>491772.1248046736</v>
      </c>
      <c r="GP25" s="126">
        <f ca="1">MAX(GP24*(1+CQ25)-(Dashboard!$C$11)/(1-Dashboard!$C$17)*((1+Dashboard!$C$12)^$CZ25),0)</f>
        <v>1402323.2827735601</v>
      </c>
      <c r="GQ25" s="126">
        <f ca="1">MAX(GQ24*(1+CR25)-(Dashboard!$C$11)/(1-Dashboard!$C$17)*((1+Dashboard!$C$12)^$CZ25),0)</f>
        <v>115836.99671916472</v>
      </c>
      <c r="GR25" s="126">
        <f ca="1">MAX(GR24*(1+CS25)-(Dashboard!$C$11)/(1-Dashboard!$C$17)*((1+Dashboard!$C$12)^$CZ25),0)</f>
        <v>962481.85166283976</v>
      </c>
      <c r="GS25" s="126">
        <f ca="1">MAX(GS24*(1+CT25)-(Dashboard!$C$11)/(1-Dashboard!$C$17)*((1+Dashboard!$C$12)^$CZ25),0)</f>
        <v>2525042.2219380313</v>
      </c>
      <c r="GT25" s="126">
        <f ca="1">MAX(GT24*(1+CU25)-(Dashboard!$C$11)/(1-Dashboard!$C$17)*((1+Dashboard!$C$12)^$CZ25),0)</f>
        <v>9475023.1588774994</v>
      </c>
      <c r="GU25" s="126">
        <f ca="1">MAX(GU24*(1+CV25)-(Dashboard!$C$11)/(1-Dashboard!$C$17)*((1+Dashboard!$C$12)^$CZ25),0)</f>
        <v>1006142.7553219611</v>
      </c>
      <c r="GV25" s="126">
        <f ca="1">MAX(GV24*(1+CW25)-(Dashboard!$C$11)/(1-Dashboard!$C$17)*((1+Dashboard!$C$12)^$CZ25),0)</f>
        <v>631018.46005829354</v>
      </c>
      <c r="GW25" s="115">
        <f t="shared" si="4"/>
        <v>74</v>
      </c>
      <c r="GX25" s="130">
        <f t="shared" ca="1" si="2"/>
        <v>98</v>
      </c>
      <c r="HC25" s="130">
        <f t="shared" si="0"/>
        <v>74</v>
      </c>
      <c r="HD25" s="137">
        <f t="shared" ca="1" si="6"/>
        <v>1051274.8618132279</v>
      </c>
      <c r="HE25" s="137">
        <f t="shared" ca="1" si="6"/>
        <v>1812060.0035284963</v>
      </c>
      <c r="HF25" s="137">
        <f t="shared" ca="1" si="6"/>
        <v>3282679.4293782879</v>
      </c>
    </row>
    <row r="26" spans="1:214" ht="16">
      <c r="A26" s="145">
        <f t="shared" si="3"/>
        <v>75</v>
      </c>
      <c r="B26" s="119">
        <f ca="1">(Dashboard!$C$7*'Equity and Bond Returns'!N26)+(Dashboard!$C$8*'Equity and Bond Returns'!DL26)</f>
        <v>8.5774930791552267E-2</v>
      </c>
      <c r="C26" s="119">
        <f ca="1">(Dashboard!$C$7*'Equity and Bond Returns'!O26)+(Dashboard!$C$8*'Equity and Bond Returns'!DM26)</f>
        <v>-8.1721781217458045E-2</v>
      </c>
      <c r="D26" s="119">
        <f ca="1">(Dashboard!$C$7*'Equity and Bond Returns'!P26)+(Dashboard!$C$8*'Equity and Bond Returns'!DN26)</f>
        <v>0.21296395384515066</v>
      </c>
      <c r="E26" s="119">
        <f ca="1">(Dashboard!$C$7*'Equity and Bond Returns'!Q26)+(Dashboard!$C$8*'Equity and Bond Returns'!DO26)</f>
        <v>0.27487141942733129</v>
      </c>
      <c r="F26" s="119">
        <f ca="1">(Dashboard!$C$7*'Equity and Bond Returns'!R26)+(Dashboard!$C$8*'Equity and Bond Returns'!DP26)</f>
        <v>0.32457963115419536</v>
      </c>
      <c r="G26" s="119">
        <f ca="1">(Dashboard!$C$7*'Equity and Bond Returns'!S26)+(Dashboard!$C$8*'Equity and Bond Returns'!DQ26)</f>
        <v>7.9816642493793777E-2</v>
      </c>
      <c r="H26" s="119">
        <f ca="1">(Dashboard!$C$7*'Equity and Bond Returns'!T26)+(Dashboard!$C$8*'Equity and Bond Returns'!DR26)</f>
        <v>0.16955123628462193</v>
      </c>
      <c r="I26" s="119">
        <f ca="1">(Dashboard!$C$7*'Equity and Bond Returns'!U26)+(Dashboard!$C$8*'Equity and Bond Returns'!DS26)</f>
        <v>0.11192875208854847</v>
      </c>
      <c r="J26" s="119">
        <f ca="1">(Dashboard!$C$7*'Equity and Bond Returns'!V26)+(Dashboard!$C$8*'Equity and Bond Returns'!DT26)</f>
        <v>1.5780806626741611E-2</v>
      </c>
      <c r="K26" s="119">
        <f ca="1">(Dashboard!$C$7*'Equity and Bond Returns'!W26)+(Dashboard!$C$8*'Equity and Bond Returns'!DU26)</f>
        <v>9.3014005957823359E-2</v>
      </c>
      <c r="L26" s="119">
        <f ca="1">(Dashboard!$C$7*'Equity and Bond Returns'!X26)+(Dashboard!$C$8*'Equity and Bond Returns'!DV26)</f>
        <v>0.20722455847959417</v>
      </c>
      <c r="M26" s="119">
        <f ca="1">(Dashboard!$C$7*'Equity and Bond Returns'!Y26)+(Dashboard!$C$8*'Equity and Bond Returns'!DW26)</f>
        <v>0.15967104196305029</v>
      </c>
      <c r="N26" s="119">
        <f ca="1">(Dashboard!$C$7*'Equity and Bond Returns'!Z26)+(Dashboard!$C$8*'Equity and Bond Returns'!DX26)</f>
        <v>9.7194220656168548E-2</v>
      </c>
      <c r="O26" s="119">
        <f ca="1">(Dashboard!$C$7*'Equity and Bond Returns'!AA26)+(Dashboard!$C$8*'Equity and Bond Returns'!DY26)</f>
        <v>0.15754282457739041</v>
      </c>
      <c r="P26" s="119">
        <f ca="1">(Dashboard!$C$7*'Equity and Bond Returns'!AB26)+(Dashboard!$C$8*'Equity and Bond Returns'!DZ26)</f>
        <v>0.19210682862836373</v>
      </c>
      <c r="Q26" s="119">
        <f ca="1">(Dashboard!$C$7*'Equity and Bond Returns'!AC26)+(Dashboard!$C$8*'Equity and Bond Returns'!EA26)</f>
        <v>-0.22451492113436758</v>
      </c>
      <c r="R26" s="119">
        <f ca="1">(Dashboard!$C$7*'Equity and Bond Returns'!AD26)+(Dashboard!$C$8*'Equity and Bond Returns'!EB26)</f>
        <v>0.13365629330278175</v>
      </c>
      <c r="S26" s="119">
        <f ca="1">(Dashboard!$C$7*'Equity and Bond Returns'!AE26)+(Dashboard!$C$8*'Equity and Bond Returns'!EC26)</f>
        <v>5.7570073465809932E-2</v>
      </c>
      <c r="T26" s="119">
        <f ca="1">(Dashboard!$C$7*'Equity and Bond Returns'!AF26)+(Dashboard!$C$8*'Equity and Bond Returns'!ED26)</f>
        <v>-3.6764272141169306E-2</v>
      </c>
      <c r="U26" s="119">
        <f ca="1">(Dashboard!$C$7*'Equity and Bond Returns'!AG26)+(Dashboard!$C$8*'Equity and Bond Returns'!EE26)</f>
        <v>9.1788749280490828E-2</v>
      </c>
      <c r="V26" s="119">
        <f ca="1">(Dashboard!$C$7*'Equity and Bond Returns'!AH26)+(Dashboard!$C$8*'Equity and Bond Returns'!EF26)</f>
        <v>-8.6623339769693039E-2</v>
      </c>
      <c r="W26" s="119">
        <f ca="1">(Dashboard!$C$7*'Equity and Bond Returns'!AI26)+(Dashboard!$C$8*'Equity and Bond Returns'!EG26)</f>
        <v>8.499984767041438E-2</v>
      </c>
      <c r="X26" s="119">
        <f ca="1">(Dashboard!$C$7*'Equity and Bond Returns'!AJ26)+(Dashboard!$C$8*'Equity and Bond Returns'!EH26)</f>
        <v>0.32217902004596588</v>
      </c>
      <c r="Y26" s="119">
        <f ca="1">(Dashboard!$C$7*'Equity and Bond Returns'!AK26)+(Dashboard!$C$8*'Equity and Bond Returns'!EI26)</f>
        <v>0.14126674423925203</v>
      </c>
      <c r="Z26" s="119">
        <f ca="1">(Dashboard!$C$7*'Equity and Bond Returns'!AL26)+(Dashboard!$C$8*'Equity and Bond Returns'!EJ26)</f>
        <v>0.17487012618051265</v>
      </c>
      <c r="AA26" s="119">
        <f ca="1">(Dashboard!$C$7*'Equity and Bond Returns'!AM26)+(Dashboard!$C$8*'Equity and Bond Returns'!EK26)</f>
        <v>-2.5184656293972159E-2</v>
      </c>
      <c r="AB26" s="119">
        <f ca="1">(Dashboard!$C$7*'Equity and Bond Returns'!AN26)+(Dashboard!$C$8*'Equity and Bond Returns'!EL26)</f>
        <v>4.0296077615121689E-2</v>
      </c>
      <c r="AC26" s="119">
        <f ca="1">(Dashboard!$C$7*'Equity and Bond Returns'!AO26)+(Dashboard!$C$8*'Equity and Bond Returns'!EM26)</f>
        <v>0.12111961454817829</v>
      </c>
      <c r="AD26" s="119">
        <f ca="1">(Dashboard!$C$7*'Equity and Bond Returns'!AP26)+(Dashboard!$C$8*'Equity and Bond Returns'!EN26)</f>
        <v>-0.15469942970276068</v>
      </c>
      <c r="AE26" s="119">
        <f ca="1">(Dashboard!$C$7*'Equity and Bond Returns'!AQ26)+(Dashboard!$C$8*'Equity and Bond Returns'!EO26)</f>
        <v>5.5305497643473103E-3</v>
      </c>
      <c r="AF26" s="119">
        <f ca="1">(Dashboard!$C$7*'Equity and Bond Returns'!AR26)+(Dashboard!$C$8*'Equity and Bond Returns'!EP26)</f>
        <v>0.10969800677011179</v>
      </c>
      <c r="AG26" s="119">
        <f ca="1">(Dashboard!$C$7*'Equity and Bond Returns'!AS26)+(Dashboard!$C$8*'Equity and Bond Returns'!EQ26)</f>
        <v>-2.6025668350958923E-2</v>
      </c>
      <c r="AH26" s="119">
        <f ca="1">(Dashboard!$C$7*'Equity and Bond Returns'!AT26)+(Dashboard!$C$8*'Equity and Bond Returns'!ER26)</f>
        <v>0.14711023634221793</v>
      </c>
      <c r="AI26" s="119">
        <f ca="1">(Dashboard!$C$7*'Equity and Bond Returns'!AU26)+(Dashboard!$C$8*'Equity and Bond Returns'!ES26)</f>
        <v>0.21779964698821824</v>
      </c>
      <c r="AJ26" s="119">
        <f ca="1">(Dashboard!$C$7*'Equity and Bond Returns'!AV26)+(Dashboard!$C$8*'Equity and Bond Returns'!ET26)</f>
        <v>0.21786560774124927</v>
      </c>
      <c r="AK26" s="119">
        <f ca="1">(Dashboard!$C$7*'Equity and Bond Returns'!AW26)+(Dashboard!$C$8*'Equity and Bond Returns'!EU26)</f>
        <v>5.4326149329139706E-5</v>
      </c>
      <c r="AL26" s="119">
        <f ca="1">(Dashboard!$C$7*'Equity and Bond Returns'!AX26)+(Dashboard!$C$8*'Equity and Bond Returns'!EV26)</f>
        <v>0.16201845250045285</v>
      </c>
      <c r="AM26" s="119">
        <f ca="1">(Dashboard!$C$7*'Equity and Bond Returns'!AY26)+(Dashboard!$C$8*'Equity and Bond Returns'!EW26)</f>
        <v>0.13171592620551201</v>
      </c>
      <c r="AN26" s="119">
        <f ca="1">(Dashboard!$C$7*'Equity and Bond Returns'!AZ26)+(Dashboard!$C$8*'Equity and Bond Returns'!EX26)</f>
        <v>0.23982585026509928</v>
      </c>
      <c r="AO26" s="119">
        <f ca="1">(Dashboard!$C$7*'Equity and Bond Returns'!BA26)+(Dashboard!$C$8*'Equity and Bond Returns'!EY26)</f>
        <v>0.26009624265439424</v>
      </c>
      <c r="AP26" s="119">
        <f ca="1">(Dashboard!$C$7*'Equity and Bond Returns'!BB26)+(Dashboard!$C$8*'Equity and Bond Returns'!EZ26)</f>
        <v>0.11308769762205539</v>
      </c>
      <c r="AQ26" s="119">
        <f ca="1">(Dashboard!$C$7*'Equity and Bond Returns'!BC26)+(Dashboard!$C$8*'Equity and Bond Returns'!FA26)</f>
        <v>0.19945471678527338</v>
      </c>
      <c r="AR26" s="119">
        <f ca="1">(Dashboard!$C$7*'Equity and Bond Returns'!BD26)+(Dashboard!$C$8*'Equity and Bond Returns'!FB26)</f>
        <v>0.19730187649026215</v>
      </c>
      <c r="AS26" s="119">
        <f ca="1">(Dashboard!$C$7*'Equity and Bond Returns'!BE26)+(Dashboard!$C$8*'Equity and Bond Returns'!FC26)</f>
        <v>0.33101653982418699</v>
      </c>
      <c r="AT26" s="119">
        <f ca="1">(Dashboard!$C$7*'Equity and Bond Returns'!BF26)+(Dashboard!$C$8*'Equity and Bond Returns'!FD26)</f>
        <v>0.11680809857522179</v>
      </c>
      <c r="AU26" s="119">
        <f ca="1">(Dashboard!$C$7*'Equity and Bond Returns'!BG26)+(Dashboard!$C$8*'Equity and Bond Returns'!FE26)</f>
        <v>1.5152310553008388E-2</v>
      </c>
      <c r="AV26" s="119">
        <f ca="1">(Dashboard!$C$7*'Equity and Bond Returns'!BH26)+(Dashboard!$C$8*'Equity and Bond Returns'!FF26)</f>
        <v>0.18367914239568942</v>
      </c>
      <c r="AW26" s="119">
        <f ca="1">(Dashboard!$C$7*'Equity and Bond Returns'!BI26)+(Dashboard!$C$8*'Equity and Bond Returns'!FG26)</f>
        <v>0.34034815726539802</v>
      </c>
      <c r="AX26" s="119">
        <f ca="1">(Dashboard!$C$7*'Equity and Bond Returns'!BJ26)+(Dashboard!$C$8*'Equity and Bond Returns'!FH26)</f>
        <v>2.7140982707097337E-2</v>
      </c>
      <c r="AY26" s="119">
        <f ca="1">(Dashboard!$C$7*'Equity and Bond Returns'!BK26)+(Dashboard!$C$8*'Equity and Bond Returns'!FI26)</f>
        <v>-4.52891557499467E-2</v>
      </c>
      <c r="AZ26" s="119">
        <f ca="1">(Dashboard!$C$7*'Equity and Bond Returns'!BL26)+(Dashboard!$C$8*'Equity and Bond Returns'!FJ26)</f>
        <v>0.26699520912861741</v>
      </c>
      <c r="BA26" s="119">
        <f ca="1">(Dashboard!$C$7*'Equity and Bond Returns'!BM26)+(Dashboard!$C$8*'Equity and Bond Returns'!FK26)</f>
        <v>0.24811804896159442</v>
      </c>
      <c r="BB26" s="119">
        <f ca="1">(Dashboard!$C$7*'Equity and Bond Returns'!BN26)+(Dashboard!$C$8*'Equity and Bond Returns'!FL26)</f>
        <v>2.3165129591500959E-2</v>
      </c>
      <c r="BC26" s="119">
        <f ca="1">(Dashboard!$C$7*'Equity and Bond Returns'!BO26)+(Dashboard!$C$8*'Equity and Bond Returns'!FM26)</f>
        <v>0.12467274807302539</v>
      </c>
      <c r="BD26" s="119">
        <f ca="1">(Dashboard!$C$7*'Equity and Bond Returns'!BP26)+(Dashboard!$C$8*'Equity and Bond Returns'!FN26)</f>
        <v>6.2388045872489778E-2</v>
      </c>
      <c r="BE26" s="119">
        <f ca="1">(Dashboard!$C$7*'Equity and Bond Returns'!BQ26)+(Dashboard!$C$8*'Equity and Bond Returns'!FO26)</f>
        <v>0.1667477084469243</v>
      </c>
      <c r="BF26" s="119">
        <f ca="1">(Dashboard!$C$7*'Equity and Bond Returns'!BR26)+(Dashboard!$C$8*'Equity and Bond Returns'!FP26)</f>
        <v>0.15388623401090909</v>
      </c>
      <c r="BG26" s="119">
        <f ca="1">(Dashboard!$C$7*'Equity and Bond Returns'!BS26)+(Dashboard!$C$8*'Equity and Bond Returns'!FQ26)</f>
        <v>-7.8509109225876034E-2</v>
      </c>
      <c r="BH26" s="119">
        <f ca="1">(Dashboard!$C$7*'Equity and Bond Returns'!BT26)+(Dashboard!$C$8*'Equity and Bond Returns'!FR26)</f>
        <v>0.17505862631633323</v>
      </c>
      <c r="BI26" s="119">
        <f ca="1">(Dashboard!$C$7*'Equity and Bond Returns'!BU26)+(Dashboard!$C$8*'Equity and Bond Returns'!FS26)</f>
        <v>-2.4841990153508823E-3</v>
      </c>
      <c r="BJ26" s="119">
        <f ca="1">(Dashboard!$C$7*'Equity and Bond Returns'!BV26)+(Dashboard!$C$8*'Equity and Bond Returns'!FT26)</f>
        <v>0.16957041385107488</v>
      </c>
      <c r="BK26" s="119">
        <f ca="1">(Dashboard!$C$7*'Equity and Bond Returns'!BW26)+(Dashboard!$C$8*'Equity and Bond Returns'!FU26)</f>
        <v>1.7928160632819962E-2</v>
      </c>
      <c r="BL26" s="119">
        <f ca="1">(Dashboard!$C$7*'Equity and Bond Returns'!BX26)+(Dashboard!$C$8*'Equity and Bond Returns'!FV26)</f>
        <v>0.26297138629492822</v>
      </c>
      <c r="BM26" s="119">
        <f ca="1">(Dashboard!$C$7*'Equity and Bond Returns'!BY26)+(Dashboard!$C$8*'Equity and Bond Returns'!FW26)</f>
        <v>-0.10224032956794557</v>
      </c>
      <c r="BN26" s="119">
        <f ca="1">(Dashboard!$C$7*'Equity and Bond Returns'!BZ26)+(Dashboard!$C$8*'Equity and Bond Returns'!FX26)</f>
        <v>0.1477366110984521</v>
      </c>
      <c r="BO26" s="119">
        <f ca="1">(Dashboard!$C$7*'Equity and Bond Returns'!CA26)+(Dashboard!$C$8*'Equity and Bond Returns'!FY26)</f>
        <v>-2.8565255945216472E-2</v>
      </c>
      <c r="BP26" s="119">
        <f ca="1">(Dashboard!$C$7*'Equity and Bond Returns'!CB26)+(Dashboard!$C$8*'Equity and Bond Returns'!FZ26)</f>
        <v>0.18070742447078836</v>
      </c>
      <c r="BQ26" s="119">
        <f ca="1">(Dashboard!$C$7*'Equity and Bond Returns'!CC26)+(Dashboard!$C$8*'Equity and Bond Returns'!GA26)</f>
        <v>-0.11744934441483969</v>
      </c>
      <c r="BR26" s="119">
        <f ca="1">(Dashboard!$C$7*'Equity and Bond Returns'!CD26)+(Dashboard!$C$8*'Equity and Bond Returns'!GB26)</f>
        <v>0.20851348018377322</v>
      </c>
      <c r="BS26" s="119">
        <f ca="1">(Dashboard!$C$7*'Equity and Bond Returns'!CE26)+(Dashboard!$C$8*'Equity and Bond Returns'!GC26)</f>
        <v>0.28508977681702047</v>
      </c>
      <c r="BT26" s="119">
        <f ca="1">(Dashboard!$C$7*'Equity and Bond Returns'!CF26)+(Dashboard!$C$8*'Equity and Bond Returns'!GD26)</f>
        <v>-7.9140749125539159E-2</v>
      </c>
      <c r="BU26" s="119">
        <f ca="1">(Dashboard!$C$7*'Equity and Bond Returns'!CG26)+(Dashboard!$C$8*'Equity and Bond Returns'!GE26)</f>
        <v>0.16645863911391895</v>
      </c>
      <c r="BV26" s="119">
        <f ca="1">(Dashboard!$C$7*'Equity and Bond Returns'!CH26)+(Dashboard!$C$8*'Equity and Bond Returns'!GF26)</f>
        <v>3.2559116066070717E-2</v>
      </c>
      <c r="BW26" s="119">
        <f ca="1">(Dashboard!$C$7*'Equity and Bond Returns'!CI26)+(Dashboard!$C$8*'Equity and Bond Returns'!GG26)</f>
        <v>0.22862011189350923</v>
      </c>
      <c r="BX26" s="119">
        <f ca="1">(Dashboard!$C$7*'Equity and Bond Returns'!CJ26)+(Dashboard!$C$8*'Equity and Bond Returns'!GH26)</f>
        <v>0.2548286624980669</v>
      </c>
      <c r="BY26" s="119">
        <f ca="1">(Dashboard!$C$7*'Equity and Bond Returns'!CK26)+(Dashboard!$C$8*'Equity and Bond Returns'!GI26)</f>
        <v>-0.16005546317877201</v>
      </c>
      <c r="BZ26" s="119">
        <f ca="1">(Dashboard!$C$7*'Equity and Bond Returns'!CL26)+(Dashboard!$C$8*'Equity and Bond Returns'!GJ26)</f>
        <v>0.21431204908113502</v>
      </c>
      <c r="CA26" s="119">
        <f ca="1">(Dashboard!$C$7*'Equity and Bond Returns'!CM26)+(Dashboard!$C$8*'Equity and Bond Returns'!GK26)</f>
        <v>8.1750707687089197E-2</v>
      </c>
      <c r="CB26" s="119">
        <f ca="1">(Dashboard!$C$7*'Equity and Bond Returns'!CN26)+(Dashboard!$C$8*'Equity and Bond Returns'!GL26)</f>
        <v>-7.3686073141630171E-2</v>
      </c>
      <c r="CC26" s="119">
        <f ca="1">(Dashboard!$C$7*'Equity and Bond Returns'!CO26)+(Dashboard!$C$8*'Equity and Bond Returns'!GM26)</f>
        <v>0.2930779951377861</v>
      </c>
      <c r="CD26" s="119">
        <f ca="1">(Dashboard!$C$7*'Equity and Bond Returns'!CP26)+(Dashboard!$C$8*'Equity and Bond Returns'!GN26)</f>
        <v>-5.9038276309448558E-2</v>
      </c>
      <c r="CE26" s="119">
        <f ca="1">(Dashboard!$C$7*'Equity and Bond Returns'!CQ26)+(Dashboard!$C$8*'Equity and Bond Returns'!GO26)</f>
        <v>0.20172733423197689</v>
      </c>
      <c r="CF26" s="119">
        <f ca="1">(Dashboard!$C$7*'Equity and Bond Returns'!CR26)+(Dashboard!$C$8*'Equity and Bond Returns'!GP26)</f>
        <v>0.21687519846418804</v>
      </c>
      <c r="CG26" s="119">
        <f ca="1">(Dashboard!$C$7*'Equity and Bond Returns'!CS26)+(Dashboard!$C$8*'Equity and Bond Returns'!GQ26)</f>
        <v>0.14457852047812325</v>
      </c>
      <c r="CH26" s="119">
        <f ca="1">(Dashboard!$C$7*'Equity and Bond Returns'!CT26)+(Dashboard!$C$8*'Equity and Bond Returns'!GR26)</f>
        <v>-2.761652072869409E-2</v>
      </c>
      <c r="CI26" s="119">
        <f ca="1">(Dashboard!$C$7*'Equity and Bond Returns'!CU26)+(Dashboard!$C$8*'Equity and Bond Returns'!GS26)</f>
        <v>-7.7703238928502998E-3</v>
      </c>
      <c r="CJ26" s="119">
        <f ca="1">(Dashboard!$C$7*'Equity and Bond Returns'!CV26)+(Dashboard!$C$8*'Equity and Bond Returns'!GT26)</f>
        <v>0.39691507442165819</v>
      </c>
      <c r="CK26" s="119">
        <f ca="1">(Dashboard!$C$7*'Equity and Bond Returns'!CW26)+(Dashboard!$C$8*'Equity and Bond Returns'!GU26)</f>
        <v>0.10580552306891795</v>
      </c>
      <c r="CL26" s="119">
        <f ca="1">(Dashboard!$C$7*'Equity and Bond Returns'!CX26)+(Dashboard!$C$8*'Equity and Bond Returns'!GV26)</f>
        <v>-4.9945602396430526E-2</v>
      </c>
      <c r="CM26" s="119">
        <f ca="1">(Dashboard!$C$7*'Equity and Bond Returns'!CY26)+(Dashboard!$C$8*'Equity and Bond Returns'!GW26)</f>
        <v>3.983895307654875E-2</v>
      </c>
      <c r="CN26" s="119">
        <f ca="1">(Dashboard!$C$7*'Equity and Bond Returns'!CZ26)+(Dashboard!$C$8*'Equity and Bond Returns'!GX26)</f>
        <v>-0.14857868473945288</v>
      </c>
      <c r="CO26" s="119">
        <f ca="1">(Dashboard!$C$7*'Equity and Bond Returns'!DA26)+(Dashboard!$C$8*'Equity and Bond Returns'!GY26)</f>
        <v>-4.4958243773082426E-2</v>
      </c>
      <c r="CP26" s="119">
        <f ca="1">(Dashboard!$C$7*'Equity and Bond Returns'!DB26)+(Dashboard!$C$8*'Equity and Bond Returns'!GZ26)</f>
        <v>0.19756106826026656</v>
      </c>
      <c r="CQ26" s="119">
        <f ca="1">(Dashboard!$C$7*'Equity and Bond Returns'!DC26)+(Dashboard!$C$8*'Equity and Bond Returns'!HA26)</f>
        <v>0.10754842069764939</v>
      </c>
      <c r="CR26" s="119">
        <f ca="1">(Dashboard!$C$7*'Equity and Bond Returns'!DD26)+(Dashboard!$C$8*'Equity and Bond Returns'!HB26)</f>
        <v>0.35348891210985106</v>
      </c>
      <c r="CS26" s="119">
        <f ca="1">(Dashboard!$C$7*'Equity and Bond Returns'!DE26)+(Dashboard!$C$8*'Equity and Bond Returns'!HC26)</f>
        <v>-5.6894942677216259E-3</v>
      </c>
      <c r="CT26" s="119">
        <f ca="1">(Dashboard!$C$7*'Equity and Bond Returns'!DF26)+(Dashboard!$C$8*'Equity and Bond Returns'!HD26)</f>
        <v>0.16195988586740923</v>
      </c>
      <c r="CU26" s="119">
        <f ca="1">(Dashboard!$C$7*'Equity and Bond Returns'!DG26)+(Dashboard!$C$8*'Equity and Bond Returns'!HE26)</f>
        <v>0.35857728348724527</v>
      </c>
      <c r="CV26" s="119">
        <f ca="1">(Dashboard!$C$7*'Equity and Bond Returns'!DH26)+(Dashboard!$C$8*'Equity and Bond Returns'!HF26)</f>
        <v>2.0470038894503995E-2</v>
      </c>
      <c r="CW26" s="119">
        <f ca="1">(Dashboard!$C$7*'Equity and Bond Returns'!DI26)+(Dashboard!$C$8*'Equity and Bond Returns'!HG26)</f>
        <v>0.38400221181333544</v>
      </c>
      <c r="CY26" s="147">
        <f t="shared" si="5"/>
        <v>75</v>
      </c>
      <c r="CZ26" s="147">
        <v>25</v>
      </c>
      <c r="DA26" s="126">
        <f ca="1">MAX(DA25*(1+B26)-(Dashboard!$C$11)/(1-Dashboard!$C$17)*((1+Dashboard!$C$12)^$CZ26),0)</f>
        <v>5680707.7650337992</v>
      </c>
      <c r="DB26" s="126">
        <f ca="1">MAX(DB25*(1+C26)-(Dashboard!$C$11)/(1-Dashboard!$C$17)*((1+Dashboard!$C$12)^$CZ26),0)</f>
        <v>0</v>
      </c>
      <c r="DC26" s="126">
        <f ca="1">MAX(DC25*(1+D26)-(Dashboard!$C$11)/(1-Dashboard!$C$17)*((1+Dashboard!$C$12)^$CZ26),0)</f>
        <v>2439047.5937107126</v>
      </c>
      <c r="DD26" s="126">
        <f ca="1">MAX(DD25*(1+E26)-(Dashboard!$C$11)/(1-Dashboard!$C$17)*((1+Dashboard!$C$12)^$CZ26),0)</f>
        <v>445662.95890521945</v>
      </c>
      <c r="DE26" s="126">
        <f ca="1">MAX(DE25*(1+F26)-(Dashboard!$C$11)/(1-Dashboard!$C$17)*((1+Dashboard!$C$12)^$CZ26),0)</f>
        <v>2336171.8681599512</v>
      </c>
      <c r="DF26" s="126">
        <f ca="1">MAX(DF25*(1+G26)-(Dashboard!$C$11)/(1-Dashboard!$C$17)*((1+Dashboard!$C$12)^$CZ26),0)</f>
        <v>7843603.8279998964</v>
      </c>
      <c r="DG26" s="126">
        <f ca="1">MAX(DG25*(1+H26)-(Dashboard!$C$11)/(1-Dashboard!$C$17)*((1+Dashboard!$C$12)^$CZ26),0)</f>
        <v>130294.34944418285</v>
      </c>
      <c r="DH26" s="126">
        <f ca="1">MAX(DH25*(1+I26)-(Dashboard!$C$11)/(1-Dashboard!$C$17)*((1+Dashboard!$C$12)^$CZ26),0)</f>
        <v>6256988.2224321719</v>
      </c>
      <c r="DI26" s="126">
        <f ca="1">MAX(DI25*(1+J26)-(Dashboard!$C$11)/(1-Dashboard!$C$17)*((1+Dashboard!$C$12)^$CZ26),0)</f>
        <v>1627642.0108386432</v>
      </c>
      <c r="DJ26" s="126">
        <f ca="1">MAX(DJ25*(1+K26)-(Dashboard!$C$11)/(1-Dashboard!$C$17)*((1+Dashboard!$C$12)^$CZ26),0)</f>
        <v>3437760.239960467</v>
      </c>
      <c r="DK26" s="126">
        <f ca="1">MAX(DK25*(1+L26)-(Dashboard!$C$11)/(1-Dashboard!$C$17)*((1+Dashboard!$C$12)^$CZ26),0)</f>
        <v>7088524.7341695745</v>
      </c>
      <c r="DL26" s="126">
        <f ca="1">MAX(DL25*(1+M26)-(Dashboard!$C$11)/(1-Dashboard!$C$17)*((1+Dashboard!$C$12)^$CZ26),0)</f>
        <v>732368.47138228687</v>
      </c>
      <c r="DM26" s="126">
        <f ca="1">MAX(DM25*(1+N26)-(Dashboard!$C$11)/(1-Dashboard!$C$17)*((1+Dashboard!$C$12)^$CZ26),0)</f>
        <v>2814986.8769110618</v>
      </c>
      <c r="DN26" s="126">
        <f ca="1">MAX(DN25*(1+O26)-(Dashboard!$C$11)/(1-Dashboard!$C$17)*((1+Dashboard!$C$12)^$CZ26),0)</f>
        <v>14286544.662694247</v>
      </c>
      <c r="DO26" s="126">
        <f ca="1">MAX(DO25*(1+P26)-(Dashboard!$C$11)/(1-Dashboard!$C$17)*((1+Dashboard!$C$12)^$CZ26),0)</f>
        <v>2375554.1356856506</v>
      </c>
      <c r="DP26" s="126">
        <f ca="1">MAX(DP25*(1+Q26)-(Dashboard!$C$11)/(1-Dashboard!$C$17)*((1+Dashboard!$C$12)^$CZ26),0)</f>
        <v>617759.79627252696</v>
      </c>
      <c r="DQ26" s="126">
        <f ca="1">MAX(DQ25*(1+R26)-(Dashboard!$C$11)/(1-Dashboard!$C$17)*((1+Dashboard!$C$12)^$CZ26),0)</f>
        <v>4089912.8330827542</v>
      </c>
      <c r="DR26" s="126">
        <f ca="1">MAX(DR25*(1+S26)-(Dashboard!$C$11)/(1-Dashboard!$C$17)*((1+Dashboard!$C$12)^$CZ26),0)</f>
        <v>4324825.4318554411</v>
      </c>
      <c r="DS26" s="126">
        <f ca="1">MAX(DS25*(1+T26)-(Dashboard!$C$11)/(1-Dashboard!$C$17)*((1+Dashboard!$C$12)^$CZ26),0)</f>
        <v>469423.37674935209</v>
      </c>
      <c r="DT26" s="126">
        <f ca="1">MAX(DT25*(1+U26)-(Dashboard!$C$11)/(1-Dashboard!$C$17)*((1+Dashboard!$C$12)^$CZ26),0)</f>
        <v>1230575.8304171092</v>
      </c>
      <c r="DU26" s="126">
        <f ca="1">MAX(DU25*(1+V26)-(Dashboard!$C$11)/(1-Dashboard!$C$17)*((1+Dashboard!$C$12)^$CZ26),0)</f>
        <v>2797750.5925883329</v>
      </c>
      <c r="DV26" s="126">
        <f ca="1">MAX(DV25*(1+W26)-(Dashboard!$C$11)/(1-Dashboard!$C$17)*((1+Dashboard!$C$12)^$CZ26),0)</f>
        <v>7920885.6064752983</v>
      </c>
      <c r="DW26" s="126">
        <f ca="1">MAX(DW25*(1+X26)-(Dashboard!$C$11)/(1-Dashboard!$C$17)*((1+Dashboard!$C$12)^$CZ26),0)</f>
        <v>3736832.0921657127</v>
      </c>
      <c r="DX26" s="126">
        <f ca="1">MAX(DX25*(1+Y26)-(Dashboard!$C$11)/(1-Dashboard!$C$17)*((1+Dashboard!$C$12)^$CZ26),0)</f>
        <v>1350197.9894609861</v>
      </c>
      <c r="DY26" s="126">
        <f ca="1">MAX(DY25*(1+Z26)-(Dashboard!$C$11)/(1-Dashboard!$C$17)*((1+Dashboard!$C$12)^$CZ26),0)</f>
        <v>4061264.4690904063</v>
      </c>
      <c r="DZ26" s="126">
        <f ca="1">MAX(DZ25*(1+AA26)-(Dashboard!$C$11)/(1-Dashboard!$C$17)*((1+Dashboard!$C$12)^$CZ26),0)</f>
        <v>1440644.8024623976</v>
      </c>
      <c r="EA26" s="126">
        <f ca="1">MAX(EA25*(1+AB26)-(Dashboard!$C$11)/(1-Dashboard!$C$17)*((1+Dashboard!$C$12)^$CZ26),0)</f>
        <v>1309229.0706731414</v>
      </c>
      <c r="EB26" s="126">
        <f ca="1">MAX(EB25*(1+AC26)-(Dashboard!$C$11)/(1-Dashboard!$C$17)*((1+Dashboard!$C$12)^$CZ26),0)</f>
        <v>3245602.1999624465</v>
      </c>
      <c r="EC26" s="126">
        <f ca="1">MAX(EC25*(1+AD26)-(Dashboard!$C$11)/(1-Dashboard!$C$17)*((1+Dashboard!$C$12)^$CZ26),0)</f>
        <v>1814497.3761691158</v>
      </c>
      <c r="ED26" s="126">
        <f ca="1">MAX(ED25*(1+AE26)-(Dashboard!$C$11)/(1-Dashboard!$C$17)*((1+Dashboard!$C$12)^$CZ26),0)</f>
        <v>1665076.0563965398</v>
      </c>
      <c r="EE26" s="126">
        <f ca="1">MAX(EE25*(1+AF26)-(Dashboard!$C$11)/(1-Dashboard!$C$17)*((1+Dashboard!$C$12)^$CZ26),0)</f>
        <v>6241294.4536157781</v>
      </c>
      <c r="EF26" s="126">
        <f ca="1">MAX(EF25*(1+AG26)-(Dashboard!$C$11)/(1-Dashboard!$C$17)*((1+Dashboard!$C$12)^$CZ26),0)</f>
        <v>556966.36975418101</v>
      </c>
      <c r="EG26" s="126">
        <f ca="1">MAX(EG25*(1+AH26)-(Dashboard!$C$11)/(1-Dashboard!$C$17)*((1+Dashboard!$C$12)^$CZ26),0)</f>
        <v>3730199.8000356518</v>
      </c>
      <c r="EH26" s="126">
        <f ca="1">MAX(EH25*(1+AI26)-(Dashboard!$C$11)/(1-Dashboard!$C$17)*((1+Dashboard!$C$12)^$CZ26),0)</f>
        <v>2156006.7039885642</v>
      </c>
      <c r="EI26" s="126">
        <f ca="1">MAX(EI25*(1+AJ26)-(Dashboard!$C$11)/(1-Dashboard!$C$17)*((1+Dashboard!$C$12)^$CZ26),0)</f>
        <v>258457.57721201875</v>
      </c>
      <c r="EJ26" s="126">
        <f ca="1">MAX(EJ25*(1+AK26)-(Dashboard!$C$11)/(1-Dashboard!$C$17)*((1+Dashboard!$C$12)^$CZ26),0)</f>
        <v>1616255.1927708006</v>
      </c>
      <c r="EK26" s="126">
        <f ca="1">MAX(EK25*(1+AL26)-(Dashboard!$C$11)/(1-Dashboard!$C$17)*((1+Dashboard!$C$12)^$CZ26),0)</f>
        <v>3595264.8608550313</v>
      </c>
      <c r="EL26" s="126">
        <f ca="1">MAX(EL25*(1+AM26)-(Dashboard!$C$11)/(1-Dashboard!$C$17)*((1+Dashboard!$C$12)^$CZ26),0)</f>
        <v>1253310.8301114272</v>
      </c>
      <c r="EM26" s="126">
        <f ca="1">MAX(EM25*(1+AN26)-(Dashboard!$C$11)/(1-Dashboard!$C$17)*((1+Dashboard!$C$12)^$CZ26),0)</f>
        <v>3852948.645388911</v>
      </c>
      <c r="EN26" s="126">
        <f ca="1">MAX(EN25*(1+AO26)-(Dashboard!$C$11)/(1-Dashboard!$C$17)*((1+Dashboard!$C$12)^$CZ26),0)</f>
        <v>2506161.8064905293</v>
      </c>
      <c r="EO26" s="126">
        <f ca="1">MAX(EO25*(1+AP26)-(Dashboard!$C$11)/(1-Dashboard!$C$17)*((1+Dashboard!$C$12)^$CZ26),0)</f>
        <v>0</v>
      </c>
      <c r="EP26" s="126">
        <f ca="1">MAX(EP25*(1+AQ26)-(Dashboard!$C$11)/(1-Dashboard!$C$17)*((1+Dashboard!$C$12)^$CZ26),0)</f>
        <v>1193376.0857117809</v>
      </c>
      <c r="EQ26" s="126">
        <f ca="1">MAX(EQ25*(1+AR26)-(Dashboard!$C$11)/(1-Dashboard!$C$17)*((1+Dashboard!$C$12)^$CZ26),0)</f>
        <v>1597934.7071594237</v>
      </c>
      <c r="ER26" s="126">
        <f ca="1">MAX(ER25*(1+AS26)-(Dashboard!$C$11)/(1-Dashboard!$C$17)*((1+Dashboard!$C$12)^$CZ26),0)</f>
        <v>46809.365965059507</v>
      </c>
      <c r="ES26" s="126">
        <f ca="1">MAX(ES25*(1+AT26)-(Dashboard!$C$11)/(1-Dashboard!$C$17)*((1+Dashboard!$C$12)^$CZ26),0)</f>
        <v>6827447.2784481104</v>
      </c>
      <c r="ET26" s="126">
        <f ca="1">MAX(ET25*(1+AU26)-(Dashboard!$C$11)/(1-Dashboard!$C$17)*((1+Dashboard!$C$12)^$CZ26),0)</f>
        <v>1802614.0041671142</v>
      </c>
      <c r="EU26" s="126">
        <f ca="1">MAX(EU25*(1+AV26)-(Dashboard!$C$11)/(1-Dashboard!$C$17)*((1+Dashboard!$C$12)^$CZ26),0)</f>
        <v>1572617.9574120906</v>
      </c>
      <c r="EV26" s="126">
        <f ca="1">MAX(EV25*(1+AW26)-(Dashboard!$C$11)/(1-Dashboard!$C$17)*((1+Dashboard!$C$12)^$CZ26),0)</f>
        <v>7292038.1055406844</v>
      </c>
      <c r="EW26" s="126">
        <f ca="1">MAX(EW25*(1+AX26)-(Dashboard!$C$11)/(1-Dashboard!$C$17)*((1+Dashboard!$C$12)^$CZ26),0)</f>
        <v>1336375.2613300974</v>
      </c>
      <c r="EX26" s="126">
        <f ca="1">MAX(EX25*(1+AY26)-(Dashboard!$C$11)/(1-Dashboard!$C$17)*((1+Dashboard!$C$12)^$CZ26),0)</f>
        <v>1474533.0009738242</v>
      </c>
      <c r="EY26" s="126">
        <f ca="1">MAX(EY25*(1+AZ26)-(Dashboard!$C$11)/(1-Dashboard!$C$17)*((1+Dashboard!$C$12)^$CZ26),0)</f>
        <v>5356825.5919078086</v>
      </c>
      <c r="EZ26" s="126">
        <f ca="1">MAX(EZ25*(1+BA26)-(Dashboard!$C$11)/(1-Dashboard!$C$17)*((1+Dashboard!$C$12)^$CZ26),0)</f>
        <v>1365686.8095538705</v>
      </c>
      <c r="FA26" s="126">
        <f ca="1">MAX(FA25*(1+BB26)-(Dashboard!$C$11)/(1-Dashboard!$C$17)*((1+Dashboard!$C$12)^$CZ26),0)</f>
        <v>6959355.1555486126</v>
      </c>
      <c r="FB26" s="126">
        <f ca="1">MAX(FB25*(1+BC26)-(Dashboard!$C$11)/(1-Dashboard!$C$17)*((1+Dashboard!$C$12)^$CZ26),0)</f>
        <v>1021275.5438383428</v>
      </c>
      <c r="FC26" s="126">
        <f ca="1">MAX(FC25*(1+BD26)-(Dashboard!$C$11)/(1-Dashboard!$C$17)*((1+Dashboard!$C$12)^$CZ26),0)</f>
        <v>6400367.1088183215</v>
      </c>
      <c r="FD26" s="126">
        <f ca="1">MAX(FD25*(1+BE26)-(Dashboard!$C$11)/(1-Dashboard!$C$17)*((1+Dashboard!$C$12)^$CZ26),0)</f>
        <v>6287515.0160419587</v>
      </c>
      <c r="FE26" s="126">
        <f ca="1">MAX(FE25*(1+BF26)-(Dashboard!$C$11)/(1-Dashboard!$C$17)*((1+Dashboard!$C$12)^$CZ26),0)</f>
        <v>4838449.7632173337</v>
      </c>
      <c r="FF26" s="126">
        <f ca="1">MAX(FF25*(1+BG26)-(Dashboard!$C$11)/(1-Dashboard!$C$17)*((1+Dashboard!$C$12)^$CZ26),0)</f>
        <v>1130321.1612486949</v>
      </c>
      <c r="FG26" s="126">
        <f ca="1">MAX(FG25*(1+BH26)-(Dashboard!$C$11)/(1-Dashboard!$C$17)*((1+Dashboard!$C$12)^$CZ26),0)</f>
        <v>1658635.0756142512</v>
      </c>
      <c r="FH26" s="126">
        <f ca="1">MAX(FH25*(1+BI26)-(Dashboard!$C$11)/(1-Dashboard!$C$17)*((1+Dashboard!$C$12)^$CZ26),0)</f>
        <v>2344014.7240015757</v>
      </c>
      <c r="FI26" s="126">
        <f ca="1">MAX(FI25*(1+BJ26)-(Dashboard!$C$11)/(1-Dashboard!$C$17)*((1+Dashboard!$C$12)^$CZ26),0)</f>
        <v>3790026.3253900832</v>
      </c>
      <c r="FJ26" s="126">
        <f ca="1">MAX(FJ25*(1+BK26)-(Dashboard!$C$11)/(1-Dashboard!$C$17)*((1+Dashboard!$C$12)^$CZ26),0)</f>
        <v>1180225.4319925571</v>
      </c>
      <c r="FK26" s="126">
        <f ca="1">MAX(FK25*(1+BL26)-(Dashboard!$C$11)/(1-Dashboard!$C$17)*((1+Dashboard!$C$12)^$CZ26),0)</f>
        <v>2624863.7295203833</v>
      </c>
      <c r="FL26" s="126">
        <f ca="1">MAX(FL25*(1+BM26)-(Dashboard!$C$11)/(1-Dashboard!$C$17)*((1+Dashboard!$C$12)^$CZ26),0)</f>
        <v>1666548.9872797842</v>
      </c>
      <c r="FM26" s="126">
        <f ca="1">MAX(FM25*(1+BN26)-(Dashboard!$C$11)/(1-Dashboard!$C$17)*((1+Dashboard!$C$12)^$CZ26),0)</f>
        <v>3772660.9147781716</v>
      </c>
      <c r="FN26" s="126">
        <f ca="1">MAX(FN25*(1+BO26)-(Dashboard!$C$11)/(1-Dashboard!$C$17)*((1+Dashboard!$C$12)^$CZ26),0)</f>
        <v>144998.05896553068</v>
      </c>
      <c r="FO26" s="126">
        <f ca="1">MAX(FO25*(1+BP26)-(Dashboard!$C$11)/(1-Dashboard!$C$17)*((1+Dashboard!$C$12)^$CZ26),0)</f>
        <v>2251339.8478262578</v>
      </c>
      <c r="FP26" s="126">
        <f ca="1">MAX(FP25*(1+BQ26)-(Dashboard!$C$11)/(1-Dashboard!$C$17)*((1+Dashboard!$C$12)^$CZ26),0)</f>
        <v>1955851.023078135</v>
      </c>
      <c r="FQ26" s="126">
        <f ca="1">MAX(FQ25*(1+BR26)-(Dashboard!$C$11)/(1-Dashboard!$C$17)*((1+Dashboard!$C$12)^$CZ26),0)</f>
        <v>1301037.4332310809</v>
      </c>
      <c r="FR26" s="126">
        <f ca="1">MAX(FR25*(1+BS26)-(Dashboard!$C$11)/(1-Dashboard!$C$17)*((1+Dashboard!$C$12)^$CZ26),0)</f>
        <v>3703239.0093327593</v>
      </c>
      <c r="FS26" s="126">
        <f ca="1">MAX(FS25*(1+BT26)-(Dashboard!$C$11)/(1-Dashboard!$C$17)*((1+Dashboard!$C$12)^$CZ26),0)</f>
        <v>2817046.8276925827</v>
      </c>
      <c r="FT26" s="126">
        <f ca="1">MAX(FT25*(1+BU26)-(Dashboard!$C$11)/(1-Dashboard!$C$17)*((1+Dashboard!$C$12)^$CZ26),0)</f>
        <v>706399.15384138585</v>
      </c>
      <c r="FU26" s="126">
        <f ca="1">MAX(FU25*(1+BV26)-(Dashboard!$C$11)/(1-Dashboard!$C$17)*((1+Dashboard!$C$12)^$CZ26),0)</f>
        <v>2052086.5371040821</v>
      </c>
      <c r="FV26" s="126">
        <f ca="1">MAX(FV25*(1+BW26)-(Dashboard!$C$11)/(1-Dashboard!$C$17)*((1+Dashboard!$C$12)^$CZ26),0)</f>
        <v>2842083.7626247685</v>
      </c>
      <c r="FW26" s="126">
        <f ca="1">MAX(FW25*(1+BX26)-(Dashboard!$C$11)/(1-Dashboard!$C$17)*((1+Dashboard!$C$12)^$CZ26),0)</f>
        <v>1888239.0692257085</v>
      </c>
      <c r="FX26" s="126">
        <f ca="1">MAX(FX25*(1+BY26)-(Dashboard!$C$11)/(1-Dashboard!$C$17)*((1+Dashboard!$C$12)^$CZ26),0)</f>
        <v>397498.04075397667</v>
      </c>
      <c r="FY26" s="126">
        <f ca="1">MAX(FY25*(1+BZ26)-(Dashboard!$C$11)/(1-Dashboard!$C$17)*((1+Dashboard!$C$12)^$CZ26),0)</f>
        <v>813649.71838342631</v>
      </c>
      <c r="FZ26" s="126">
        <f ca="1">MAX(FZ25*(1+CA26)-(Dashboard!$C$11)/(1-Dashboard!$C$17)*((1+Dashboard!$C$12)^$CZ26),0)</f>
        <v>3629619.3730526655</v>
      </c>
      <c r="GA26" s="126">
        <f ca="1">MAX(GA25*(1+CB26)-(Dashboard!$C$11)/(1-Dashboard!$C$17)*((1+Dashboard!$C$12)^$CZ26),0)</f>
        <v>4595393.3123103883</v>
      </c>
      <c r="GB26" s="126">
        <f ca="1">MAX(GB25*(1+CC26)-(Dashboard!$C$11)/(1-Dashboard!$C$17)*((1+Dashboard!$C$12)^$CZ26),0)</f>
        <v>1440876.2524442044</v>
      </c>
      <c r="GC26" s="126">
        <f ca="1">MAX(GC25*(1+CD26)-(Dashboard!$C$11)/(1-Dashboard!$C$17)*((1+Dashboard!$C$12)^$CZ26),0)</f>
        <v>3031948.6170379603</v>
      </c>
      <c r="GD26" s="126">
        <f ca="1">MAX(GD25*(1+CE26)-(Dashboard!$C$11)/(1-Dashboard!$C$17)*((1+Dashboard!$C$12)^$CZ26),0)</f>
        <v>8667111.9635928702</v>
      </c>
      <c r="GE26" s="126">
        <f ca="1">MAX(GE25*(1+CF26)-(Dashboard!$C$11)/(1-Dashboard!$C$17)*((1+Dashboard!$C$12)^$CZ26),0)</f>
        <v>1613902.6195444355</v>
      </c>
      <c r="GF26" s="126">
        <f ca="1">MAX(GF25*(1+CG26)-(Dashboard!$C$11)/(1-Dashboard!$C$17)*((1+Dashboard!$C$12)^$CZ26),0)</f>
        <v>3716094.7252599676</v>
      </c>
      <c r="GG26" s="126">
        <f ca="1">MAX(GG25*(1+CH26)-(Dashboard!$C$11)/(1-Dashboard!$C$17)*((1+Dashboard!$C$12)^$CZ26),0)</f>
        <v>520800.54177414393</v>
      </c>
      <c r="GH26" s="126">
        <f ca="1">MAX(GH25*(1+CI26)-(Dashboard!$C$11)/(1-Dashboard!$C$17)*((1+Dashboard!$C$12)^$CZ26),0)</f>
        <v>1112318.5215099521</v>
      </c>
      <c r="GI26" s="126">
        <f ca="1">MAX(GI25*(1+CJ26)-(Dashboard!$C$11)/(1-Dashboard!$C$17)*((1+Dashboard!$C$12)^$CZ26),0)</f>
        <v>1864347.0960254204</v>
      </c>
      <c r="GJ26" s="126">
        <f ca="1">MAX(GJ25*(1+CK26)-(Dashboard!$C$11)/(1-Dashboard!$C$17)*((1+Dashboard!$C$12)^$CZ26),0)</f>
        <v>3409950.2835921692</v>
      </c>
      <c r="GK26" s="126">
        <f ca="1">MAX(GK25*(1+CL26)-(Dashboard!$C$11)/(1-Dashboard!$C$17)*((1+Dashboard!$C$12)^$CZ26),0)</f>
        <v>3971747.119675321</v>
      </c>
      <c r="GL26" s="126">
        <f ca="1">MAX(GL25*(1+CM26)-(Dashboard!$C$11)/(1-Dashboard!$C$17)*((1+Dashboard!$C$12)^$CZ26),0)</f>
        <v>3758896.2564960029</v>
      </c>
      <c r="GM26" s="126">
        <f ca="1">MAX(GM25*(1+CN26)-(Dashboard!$C$11)/(1-Dashboard!$C$17)*((1+Dashboard!$C$12)^$CZ26),0)</f>
        <v>641058.68467889936</v>
      </c>
      <c r="GN26" s="126">
        <f ca="1">MAX(GN25*(1+CO26)-(Dashboard!$C$11)/(1-Dashboard!$C$17)*((1+Dashboard!$C$12)^$CZ26),0)</f>
        <v>0</v>
      </c>
      <c r="GO26" s="126">
        <f ca="1">MAX(GO25*(1+CP26)-(Dashboard!$C$11)/(1-Dashboard!$C$17)*((1+Dashboard!$C$12)^$CZ26),0)</f>
        <v>545742.98132258793</v>
      </c>
      <c r="GP26" s="126">
        <f ca="1">MAX(GP25*(1+CQ26)-(Dashboard!$C$11)/(1-Dashboard!$C$17)*((1+Dashboard!$C$12)^$CZ26),0)</f>
        <v>1509956.7673442815</v>
      </c>
      <c r="GQ26" s="126">
        <f ca="1">MAX(GQ25*(1+CR26)-(Dashboard!$C$11)/(1-Dashboard!$C$17)*((1+Dashboard!$C$12)^$CZ26),0)</f>
        <v>113599.92087237648</v>
      </c>
      <c r="GR26" s="126">
        <f ca="1">MAX(GR25*(1+CS26)-(Dashboard!$C$11)/(1-Dashboard!$C$17)*((1+Dashboard!$C$12)^$CZ26),0)</f>
        <v>913821.64688589983</v>
      </c>
      <c r="GS26" s="126">
        <f ca="1">MAX(GS25*(1+CT26)-(Dashboard!$C$11)/(1-Dashboard!$C$17)*((1+Dashboard!$C$12)^$CZ26),0)</f>
        <v>2890813.6022143858</v>
      </c>
      <c r="GT26" s="126">
        <f ca="1">MAX(GT25*(1+CU26)-(Dashboard!$C$11)/(1-Dashboard!$C$17)*((1+Dashboard!$C$12)^$CZ26),0)</f>
        <v>12829367.054367412</v>
      </c>
      <c r="GU26" s="126">
        <f ca="1">MAX(GU25*(1+CV26)-(Dashboard!$C$11)/(1-Dashboard!$C$17)*((1+Dashboard!$C$12)^$CZ26),0)</f>
        <v>983554.36685770692</v>
      </c>
      <c r="GV26" s="126">
        <f ca="1">MAX(GV25*(1+CW26)-(Dashboard!$C$11)/(1-Dashboard!$C$17)*((1+Dashboard!$C$12)^$CZ26),0)</f>
        <v>830146.77461660502</v>
      </c>
      <c r="GW26" s="115">
        <f t="shared" si="4"/>
        <v>75</v>
      </c>
      <c r="GX26" s="130">
        <f t="shared" ca="1" si="2"/>
        <v>97</v>
      </c>
      <c r="HC26" s="130">
        <f t="shared" si="0"/>
        <v>75</v>
      </c>
      <c r="HD26" s="137">
        <f t="shared" ca="1" si="6"/>
        <v>1116819.1814446379</v>
      </c>
      <c r="HE26" s="137">
        <f t="shared" ca="1" si="6"/>
        <v>1876293.0826255644</v>
      </c>
      <c r="HF26" s="137">
        <f t="shared" ca="1" si="6"/>
        <v>3735174.0191331976</v>
      </c>
    </row>
    <row r="27" spans="1:214" ht="16">
      <c r="A27" s="145">
        <f t="shared" si="3"/>
        <v>76</v>
      </c>
      <c r="B27" s="119">
        <f ca="1">(Dashboard!$C$7*'Equity and Bond Returns'!N27)+(Dashboard!$C$8*'Equity and Bond Returns'!DL27)</f>
        <v>0.45067538497116844</v>
      </c>
      <c r="C27" s="119">
        <f ca="1">(Dashboard!$C$7*'Equity and Bond Returns'!O27)+(Dashboard!$C$8*'Equity and Bond Returns'!DM27)</f>
        <v>-2.3810594394740328E-2</v>
      </c>
      <c r="D27" s="119">
        <f ca="1">(Dashboard!$C$7*'Equity and Bond Returns'!P27)+(Dashboard!$C$8*'Equity and Bond Returns'!DN27)</f>
        <v>0.16312027454924569</v>
      </c>
      <c r="E27" s="119">
        <f ca="1">(Dashboard!$C$7*'Equity and Bond Returns'!Q27)+(Dashboard!$C$8*'Equity and Bond Returns'!DO27)</f>
        <v>0.13570897736736462</v>
      </c>
      <c r="F27" s="119">
        <f ca="1">(Dashboard!$C$7*'Equity and Bond Returns'!R27)+(Dashboard!$C$8*'Equity and Bond Returns'!DP27)</f>
        <v>0.12810417847392569</v>
      </c>
      <c r="G27" s="119">
        <f ca="1">(Dashboard!$C$7*'Equity and Bond Returns'!S27)+(Dashboard!$C$8*'Equity and Bond Returns'!DQ27)</f>
        <v>0.24630811990869458</v>
      </c>
      <c r="H27" s="119">
        <f ca="1">(Dashboard!$C$7*'Equity and Bond Returns'!T27)+(Dashboard!$C$8*'Equity and Bond Returns'!DR27)</f>
        <v>0.22677227438719916</v>
      </c>
      <c r="I27" s="119">
        <f ca="1">(Dashboard!$C$7*'Equity and Bond Returns'!U27)+(Dashboard!$C$8*'Equity and Bond Returns'!DS27)</f>
        <v>0.23897988777764931</v>
      </c>
      <c r="J27" s="119">
        <f ca="1">(Dashboard!$C$7*'Equity and Bond Returns'!V27)+(Dashboard!$C$8*'Equity and Bond Returns'!DT27)</f>
        <v>3.6589070286097064E-2</v>
      </c>
      <c r="K27" s="119">
        <f ca="1">(Dashboard!$C$7*'Equity and Bond Returns'!W27)+(Dashboard!$C$8*'Equity and Bond Returns'!DU27)</f>
        <v>0.1588262601184767</v>
      </c>
      <c r="L27" s="119">
        <f ca="1">(Dashboard!$C$7*'Equity and Bond Returns'!X27)+(Dashboard!$C$8*'Equity and Bond Returns'!DV27)</f>
        <v>4.7439831089601758E-2</v>
      </c>
      <c r="M27" s="119">
        <f ca="1">(Dashboard!$C$7*'Equity and Bond Returns'!Y27)+(Dashboard!$C$8*'Equity and Bond Returns'!DW27)</f>
        <v>0.22789929309370646</v>
      </c>
      <c r="N27" s="119">
        <f ca="1">(Dashboard!$C$7*'Equity and Bond Returns'!Z27)+(Dashboard!$C$8*'Equity and Bond Returns'!DX27)</f>
        <v>0.18662780140520047</v>
      </c>
      <c r="O27" s="119">
        <f ca="1">(Dashboard!$C$7*'Equity and Bond Returns'!AA27)+(Dashboard!$C$8*'Equity and Bond Returns'!DY27)</f>
        <v>5.0096912078709727E-2</v>
      </c>
      <c r="P27" s="119">
        <f ca="1">(Dashboard!$C$7*'Equity and Bond Returns'!AB27)+(Dashboard!$C$8*'Equity and Bond Returns'!DZ27)</f>
        <v>-0.1998417222090276</v>
      </c>
      <c r="Q27" s="119">
        <f ca="1">(Dashboard!$C$7*'Equity and Bond Returns'!AC27)+(Dashboard!$C$8*'Equity and Bond Returns'!EA27)</f>
        <v>9.4038901463937993E-2</v>
      </c>
      <c r="R27" s="119">
        <f ca="1">(Dashboard!$C$7*'Equity and Bond Returns'!AD27)+(Dashboard!$C$8*'Equity and Bond Returns'!EB27)</f>
        <v>2.7358406624663996E-2</v>
      </c>
      <c r="S27" s="119">
        <f ca="1">(Dashboard!$C$7*'Equity and Bond Returns'!AE27)+(Dashboard!$C$8*'Equity and Bond Returns'!EC27)</f>
        <v>4.1816698214233908E-2</v>
      </c>
      <c r="T27" s="119">
        <f ca="1">(Dashboard!$C$7*'Equity and Bond Returns'!AF27)+(Dashboard!$C$8*'Equity and Bond Returns'!ED27)</f>
        <v>6.5037905226298487E-2</v>
      </c>
      <c r="U27" s="119">
        <f ca="1">(Dashboard!$C$7*'Equity and Bond Returns'!AG27)+(Dashboard!$C$8*'Equity and Bond Returns'!EE27)</f>
        <v>0.10431327878526539</v>
      </c>
      <c r="V27" s="119">
        <f ca="1">(Dashboard!$C$7*'Equity and Bond Returns'!AH27)+(Dashboard!$C$8*'Equity and Bond Returns'!EF27)</f>
        <v>-6.7033691862255149E-3</v>
      </c>
      <c r="W27" s="119">
        <f ca="1">(Dashboard!$C$7*'Equity and Bond Returns'!AI27)+(Dashboard!$C$8*'Equity and Bond Returns'!EG27)</f>
        <v>0.1794717540577343</v>
      </c>
      <c r="X27" s="119">
        <f ca="1">(Dashboard!$C$7*'Equity and Bond Returns'!AJ27)+(Dashboard!$C$8*'Equity and Bond Returns'!EH27)</f>
        <v>-0.11255791551308802</v>
      </c>
      <c r="Y27" s="119">
        <f ca="1">(Dashboard!$C$7*'Equity and Bond Returns'!AK27)+(Dashboard!$C$8*'Equity and Bond Returns'!EI27)</f>
        <v>-7.8494184880443393E-2</v>
      </c>
      <c r="Z27" s="119">
        <f ca="1">(Dashboard!$C$7*'Equity and Bond Returns'!AL27)+(Dashboard!$C$8*'Equity and Bond Returns'!EJ27)</f>
        <v>0.31754798763011122</v>
      </c>
      <c r="AA27" s="119">
        <f ca="1">(Dashboard!$C$7*'Equity and Bond Returns'!AM27)+(Dashboard!$C$8*'Equity and Bond Returns'!EK27)</f>
        <v>3.9053865917634829E-2</v>
      </c>
      <c r="AB27" s="119">
        <f ca="1">(Dashboard!$C$7*'Equity and Bond Returns'!AN27)+(Dashboard!$C$8*'Equity and Bond Returns'!EL27)</f>
        <v>1.4376499157150776E-3</v>
      </c>
      <c r="AC27" s="119">
        <f ca="1">(Dashboard!$C$7*'Equity and Bond Returns'!AO27)+(Dashboard!$C$8*'Equity and Bond Returns'!EM27)</f>
        <v>-0.16622693707937036</v>
      </c>
      <c r="AD27" s="119">
        <f ca="1">(Dashboard!$C$7*'Equity and Bond Returns'!AP27)+(Dashboard!$C$8*'Equity and Bond Returns'!EN27)</f>
        <v>6.0030197483111041E-3</v>
      </c>
      <c r="AE27" s="119">
        <f ca="1">(Dashboard!$C$7*'Equity and Bond Returns'!AQ27)+(Dashboard!$C$8*'Equity and Bond Returns'!EO27)</f>
        <v>-0.11318198506652394</v>
      </c>
      <c r="AF27" s="119">
        <f ca="1">(Dashboard!$C$7*'Equity and Bond Returns'!AR27)+(Dashboard!$C$8*'Equity and Bond Returns'!EP27)</f>
        <v>0.14995923349203924</v>
      </c>
      <c r="AG27" s="119">
        <f ca="1">(Dashboard!$C$7*'Equity and Bond Returns'!AS27)+(Dashboard!$C$8*'Equity and Bond Returns'!EQ27)</f>
        <v>7.6957902879257675E-2</v>
      </c>
      <c r="AH27" s="119">
        <f ca="1">(Dashboard!$C$7*'Equity and Bond Returns'!AT27)+(Dashboard!$C$8*'Equity and Bond Returns'!ER27)</f>
        <v>-0.20517029564553291</v>
      </c>
      <c r="AI27" s="119">
        <f ca="1">(Dashboard!$C$7*'Equity and Bond Returns'!AU27)+(Dashboard!$C$8*'Equity and Bond Returns'!ES27)</f>
        <v>7.4236036951319598E-2</v>
      </c>
      <c r="AJ27" s="119">
        <f ca="1">(Dashboard!$C$7*'Equity and Bond Returns'!AV27)+(Dashboard!$C$8*'Equity and Bond Returns'!ET27)</f>
        <v>-1.4326510384702305E-2</v>
      </c>
      <c r="AK27" s="119">
        <f ca="1">(Dashboard!$C$7*'Equity and Bond Returns'!AW27)+(Dashboard!$C$8*'Equity and Bond Returns'!EU27)</f>
        <v>0.19788316305361628</v>
      </c>
      <c r="AL27" s="119">
        <f ca="1">(Dashboard!$C$7*'Equity and Bond Returns'!AX27)+(Dashboard!$C$8*'Equity and Bond Returns'!EV27)</f>
        <v>0.21905904512493279</v>
      </c>
      <c r="AM27" s="119">
        <f ca="1">(Dashboard!$C$7*'Equity and Bond Returns'!AY27)+(Dashboard!$C$8*'Equity and Bond Returns'!EW27)</f>
        <v>5.3482868222178043E-2</v>
      </c>
      <c r="AN27" s="119">
        <f ca="1">(Dashboard!$C$7*'Equity and Bond Returns'!AZ27)+(Dashboard!$C$8*'Equity and Bond Returns'!EX27)</f>
        <v>-7.2718030056495048E-2</v>
      </c>
      <c r="AO27" s="119">
        <f ca="1">(Dashboard!$C$7*'Equity and Bond Returns'!BA27)+(Dashboard!$C$8*'Equity and Bond Returns'!EY27)</f>
        <v>7.9848286950349984E-2</v>
      </c>
      <c r="AP27" s="119">
        <f ca="1">(Dashboard!$C$7*'Equity and Bond Returns'!BB27)+(Dashboard!$C$8*'Equity and Bond Returns'!EZ27)</f>
        <v>-6.8523815261754301E-2</v>
      </c>
      <c r="AQ27" s="119">
        <f ca="1">(Dashboard!$C$7*'Equity and Bond Returns'!BC27)+(Dashboard!$C$8*'Equity and Bond Returns'!FA27)</f>
        <v>1.9900275351750051E-3</v>
      </c>
      <c r="AR27" s="119">
        <f ca="1">(Dashboard!$C$7*'Equity and Bond Returns'!BD27)+(Dashboard!$C$8*'Equity and Bond Returns'!FB27)</f>
        <v>-2.5547148912547002E-2</v>
      </c>
      <c r="AS27" s="119">
        <f ca="1">(Dashboard!$C$7*'Equity and Bond Returns'!BE27)+(Dashboard!$C$8*'Equity and Bond Returns'!FC27)</f>
        <v>0.27802783376434437</v>
      </c>
      <c r="AT27" s="119">
        <f ca="1">(Dashboard!$C$7*'Equity and Bond Returns'!BF27)+(Dashboard!$C$8*'Equity and Bond Returns'!FD27)</f>
        <v>0.11939357799377487</v>
      </c>
      <c r="AU27" s="119">
        <f ca="1">(Dashboard!$C$7*'Equity and Bond Returns'!BG27)+(Dashboard!$C$8*'Equity and Bond Returns'!FE27)</f>
        <v>0.28777196338980776</v>
      </c>
      <c r="AV27" s="119">
        <f ca="1">(Dashboard!$C$7*'Equity and Bond Returns'!BH27)+(Dashboard!$C$8*'Equity and Bond Returns'!FF27)</f>
        <v>9.8926150317311098E-2</v>
      </c>
      <c r="AW27" s="119">
        <f ca="1">(Dashboard!$C$7*'Equity and Bond Returns'!BI27)+(Dashboard!$C$8*'Equity and Bond Returns'!FG27)</f>
        <v>0.21371805282921813</v>
      </c>
      <c r="AX27" s="119">
        <f ca="1">(Dashboard!$C$7*'Equity and Bond Returns'!BJ27)+(Dashboard!$C$8*'Equity and Bond Returns'!FH27)</f>
        <v>7.8507664776951078E-3</v>
      </c>
      <c r="AY27" s="119">
        <f ca="1">(Dashboard!$C$7*'Equity and Bond Returns'!BK27)+(Dashboard!$C$8*'Equity and Bond Returns'!FI27)</f>
        <v>0.12023459190544429</v>
      </c>
      <c r="AZ27" s="119">
        <f ca="1">(Dashboard!$C$7*'Equity and Bond Returns'!BL27)+(Dashboard!$C$8*'Equity and Bond Returns'!FJ27)</f>
        <v>5.0569571872845408E-2</v>
      </c>
      <c r="BA27" s="119">
        <f ca="1">(Dashboard!$C$7*'Equity and Bond Returns'!BM27)+(Dashboard!$C$8*'Equity and Bond Returns'!FK27)</f>
        <v>0.31398737899872547</v>
      </c>
      <c r="BB27" s="119">
        <f ca="1">(Dashboard!$C$7*'Equity and Bond Returns'!BN27)+(Dashboard!$C$8*'Equity and Bond Returns'!FL27)</f>
        <v>6.3134750233895628E-2</v>
      </c>
      <c r="BC27" s="119">
        <f ca="1">(Dashboard!$C$7*'Equity and Bond Returns'!BO27)+(Dashboard!$C$8*'Equity and Bond Returns'!FM27)</f>
        <v>4.7600291306941572E-2</v>
      </c>
      <c r="BD27" s="119">
        <f ca="1">(Dashboard!$C$7*'Equity and Bond Returns'!BP27)+(Dashboard!$C$8*'Equity and Bond Returns'!FN27)</f>
        <v>-7.90790438220038E-2</v>
      </c>
      <c r="BE27" s="119">
        <f ca="1">(Dashboard!$C$7*'Equity and Bond Returns'!BQ27)+(Dashboard!$C$8*'Equity and Bond Returns'!FO27)</f>
        <v>-0.10313147127211435</v>
      </c>
      <c r="BF27" s="119">
        <f ca="1">(Dashboard!$C$7*'Equity and Bond Returns'!BR27)+(Dashboard!$C$8*'Equity and Bond Returns'!FP27)</f>
        <v>0.21405369914211586</v>
      </c>
      <c r="BG27" s="119">
        <f ca="1">(Dashboard!$C$7*'Equity and Bond Returns'!BS27)+(Dashboard!$C$8*'Equity and Bond Returns'!FQ27)</f>
        <v>0.32715392586693759</v>
      </c>
      <c r="BH27" s="119">
        <f ca="1">(Dashboard!$C$7*'Equity and Bond Returns'!BT27)+(Dashboard!$C$8*'Equity and Bond Returns'!FR27)</f>
        <v>1.9660348206323432E-2</v>
      </c>
      <c r="BI27" s="119">
        <f ca="1">(Dashboard!$C$7*'Equity and Bond Returns'!BU27)+(Dashboard!$C$8*'Equity and Bond Returns'!FS27)</f>
        <v>-1.7606894616402576E-2</v>
      </c>
      <c r="BJ27" s="119">
        <f ca="1">(Dashboard!$C$7*'Equity and Bond Returns'!BV27)+(Dashboard!$C$8*'Equity and Bond Returns'!FT27)</f>
        <v>3.6907145915860917E-2</v>
      </c>
      <c r="BK27" s="119">
        <f ca="1">(Dashboard!$C$7*'Equity and Bond Returns'!BW27)+(Dashboard!$C$8*'Equity and Bond Returns'!FU27)</f>
        <v>0.32262428811407395</v>
      </c>
      <c r="BL27" s="119">
        <f ca="1">(Dashboard!$C$7*'Equity and Bond Returns'!BX27)+(Dashboard!$C$8*'Equity and Bond Returns'!FV27)</f>
        <v>0.12064575342495568</v>
      </c>
      <c r="BM27" s="119">
        <f ca="1">(Dashboard!$C$7*'Equity and Bond Returns'!BY27)+(Dashboard!$C$8*'Equity and Bond Returns'!FW27)</f>
        <v>-3.5781071067052576E-2</v>
      </c>
      <c r="BN27" s="119">
        <f ca="1">(Dashboard!$C$7*'Equity and Bond Returns'!BZ27)+(Dashboard!$C$8*'Equity and Bond Returns'!FX27)</f>
        <v>-6.6781428494215173E-2</v>
      </c>
      <c r="BO27" s="119">
        <f ca="1">(Dashboard!$C$7*'Equity and Bond Returns'!CA27)+(Dashboard!$C$8*'Equity and Bond Returns'!FY27)</f>
        <v>9.0693412426670672E-2</v>
      </c>
      <c r="BP27" s="119">
        <f ca="1">(Dashboard!$C$7*'Equity and Bond Returns'!CB27)+(Dashboard!$C$8*'Equity and Bond Returns'!FZ27)</f>
        <v>2.0775918175418569E-2</v>
      </c>
      <c r="BQ27" s="119">
        <f ca="1">(Dashboard!$C$7*'Equity and Bond Returns'!CC27)+(Dashboard!$C$8*'Equity and Bond Returns'!GA27)</f>
        <v>9.2574398075802991E-2</v>
      </c>
      <c r="BR27" s="119">
        <f ca="1">(Dashboard!$C$7*'Equity and Bond Returns'!CD27)+(Dashboard!$C$8*'Equity and Bond Returns'!GB27)</f>
        <v>9.74563812355555E-2</v>
      </c>
      <c r="BS27" s="119">
        <f ca="1">(Dashboard!$C$7*'Equity and Bond Returns'!CE27)+(Dashboard!$C$8*'Equity and Bond Returns'!GC27)</f>
        <v>0.21407434449136109</v>
      </c>
      <c r="BT27" s="119">
        <f ca="1">(Dashboard!$C$7*'Equity and Bond Returns'!CF27)+(Dashboard!$C$8*'Equity and Bond Returns'!GD27)</f>
        <v>0.11487143230660252</v>
      </c>
      <c r="BU27" s="119">
        <f ca="1">(Dashboard!$C$7*'Equity and Bond Returns'!CG27)+(Dashboard!$C$8*'Equity and Bond Returns'!GE27)</f>
        <v>0.17046270366518657</v>
      </c>
      <c r="BV27" s="119">
        <f ca="1">(Dashboard!$C$7*'Equity and Bond Returns'!CH27)+(Dashboard!$C$8*'Equity and Bond Returns'!GF27)</f>
        <v>0.15234645899681742</v>
      </c>
      <c r="BW27" s="119">
        <f ca="1">(Dashboard!$C$7*'Equity and Bond Returns'!CI27)+(Dashboard!$C$8*'Equity and Bond Returns'!GG27)</f>
        <v>-7.4107705392845932E-2</v>
      </c>
      <c r="BX27" s="119">
        <f ca="1">(Dashboard!$C$7*'Equity and Bond Returns'!CJ27)+(Dashboard!$C$8*'Equity and Bond Returns'!GH27)</f>
        <v>-0.12867328070712175</v>
      </c>
      <c r="BY27" s="119">
        <f ca="1">(Dashboard!$C$7*'Equity and Bond Returns'!CK27)+(Dashboard!$C$8*'Equity and Bond Returns'!GI27)</f>
        <v>-3.1178864230729721E-2</v>
      </c>
      <c r="BZ27" s="119">
        <f ca="1">(Dashboard!$C$7*'Equity and Bond Returns'!CL27)+(Dashboard!$C$8*'Equity and Bond Returns'!GJ27)</f>
        <v>0.10293773483522051</v>
      </c>
      <c r="CA27" s="119">
        <f ca="1">(Dashboard!$C$7*'Equity and Bond Returns'!CM27)+(Dashboard!$C$8*'Equity and Bond Returns'!GK27)</f>
        <v>0.14107787249458986</v>
      </c>
      <c r="CB27" s="119">
        <f ca="1">(Dashboard!$C$7*'Equity and Bond Returns'!CN27)+(Dashboard!$C$8*'Equity and Bond Returns'!GL27)</f>
        <v>-2.4343108232582053E-2</v>
      </c>
      <c r="CC27" s="119">
        <f ca="1">(Dashboard!$C$7*'Equity and Bond Returns'!CO27)+(Dashboard!$C$8*'Equity and Bond Returns'!GM27)</f>
        <v>5.067962754986774E-2</v>
      </c>
      <c r="CD27" s="119">
        <f ca="1">(Dashboard!$C$7*'Equity and Bond Returns'!CP27)+(Dashboard!$C$8*'Equity and Bond Returns'!GN27)</f>
        <v>-2.6568703062968341E-2</v>
      </c>
      <c r="CE27" s="119">
        <f ca="1">(Dashboard!$C$7*'Equity and Bond Returns'!CQ27)+(Dashboard!$C$8*'Equity and Bond Returns'!GO27)</f>
        <v>0.19171437390883636</v>
      </c>
      <c r="CF27" s="119">
        <f ca="1">(Dashboard!$C$7*'Equity and Bond Returns'!CR27)+(Dashboard!$C$8*'Equity and Bond Returns'!GP27)</f>
        <v>5.6103003668465073E-2</v>
      </c>
      <c r="CG27" s="119">
        <f ca="1">(Dashboard!$C$7*'Equity and Bond Returns'!CS27)+(Dashboard!$C$8*'Equity and Bond Returns'!GQ27)</f>
        <v>3.5963419486005399E-2</v>
      </c>
      <c r="CH27" s="119">
        <f ca="1">(Dashboard!$C$7*'Equity and Bond Returns'!CT27)+(Dashboard!$C$8*'Equity and Bond Returns'!GR27)</f>
        <v>2.4325203804618091E-2</v>
      </c>
      <c r="CI27" s="119">
        <f ca="1">(Dashboard!$C$7*'Equity and Bond Returns'!CU27)+(Dashboard!$C$8*'Equity and Bond Returns'!GS27)</f>
        <v>-7.7672230388782341E-4</v>
      </c>
      <c r="CJ27" s="119">
        <f ca="1">(Dashboard!$C$7*'Equity and Bond Returns'!CV27)+(Dashboard!$C$8*'Equity and Bond Returns'!GT27)</f>
        <v>0.16465251232139319</v>
      </c>
      <c r="CK27" s="119">
        <f ca="1">(Dashboard!$C$7*'Equity and Bond Returns'!CW27)+(Dashboard!$C$8*'Equity and Bond Returns'!GU27)</f>
        <v>0.14512807430551358</v>
      </c>
      <c r="CL27" s="119">
        <f ca="1">(Dashboard!$C$7*'Equity and Bond Returns'!CX27)+(Dashboard!$C$8*'Equity and Bond Returns'!GV27)</f>
        <v>-0.10117073933850138</v>
      </c>
      <c r="CM27" s="119">
        <f ca="1">(Dashboard!$C$7*'Equity and Bond Returns'!CY27)+(Dashboard!$C$8*'Equity and Bond Returns'!GW27)</f>
        <v>0.35402303449784595</v>
      </c>
      <c r="CN27" s="119">
        <f ca="1">(Dashboard!$C$7*'Equity and Bond Returns'!CZ27)+(Dashboard!$C$8*'Equity and Bond Returns'!GX27)</f>
        <v>-0.10361611333153295</v>
      </c>
      <c r="CO27" s="119">
        <f ca="1">(Dashboard!$C$7*'Equity and Bond Returns'!DA27)+(Dashboard!$C$8*'Equity and Bond Returns'!GY27)</f>
        <v>0.19148319028378644</v>
      </c>
      <c r="CP27" s="119">
        <f ca="1">(Dashboard!$C$7*'Equity and Bond Returns'!DB27)+(Dashboard!$C$8*'Equity and Bond Returns'!GZ27)</f>
        <v>0.26847316737452231</v>
      </c>
      <c r="CQ27" s="119">
        <f ca="1">(Dashboard!$C$7*'Equity and Bond Returns'!DC27)+(Dashboard!$C$8*'Equity and Bond Returns'!HA27)</f>
        <v>0.20644197909011502</v>
      </c>
      <c r="CR27" s="119">
        <f ca="1">(Dashboard!$C$7*'Equity and Bond Returns'!DD27)+(Dashboard!$C$8*'Equity and Bond Returns'!HB27)</f>
        <v>-8.2008937749523558E-2</v>
      </c>
      <c r="CS27" s="119">
        <f ca="1">(Dashboard!$C$7*'Equity and Bond Returns'!DE27)+(Dashboard!$C$8*'Equity and Bond Returns'!HC27)</f>
        <v>0.13551196477899347</v>
      </c>
      <c r="CT27" s="119">
        <f ca="1">(Dashboard!$C$7*'Equity and Bond Returns'!DF27)+(Dashboard!$C$8*'Equity and Bond Returns'!HD27)</f>
        <v>0.28912708210212373</v>
      </c>
      <c r="CU27" s="119">
        <f ca="1">(Dashboard!$C$7*'Equity and Bond Returns'!DG27)+(Dashboard!$C$8*'Equity and Bond Returns'!HE27)</f>
        <v>-0.33187548013578139</v>
      </c>
      <c r="CV27" s="119">
        <f ca="1">(Dashboard!$C$7*'Equity and Bond Returns'!DH27)+(Dashboard!$C$8*'Equity and Bond Returns'!HF27)</f>
        <v>0.17591312355912037</v>
      </c>
      <c r="CW27" s="119">
        <f ca="1">(Dashboard!$C$7*'Equity and Bond Returns'!DI27)+(Dashboard!$C$8*'Equity and Bond Returns'!HG27)</f>
        <v>-6.8547847773961265E-2</v>
      </c>
      <c r="CY27" s="147">
        <f t="shared" si="5"/>
        <v>76</v>
      </c>
      <c r="CZ27" s="147">
        <v>26</v>
      </c>
      <c r="DA27" s="126">
        <f ca="1">MAX(DA26*(1+B27)-(Dashboard!$C$11)/(1-Dashboard!$C$17)*((1+Dashboard!$C$12)^$CZ27),0)</f>
        <v>8196383.2290560203</v>
      </c>
      <c r="DB27" s="126">
        <f ca="1">MAX(DB26*(1+C27)-(Dashboard!$C$11)/(1-Dashboard!$C$17)*((1+Dashboard!$C$12)^$CZ27),0)</f>
        <v>0</v>
      </c>
      <c r="DC27" s="126">
        <f ca="1">MAX(DC26*(1+D27)-(Dashboard!$C$11)/(1-Dashboard!$C$17)*((1+Dashboard!$C$12)^$CZ27),0)</f>
        <v>2792426.0119423894</v>
      </c>
      <c r="DD27" s="126">
        <f ca="1">MAX(DD26*(1+E27)-(Dashboard!$C$11)/(1-Dashboard!$C$17)*((1+Dashboard!$C$12)^$CZ27),0)</f>
        <v>461663.72841566883</v>
      </c>
      <c r="DE27" s="126">
        <f ca="1">MAX(DE26*(1+F27)-(Dashboard!$C$11)/(1-Dashboard!$C$17)*((1+Dashboard!$C$12)^$CZ27),0)</f>
        <v>2590965.551211386</v>
      </c>
      <c r="DF27" s="126">
        <f ca="1">MAX(DF26*(1+G27)-(Dashboard!$C$11)/(1-Dashboard!$C$17)*((1+Dashboard!$C$12)^$CZ27),0)</f>
        <v>9731067.445290098</v>
      </c>
      <c r="DG27" s="126">
        <f ca="1">MAX(DG26*(1+H27)-(Dashboard!$C$11)/(1-Dashboard!$C$17)*((1+Dashboard!$C$12)^$CZ27),0)</f>
        <v>115361.80051434899</v>
      </c>
      <c r="DH27" s="126">
        <f ca="1">MAX(DH26*(1+I27)-(Dashboard!$C$11)/(1-Dashboard!$C$17)*((1+Dashboard!$C$12)^$CZ27),0)</f>
        <v>7707802.8707619933</v>
      </c>
      <c r="DI27" s="126">
        <f ca="1">MAX(DI26*(1+J27)-(Dashboard!$C$11)/(1-Dashboard!$C$17)*((1+Dashboard!$C$12)^$CZ27),0)</f>
        <v>1642716.223880731</v>
      </c>
      <c r="DJ27" s="126">
        <f ca="1">MAX(DJ26*(1+K27)-(Dashboard!$C$11)/(1-Dashboard!$C$17)*((1+Dashboard!$C$12)^$CZ27),0)</f>
        <v>3939287.1471642931</v>
      </c>
      <c r="DK27" s="126">
        <f ca="1">MAX(DK26*(1+L27)-(Dashboard!$C$11)/(1-Dashboard!$C$17)*((1+Dashboard!$C$12)^$CZ27),0)</f>
        <v>7380323.4553399514</v>
      </c>
      <c r="DL27" s="126">
        <f ca="1">MAX(DL26*(1+M27)-(Dashboard!$C$11)/(1-Dashboard!$C$17)*((1+Dashboard!$C$12)^$CZ27),0)</f>
        <v>854795.03340133675</v>
      </c>
      <c r="DM27" s="126">
        <f ca="1">MAX(DM26*(1+N27)-(Dashboard!$C$11)/(1-Dashboard!$C$17)*((1+Dashboard!$C$12)^$CZ27),0)</f>
        <v>3295861.9938403731</v>
      </c>
      <c r="DN27" s="126">
        <f ca="1">MAX(DN26*(1+O27)-(Dashboard!$C$11)/(1-Dashboard!$C$17)*((1+Dashboard!$C$12)^$CZ27),0)</f>
        <v>14957776.73967671</v>
      </c>
      <c r="DO27" s="126">
        <f ca="1">MAX(DO26*(1+P27)-(Dashboard!$C$11)/(1-Dashboard!$C$17)*((1+Dashboard!$C$12)^$CZ27),0)</f>
        <v>1856339.6111163604</v>
      </c>
      <c r="DP27" s="126">
        <f ca="1">MAX(DP26*(1+Q27)-(Dashboard!$C$11)/(1-Dashboard!$C$17)*((1+Dashboard!$C$12)^$CZ27),0)</f>
        <v>631373.55398948991</v>
      </c>
      <c r="DQ27" s="126">
        <f ca="1">MAX(DQ26*(1+R27)-(Dashboard!$C$11)/(1-Dashboard!$C$17)*((1+Dashboard!$C$12)^$CZ27),0)</f>
        <v>4157326.6365365712</v>
      </c>
      <c r="DR27" s="126">
        <f ca="1">MAX(DR26*(1+S27)-(Dashboard!$C$11)/(1-Dashboard!$C$17)*((1+Dashboard!$C$12)^$CZ27),0)</f>
        <v>4461195.6568754921</v>
      </c>
      <c r="DS27" s="126">
        <f ca="1">MAX(DS26*(1+T27)-(Dashboard!$C$11)/(1-Dashboard!$C$17)*((1+Dashboard!$C$12)^$CZ27),0)</f>
        <v>455473.99494429375</v>
      </c>
      <c r="DT27" s="126">
        <f ca="1">MAX(DT26*(1+U27)-(Dashboard!$C$11)/(1-Dashboard!$C$17)*((1+Dashboard!$C$12)^$CZ27),0)</f>
        <v>1314461.5351887268</v>
      </c>
      <c r="DU27" s="126">
        <f ca="1">MAX(DU26*(1+V27)-(Dashboard!$C$11)/(1-Dashboard!$C$17)*((1+Dashboard!$C$12)^$CZ27),0)</f>
        <v>2734516.5425821403</v>
      </c>
      <c r="DV27" s="126">
        <f ca="1">MAX(DV26*(1+W27)-(Dashboard!$C$11)/(1-Dashboard!$C$17)*((1+Dashboard!$C$12)^$CZ27),0)</f>
        <v>9297981.1450669896</v>
      </c>
      <c r="DW27" s="126">
        <f ca="1">MAX(DW26*(1+X27)-(Dashboard!$C$11)/(1-Dashboard!$C$17)*((1+Dashboard!$C$12)^$CZ27),0)</f>
        <v>3271742.3663560366</v>
      </c>
      <c r="DX27" s="126">
        <f ca="1">MAX(DX26*(1+Y27)-(Dashboard!$C$11)/(1-Dashboard!$C$17)*((1+Dashboard!$C$12)^$CZ27),0)</f>
        <v>1199735.6039579408</v>
      </c>
      <c r="DY27" s="126">
        <f ca="1">MAX(DY26*(1+Z27)-(Dashboard!$C$11)/(1-Dashboard!$C$17)*((1+Dashboard!$C$12)^$CZ27),0)</f>
        <v>5306431.1335906452</v>
      </c>
      <c r="DZ27" s="126">
        <f ca="1">MAX(DZ26*(1+AA27)-(Dashboard!$C$11)/(1-Dashboard!$C$17)*((1+Dashboard!$C$12)^$CZ27),0)</f>
        <v>1452427.8565196102</v>
      </c>
      <c r="EA27" s="126">
        <f ca="1">MAX(EA26*(1+AB27)-(Dashboard!$C$11)/(1-Dashboard!$C$17)*((1+Dashboard!$C$12)^$CZ27),0)</f>
        <v>1266631.5888431547</v>
      </c>
      <c r="EB27" s="126">
        <f ca="1">MAX(EB26*(1+AC27)-(Dashboard!$C$11)/(1-Dashboard!$C$17)*((1+Dashboard!$C$12)^$CZ27),0)</f>
        <v>2661615.9923915309</v>
      </c>
      <c r="EC27" s="126">
        <f ca="1">MAX(EC26*(1+AD27)-(Dashboard!$C$11)/(1-Dashboard!$C$17)*((1+Dashboard!$C$12)^$CZ27),0)</f>
        <v>1780910.1448584262</v>
      </c>
      <c r="ED27" s="126">
        <f ca="1">MAX(ED26*(1+AE27)-(Dashboard!$C$11)/(1-Dashboard!$C$17)*((1+Dashboard!$C$12)^$CZ27),0)</f>
        <v>1432139.7481537485</v>
      </c>
      <c r="EE27" s="126">
        <f ca="1">MAX(EE26*(1+AF27)-(Dashboard!$C$11)/(1-Dashboard!$C$17)*((1+Dashboard!$C$12)^$CZ27),0)</f>
        <v>7132754.4909850238</v>
      </c>
      <c r="EF27" s="126">
        <f ca="1">MAX(EF26*(1+AG27)-(Dashboard!$C$11)/(1-Dashboard!$C$17)*((1+Dashboard!$C$12)^$CZ27),0)</f>
        <v>555349.63865164435</v>
      </c>
      <c r="EG27" s="126">
        <f ca="1">MAX(EG26*(1+AH27)-(Dashboard!$C$11)/(1-Dashboard!$C$17)*((1+Dashboard!$C$12)^$CZ27),0)</f>
        <v>2920393.9093523375</v>
      </c>
      <c r="EH27" s="126">
        <f ca="1">MAX(EH26*(1+AI27)-(Dashboard!$C$11)/(1-Dashboard!$C$17)*((1+Dashboard!$C$12)^$CZ27),0)</f>
        <v>2271580.4024400599</v>
      </c>
      <c r="EI27" s="126">
        <f ca="1">MAX(EI26*(1+AJ27)-(Dashboard!$C$11)/(1-Dashboard!$C$17)*((1+Dashboard!$C$12)^$CZ27),0)</f>
        <v>210275.08715499405</v>
      </c>
      <c r="EJ27" s="126">
        <f ca="1">MAX(EJ26*(1+AK27)-(Dashboard!$C$11)/(1-Dashboard!$C$17)*((1+Dashboard!$C$12)^$CZ27),0)</f>
        <v>1891605.1877250271</v>
      </c>
      <c r="EK27" s="126">
        <f ca="1">MAX(EK26*(1+AL27)-(Dashboard!$C$11)/(1-Dashboard!$C$17)*((1+Dashboard!$C$12)^$CZ27),0)</f>
        <v>4338360.4533520667</v>
      </c>
      <c r="EL27" s="126">
        <f ca="1">MAX(EL26*(1+AM27)-(Dashboard!$C$11)/(1-Dashboard!$C$17)*((1+Dashboard!$C$12)^$CZ27),0)</f>
        <v>1275861.7931866136</v>
      </c>
      <c r="EM27" s="126">
        <f ca="1">MAX(EM26*(1+AN27)-(Dashboard!$C$11)/(1-Dashboard!$C$17)*((1+Dashboard!$C$12)^$CZ27),0)</f>
        <v>3528290.1150942966</v>
      </c>
      <c r="EN27" s="126">
        <f ca="1">MAX(EN26*(1+AO27)-(Dashboard!$C$11)/(1-Dashboard!$C$17)*((1+Dashboard!$C$12)^$CZ27),0)</f>
        <v>2661794.838666101</v>
      </c>
      <c r="EO27" s="126">
        <f ca="1">MAX(EO26*(1+AP27)-(Dashboard!$C$11)/(1-Dashboard!$C$17)*((1+Dashboard!$C$12)^$CZ27),0)</f>
        <v>0</v>
      </c>
      <c r="EP27" s="126">
        <f ca="1">MAX(EP26*(1+AQ27)-(Dashboard!$C$11)/(1-Dashboard!$C$17)*((1+Dashboard!$C$12)^$CZ27),0)</f>
        <v>1151271.242089075</v>
      </c>
      <c r="EQ27" s="126">
        <f ca="1">MAX(EQ26*(1+AR27)-(Dashboard!$C$11)/(1-Dashboard!$C$17)*((1+Dashboard!$C$12)^$CZ27),0)</f>
        <v>1512632.3363500033</v>
      </c>
      <c r="ER27" s="126">
        <f ca="1">MAX(ER26*(1+AS27)-(Dashboard!$C$11)/(1-Dashboard!$C$17)*((1+Dashboard!$C$12)^$CZ27),0)</f>
        <v>15343.977691115724</v>
      </c>
      <c r="ES27" s="126">
        <f ca="1">MAX(ES26*(1+AT27)-(Dashboard!$C$11)/(1-Dashboard!$C$17)*((1+Dashboard!$C$12)^$CZ27),0)</f>
        <v>7598120.9426927995</v>
      </c>
      <c r="ET27" s="126">
        <f ca="1">MAX(ET26*(1+AU27)-(Dashboard!$C$11)/(1-Dashboard!$C$17)*((1+Dashboard!$C$12)^$CZ27),0)</f>
        <v>2276876.0804871558</v>
      </c>
      <c r="EU27" s="126">
        <f ca="1">MAX(EU26*(1+AV27)-(Dashboard!$C$11)/(1-Dashboard!$C$17)*((1+Dashboard!$C$12)^$CZ27),0)</f>
        <v>1683711.3029656501</v>
      </c>
      <c r="EV27" s="126">
        <f ca="1">MAX(EV26*(1+AW27)-(Dashboard!$C$11)/(1-Dashboard!$C$17)*((1+Dashboard!$C$12)^$CZ27),0)</f>
        <v>8805998.5957202092</v>
      </c>
      <c r="EW27" s="126">
        <f ca="1">MAX(EW26*(1+AX27)-(Dashboard!$C$11)/(1-Dashboard!$C$17)*((1+Dashboard!$C$12)^$CZ27),0)</f>
        <v>1302387.1365402769</v>
      </c>
      <c r="EX27" s="126">
        <f ca="1">MAX(EX26*(1+AY27)-(Dashboard!$C$11)/(1-Dashboard!$C$17)*((1+Dashboard!$C$12)^$CZ27),0)</f>
        <v>1607343.1797039304</v>
      </c>
      <c r="EY27" s="126">
        <f ca="1">MAX(EY26*(1+AZ27)-(Dashboard!$C$11)/(1-Dashboard!$C$17)*((1+Dashboard!$C$12)^$CZ27),0)</f>
        <v>5583238.2737949966</v>
      </c>
      <c r="EZ27" s="126">
        <f ca="1">MAX(EZ26*(1+BA27)-(Dashboard!$C$11)/(1-Dashboard!$C$17)*((1+Dashboard!$C$12)^$CZ27),0)</f>
        <v>1750015.5365257303</v>
      </c>
      <c r="FA27" s="126">
        <f ca="1">MAX(FA26*(1+BB27)-(Dashboard!$C$11)/(1-Dashboard!$C$17)*((1+Dashboard!$C$12)^$CZ27),0)</f>
        <v>7354252.6101900563</v>
      </c>
      <c r="FB27" s="126">
        <f ca="1">MAX(FB26*(1+BC27)-(Dashboard!$C$11)/(1-Dashboard!$C$17)*((1+Dashboard!$C$12)^$CZ27),0)</f>
        <v>1025408.8623366114</v>
      </c>
      <c r="FC27" s="126">
        <f ca="1">MAX(FC26*(1+BD27)-(Dashboard!$C$11)/(1-Dashboard!$C$17)*((1+Dashboard!$C$12)^$CZ27),0)</f>
        <v>5849752.5028500734</v>
      </c>
      <c r="FD27" s="126">
        <f ca="1">MAX(FD26*(1+BE27)-(Dashboard!$C$11)/(1-Dashboard!$C$17)*((1+Dashboard!$C$12)^$CZ27),0)</f>
        <v>5594594.6468989486</v>
      </c>
      <c r="FE27" s="126">
        <f ca="1">MAX(FE26*(1+BF27)-(Dashboard!$C$11)/(1-Dashboard!$C$17)*((1+Dashboard!$C$12)^$CZ27),0)</f>
        <v>5829658.1382542066</v>
      </c>
      <c r="FF27" s="126">
        <f ca="1">MAX(FF26*(1+BG27)-(Dashboard!$C$11)/(1-Dashboard!$C$17)*((1+Dashboard!$C$12)^$CZ27),0)</f>
        <v>1455630.4717485895</v>
      </c>
      <c r="FG27" s="126">
        <f ca="1">MAX(FG26*(1+BH27)-(Dashboard!$C$11)/(1-Dashboard!$C$17)*((1+Dashboard!$C$12)^$CZ27),0)</f>
        <v>1646764.7238549571</v>
      </c>
      <c r="FH27" s="126">
        <f ca="1">MAX(FH26*(1+BI27)-(Dashboard!$C$11)/(1-Dashboard!$C$17)*((1+Dashboard!$C$12)^$CZ27),0)</f>
        <v>2258264.208883692</v>
      </c>
      <c r="FI27" s="126">
        <f ca="1">MAX(FI26*(1+BJ27)-(Dashboard!$C$11)/(1-Dashboard!$C$17)*((1+Dashboard!$C$12)^$CZ27),0)</f>
        <v>3885425.6851131176</v>
      </c>
      <c r="FJ27" s="126">
        <f ca="1">MAX(FJ26*(1+BK27)-(Dashboard!$C$11)/(1-Dashboard!$C$17)*((1+Dashboard!$C$12)^$CZ27),0)</f>
        <v>1516515.1269101896</v>
      </c>
      <c r="FK27" s="126">
        <f ca="1">MAX(FK26*(1+BL27)-(Dashboard!$C$11)/(1-Dashboard!$C$17)*((1+Dashboard!$C$12)^$CZ27),0)</f>
        <v>2897062.6969131171</v>
      </c>
      <c r="FL27" s="126">
        <f ca="1">MAX(FL26*(1+BM27)-(Dashboard!$C$11)/(1-Dashboard!$C$17)*((1+Dashboard!$C$12)^$CZ27),0)</f>
        <v>1562438.3846361102</v>
      </c>
      <c r="FM27" s="126">
        <f ca="1">MAX(FM26*(1+BN27)-(Dashboard!$C$11)/(1-Dashboard!$C$17)*((1+Dashboard!$C$12)^$CZ27),0)</f>
        <v>3476237.5347719006</v>
      </c>
      <c r="FN27" s="126">
        <f ca="1">MAX(FN26*(1+BO27)-(Dashboard!$C$11)/(1-Dashboard!$C$17)*((1+Dashboard!$C$12)^$CZ27),0)</f>
        <v>113668.73283526656</v>
      </c>
      <c r="FO27" s="126">
        <f ca="1">MAX(FO26*(1+BP27)-(Dashboard!$C$11)/(1-Dashboard!$C$17)*((1+Dashboard!$C$12)^$CZ27),0)</f>
        <v>2253633.8053966635</v>
      </c>
      <c r="FP27" s="126">
        <f ca="1">MAX(FP26*(1+BQ27)-(Dashboard!$C$11)/(1-Dashboard!$C$17)*((1+Dashboard!$C$12)^$CZ27),0)</f>
        <v>2092433.0593724449</v>
      </c>
      <c r="FQ27" s="126">
        <f ca="1">MAX(FQ26*(1+BR27)-(Dashboard!$C$11)/(1-Dashboard!$C$17)*((1+Dashboard!$C$12)^$CZ27),0)</f>
        <v>1383352.138432686</v>
      </c>
      <c r="FR27" s="126">
        <f ca="1">MAX(FR26*(1+BS27)-(Dashboard!$C$11)/(1-Dashboard!$C$17)*((1+Dashboard!$C$12)^$CZ27),0)</f>
        <v>4451527.7778574154</v>
      </c>
      <c r="FS27" s="126">
        <f ca="1">MAX(FS26*(1+BT27)-(Dashboard!$C$11)/(1-Dashboard!$C$17)*((1+Dashboard!$C$12)^$CZ27),0)</f>
        <v>3096165.3367713084</v>
      </c>
      <c r="FT27" s="126">
        <f ca="1">MAX(FT26*(1+BU27)-(Dashboard!$C$11)/(1-Dashboard!$C$17)*((1+Dashboard!$C$12)^$CZ27),0)</f>
        <v>782334.1685788969</v>
      </c>
      <c r="FU27" s="126">
        <f ca="1">MAX(FU26*(1+BV27)-(Dashboard!$C$11)/(1-Dashboard!$C$17)*((1+Dashboard!$C$12)^$CZ27),0)</f>
        <v>2320234.9596938384</v>
      </c>
      <c r="FV27" s="126">
        <f ca="1">MAX(FV26*(1+BW27)-(Dashboard!$C$11)/(1-Dashboard!$C$17)*((1+Dashboard!$C$12)^$CZ27),0)</f>
        <v>2586983.7615492893</v>
      </c>
      <c r="FW27" s="126">
        <f ca="1">MAX(FW26*(1+BX27)-(Dashboard!$C$11)/(1-Dashboard!$C$17)*((1+Dashboard!$C$12)^$CZ27),0)</f>
        <v>1600793.4585359828</v>
      </c>
      <c r="FX27" s="126">
        <f ca="1">MAX(FX26*(1+BY27)-(Dashboard!$C$11)/(1-Dashboard!$C$17)*((1+Dashboard!$C$12)^$CZ27),0)</f>
        <v>340624.80841623561</v>
      </c>
      <c r="FY27" s="126">
        <f ca="1">MAX(FY26*(1+BZ27)-(Dashboard!$C$11)/(1-Dashboard!$C$17)*((1+Dashboard!$C$12)^$CZ27),0)</f>
        <v>852925.28245003964</v>
      </c>
      <c r="FZ27" s="126">
        <f ca="1">MAX(FZ26*(1+CA27)-(Dashboard!$C$11)/(1-Dashboard!$C$17)*((1+Dashboard!$C$12)^$CZ27),0)</f>
        <v>4097198.6572749903</v>
      </c>
      <c r="GA27" s="126">
        <f ca="1">MAX(GA26*(1+CB27)-(Dashboard!$C$11)/(1-Dashboard!$C$17)*((1+Dashboard!$C$12)^$CZ27),0)</f>
        <v>4439047.4606444407</v>
      </c>
      <c r="GB27" s="126">
        <f ca="1">MAX(GB26*(1+CC27)-(Dashboard!$C$11)/(1-Dashboard!$C$17)*((1+Dashboard!$C$12)^$CZ27),0)</f>
        <v>1469419.6293704342</v>
      </c>
      <c r="GC27" s="126">
        <f ca="1">MAX(GC26*(1+CD27)-(Dashboard!$C$11)/(1-Dashboard!$C$17)*((1+Dashboard!$C$12)^$CZ27),0)</f>
        <v>2906913.9796366096</v>
      </c>
      <c r="GD27" s="126">
        <f ca="1">MAX(GD26*(1+CE27)-(Dashboard!$C$11)/(1-Dashboard!$C$17)*((1+Dashboard!$C$12)^$CZ27),0)</f>
        <v>10284242.212397769</v>
      </c>
      <c r="GE27" s="126">
        <f ca="1">MAX(GE26*(1+CF27)-(Dashboard!$C$11)/(1-Dashboard!$C$17)*((1+Dashboard!$C$12)^$CZ27),0)</f>
        <v>1659967.7092361907</v>
      </c>
      <c r="GF27" s="126">
        <f ca="1">MAX(GF26*(1+CG27)-(Dashboard!$C$11)/(1-Dashboard!$C$17)*((1+Dashboard!$C$12)^$CZ27),0)</f>
        <v>3805258.5038211322</v>
      </c>
      <c r="GG27" s="126">
        <f ca="1">MAX(GG26*(1+CH27)-(Dashboard!$C$11)/(1-Dashboard!$C$17)*((1+Dashboard!$C$12)^$CZ27),0)</f>
        <v>488989.42620126379</v>
      </c>
      <c r="GH27" s="126">
        <f ca="1">MAX(GH26*(1+CI27)-(Dashboard!$C$11)/(1-Dashboard!$C$17)*((1+Dashboard!$C$12)^$CZ27),0)</f>
        <v>1066974.8640121762</v>
      </c>
      <c r="GI27" s="126">
        <f ca="1">MAX(GI26*(1+CJ27)-(Dashboard!$C$11)/(1-Dashboard!$C$17)*((1+Dashboard!$C$12)^$CZ27),0)</f>
        <v>2126836.8343320074</v>
      </c>
      <c r="GJ27" s="126">
        <f ca="1">MAX(GJ26*(1+CK27)-(Dashboard!$C$11)/(1-Dashboard!$C$17)*((1+Dashboard!$C$12)^$CZ27),0)</f>
        <v>3860350.1068343488</v>
      </c>
      <c r="GK27" s="126">
        <f ca="1">MAX(GK26*(1+CL27)-(Dashboard!$C$11)/(1-Dashboard!$C$17)*((1+Dashboard!$C$12)^$CZ27),0)</f>
        <v>3525442.8322191136</v>
      </c>
      <c r="GL27" s="126">
        <f ca="1">MAX(GL26*(1+CM27)-(Dashboard!$C$11)/(1-Dashboard!$C$17)*((1+Dashboard!$C$12)^$CZ27),0)</f>
        <v>5045152.4206902189</v>
      </c>
      <c r="GM27" s="126">
        <f ca="1">MAX(GM26*(1+CN27)-(Dashboard!$C$11)/(1-Dashboard!$C$17)*((1+Dashboard!$C$12)^$CZ27),0)</f>
        <v>530154.98046195542</v>
      </c>
      <c r="GN27" s="126">
        <f ca="1">MAX(GN26*(1+CO27)-(Dashboard!$C$11)/(1-Dashboard!$C$17)*((1+Dashboard!$C$12)^$CZ27),0)</f>
        <v>0</v>
      </c>
      <c r="GO27" s="126">
        <f ca="1">MAX(GO26*(1+CP27)-(Dashboard!$C$11)/(1-Dashboard!$C$17)*((1+Dashboard!$C$12)^$CZ27),0)</f>
        <v>647780.63319758628</v>
      </c>
      <c r="GP27" s="126">
        <f ca="1">MAX(GP26*(1+CQ27)-(Dashboard!$C$11)/(1-Dashboard!$C$17)*((1+Dashboard!$C$12)^$CZ27),0)</f>
        <v>1777195.5358422557</v>
      </c>
      <c r="GQ27" s="126">
        <f ca="1">MAX(GQ26*(1+CR27)-(Dashboard!$C$11)/(1-Dashboard!$C$17)*((1+Dashboard!$C$12)^$CZ27),0)</f>
        <v>59804.017140111231</v>
      </c>
      <c r="GR27" s="126">
        <f ca="1">MAX(GR26*(1+CS27)-(Dashboard!$C$11)/(1-Dashboard!$C$17)*((1+Dashboard!$C$12)^$CZ27),0)</f>
        <v>993175.71881989203</v>
      </c>
      <c r="GS27" s="126">
        <f ca="1">MAX(GS26*(1+CT27)-(Dashboard!$C$11)/(1-Dashboard!$C$17)*((1+Dashboard!$C$12)^$CZ27),0)</f>
        <v>3682146.4090306684</v>
      </c>
      <c r="GT27" s="126">
        <f ca="1">MAX(GT26*(1+CU27)-(Dashboard!$C$11)/(1-Dashboard!$C$17)*((1+Dashboard!$C$12)^$CZ27),0)</f>
        <v>8527135.0084679592</v>
      </c>
      <c r="GU27" s="126">
        <f ca="1">MAX(GU26*(1+CV27)-(Dashboard!$C$11)/(1-Dashboard!$C$17)*((1+Dashboard!$C$12)^$CZ27),0)</f>
        <v>1112094.7928287673</v>
      </c>
      <c r="GV27" s="126">
        <f ca="1">MAX(GV26*(1+CW27)-(Dashboard!$C$11)/(1-Dashboard!$C$17)*((1+Dashboard!$C$12)^$CZ27),0)</f>
        <v>728762.30498704931</v>
      </c>
      <c r="GW27" s="115">
        <f t="shared" si="4"/>
        <v>76</v>
      </c>
      <c r="GX27" s="130">
        <f t="shared" ca="1" si="2"/>
        <v>97</v>
      </c>
      <c r="HC27" s="130">
        <f t="shared" si="0"/>
        <v>76</v>
      </c>
      <c r="HD27" s="137">
        <f t="shared" ca="1" si="6"/>
        <v>1121888.9051438442</v>
      </c>
      <c r="HE27" s="137">
        <f t="shared" ca="1" si="6"/>
        <v>1992019.1235487359</v>
      </c>
      <c r="HF27" s="137">
        <f t="shared" ca="1" si="6"/>
        <v>3879156.7905434254</v>
      </c>
    </row>
    <row r="28" spans="1:214" ht="16">
      <c r="A28" s="145">
        <f t="shared" si="3"/>
        <v>77</v>
      </c>
      <c r="B28" s="119">
        <f ca="1">(Dashboard!$C$7*'Equity and Bond Returns'!N28)+(Dashboard!$C$8*'Equity and Bond Returns'!DL28)</f>
        <v>6.6333228993348897E-2</v>
      </c>
      <c r="C28" s="119">
        <f ca="1">(Dashboard!$C$7*'Equity and Bond Returns'!O28)+(Dashboard!$C$8*'Equity and Bond Returns'!DM28)</f>
        <v>5.3137580300186109E-3</v>
      </c>
      <c r="D28" s="119">
        <f ca="1">(Dashboard!$C$7*'Equity and Bond Returns'!P28)+(Dashboard!$C$8*'Equity and Bond Returns'!DN28)</f>
        <v>-0.13545288860430754</v>
      </c>
      <c r="E28" s="119">
        <f ca="1">(Dashboard!$C$7*'Equity and Bond Returns'!Q28)+(Dashboard!$C$8*'Equity and Bond Returns'!DO28)</f>
        <v>0.26354384128193387</v>
      </c>
      <c r="F28" s="119">
        <f ca="1">(Dashboard!$C$7*'Equity and Bond Returns'!R28)+(Dashboard!$C$8*'Equity and Bond Returns'!DP28)</f>
        <v>4.1861088456728174E-3</v>
      </c>
      <c r="G28" s="119">
        <f ca="1">(Dashboard!$C$7*'Equity and Bond Returns'!S28)+(Dashboard!$C$8*'Equity and Bond Returns'!DQ28)</f>
        <v>-0.14825715990480612</v>
      </c>
      <c r="H28" s="119">
        <f ca="1">(Dashboard!$C$7*'Equity and Bond Returns'!T28)+(Dashboard!$C$8*'Equity and Bond Returns'!DR28)</f>
        <v>0.23309193855413407</v>
      </c>
      <c r="I28" s="119">
        <f ca="1">(Dashboard!$C$7*'Equity and Bond Returns'!U28)+(Dashboard!$C$8*'Equity and Bond Returns'!DS28)</f>
        <v>6.261439386030343E-2</v>
      </c>
      <c r="J28" s="119">
        <f ca="1">(Dashboard!$C$7*'Equity and Bond Returns'!V28)+(Dashboard!$C$8*'Equity and Bond Returns'!DT28)</f>
        <v>0.18073935487323686</v>
      </c>
      <c r="K28" s="119">
        <f ca="1">(Dashboard!$C$7*'Equity and Bond Returns'!W28)+(Dashboard!$C$8*'Equity and Bond Returns'!DU28)</f>
        <v>0.10349541830346692</v>
      </c>
      <c r="L28" s="119">
        <f ca="1">(Dashboard!$C$7*'Equity and Bond Returns'!X28)+(Dashboard!$C$8*'Equity and Bond Returns'!DV28)</f>
        <v>2.564614305572167E-2</v>
      </c>
      <c r="M28" s="119">
        <f ca="1">(Dashboard!$C$7*'Equity and Bond Returns'!Y28)+(Dashboard!$C$8*'Equity and Bond Returns'!DW28)</f>
        <v>0.27715069388018837</v>
      </c>
      <c r="N28" s="119">
        <f ca="1">(Dashboard!$C$7*'Equity and Bond Returns'!Z28)+(Dashboard!$C$8*'Equity and Bond Returns'!DX28)</f>
        <v>0.3068636942893489</v>
      </c>
      <c r="O28" s="119">
        <f ca="1">(Dashboard!$C$7*'Equity and Bond Returns'!AA28)+(Dashboard!$C$8*'Equity and Bond Returns'!DY28)</f>
        <v>4.4098432854837499E-2</v>
      </c>
      <c r="P28" s="119">
        <f ca="1">(Dashboard!$C$7*'Equity and Bond Returns'!AB28)+(Dashboard!$C$8*'Equity and Bond Returns'!DZ28)</f>
        <v>7.0777997499132786E-2</v>
      </c>
      <c r="Q28" s="119">
        <f ca="1">(Dashboard!$C$7*'Equity and Bond Returns'!AC28)+(Dashboard!$C$8*'Equity and Bond Returns'!EA28)</f>
        <v>0.31554722760053427</v>
      </c>
      <c r="R28" s="119">
        <f ca="1">(Dashboard!$C$7*'Equity and Bond Returns'!AD28)+(Dashboard!$C$8*'Equity and Bond Returns'!EB28)</f>
        <v>-8.2145892502202666E-2</v>
      </c>
      <c r="S28" s="119">
        <f ca="1">(Dashboard!$C$7*'Equity and Bond Returns'!AE28)+(Dashboard!$C$8*'Equity and Bond Returns'!EC28)</f>
        <v>8.3342827558041135E-2</v>
      </c>
      <c r="T28" s="119">
        <f ca="1">(Dashboard!$C$7*'Equity and Bond Returns'!AF28)+(Dashboard!$C$8*'Equity and Bond Returns'!ED28)</f>
        <v>-0.19815731333885434</v>
      </c>
      <c r="U28" s="119">
        <f ca="1">(Dashboard!$C$7*'Equity and Bond Returns'!AG28)+(Dashboard!$C$8*'Equity and Bond Returns'!EE28)</f>
        <v>0.23886840699014922</v>
      </c>
      <c r="V28" s="119">
        <f ca="1">(Dashboard!$C$7*'Equity and Bond Returns'!AH28)+(Dashboard!$C$8*'Equity and Bond Returns'!EF28)</f>
        <v>0.15933484857077762</v>
      </c>
      <c r="W28" s="119">
        <f ca="1">(Dashboard!$C$7*'Equity and Bond Returns'!AI28)+(Dashboard!$C$8*'Equity and Bond Returns'!EG28)</f>
        <v>-0.24573039162116572</v>
      </c>
      <c r="X28" s="119">
        <f ca="1">(Dashboard!$C$7*'Equity and Bond Returns'!AJ28)+(Dashboard!$C$8*'Equity and Bond Returns'!EH28)</f>
        <v>7.4152075772065326E-2</v>
      </c>
      <c r="Y28" s="119">
        <f ca="1">(Dashboard!$C$7*'Equity and Bond Returns'!AK28)+(Dashboard!$C$8*'Equity and Bond Returns'!EI28)</f>
        <v>0.10344756647724976</v>
      </c>
      <c r="Z28" s="119">
        <f ca="1">(Dashboard!$C$7*'Equity and Bond Returns'!AL28)+(Dashboard!$C$8*'Equity and Bond Returns'!EJ28)</f>
        <v>9.6570541827952494E-2</v>
      </c>
      <c r="AA28" s="119">
        <f ca="1">(Dashboard!$C$7*'Equity and Bond Returns'!AM28)+(Dashboard!$C$8*'Equity and Bond Returns'!EK28)</f>
        <v>6.2290206409704722E-2</v>
      </c>
      <c r="AB28" s="119">
        <f ca="1">(Dashboard!$C$7*'Equity and Bond Returns'!AN28)+(Dashboard!$C$8*'Equity and Bond Returns'!EL28)</f>
        <v>0.15208001037074834</v>
      </c>
      <c r="AC28" s="119">
        <f ca="1">(Dashboard!$C$7*'Equity and Bond Returns'!AO28)+(Dashboard!$C$8*'Equity and Bond Returns'!EM28)</f>
        <v>0.14081997817664682</v>
      </c>
      <c r="AD28" s="119">
        <f ca="1">(Dashboard!$C$7*'Equity and Bond Returns'!AP28)+(Dashboard!$C$8*'Equity and Bond Returns'!EN28)</f>
        <v>9.0735687348114769E-2</v>
      </c>
      <c r="AE28" s="119">
        <f ca="1">(Dashboard!$C$7*'Equity and Bond Returns'!AQ28)+(Dashboard!$C$8*'Equity and Bond Returns'!EO28)</f>
        <v>0.19976297225295836</v>
      </c>
      <c r="AF28" s="119">
        <f ca="1">(Dashboard!$C$7*'Equity and Bond Returns'!AR28)+(Dashboard!$C$8*'Equity and Bond Returns'!EP28)</f>
        <v>-1.1704427400908036E-3</v>
      </c>
      <c r="AG28" s="119">
        <f ca="1">(Dashboard!$C$7*'Equity and Bond Returns'!AS28)+(Dashboard!$C$8*'Equity and Bond Returns'!EQ28)</f>
        <v>9.049020826735138E-2</v>
      </c>
      <c r="AH28" s="119">
        <f ca="1">(Dashboard!$C$7*'Equity and Bond Returns'!AT28)+(Dashboard!$C$8*'Equity and Bond Returns'!ER28)</f>
        <v>9.8767890600396729E-2</v>
      </c>
      <c r="AI28" s="119">
        <f ca="1">(Dashboard!$C$7*'Equity and Bond Returns'!AU28)+(Dashboard!$C$8*'Equity and Bond Returns'!ES28)</f>
        <v>0.11535577685582213</v>
      </c>
      <c r="AJ28" s="119">
        <f ca="1">(Dashboard!$C$7*'Equity and Bond Returns'!AV28)+(Dashboard!$C$8*'Equity and Bond Returns'!ET28)</f>
        <v>0.25355310206639725</v>
      </c>
      <c r="AK28" s="119">
        <f ca="1">(Dashboard!$C$7*'Equity and Bond Returns'!AW28)+(Dashboard!$C$8*'Equity and Bond Returns'!EU28)</f>
        <v>-7.2612256065144751E-2</v>
      </c>
      <c r="AL28" s="119">
        <f ca="1">(Dashboard!$C$7*'Equity and Bond Returns'!AX28)+(Dashboard!$C$8*'Equity and Bond Returns'!EV28)</f>
        <v>0.30944860935065993</v>
      </c>
      <c r="AM28" s="119">
        <f ca="1">(Dashboard!$C$7*'Equity and Bond Returns'!AY28)+(Dashboard!$C$8*'Equity and Bond Returns'!EW28)</f>
        <v>-0.15146836666793115</v>
      </c>
      <c r="AN28" s="119">
        <f ca="1">(Dashboard!$C$7*'Equity and Bond Returns'!AZ28)+(Dashboard!$C$8*'Equity and Bond Returns'!EX28)</f>
        <v>0.14821057972114568</v>
      </c>
      <c r="AO28" s="119">
        <f ca="1">(Dashboard!$C$7*'Equity and Bond Returns'!BA28)+(Dashboard!$C$8*'Equity and Bond Returns'!EY28)</f>
        <v>8.109767982450769E-2</v>
      </c>
      <c r="AP28" s="119">
        <f ca="1">(Dashboard!$C$7*'Equity and Bond Returns'!BB28)+(Dashboard!$C$8*'Equity and Bond Returns'!EZ28)</f>
        <v>-8.3722300647710246E-2</v>
      </c>
      <c r="AQ28" s="119">
        <f ca="1">(Dashboard!$C$7*'Equity and Bond Returns'!BC28)+(Dashboard!$C$8*'Equity and Bond Returns'!FA28)</f>
        <v>0.10593931943457435</v>
      </c>
      <c r="AR28" s="119">
        <f ca="1">(Dashboard!$C$7*'Equity and Bond Returns'!BD28)+(Dashboard!$C$8*'Equity and Bond Returns'!FB28)</f>
        <v>0.11592069659148319</v>
      </c>
      <c r="AS28" s="119">
        <f ca="1">(Dashboard!$C$7*'Equity and Bond Returns'!BE28)+(Dashboard!$C$8*'Equity and Bond Returns'!FC28)</f>
        <v>0.44033127811021133</v>
      </c>
      <c r="AT28" s="119">
        <f ca="1">(Dashboard!$C$7*'Equity and Bond Returns'!BF28)+(Dashboard!$C$8*'Equity and Bond Returns'!FD28)</f>
        <v>6.7625992975915955E-2</v>
      </c>
      <c r="AU28" s="119">
        <f ca="1">(Dashboard!$C$7*'Equity and Bond Returns'!BG28)+(Dashboard!$C$8*'Equity and Bond Returns'!FE28)</f>
        <v>0.22428245722143197</v>
      </c>
      <c r="AV28" s="119">
        <f ca="1">(Dashboard!$C$7*'Equity and Bond Returns'!BH28)+(Dashboard!$C$8*'Equity and Bond Returns'!FF28)</f>
        <v>-6.8181414116816191E-3</v>
      </c>
      <c r="AW28" s="119">
        <f ca="1">(Dashboard!$C$7*'Equity and Bond Returns'!BI28)+(Dashboard!$C$8*'Equity and Bond Returns'!FG28)</f>
        <v>0.2680011772566272</v>
      </c>
      <c r="AX28" s="119">
        <f ca="1">(Dashboard!$C$7*'Equity and Bond Returns'!BJ28)+(Dashboard!$C$8*'Equity and Bond Returns'!FH28)</f>
        <v>9.3839025794641123E-2</v>
      </c>
      <c r="AY28" s="119">
        <f ca="1">(Dashboard!$C$7*'Equity and Bond Returns'!BK28)+(Dashboard!$C$8*'Equity and Bond Returns'!FI28)</f>
        <v>0.21676861810080095</v>
      </c>
      <c r="AZ28" s="119">
        <f ca="1">(Dashboard!$C$7*'Equity and Bond Returns'!BL28)+(Dashboard!$C$8*'Equity and Bond Returns'!FJ28)</f>
        <v>0.36478725460405098</v>
      </c>
      <c r="BA28" s="119">
        <f ca="1">(Dashboard!$C$7*'Equity and Bond Returns'!BM28)+(Dashboard!$C$8*'Equity and Bond Returns'!FK28)</f>
        <v>-1.2542321465892202E-2</v>
      </c>
      <c r="BB28" s="119">
        <f ca="1">(Dashboard!$C$7*'Equity and Bond Returns'!BN28)+(Dashboard!$C$8*'Equity and Bond Returns'!FL28)</f>
        <v>4.0270566488428708E-2</v>
      </c>
      <c r="BC28" s="119">
        <f ca="1">(Dashboard!$C$7*'Equity and Bond Returns'!BO28)+(Dashboard!$C$8*'Equity and Bond Returns'!FM28)</f>
        <v>0.19235388505597673</v>
      </c>
      <c r="BD28" s="119">
        <f ca="1">(Dashboard!$C$7*'Equity and Bond Returns'!BP28)+(Dashboard!$C$8*'Equity and Bond Returns'!FN28)</f>
        <v>0.1284088266532071</v>
      </c>
      <c r="BE28" s="119">
        <f ca="1">(Dashboard!$C$7*'Equity and Bond Returns'!BQ28)+(Dashboard!$C$8*'Equity and Bond Returns'!FO28)</f>
        <v>-5.0039108838203741E-2</v>
      </c>
      <c r="BF28" s="119">
        <f ca="1">(Dashboard!$C$7*'Equity and Bond Returns'!BR28)+(Dashboard!$C$8*'Equity and Bond Returns'!FP28)</f>
        <v>-0.17214267138891759</v>
      </c>
      <c r="BG28" s="119">
        <f ca="1">(Dashboard!$C$7*'Equity and Bond Returns'!BS28)+(Dashboard!$C$8*'Equity and Bond Returns'!FQ28)</f>
        <v>-0.23413721405360752</v>
      </c>
      <c r="BH28" s="119">
        <f ca="1">(Dashboard!$C$7*'Equity and Bond Returns'!BT28)+(Dashboard!$C$8*'Equity and Bond Returns'!FR28)</f>
        <v>-0.11130476265956481</v>
      </c>
      <c r="BI28" s="119">
        <f ca="1">(Dashboard!$C$7*'Equity and Bond Returns'!BU28)+(Dashboard!$C$8*'Equity and Bond Returns'!FS28)</f>
        <v>0.10100372935000966</v>
      </c>
      <c r="BJ28" s="119">
        <f ca="1">(Dashboard!$C$7*'Equity and Bond Returns'!BV28)+(Dashboard!$C$8*'Equity and Bond Returns'!FT28)</f>
        <v>-4.0028954585379709E-3</v>
      </c>
      <c r="BK28" s="119">
        <f ca="1">(Dashboard!$C$7*'Equity and Bond Returns'!BW28)+(Dashboard!$C$8*'Equity and Bond Returns'!FU28)</f>
        <v>0.21510360702786688</v>
      </c>
      <c r="BL28" s="119">
        <f ca="1">(Dashboard!$C$7*'Equity and Bond Returns'!BX28)+(Dashboard!$C$8*'Equity and Bond Returns'!FV28)</f>
        <v>0.22309373510416239</v>
      </c>
      <c r="BM28" s="119">
        <f ca="1">(Dashboard!$C$7*'Equity and Bond Returns'!BY28)+(Dashboard!$C$8*'Equity and Bond Returns'!FW28)</f>
        <v>-2.098477069511339E-3</v>
      </c>
      <c r="BN28" s="119">
        <f ca="1">(Dashboard!$C$7*'Equity and Bond Returns'!BZ28)+(Dashboard!$C$8*'Equity and Bond Returns'!FX28)</f>
        <v>0.28613206286082593</v>
      </c>
      <c r="BO28" s="119">
        <f ca="1">(Dashboard!$C$7*'Equity and Bond Returns'!CA28)+(Dashboard!$C$8*'Equity and Bond Returns'!FY28)</f>
        <v>7.0868943495942305E-2</v>
      </c>
      <c r="BP28" s="119">
        <f ca="1">(Dashboard!$C$7*'Equity and Bond Returns'!CB28)+(Dashboard!$C$8*'Equity and Bond Returns'!FZ28)</f>
        <v>0.11596809246395785</v>
      </c>
      <c r="BQ28" s="119">
        <f ca="1">(Dashboard!$C$7*'Equity and Bond Returns'!CC28)+(Dashboard!$C$8*'Equity and Bond Returns'!GA28)</f>
        <v>-2.2783647594138826E-2</v>
      </c>
      <c r="BR28" s="119">
        <f ca="1">(Dashboard!$C$7*'Equity and Bond Returns'!CD28)+(Dashboard!$C$8*'Equity and Bond Returns'!GB28)</f>
        <v>3.241137298013963E-2</v>
      </c>
      <c r="BS28" s="119">
        <f ca="1">(Dashboard!$C$7*'Equity and Bond Returns'!CE28)+(Dashboard!$C$8*'Equity and Bond Returns'!GC28)</f>
        <v>-0.10739829693094234</v>
      </c>
      <c r="BT28" s="119">
        <f ca="1">(Dashboard!$C$7*'Equity and Bond Returns'!CF28)+(Dashboard!$C$8*'Equity and Bond Returns'!GD28)</f>
        <v>4.5163288372731619E-2</v>
      </c>
      <c r="BU28" s="119">
        <f ca="1">(Dashboard!$C$7*'Equity and Bond Returns'!CG28)+(Dashboard!$C$8*'Equity and Bond Returns'!GE28)</f>
        <v>-7.2875756111916573E-2</v>
      </c>
      <c r="BV28" s="119">
        <f ca="1">(Dashboard!$C$7*'Equity and Bond Returns'!CH28)+(Dashboard!$C$8*'Equity and Bond Returns'!GF28)</f>
        <v>9.0200742762488843E-3</v>
      </c>
      <c r="BW28" s="119">
        <f ca="1">(Dashboard!$C$7*'Equity and Bond Returns'!CI28)+(Dashboard!$C$8*'Equity and Bond Returns'!GG28)</f>
        <v>0.36453240970122519</v>
      </c>
      <c r="BX28" s="119">
        <f ca="1">(Dashboard!$C$7*'Equity and Bond Returns'!CJ28)+(Dashboard!$C$8*'Equity and Bond Returns'!GH28)</f>
        <v>0.16897291698193506</v>
      </c>
      <c r="BY28" s="119">
        <f ca="1">(Dashboard!$C$7*'Equity and Bond Returns'!CK28)+(Dashboard!$C$8*'Equity and Bond Returns'!GI28)</f>
        <v>-1.5968192366858924E-2</v>
      </c>
      <c r="BZ28" s="119">
        <f ca="1">(Dashboard!$C$7*'Equity and Bond Returns'!CL28)+(Dashboard!$C$8*'Equity and Bond Returns'!GJ28)</f>
        <v>0.29208163267214809</v>
      </c>
      <c r="CA28" s="119">
        <f ca="1">(Dashboard!$C$7*'Equity and Bond Returns'!CM28)+(Dashboard!$C$8*'Equity and Bond Returns'!GK28)</f>
        <v>5.02677862767145E-2</v>
      </c>
      <c r="CB28" s="119">
        <f ca="1">(Dashboard!$C$7*'Equity and Bond Returns'!CN28)+(Dashboard!$C$8*'Equity and Bond Returns'!GL28)</f>
        <v>9.2605467331018751E-2</v>
      </c>
      <c r="CC28" s="119">
        <f ca="1">(Dashboard!$C$7*'Equity and Bond Returns'!CO28)+(Dashboard!$C$8*'Equity and Bond Returns'!GM28)</f>
        <v>0.11630774911411507</v>
      </c>
      <c r="CD28" s="119">
        <f ca="1">(Dashboard!$C$7*'Equity and Bond Returns'!CP28)+(Dashboard!$C$8*'Equity and Bond Returns'!GN28)</f>
        <v>0.27356649515873743</v>
      </c>
      <c r="CE28" s="119">
        <f ca="1">(Dashboard!$C$7*'Equity and Bond Returns'!CQ28)+(Dashboard!$C$8*'Equity and Bond Returns'!GO28)</f>
        <v>-3.7345800103054994E-2</v>
      </c>
      <c r="CF28" s="119">
        <f ca="1">(Dashboard!$C$7*'Equity and Bond Returns'!CR28)+(Dashboard!$C$8*'Equity and Bond Returns'!GP28)</f>
        <v>0.11862772829241548</v>
      </c>
      <c r="CG28" s="119">
        <f ca="1">(Dashboard!$C$7*'Equity and Bond Returns'!CS28)+(Dashboard!$C$8*'Equity and Bond Returns'!GQ28)</f>
        <v>2.0383785108452984E-2</v>
      </c>
      <c r="CH28" s="119">
        <f ca="1">(Dashboard!$C$7*'Equity and Bond Returns'!CT28)+(Dashboard!$C$8*'Equity and Bond Returns'!GR28)</f>
        <v>0.13195599740106034</v>
      </c>
      <c r="CI28" s="119">
        <f ca="1">(Dashboard!$C$7*'Equity and Bond Returns'!CU28)+(Dashboard!$C$8*'Equity and Bond Returns'!GS28)</f>
        <v>0.19016020096644132</v>
      </c>
      <c r="CJ28" s="119">
        <f ca="1">(Dashboard!$C$7*'Equity and Bond Returns'!CV28)+(Dashboard!$C$8*'Equity and Bond Returns'!GT28)</f>
        <v>2.7242513041357698E-2</v>
      </c>
      <c r="CK28" s="119">
        <f ca="1">(Dashboard!$C$7*'Equity and Bond Returns'!CW28)+(Dashboard!$C$8*'Equity and Bond Returns'!GU28)</f>
        <v>0.40860569256271184</v>
      </c>
      <c r="CL28" s="119">
        <f ca="1">(Dashboard!$C$7*'Equity and Bond Returns'!CX28)+(Dashboard!$C$8*'Equity and Bond Returns'!GV28)</f>
        <v>0.26091723540581313</v>
      </c>
      <c r="CM28" s="119">
        <f ca="1">(Dashboard!$C$7*'Equity and Bond Returns'!CY28)+(Dashboard!$C$8*'Equity and Bond Returns'!GW28)</f>
        <v>8.361578011194018E-2</v>
      </c>
      <c r="CN28" s="119">
        <f ca="1">(Dashboard!$C$7*'Equity and Bond Returns'!CZ28)+(Dashboard!$C$8*'Equity and Bond Returns'!GX28)</f>
        <v>0.10924763755650616</v>
      </c>
      <c r="CO28" s="119">
        <f ca="1">(Dashboard!$C$7*'Equity and Bond Returns'!DA28)+(Dashboard!$C$8*'Equity and Bond Returns'!GY28)</f>
        <v>-0.26519218780174647</v>
      </c>
      <c r="CP28" s="119">
        <f ca="1">(Dashboard!$C$7*'Equity and Bond Returns'!DB28)+(Dashboard!$C$8*'Equity and Bond Returns'!GZ28)</f>
        <v>0.248387297429535</v>
      </c>
      <c r="CQ28" s="119">
        <f ca="1">(Dashboard!$C$7*'Equity and Bond Returns'!DC28)+(Dashboard!$C$8*'Equity and Bond Returns'!HA28)</f>
        <v>0.2167722459806517</v>
      </c>
      <c r="CR28" s="119">
        <f ca="1">(Dashboard!$C$7*'Equity and Bond Returns'!DD28)+(Dashboard!$C$8*'Equity and Bond Returns'!HB28)</f>
        <v>7.3832891191968397E-2</v>
      </c>
      <c r="CS28" s="119">
        <f ca="1">(Dashboard!$C$7*'Equity and Bond Returns'!DE28)+(Dashboard!$C$8*'Equity and Bond Returns'!HC28)</f>
        <v>0.37632390928453124</v>
      </c>
      <c r="CT28" s="119">
        <f ca="1">(Dashboard!$C$7*'Equity and Bond Returns'!DF28)+(Dashboard!$C$8*'Equity and Bond Returns'!HD28)</f>
        <v>0.20576148282581241</v>
      </c>
      <c r="CU28" s="119">
        <f ca="1">(Dashboard!$C$7*'Equity and Bond Returns'!DG28)+(Dashboard!$C$8*'Equity and Bond Returns'!HE28)</f>
        <v>-1.2675676957344645E-2</v>
      </c>
      <c r="CV28" s="119">
        <f ca="1">(Dashboard!$C$7*'Equity and Bond Returns'!DH28)+(Dashboard!$C$8*'Equity and Bond Returns'!HF28)</f>
        <v>0.15044681938337176</v>
      </c>
      <c r="CW28" s="119">
        <f ca="1">(Dashboard!$C$7*'Equity and Bond Returns'!DI28)+(Dashboard!$C$8*'Equity and Bond Returns'!HG28)</f>
        <v>-7.7827431599165164E-2</v>
      </c>
      <c r="CY28" s="147">
        <f t="shared" si="5"/>
        <v>77</v>
      </c>
      <c r="CZ28" s="147">
        <v>27</v>
      </c>
      <c r="DA28" s="126">
        <f ca="1">MAX(DA27*(1+B28)-(Dashboard!$C$11)/(1-Dashboard!$C$17)*((1+Dashboard!$C$12)^$CZ28),0)</f>
        <v>8694261.7089663539</v>
      </c>
      <c r="DB28" s="126">
        <f ca="1">MAX(DB27*(1+C28)-(Dashboard!$C$11)/(1-Dashboard!$C$17)*((1+Dashboard!$C$12)^$CZ28),0)</f>
        <v>0</v>
      </c>
      <c r="DC28" s="126">
        <f ca="1">MAX(DC27*(1+D28)-(Dashboard!$C$11)/(1-Dashboard!$C$17)*((1+Dashboard!$C$12)^$CZ28),0)</f>
        <v>2368369.7566711013</v>
      </c>
      <c r="DD28" s="126">
        <f ca="1">MAX(DD27*(1+E28)-(Dashboard!$C$11)/(1-Dashboard!$C$17)*((1+Dashboard!$C$12)^$CZ28),0)</f>
        <v>537518.27504298917</v>
      </c>
      <c r="DE28" s="126">
        <f ca="1">MAX(DE27*(1+F28)-(Dashboard!$C$11)/(1-Dashboard!$C$17)*((1+Dashboard!$C$12)^$CZ28),0)</f>
        <v>2555997.5292842607</v>
      </c>
      <c r="DF28" s="126">
        <f ca="1">MAX(DF27*(1+G28)-(Dashboard!$C$11)/(1-Dashboard!$C$17)*((1+Dashboard!$C$12)^$CZ28),0)</f>
        <v>8242552.9372693859</v>
      </c>
      <c r="DG28" s="126">
        <f ca="1">MAX(DG27*(1+H28)-(Dashboard!$C$11)/(1-Dashboard!$C$17)*((1+Dashboard!$C$12)^$CZ28),0)</f>
        <v>96437.62049144943</v>
      </c>
      <c r="DH28" s="126">
        <f ca="1">MAX(DH27*(1+I28)-(Dashboard!$C$11)/(1-Dashboard!$C$17)*((1+Dashboard!$C$12)^$CZ28),0)</f>
        <v>8144608.1897695782</v>
      </c>
      <c r="DI28" s="126">
        <f ca="1">MAX(DI27*(1+J28)-(Dashboard!$C$11)/(1-Dashboard!$C$17)*((1+Dashboard!$C$12)^$CZ28),0)</f>
        <v>1893805.6086848495</v>
      </c>
      <c r="DJ28" s="126">
        <f ca="1">MAX(DJ27*(1+K28)-(Dashboard!$C$11)/(1-Dashboard!$C$17)*((1+Dashboard!$C$12)^$CZ28),0)</f>
        <v>4301171.2325376477</v>
      </c>
      <c r="DK28" s="126">
        <f ca="1">MAX(DK27*(1+L28)-(Dashboard!$C$11)/(1-Dashboard!$C$17)*((1+Dashboard!$C$12)^$CZ28),0)</f>
        <v>7523786.2007332137</v>
      </c>
      <c r="DL28" s="126">
        <f ca="1">MAX(DL27*(1+M28)-(Dashboard!$C$11)/(1-Dashboard!$C$17)*((1+Dashboard!$C$12)^$CZ28),0)</f>
        <v>1045887.9842939716</v>
      </c>
      <c r="DM28" s="126">
        <f ca="1">MAX(DM27*(1+N28)-(Dashboard!$C$11)/(1-Dashboard!$C$17)*((1+Dashboard!$C$12)^$CZ28),0)</f>
        <v>4261428.2953982055</v>
      </c>
      <c r="DN28" s="126">
        <f ca="1">MAX(DN27*(1+O28)-(Dashboard!$C$11)/(1-Dashboard!$C$17)*((1+Dashboard!$C$12)^$CZ28),0)</f>
        <v>15571577.16714911</v>
      </c>
      <c r="DO28" s="126">
        <f ca="1">MAX(DO27*(1+P28)-(Dashboard!$C$11)/(1-Dashboard!$C$17)*((1+Dashboard!$C$12)^$CZ28),0)</f>
        <v>1941913.5257296106</v>
      </c>
      <c r="DP28" s="126">
        <f ca="1">MAX(DP27*(1+Q28)-(Dashboard!$C$11)/(1-Dashboard!$C$17)*((1+Dashboard!$C$12)^$CZ28),0)</f>
        <v>784787.6427912853</v>
      </c>
      <c r="DQ28" s="126">
        <f ca="1">MAX(DQ27*(1+R28)-(Dashboard!$C$11)/(1-Dashboard!$C$17)*((1+Dashboard!$C$12)^$CZ28),0)</f>
        <v>3770005.2438152097</v>
      </c>
      <c r="DR28" s="126">
        <f ca="1">MAX(DR27*(1+S28)-(Dashboard!$C$11)/(1-Dashboard!$C$17)*((1+Dashboard!$C$12)^$CZ28),0)</f>
        <v>4787190.2314692643</v>
      </c>
      <c r="DS28" s="126">
        <f ca="1">MAX(DS27*(1+T28)-(Dashboard!$C$11)/(1-Dashboard!$C$17)*((1+Dashboard!$C$12)^$CZ28),0)</f>
        <v>319404.40607053309</v>
      </c>
      <c r="DT28" s="126">
        <f ca="1">MAX(DT27*(1+U28)-(Dashboard!$C$11)/(1-Dashboard!$C$17)*((1+Dashboard!$C$12)^$CZ28),0)</f>
        <v>1582630.7824091995</v>
      </c>
      <c r="DU28" s="126">
        <f ca="1">MAX(DU27*(1+V28)-(Dashboard!$C$11)/(1-Dashboard!$C$17)*((1+Dashboard!$C$12)^$CZ28),0)</f>
        <v>3124406.2360688671</v>
      </c>
      <c r="DV28" s="126">
        <f ca="1">MAX(DV27*(1+W28)-(Dashboard!$C$11)/(1-Dashboard!$C$17)*((1+Dashboard!$C$12)^$CZ28),0)</f>
        <v>6967370.5112635791</v>
      </c>
      <c r="DW28" s="126">
        <f ca="1">MAX(DW27*(1+X28)-(Dashboard!$C$11)/(1-Dashboard!$C$17)*((1+Dashboard!$C$12)^$CZ28),0)</f>
        <v>3468534.768472861</v>
      </c>
      <c r="DX28" s="126">
        <f ca="1">MAX(DX27*(1+Y28)-(Dashboard!$C$11)/(1-Dashboard!$C$17)*((1+Dashboard!$C$12)^$CZ28),0)</f>
        <v>1278031.246863619</v>
      </c>
      <c r="DY28" s="126">
        <f ca="1">MAX(DY27*(1+Z28)-(Dashboard!$C$11)/(1-Dashboard!$C$17)*((1+Dashboard!$C$12)^$CZ28),0)</f>
        <v>5773061.9775943253</v>
      </c>
      <c r="DZ28" s="126">
        <f ca="1">MAX(DZ27*(1+AA28)-(Dashboard!$C$11)/(1-Dashboard!$C$17)*((1+Dashboard!$C$12)^$CZ28),0)</f>
        <v>1497085.8017575371</v>
      </c>
      <c r="EA28" s="126">
        <f ca="1">MAX(EA27*(1+AB28)-(Dashboard!$C$11)/(1-Dashboard!$C$17)*((1+Dashboard!$C$12)^$CZ28),0)</f>
        <v>1413446.8482704544</v>
      </c>
      <c r="EB28" s="126">
        <f ca="1">MAX(EB27*(1+AC28)-(Dashboard!$C$11)/(1-Dashboard!$C$17)*((1+Dashboard!$C$12)^$CZ28),0)</f>
        <v>2990610.6126148361</v>
      </c>
      <c r="EC28" s="126">
        <f ca="1">MAX(EC27*(1+AD28)-(Dashboard!$C$11)/(1-Dashboard!$C$17)*((1+Dashboard!$C$12)^$CZ28),0)</f>
        <v>1896688.1652175018</v>
      </c>
      <c r="ED28" s="126">
        <f ca="1">MAX(ED27*(1+AE28)-(Dashboard!$C$11)/(1-Dashboard!$C$17)*((1+Dashboard!$C$12)^$CZ28),0)</f>
        <v>1672414.1551866599</v>
      </c>
      <c r="EE28" s="126">
        <f ca="1">MAX(EE27*(1+AF28)-(Dashboard!$C$11)/(1-Dashboard!$C$17)*((1+Dashboard!$C$12)^$CZ28),0)</f>
        <v>7078591.9245343152</v>
      </c>
      <c r="EF28" s="126">
        <f ca="1">MAX(EF27*(1+AG28)-(Dashboard!$C$11)/(1-Dashboard!$C$17)*((1+Dashboard!$C$12)^$CZ28),0)</f>
        <v>559789.25737454556</v>
      </c>
      <c r="EG28" s="126">
        <f ca="1">MAX(EG27*(1+AH28)-(Dashboard!$C$11)/(1-Dashboard!$C$17)*((1+Dashboard!$C$12)^$CZ28),0)</f>
        <v>3163020.9697614298</v>
      </c>
      <c r="EH28" s="126">
        <f ca="1">MAX(EH27*(1+AI28)-(Dashboard!$C$11)/(1-Dashboard!$C$17)*((1+Dashboard!$C$12)^$CZ28),0)</f>
        <v>2487806.2387141096</v>
      </c>
      <c r="EI28" s="126">
        <f ca="1">MAX(EI27*(1+AJ28)-(Dashboard!$C$11)/(1-Dashboard!$C$17)*((1+Dashboard!$C$12)^$CZ28),0)</f>
        <v>217776.90205054038</v>
      </c>
      <c r="EJ28" s="126">
        <f ca="1">MAX(EJ27*(1+AK28)-(Dashboard!$C$11)/(1-Dashboard!$C$17)*((1+Dashboard!$C$12)^$CZ28),0)</f>
        <v>1708437.3817198966</v>
      </c>
      <c r="EK28" s="126">
        <f ca="1">MAX(EK27*(1+AL28)-(Dashboard!$C$11)/(1-Dashboard!$C$17)*((1+Dashboard!$C$12)^$CZ28),0)</f>
        <v>5635045.9767638771</v>
      </c>
      <c r="EL28" s="126">
        <f ca="1">MAX(EL27*(1+AM28)-(Dashboard!$C$11)/(1-Dashboard!$C$17)*((1+Dashboard!$C$12)^$CZ28),0)</f>
        <v>1036795.005538735</v>
      </c>
      <c r="EM28" s="126">
        <f ca="1">MAX(EM27*(1+AN28)-(Dashboard!$C$11)/(1-Dashboard!$C$17)*((1+Dashboard!$C$12)^$CZ28),0)</f>
        <v>4005405.9527369258</v>
      </c>
      <c r="EN28" s="126">
        <f ca="1">MAX(EN27*(1+AO28)-(Dashboard!$C$11)/(1-Dashboard!$C$17)*((1+Dashboard!$C$12)^$CZ28),0)</f>
        <v>2831846.138510887</v>
      </c>
      <c r="EO28" s="126">
        <f ca="1">MAX(EO27*(1+AP28)-(Dashboard!$C$11)/(1-Dashboard!$C$17)*((1+Dashboard!$C$12)^$CZ28),0)</f>
        <v>0</v>
      </c>
      <c r="EP28" s="126">
        <f ca="1">MAX(EP27*(1+AQ28)-(Dashboard!$C$11)/(1-Dashboard!$C$17)*((1+Dashboard!$C$12)^$CZ28),0)</f>
        <v>1227422.0482207043</v>
      </c>
      <c r="EQ28" s="126">
        <f ca="1">MAX(EQ27*(1+AR28)-(Dashboard!$C$11)/(1-Dashboard!$C$17)*((1+Dashboard!$C$12)^$CZ28),0)</f>
        <v>1642163.6447266138</v>
      </c>
      <c r="ER28" s="126">
        <f ca="1">MAX(ER27*(1+AS28)-(Dashboard!$C$11)/(1-Dashboard!$C$17)*((1+Dashboard!$C$12)^$CZ28),0)</f>
        <v>0</v>
      </c>
      <c r="ES28" s="126">
        <f ca="1">MAX(ES27*(1+AT28)-(Dashboard!$C$11)/(1-Dashboard!$C$17)*((1+Dashboard!$C$12)^$CZ28),0)</f>
        <v>8066137.3304536184</v>
      </c>
      <c r="ET28" s="126">
        <f ca="1">MAX(ET27*(1+AU28)-(Dashboard!$C$11)/(1-Dashboard!$C$17)*((1+Dashboard!$C$12)^$CZ28),0)</f>
        <v>2741725.3568676333</v>
      </c>
      <c r="EU28" s="126">
        <f ca="1">MAX(EU27*(1+AV28)-(Dashboard!$C$11)/(1-Dashboard!$C$17)*((1+Dashboard!$C$12)^$CZ28),0)</f>
        <v>1626417.4354656991</v>
      </c>
      <c r="EV28" s="126">
        <f ca="1">MAX(EV27*(1+AW28)-(Dashboard!$C$11)/(1-Dashboard!$C$17)*((1+Dashboard!$C$12)^$CZ28),0)</f>
        <v>11120202.500553546</v>
      </c>
      <c r="EW28" s="126">
        <f ca="1">MAX(EW27*(1+AX28)-(Dashboard!$C$11)/(1-Dashboard!$C$17)*((1+Dashboard!$C$12)^$CZ28),0)</f>
        <v>1378787.7909008041</v>
      </c>
      <c r="EX28" s="126">
        <f ca="1">MAX(EX27*(1+AY28)-(Dashboard!$C$11)/(1-Dashboard!$C$17)*((1+Dashboard!$C$12)^$CZ28),0)</f>
        <v>1909950.653842214</v>
      </c>
      <c r="EY28" s="126">
        <f ca="1">MAX(EY27*(1+AZ28)-(Dashboard!$C$11)/(1-Dashboard!$C$17)*((1+Dashboard!$C$12)^$CZ28),0)</f>
        <v>7574118.3497530492</v>
      </c>
      <c r="EZ28" s="126">
        <f ca="1">MAX(EZ27*(1+BA28)-(Dashboard!$C$11)/(1-Dashboard!$C$17)*((1+Dashboard!$C$12)^$CZ28),0)</f>
        <v>1682252.1933564343</v>
      </c>
      <c r="FA28" s="126">
        <f ca="1">MAX(FA27*(1+BB28)-(Dashboard!$C$11)/(1-Dashboard!$C$17)*((1+Dashboard!$C$12)^$CZ28),0)</f>
        <v>7604598.4431615304</v>
      </c>
      <c r="FB28" s="126">
        <f ca="1">MAX(FB27*(1+BC28)-(Dashboard!$C$11)/(1-Dashboard!$C$17)*((1+Dashboard!$C$12)^$CZ28),0)</f>
        <v>1176836.1550380033</v>
      </c>
      <c r="FC28" s="126">
        <f ca="1">MAX(FC27*(1+BD28)-(Dashboard!$C$11)/(1-Dashboard!$C$17)*((1+Dashboard!$C$12)^$CZ28),0)</f>
        <v>6555098.2722128285</v>
      </c>
      <c r="FD28" s="126">
        <f ca="1">MAX(FD27*(1+BE28)-(Dashboard!$C$11)/(1-Dashboard!$C$17)*((1+Dashboard!$C$12)^$CZ28),0)</f>
        <v>5268832.0307172555</v>
      </c>
      <c r="FE28" s="126">
        <f ca="1">MAX(FE27*(1+BF28)-(Dashboard!$C$11)/(1-Dashboard!$C$17)*((1+Dashboard!$C$12)^$CZ28),0)</f>
        <v>4780311.1273110993</v>
      </c>
      <c r="FF28" s="126">
        <f ca="1">MAX(FF27*(1+BG28)-(Dashboard!$C$11)/(1-Dashboard!$C$17)*((1+Dashboard!$C$12)^$CZ28),0)</f>
        <v>1068999.1226619517</v>
      </c>
      <c r="FG28" s="126">
        <f ca="1">MAX(FG27*(1+BH28)-(Dashboard!$C$11)/(1-Dashboard!$C$17)*((1+Dashboard!$C$12)^$CZ28),0)</f>
        <v>1417657.8813702529</v>
      </c>
      <c r="FH28" s="126">
        <f ca="1">MAX(FH27*(1+BI28)-(Dashboard!$C$11)/(1-Dashboard!$C$17)*((1+Dashboard!$C$12)^$CZ28),0)</f>
        <v>2440543.2300987095</v>
      </c>
      <c r="FI28" s="126">
        <f ca="1">MAX(FI27*(1+BJ28)-(Dashboard!$C$11)/(1-Dashboard!$C$17)*((1+Dashboard!$C$12)^$CZ28),0)</f>
        <v>3824058.6465438069</v>
      </c>
      <c r="FJ28" s="126">
        <f ca="1">MAX(FJ27*(1+BK28)-(Dashboard!$C$11)/(1-Dashboard!$C$17)*((1+Dashboard!$C$12)^$CZ28),0)</f>
        <v>1796908.9150810102</v>
      </c>
      <c r="FK28" s="126">
        <f ca="1">MAX(FK27*(1+BL28)-(Dashboard!$C$11)/(1-Dashboard!$C$17)*((1+Dashboard!$C$12)^$CZ28),0)</f>
        <v>3497565.149058518</v>
      </c>
      <c r="FL28" s="126">
        <f ca="1">MAX(FL27*(1+BM28)-(Dashboard!$C$11)/(1-Dashboard!$C$17)*((1+Dashboard!$C$12)^$CZ28),0)</f>
        <v>1513345.5577735424</v>
      </c>
      <c r="FM28" s="126">
        <f ca="1">MAX(FM27*(1+BN28)-(Dashboard!$C$11)/(1-Dashboard!$C$17)*((1+Dashboard!$C$12)^$CZ28),0)</f>
        <v>4425086.4658505321</v>
      </c>
      <c r="FN28" s="126">
        <f ca="1">MAX(FN27*(1+BO28)-(Dashboard!$C$11)/(1-Dashboard!$C$17)*((1+Dashboard!$C$12)^$CZ28),0)</f>
        <v>75910.230099939974</v>
      </c>
      <c r="FO28" s="126">
        <f ca="1">MAX(FO27*(1+BP28)-(Dashboard!$C$11)/(1-Dashboard!$C$17)*((1+Dashboard!$C$12)^$CZ28),0)</f>
        <v>2469169.3331809207</v>
      </c>
      <c r="FP28" s="126">
        <f ca="1">MAX(FP27*(1+BQ28)-(Dashboard!$C$11)/(1-Dashboard!$C$17)*((1+Dashboard!$C$12)^$CZ28),0)</f>
        <v>1998945.7161934928</v>
      </c>
      <c r="FQ28" s="126">
        <f ca="1">MAX(FQ27*(1+BR28)-(Dashboard!$C$11)/(1-Dashboard!$C$17)*((1+Dashboard!$C$12)^$CZ28),0)</f>
        <v>1382374.394814417</v>
      </c>
      <c r="FR28" s="126">
        <f ca="1">MAX(FR27*(1+BS28)-(Dashboard!$C$11)/(1-Dashboard!$C$17)*((1+Dashboard!$C$12)^$CZ28),0)</f>
        <v>3927627.1900348621</v>
      </c>
      <c r="FS28" s="126">
        <f ca="1">MAX(FS27*(1+BT28)-(Dashboard!$C$11)/(1-Dashboard!$C$17)*((1+Dashboard!$C$12)^$CZ28),0)</f>
        <v>3190184.2589856819</v>
      </c>
      <c r="FT28" s="126">
        <f ca="1">MAX(FT27*(1+BU28)-(Dashboard!$C$11)/(1-Dashboard!$C$17)*((1+Dashboard!$C$12)^$CZ28),0)</f>
        <v>679506.88877163781</v>
      </c>
      <c r="FU28" s="126">
        <f ca="1">MAX(FU27*(1+BV28)-(Dashboard!$C$11)/(1-Dashboard!$C$17)*((1+Dashboard!$C$12)^$CZ28),0)</f>
        <v>2295349.5656287419</v>
      </c>
      <c r="FV28" s="126">
        <f ca="1">MAX(FV27*(1+BW28)-(Dashboard!$C$11)/(1-Dashboard!$C$17)*((1+Dashboard!$C$12)^$CZ28),0)</f>
        <v>3484209.1002649073</v>
      </c>
      <c r="FW28" s="126">
        <f ca="1">MAX(FW27*(1+BX28)-(Dashboard!$C$11)/(1-Dashboard!$C$17)*((1+Dashboard!$C$12)^$CZ28),0)</f>
        <v>1825470.1129705233</v>
      </c>
      <c r="FX28" s="126">
        <f ca="1">MAX(FX27*(1+BY28)-(Dashboard!$C$11)/(1-Dashboard!$C$17)*((1+Dashboard!$C$12)^$CZ28),0)</f>
        <v>289371.56021063623</v>
      </c>
      <c r="FY28" s="126">
        <f ca="1">MAX(FY27*(1+BZ28)-(Dashboard!$C$11)/(1-Dashboard!$C$17)*((1+Dashboard!$C$12)^$CZ28),0)</f>
        <v>1056235.0057555158</v>
      </c>
      <c r="FZ28" s="126">
        <f ca="1">MAX(FZ27*(1+CA28)-(Dashboard!$C$11)/(1-Dashboard!$C$17)*((1+Dashboard!$C$12)^$CZ28),0)</f>
        <v>4257341.6779722469</v>
      </c>
      <c r="GA28" s="126">
        <f ca="1">MAX(GA27*(1+CB28)-(Dashboard!$C$11)/(1-Dashboard!$C$17)*((1+Dashboard!$C$12)^$CZ28),0)</f>
        <v>4804313.439502107</v>
      </c>
      <c r="GB28" s="126">
        <f ca="1">MAX(GB27*(1+CC28)-(Dashboard!$C$11)/(1-Dashboard!$C$17)*((1+Dashboard!$C$12)^$CZ28),0)</f>
        <v>1594510.4332267221</v>
      </c>
      <c r="GC28" s="126">
        <f ca="1">MAX(GC27*(1+CD28)-(Dashboard!$C$11)/(1-Dashboard!$C$17)*((1+Dashboard!$C$12)^$CZ28),0)</f>
        <v>3656334.1630338496</v>
      </c>
      <c r="GD28" s="126">
        <f ca="1">MAX(GD27*(1+CE28)-(Dashboard!$C$11)/(1-Dashboard!$C$17)*((1+Dashboard!$C$12)^$CZ28),0)</f>
        <v>9854354.8727822769</v>
      </c>
      <c r="GE28" s="126">
        <f ca="1">MAX(GE27*(1+CF28)-(Dashboard!$C$11)/(1-Dashboard!$C$17)*((1+Dashboard!$C$12)^$CZ28),0)</f>
        <v>1811071.8218817604</v>
      </c>
      <c r="GF28" s="126">
        <f ca="1">MAX(GF27*(1+CG28)-(Dashboard!$C$11)/(1-Dashboard!$C$17)*((1+Dashboard!$C$12)^$CZ28),0)</f>
        <v>3837009.9897052511</v>
      </c>
      <c r="GG28" s="126">
        <f ca="1">MAX(GG27*(1+CH28)-(Dashboard!$C$11)/(1-Dashboard!$C$17)*((1+Dashboard!$C$12)^$CZ28),0)</f>
        <v>507700.42791433929</v>
      </c>
      <c r="GH28" s="126">
        <f ca="1">MAX(GH27*(1+CI28)-(Dashboard!$C$11)/(1-Dashboard!$C$17)*((1+Dashboard!$C$12)^$CZ28),0)</f>
        <v>1224056.9328389885</v>
      </c>
      <c r="GI28" s="126">
        <f ca="1">MAX(GI27*(1+CJ28)-(Dashboard!$C$11)/(1-Dashboard!$C$17)*((1+Dashboard!$C$12)^$CZ28),0)</f>
        <v>2138963.1287882524</v>
      </c>
      <c r="GJ28" s="126">
        <f ca="1">MAX(GJ27*(1+CK28)-(Dashboard!$C$11)/(1-Dashboard!$C$17)*((1+Dashboard!$C$12)^$CZ28),0)</f>
        <v>5391897.0500320513</v>
      </c>
      <c r="GK28" s="126">
        <f ca="1">MAX(GK27*(1+CL28)-(Dashboard!$C$11)/(1-Dashboard!$C$17)*((1+Dashboard!$C$12)^$CZ28),0)</f>
        <v>4399477.5438430803</v>
      </c>
      <c r="GL28" s="126">
        <f ca="1">MAX(GL27*(1+CM28)-(Dashboard!$C$11)/(1-Dashboard!$C$17)*((1+Dashboard!$C$12)^$CZ28),0)</f>
        <v>5421192.6903899899</v>
      </c>
      <c r="GM28" s="126">
        <f ca="1">MAX(GM27*(1+CN28)-(Dashboard!$C$11)/(1-Dashboard!$C$17)*((1+Dashboard!$C$12)^$CZ28),0)</f>
        <v>542259.07387635531</v>
      </c>
      <c r="GN28" s="126">
        <f ca="1">MAX(GN27*(1+CO28)-(Dashboard!$C$11)/(1-Dashboard!$C$17)*((1+Dashboard!$C$12)^$CZ28),0)</f>
        <v>0</v>
      </c>
      <c r="GO28" s="126">
        <f ca="1">MAX(GO27*(1+CP28)-(Dashboard!$C$11)/(1-Dashboard!$C$17)*((1+Dashboard!$C$12)^$CZ28),0)</f>
        <v>762867.02826484316</v>
      </c>
      <c r="GP28" s="126">
        <f ca="1">MAX(GP27*(1+CQ28)-(Dashboard!$C$11)/(1-Dashboard!$C$17)*((1+Dashboard!$C$12)^$CZ28),0)</f>
        <v>2116628.1179536846</v>
      </c>
      <c r="GQ28" s="126">
        <f ca="1">MAX(GQ27*(1+CR28)-(Dashboard!$C$11)/(1-Dashboard!$C$17)*((1+Dashboard!$C$12)^$CZ28),0)</f>
        <v>18405.434890575212</v>
      </c>
      <c r="GR28" s="126">
        <f ca="1">MAX(GR27*(1+CS28)-(Dashboard!$C$11)/(1-Dashboard!$C$17)*((1+Dashboard!$C$12)^$CZ28),0)</f>
        <v>1321117.4021927835</v>
      </c>
      <c r="GS28" s="126">
        <f ca="1">MAX(GS27*(1+CT28)-(Dashboard!$C$11)/(1-Dashboard!$C$17)*((1+Dashboard!$C$12)^$CZ28),0)</f>
        <v>4393976.2283946751</v>
      </c>
      <c r="GT28" s="126">
        <f ca="1">MAX(GT27*(1+CU28)-(Dashboard!$C$11)/(1-Dashboard!$C$17)*((1+Dashboard!$C$12)^$CZ28),0)</f>
        <v>8373233.7139890715</v>
      </c>
      <c r="GU28" s="126">
        <f ca="1">MAX(GU27*(1+CV28)-(Dashboard!$C$11)/(1-Dashboard!$C$17)*((1+Dashboard!$C$12)^$CZ28),0)</f>
        <v>1233591.8315227805</v>
      </c>
      <c r="GV28" s="126">
        <f ca="1">MAX(GV27*(1+CW28)-(Dashboard!$C$11)/(1-Dashboard!$C$17)*((1+Dashboard!$C$12)^$CZ28),0)</f>
        <v>626230.52080373536</v>
      </c>
      <c r="GW28" s="115">
        <f t="shared" si="4"/>
        <v>77</v>
      </c>
      <c r="GX28" s="130">
        <f t="shared" ca="1" si="2"/>
        <v>96</v>
      </c>
      <c r="HC28" s="130">
        <f t="shared" si="0"/>
        <v>77</v>
      </c>
      <c r="HD28" s="137">
        <f t="shared" ca="1" si="6"/>
        <v>1224898.2116844174</v>
      </c>
      <c r="HE28" s="137">
        <f t="shared" ca="1" si="6"/>
        <v>2057786.9170735888</v>
      </c>
      <c r="HF28" s="137">
        <f t="shared" ca="1" si="6"/>
        <v>4291235.4982527867</v>
      </c>
    </row>
    <row r="29" spans="1:214" ht="16">
      <c r="A29" s="145">
        <f t="shared" si="3"/>
        <v>78</v>
      </c>
      <c r="B29" s="119">
        <f ca="1">(Dashboard!$C$7*'Equity and Bond Returns'!N29)+(Dashboard!$C$8*'Equity and Bond Returns'!DL29)</f>
        <v>0.33275290543672859</v>
      </c>
      <c r="C29" s="119">
        <f ca="1">(Dashboard!$C$7*'Equity and Bond Returns'!O29)+(Dashboard!$C$8*'Equity and Bond Returns'!DM29)</f>
        <v>-9.4743753731326277E-2</v>
      </c>
      <c r="D29" s="119">
        <f ca="1">(Dashboard!$C$7*'Equity and Bond Returns'!P29)+(Dashboard!$C$8*'Equity and Bond Returns'!DN29)</f>
        <v>-9.0020665647131584E-2</v>
      </c>
      <c r="E29" s="119">
        <f ca="1">(Dashboard!$C$7*'Equity and Bond Returns'!Q29)+(Dashboard!$C$8*'Equity and Bond Returns'!DO29)</f>
        <v>0.16491964206208284</v>
      </c>
      <c r="F29" s="119">
        <f ca="1">(Dashboard!$C$7*'Equity and Bond Returns'!R29)+(Dashboard!$C$8*'Equity and Bond Returns'!DP29)</f>
        <v>0.3081879835786514</v>
      </c>
      <c r="G29" s="119">
        <f ca="1">(Dashboard!$C$7*'Equity and Bond Returns'!S29)+(Dashboard!$C$8*'Equity and Bond Returns'!DQ29)</f>
        <v>4.4886866429805924E-2</v>
      </c>
      <c r="H29" s="119">
        <f ca="1">(Dashboard!$C$7*'Equity and Bond Returns'!T29)+(Dashboard!$C$8*'Equity and Bond Returns'!DR29)</f>
        <v>8.5246754371483574E-2</v>
      </c>
      <c r="I29" s="119">
        <f ca="1">(Dashboard!$C$7*'Equity and Bond Returns'!U29)+(Dashboard!$C$8*'Equity and Bond Returns'!DS29)</f>
        <v>1.4008529839642479E-3</v>
      </c>
      <c r="J29" s="119">
        <f ca="1">(Dashboard!$C$7*'Equity and Bond Returns'!V29)+(Dashboard!$C$8*'Equity and Bond Returns'!DT29)</f>
        <v>0.21618648673187368</v>
      </c>
      <c r="K29" s="119">
        <f ca="1">(Dashboard!$C$7*'Equity and Bond Returns'!W29)+(Dashboard!$C$8*'Equity and Bond Returns'!DU29)</f>
        <v>0.15983501057095842</v>
      </c>
      <c r="L29" s="119">
        <f ca="1">(Dashboard!$C$7*'Equity and Bond Returns'!X29)+(Dashboard!$C$8*'Equity and Bond Returns'!DV29)</f>
        <v>-4.5450698613666435E-2</v>
      </c>
      <c r="M29" s="119">
        <f ca="1">(Dashboard!$C$7*'Equity and Bond Returns'!Y29)+(Dashboard!$C$8*'Equity and Bond Returns'!DW29)</f>
        <v>-3.5576526737484869E-2</v>
      </c>
      <c r="N29" s="119">
        <f ca="1">(Dashboard!$C$7*'Equity and Bond Returns'!Z29)+(Dashboard!$C$8*'Equity and Bond Returns'!DX29)</f>
        <v>-4.4426840414068233E-2</v>
      </c>
      <c r="O29" s="119">
        <f ca="1">(Dashboard!$C$7*'Equity and Bond Returns'!AA29)+(Dashboard!$C$8*'Equity and Bond Returns'!DY29)</f>
        <v>-2.5907026330145952E-2</v>
      </c>
      <c r="P29" s="119">
        <f ca="1">(Dashboard!$C$7*'Equity and Bond Returns'!AB29)+(Dashboard!$C$8*'Equity and Bond Returns'!DZ29)</f>
        <v>3.9874122334133455E-2</v>
      </c>
      <c r="Q29" s="119">
        <f ca="1">(Dashboard!$C$7*'Equity and Bond Returns'!AC29)+(Dashboard!$C$8*'Equity and Bond Returns'!EA29)</f>
        <v>0.30277881459262379</v>
      </c>
      <c r="R29" s="119">
        <f ca="1">(Dashboard!$C$7*'Equity and Bond Returns'!AD29)+(Dashboard!$C$8*'Equity and Bond Returns'!EB29)</f>
        <v>0.20572530874503797</v>
      </c>
      <c r="S29" s="119">
        <f ca="1">(Dashboard!$C$7*'Equity and Bond Returns'!AE29)+(Dashboard!$C$8*'Equity and Bond Returns'!EC29)</f>
        <v>2.4228129672043117E-2</v>
      </c>
      <c r="T29" s="119">
        <f ca="1">(Dashboard!$C$7*'Equity and Bond Returns'!AF29)+(Dashboard!$C$8*'Equity and Bond Returns'!ED29)</f>
        <v>0.24802626747565776</v>
      </c>
      <c r="U29" s="119">
        <f ca="1">(Dashboard!$C$7*'Equity and Bond Returns'!AG29)+(Dashboard!$C$8*'Equity and Bond Returns'!EE29)</f>
        <v>7.6253803288487493E-2</v>
      </c>
      <c r="V29" s="119">
        <f ca="1">(Dashboard!$C$7*'Equity and Bond Returns'!AH29)+(Dashboard!$C$8*'Equity and Bond Returns'!EF29)</f>
        <v>0.21109557056759271</v>
      </c>
      <c r="W29" s="119">
        <f ca="1">(Dashboard!$C$7*'Equity and Bond Returns'!AI29)+(Dashboard!$C$8*'Equity and Bond Returns'!EG29)</f>
        <v>0.41029310319916995</v>
      </c>
      <c r="X29" s="119">
        <f ca="1">(Dashboard!$C$7*'Equity and Bond Returns'!AJ29)+(Dashboard!$C$8*'Equity and Bond Returns'!EH29)</f>
        <v>0.30084821859538929</v>
      </c>
      <c r="Y29" s="119">
        <f ca="1">(Dashboard!$C$7*'Equity and Bond Returns'!AK29)+(Dashboard!$C$8*'Equity and Bond Returns'!EI29)</f>
        <v>2.5187133489670541E-2</v>
      </c>
      <c r="Z29" s="119">
        <f ca="1">(Dashboard!$C$7*'Equity and Bond Returns'!AL29)+(Dashboard!$C$8*'Equity and Bond Returns'!EJ29)</f>
        <v>0.13706185044792338</v>
      </c>
      <c r="AA29" s="119">
        <f ca="1">(Dashboard!$C$7*'Equity and Bond Returns'!AM29)+(Dashboard!$C$8*'Equity and Bond Returns'!EK29)</f>
        <v>-8.5147407474936349E-2</v>
      </c>
      <c r="AB29" s="119">
        <f ca="1">(Dashboard!$C$7*'Equity and Bond Returns'!AN29)+(Dashboard!$C$8*'Equity and Bond Returns'!EL29)</f>
        <v>-5.6486504830563167E-2</v>
      </c>
      <c r="AC29" s="119">
        <f ca="1">(Dashboard!$C$7*'Equity and Bond Returns'!AO29)+(Dashboard!$C$8*'Equity and Bond Returns'!EM29)</f>
        <v>4.416997412888414E-2</v>
      </c>
      <c r="AD29" s="119">
        <f ca="1">(Dashboard!$C$7*'Equity and Bond Returns'!AP29)+(Dashboard!$C$8*'Equity and Bond Returns'!EN29)</f>
        <v>0.14074638954164151</v>
      </c>
      <c r="AE29" s="119">
        <f ca="1">(Dashboard!$C$7*'Equity and Bond Returns'!AQ29)+(Dashboard!$C$8*'Equity and Bond Returns'!EO29)</f>
        <v>0.32791590844798352</v>
      </c>
      <c r="AF29" s="119">
        <f ca="1">(Dashboard!$C$7*'Equity and Bond Returns'!AR29)+(Dashboard!$C$8*'Equity and Bond Returns'!EP29)</f>
        <v>0.19738651808557656</v>
      </c>
      <c r="AG29" s="119">
        <f ca="1">(Dashboard!$C$7*'Equity and Bond Returns'!AS29)+(Dashboard!$C$8*'Equity and Bond Returns'!EQ29)</f>
        <v>5.5378981341034084E-2</v>
      </c>
      <c r="AH29" s="119">
        <f ca="1">(Dashboard!$C$7*'Equity and Bond Returns'!AT29)+(Dashboard!$C$8*'Equity and Bond Returns'!ER29)</f>
        <v>0.12272030973233691</v>
      </c>
      <c r="AI29" s="119">
        <f ca="1">(Dashboard!$C$7*'Equity and Bond Returns'!AU29)+(Dashboard!$C$8*'Equity and Bond Returns'!ES29)</f>
        <v>0.38450888930324345</v>
      </c>
      <c r="AJ29" s="119">
        <f ca="1">(Dashboard!$C$7*'Equity and Bond Returns'!AV29)+(Dashboard!$C$8*'Equity and Bond Returns'!ET29)</f>
        <v>-0.10508579697328346</v>
      </c>
      <c r="AK29" s="119">
        <f ca="1">(Dashboard!$C$7*'Equity and Bond Returns'!AW29)+(Dashboard!$C$8*'Equity and Bond Returns'!EU29)</f>
        <v>0.41518718857874937</v>
      </c>
      <c r="AL29" s="119">
        <f ca="1">(Dashboard!$C$7*'Equity and Bond Returns'!AX29)+(Dashboard!$C$8*'Equity and Bond Returns'!EV29)</f>
        <v>2.2762822949525394E-2</v>
      </c>
      <c r="AM29" s="119">
        <f ca="1">(Dashboard!$C$7*'Equity and Bond Returns'!AY29)+(Dashboard!$C$8*'Equity and Bond Returns'!EW29)</f>
        <v>-3.9250272834443614E-2</v>
      </c>
      <c r="AN29" s="119">
        <f ca="1">(Dashboard!$C$7*'Equity and Bond Returns'!AZ29)+(Dashboard!$C$8*'Equity and Bond Returns'!EX29)</f>
        <v>0.33255112077817611</v>
      </c>
      <c r="AO29" s="119">
        <f ca="1">(Dashboard!$C$7*'Equity and Bond Returns'!BA29)+(Dashboard!$C$8*'Equity and Bond Returns'!EY29)</f>
        <v>2.7311518205276827E-2</v>
      </c>
      <c r="AP29" s="119">
        <f ca="1">(Dashboard!$C$7*'Equity and Bond Returns'!BB29)+(Dashboard!$C$8*'Equity and Bond Returns'!EZ29)</f>
        <v>-0.14386446711176193</v>
      </c>
      <c r="AQ29" s="119">
        <f ca="1">(Dashboard!$C$7*'Equity and Bond Returns'!BC29)+(Dashboard!$C$8*'Equity and Bond Returns'!FA29)</f>
        <v>0.27393626064383775</v>
      </c>
      <c r="AR29" s="119">
        <f ca="1">(Dashboard!$C$7*'Equity and Bond Returns'!BD29)+(Dashboard!$C$8*'Equity and Bond Returns'!FB29)</f>
        <v>0.10081885864267723</v>
      </c>
      <c r="AS29" s="119">
        <f ca="1">(Dashboard!$C$7*'Equity and Bond Returns'!BE29)+(Dashboard!$C$8*'Equity and Bond Returns'!FC29)</f>
        <v>-3.0748551610231406E-2</v>
      </c>
      <c r="AT29" s="119">
        <f ca="1">(Dashboard!$C$7*'Equity and Bond Returns'!BF29)+(Dashboard!$C$8*'Equity and Bond Returns'!FD29)</f>
        <v>0.19900243763604522</v>
      </c>
      <c r="AU29" s="119">
        <f ca="1">(Dashboard!$C$7*'Equity and Bond Returns'!BG29)+(Dashboard!$C$8*'Equity and Bond Returns'!FE29)</f>
        <v>5.9136837694361982E-2</v>
      </c>
      <c r="AV29" s="119">
        <f ca="1">(Dashboard!$C$7*'Equity and Bond Returns'!BH29)+(Dashboard!$C$8*'Equity and Bond Returns'!FF29)</f>
        <v>-6.0372606362780981E-2</v>
      </c>
      <c r="AW29" s="119">
        <f ca="1">(Dashboard!$C$7*'Equity and Bond Returns'!BI29)+(Dashboard!$C$8*'Equity and Bond Returns'!FG29)</f>
        <v>0.21627434511525326</v>
      </c>
      <c r="AX29" s="119">
        <f ca="1">(Dashboard!$C$7*'Equity and Bond Returns'!BJ29)+(Dashboard!$C$8*'Equity and Bond Returns'!FH29)</f>
        <v>-0.12531446311950287</v>
      </c>
      <c r="AY29" s="119">
        <f ca="1">(Dashboard!$C$7*'Equity and Bond Returns'!BK29)+(Dashboard!$C$8*'Equity and Bond Returns'!FI29)</f>
        <v>0.14885680921151437</v>
      </c>
      <c r="AZ29" s="119">
        <f ca="1">(Dashboard!$C$7*'Equity and Bond Returns'!BL29)+(Dashboard!$C$8*'Equity and Bond Returns'!FJ29)</f>
        <v>0.25171182674093839</v>
      </c>
      <c r="BA29" s="119">
        <f ca="1">(Dashboard!$C$7*'Equity and Bond Returns'!BM29)+(Dashboard!$C$8*'Equity and Bond Returns'!FK29)</f>
        <v>7.0479020972196466E-2</v>
      </c>
      <c r="BB29" s="119">
        <f ca="1">(Dashboard!$C$7*'Equity and Bond Returns'!BN29)+(Dashboard!$C$8*'Equity and Bond Returns'!FL29)</f>
        <v>-3.8360375146144252E-2</v>
      </c>
      <c r="BC29" s="119">
        <f ca="1">(Dashboard!$C$7*'Equity and Bond Returns'!BO29)+(Dashboard!$C$8*'Equity and Bond Returns'!FM29)</f>
        <v>7.9084160933649311E-2</v>
      </c>
      <c r="BD29" s="119">
        <f ca="1">(Dashboard!$C$7*'Equity and Bond Returns'!BP29)+(Dashboard!$C$8*'Equity and Bond Returns'!FN29)</f>
        <v>0.51225013261779906</v>
      </c>
      <c r="BE29" s="119">
        <f ca="1">(Dashboard!$C$7*'Equity and Bond Returns'!BQ29)+(Dashboard!$C$8*'Equity and Bond Returns'!FO29)</f>
        <v>0.29981728456200302</v>
      </c>
      <c r="BF29" s="119">
        <f ca="1">(Dashboard!$C$7*'Equity and Bond Returns'!BR29)+(Dashboard!$C$8*'Equity and Bond Returns'!FP29)</f>
        <v>0.19492897709822546</v>
      </c>
      <c r="BG29" s="119">
        <f ca="1">(Dashboard!$C$7*'Equity and Bond Returns'!BS29)+(Dashboard!$C$8*'Equity and Bond Returns'!FQ29)</f>
        <v>0.29732991382659257</v>
      </c>
      <c r="BH29" s="119">
        <f ca="1">(Dashboard!$C$7*'Equity and Bond Returns'!BT29)+(Dashboard!$C$8*'Equity and Bond Returns'!FR29)</f>
        <v>2.5603830311590338E-2</v>
      </c>
      <c r="BI29" s="119">
        <f ca="1">(Dashboard!$C$7*'Equity and Bond Returns'!BU29)+(Dashboard!$C$8*'Equity and Bond Returns'!FS29)</f>
        <v>5.1343719535017526E-2</v>
      </c>
      <c r="BJ29" s="119">
        <f ca="1">(Dashboard!$C$7*'Equity and Bond Returns'!BV29)+(Dashboard!$C$8*'Equity and Bond Returns'!FT29)</f>
        <v>6.3781935939114062E-2</v>
      </c>
      <c r="BK29" s="119">
        <f ca="1">(Dashboard!$C$7*'Equity and Bond Returns'!BW29)+(Dashboard!$C$8*'Equity and Bond Returns'!FU29)</f>
        <v>0.22127415413181967</v>
      </c>
      <c r="BL29" s="119">
        <f ca="1">(Dashboard!$C$7*'Equity and Bond Returns'!BX29)+(Dashboard!$C$8*'Equity and Bond Returns'!FV29)</f>
        <v>1.7034451350359373E-2</v>
      </c>
      <c r="BM29" s="119">
        <f ca="1">(Dashboard!$C$7*'Equity and Bond Returns'!BY29)+(Dashboard!$C$8*'Equity and Bond Returns'!FW29)</f>
        <v>9.988595200382494E-2</v>
      </c>
      <c r="BN29" s="119">
        <f ca="1">(Dashboard!$C$7*'Equity and Bond Returns'!BZ29)+(Dashboard!$C$8*'Equity and Bond Returns'!FX29)</f>
        <v>0.187984208923793</v>
      </c>
      <c r="BO29" s="119">
        <f ca="1">(Dashboard!$C$7*'Equity and Bond Returns'!CA29)+(Dashboard!$C$8*'Equity and Bond Returns'!FY29)</f>
        <v>-8.4032273105381187E-3</v>
      </c>
      <c r="BP29" s="119">
        <f ca="1">(Dashboard!$C$7*'Equity and Bond Returns'!CB29)+(Dashboard!$C$8*'Equity and Bond Returns'!FZ29)</f>
        <v>7.6622644806167345E-2</v>
      </c>
      <c r="BQ29" s="119">
        <f ca="1">(Dashboard!$C$7*'Equity and Bond Returns'!CC29)+(Dashboard!$C$8*'Equity and Bond Returns'!GA29)</f>
        <v>7.6865417134318992E-2</v>
      </c>
      <c r="BR29" s="119">
        <f ca="1">(Dashboard!$C$7*'Equity and Bond Returns'!CD29)+(Dashboard!$C$8*'Equity and Bond Returns'!GB29)</f>
        <v>-9.0834955093957656E-2</v>
      </c>
      <c r="BS29" s="119">
        <f ca="1">(Dashboard!$C$7*'Equity and Bond Returns'!CE29)+(Dashboard!$C$8*'Equity and Bond Returns'!GC29)</f>
        <v>2.6916288610338089E-2</v>
      </c>
      <c r="BT29" s="119">
        <f ca="1">(Dashboard!$C$7*'Equity and Bond Returns'!CF29)+(Dashboard!$C$8*'Equity and Bond Returns'!GD29)</f>
        <v>7.1525412783991146E-2</v>
      </c>
      <c r="BU29" s="119">
        <f ca="1">(Dashboard!$C$7*'Equity and Bond Returns'!CG29)+(Dashboard!$C$8*'Equity and Bond Returns'!GE29)</f>
        <v>-8.149190329692943E-2</v>
      </c>
      <c r="BV29" s="119">
        <f ca="1">(Dashboard!$C$7*'Equity and Bond Returns'!CH29)+(Dashboard!$C$8*'Equity and Bond Returns'!GF29)</f>
        <v>-9.7119955567204486E-2</v>
      </c>
      <c r="BW29" s="119">
        <f ca="1">(Dashboard!$C$7*'Equity and Bond Returns'!CI29)+(Dashboard!$C$8*'Equity and Bond Returns'!GG29)</f>
        <v>0.23069884280524347</v>
      </c>
      <c r="BX29" s="119">
        <f ca="1">(Dashboard!$C$7*'Equity and Bond Returns'!CJ29)+(Dashboard!$C$8*'Equity and Bond Returns'!GH29)</f>
        <v>9.7419765329072802E-2</v>
      </c>
      <c r="BY29" s="119">
        <f ca="1">(Dashboard!$C$7*'Equity and Bond Returns'!CK29)+(Dashboard!$C$8*'Equity and Bond Returns'!GI29)</f>
        <v>-3.7578846737480971E-2</v>
      </c>
      <c r="BZ29" s="119">
        <f ca="1">(Dashboard!$C$7*'Equity and Bond Returns'!CL29)+(Dashboard!$C$8*'Equity and Bond Returns'!GJ29)</f>
        <v>-0.15859567141734257</v>
      </c>
      <c r="CA29" s="119">
        <f ca="1">(Dashboard!$C$7*'Equity and Bond Returns'!CM29)+(Dashboard!$C$8*'Equity and Bond Returns'!GK29)</f>
        <v>0.28641560060916016</v>
      </c>
      <c r="CB29" s="119">
        <f ca="1">(Dashboard!$C$7*'Equity and Bond Returns'!CN29)+(Dashboard!$C$8*'Equity and Bond Returns'!GL29)</f>
        <v>9.670328988255511E-2</v>
      </c>
      <c r="CC29" s="119">
        <f ca="1">(Dashboard!$C$7*'Equity and Bond Returns'!CO29)+(Dashboard!$C$8*'Equity and Bond Returns'!GM29)</f>
        <v>7.929652596321916E-3</v>
      </c>
      <c r="CD29" s="119">
        <f ca="1">(Dashboard!$C$7*'Equity and Bond Returns'!CP29)+(Dashboard!$C$8*'Equity and Bond Returns'!GN29)</f>
        <v>0.18044206676271113</v>
      </c>
      <c r="CE29" s="119">
        <f ca="1">(Dashboard!$C$7*'Equity and Bond Returns'!CQ29)+(Dashboard!$C$8*'Equity and Bond Returns'!GO29)</f>
        <v>0.21422906510309636</v>
      </c>
      <c r="CF29" s="119">
        <f ca="1">(Dashboard!$C$7*'Equity and Bond Returns'!CR29)+(Dashboard!$C$8*'Equity and Bond Returns'!GP29)</f>
        <v>9.6197201089405257E-2</v>
      </c>
      <c r="CG29" s="119">
        <f ca="1">(Dashboard!$C$7*'Equity and Bond Returns'!CS29)+(Dashboard!$C$8*'Equity and Bond Returns'!GQ29)</f>
        <v>-0.18497983258580877</v>
      </c>
      <c r="CH29" s="119">
        <f ca="1">(Dashboard!$C$7*'Equity and Bond Returns'!CT29)+(Dashboard!$C$8*'Equity and Bond Returns'!GR29)</f>
        <v>0.28917141112876904</v>
      </c>
      <c r="CI29" s="119">
        <f ca="1">(Dashboard!$C$7*'Equity and Bond Returns'!CU29)+(Dashboard!$C$8*'Equity and Bond Returns'!GS29)</f>
        <v>0.17451299413906243</v>
      </c>
      <c r="CJ29" s="119">
        <f ca="1">(Dashboard!$C$7*'Equity and Bond Returns'!CV29)+(Dashboard!$C$8*'Equity and Bond Returns'!GT29)</f>
        <v>7.8954196816829081E-2</v>
      </c>
      <c r="CK29" s="119">
        <f ca="1">(Dashboard!$C$7*'Equity and Bond Returns'!CW29)+(Dashboard!$C$8*'Equity and Bond Returns'!GU29)</f>
        <v>0.34666494114738888</v>
      </c>
      <c r="CL29" s="119">
        <f ca="1">(Dashboard!$C$7*'Equity and Bond Returns'!CX29)+(Dashboard!$C$8*'Equity and Bond Returns'!GV29)</f>
        <v>-4.5065671046713086E-2</v>
      </c>
      <c r="CM29" s="119">
        <f ca="1">(Dashboard!$C$7*'Equity and Bond Returns'!CY29)+(Dashboard!$C$8*'Equity and Bond Returns'!GW29)</f>
        <v>-3.9608985656547212E-2</v>
      </c>
      <c r="CN29" s="119">
        <f ca="1">(Dashboard!$C$7*'Equity and Bond Returns'!CZ29)+(Dashboard!$C$8*'Equity and Bond Returns'!GX29)</f>
        <v>-4.1642321193915144E-2</v>
      </c>
      <c r="CO29" s="119">
        <f ca="1">(Dashboard!$C$7*'Equity and Bond Returns'!DA29)+(Dashboard!$C$8*'Equity and Bond Returns'!GY29)</f>
        <v>0.10496914533966317</v>
      </c>
      <c r="CP29" s="119">
        <f ca="1">(Dashboard!$C$7*'Equity and Bond Returns'!DB29)+(Dashboard!$C$8*'Equity and Bond Returns'!GZ29)</f>
        <v>0.22212282833150407</v>
      </c>
      <c r="CQ29" s="119">
        <f ca="1">(Dashboard!$C$7*'Equity and Bond Returns'!DC29)+(Dashboard!$C$8*'Equity and Bond Returns'!HA29)</f>
        <v>0.1526114559589303</v>
      </c>
      <c r="CR29" s="119">
        <f ca="1">(Dashboard!$C$7*'Equity and Bond Returns'!DD29)+(Dashboard!$C$8*'Equity and Bond Returns'!HB29)</f>
        <v>4.1443988882930917E-2</v>
      </c>
      <c r="CS29" s="119">
        <f ca="1">(Dashboard!$C$7*'Equity and Bond Returns'!DE29)+(Dashboard!$C$8*'Equity and Bond Returns'!HC29)</f>
        <v>0.43685301433641782</v>
      </c>
      <c r="CT29" s="119">
        <f ca="1">(Dashboard!$C$7*'Equity and Bond Returns'!DF29)+(Dashboard!$C$8*'Equity and Bond Returns'!HD29)</f>
        <v>0.12446068281129846</v>
      </c>
      <c r="CU29" s="119">
        <f ca="1">(Dashboard!$C$7*'Equity and Bond Returns'!DG29)+(Dashboard!$C$8*'Equity and Bond Returns'!HE29)</f>
        <v>0.16463552561961445</v>
      </c>
      <c r="CV29" s="119">
        <f ca="1">(Dashboard!$C$7*'Equity and Bond Returns'!DH29)+(Dashboard!$C$8*'Equity and Bond Returns'!HF29)</f>
        <v>0.24415531735939644</v>
      </c>
      <c r="CW29" s="119">
        <f ca="1">(Dashboard!$C$7*'Equity and Bond Returns'!DI29)+(Dashboard!$C$8*'Equity and Bond Returns'!HG29)</f>
        <v>-0.14952463640199293</v>
      </c>
      <c r="CY29" s="147">
        <f t="shared" si="5"/>
        <v>78</v>
      </c>
      <c r="CZ29" s="147">
        <v>28</v>
      </c>
      <c r="DA29" s="126">
        <f ca="1">MAX(DA28*(1+B29)-(Dashboard!$C$11)/(1-Dashboard!$C$17)*((1+Dashboard!$C$12)^$CZ29),0)</f>
        <v>11540114.044940123</v>
      </c>
      <c r="DB29" s="126">
        <f ca="1">MAX(DB28*(1+C29)-(Dashboard!$C$11)/(1-Dashboard!$C$17)*((1+Dashboard!$C$12)^$CZ29),0)</f>
        <v>0</v>
      </c>
      <c r="DC29" s="126">
        <f ca="1">MAX(DC28*(1+D29)-(Dashboard!$C$11)/(1-Dashboard!$C$17)*((1+Dashboard!$C$12)^$CZ29),0)</f>
        <v>2107979.0263649528</v>
      </c>
      <c r="DD29" s="126">
        <f ca="1">MAX(DD28*(1+E29)-(Dashboard!$C$11)/(1-Dashboard!$C$17)*((1+Dashboard!$C$12)^$CZ29),0)</f>
        <v>578977.08825282613</v>
      </c>
      <c r="DE29" s="126">
        <f ca="1">MAX(DE28*(1+F29)-(Dashboard!$C$11)/(1-Dashboard!$C$17)*((1+Dashboard!$C$12)^$CZ29),0)</f>
        <v>3296536.7455543112</v>
      </c>
      <c r="DF29" s="126">
        <f ca="1">MAX(DF28*(1+G29)-(Dashboard!$C$11)/(1-Dashboard!$C$17)*((1+Dashboard!$C$12)^$CZ29),0)</f>
        <v>8565346.8016931191</v>
      </c>
      <c r="DG29" s="126">
        <f ca="1">MAX(DG28*(1+H29)-(Dashboard!$C$11)/(1-Dashboard!$C$17)*((1+Dashboard!$C$12)^$CZ29),0)</f>
        <v>57470.106325573382</v>
      </c>
      <c r="DH29" s="126">
        <f ca="1">MAX(DH28*(1+I29)-(Dashboard!$C$11)/(1-Dashboard!$C$17)*((1+Dashboard!$C$12)^$CZ29),0)</f>
        <v>8108829.0801433548</v>
      </c>
      <c r="DI29" s="126">
        <f ca="1">MAX(DI28*(1+J29)-(Dashboard!$C$11)/(1-Dashboard!$C$17)*((1+Dashboard!$C$12)^$CZ29),0)</f>
        <v>2256032.2814674638</v>
      </c>
      <c r="DJ29" s="126">
        <f ca="1">MAX(DJ28*(1+K29)-(Dashboard!$C$11)/(1-Dashboard!$C$17)*((1+Dashboard!$C$12)^$CZ29),0)</f>
        <v>4941460.4736457244</v>
      </c>
      <c r="DK29" s="126">
        <f ca="1">MAX(DK28*(1+L29)-(Dashboard!$C$11)/(1-Dashboard!$C$17)*((1+Dashboard!$C$12)^$CZ29),0)</f>
        <v>7134636.3533779448</v>
      </c>
      <c r="DL29" s="126">
        <f ca="1">MAX(DL28*(1+M29)-(Dashboard!$C$11)/(1-Dashboard!$C$17)*((1+Dashboard!$C$12)^$CZ29),0)</f>
        <v>961490.41414424195</v>
      </c>
      <c r="DM29" s="126">
        <f ca="1">MAX(DM28*(1+N29)-(Dashboard!$C$11)/(1-Dashboard!$C$17)*((1+Dashboard!$C$12)^$CZ29),0)</f>
        <v>4024917.9922704739</v>
      </c>
      <c r="DN29" s="126">
        <f ca="1">MAX(DN28*(1+O29)-(Dashboard!$C$11)/(1-Dashboard!$C$17)*((1+Dashboard!$C$12)^$CZ29),0)</f>
        <v>15120975.399165796</v>
      </c>
      <c r="DO29" s="126">
        <f ca="1">MAX(DO28*(1+P29)-(Dashboard!$C$11)/(1-Dashboard!$C$17)*((1+Dashboard!$C$12)^$CZ29),0)</f>
        <v>1972157.1149047804</v>
      </c>
      <c r="DP29" s="126">
        <f ca="1">MAX(DP28*(1+Q29)-(Dashboard!$C$11)/(1-Dashboard!$C$17)*((1+Dashboard!$C$12)^$CZ29),0)</f>
        <v>975216.20667048916</v>
      </c>
      <c r="DQ29" s="126">
        <f ca="1">MAX(DQ28*(1+R29)-(Dashboard!$C$11)/(1-Dashboard!$C$17)*((1+Dashboard!$C$12)^$CZ29),0)</f>
        <v>4498402.2282574251</v>
      </c>
      <c r="DR29" s="126">
        <f ca="1">MAX(DR28*(1+S29)-(Dashboard!$C$11)/(1-Dashboard!$C$17)*((1+Dashboard!$C$12)^$CZ29),0)</f>
        <v>4855986.3888499578</v>
      </c>
      <c r="DS29" s="126">
        <f ca="1">MAX(DS28*(1+T29)-(Dashboard!$C$11)/(1-Dashboard!$C$17)*((1+Dashboard!$C$12)^$CZ29),0)</f>
        <v>351436.58041140571</v>
      </c>
      <c r="DT29" s="126">
        <f ca="1">MAX(DT28*(1+U29)-(Dashboard!$C$11)/(1-Dashboard!$C$17)*((1+Dashboard!$C$12)^$CZ29),0)</f>
        <v>1656123.8904572546</v>
      </c>
      <c r="DU29" s="126">
        <f ca="1">MAX(DU28*(1+V29)-(Dashboard!$C$11)/(1-Dashboard!$C$17)*((1+Dashboard!$C$12)^$CZ29),0)</f>
        <v>3736766.0448446884</v>
      </c>
      <c r="DV29" s="126">
        <f ca="1">MAX(DV28*(1+W29)-(Dashboard!$C$11)/(1-Dashboard!$C$17)*((1+Dashboard!$C$12)^$CZ29),0)</f>
        <v>9778846.0711562186</v>
      </c>
      <c r="DW29" s="126">
        <f ca="1">MAX(DW28*(1+X29)-(Dashboard!$C$11)/(1-Dashboard!$C$17)*((1+Dashboard!$C$12)^$CZ29),0)</f>
        <v>4464848.7663920112</v>
      </c>
      <c r="DX29" s="126">
        <f ca="1">MAX(DX28*(1+Y29)-(Dashboard!$C$11)/(1-Dashboard!$C$17)*((1+Dashboard!$C$12)^$CZ29),0)</f>
        <v>1263032.6821702619</v>
      </c>
      <c r="DY29" s="126">
        <f ca="1">MAX(DY28*(1+Z29)-(Dashboard!$C$11)/(1-Dashboard!$C$17)*((1+Dashboard!$C$12)^$CZ29),0)</f>
        <v>6517140.0266818702</v>
      </c>
      <c r="DZ29" s="126">
        <f ca="1">MAX(DZ28*(1+AA29)-(Dashboard!$C$11)/(1-Dashboard!$C$17)*((1+Dashboard!$C$12)^$CZ29),0)</f>
        <v>1322424.3186582653</v>
      </c>
      <c r="EA29" s="126">
        <f ca="1">MAX(EA28*(1+AB29)-(Dashboard!$C$11)/(1-Dashboard!$C$17)*((1+Dashboard!$C$12)^$CZ29),0)</f>
        <v>1286417.6677358001</v>
      </c>
      <c r="EB29" s="126">
        <f ca="1">MAX(EB28*(1+AC29)-(Dashboard!$C$11)/(1-Dashboard!$C$17)*((1+Dashboard!$C$12)^$CZ29),0)</f>
        <v>3075517.2976915189</v>
      </c>
      <c r="EC29" s="126">
        <f ca="1">MAX(EC28*(1+AD29)-(Dashboard!$C$11)/(1-Dashboard!$C$17)*((1+Dashboard!$C$12)^$CZ29),0)</f>
        <v>2116451.6682461444</v>
      </c>
      <c r="ED29" s="126">
        <f ca="1">MAX(ED28*(1+AE29)-(Dashboard!$C$11)/(1-Dashboard!$C$17)*((1+Dashboard!$C$12)^$CZ29),0)</f>
        <v>2173636.8538738792</v>
      </c>
      <c r="EE29" s="126">
        <f ca="1">MAX(EE28*(1+AF29)-(Dashboard!$C$11)/(1-Dashboard!$C$17)*((1+Dashboard!$C$12)^$CZ29),0)</f>
        <v>8428622.0291547421</v>
      </c>
      <c r="EF29" s="126">
        <f ca="1">MAX(EF28*(1+AG29)-(Dashboard!$C$11)/(1-Dashboard!$C$17)*((1+Dashboard!$C$12)^$CZ29),0)</f>
        <v>543601.30790152086</v>
      </c>
      <c r="EG29" s="126">
        <f ca="1">MAX(EG28*(1+AH29)-(Dashboard!$C$11)/(1-Dashboard!$C$17)*((1+Dashboard!$C$12)^$CZ29),0)</f>
        <v>3503999.3745483481</v>
      </c>
      <c r="EH29" s="126">
        <f ca="1">MAX(EH28*(1+AI29)-(Dashboard!$C$11)/(1-Dashboard!$C$17)*((1+Dashboard!$C$12)^$CZ29),0)</f>
        <v>3397201.3440516703</v>
      </c>
      <c r="EI29" s="126">
        <f ca="1">MAX(EI28*(1+AJ29)-(Dashboard!$C$11)/(1-Dashboard!$C$17)*((1+Dashboard!$C$12)^$CZ29),0)</f>
        <v>147703.13442410566</v>
      </c>
      <c r="EJ29" s="126">
        <f ca="1">MAX(EJ28*(1+AK29)-(Dashboard!$C$11)/(1-Dashboard!$C$17)*((1+Dashboard!$C$12)^$CZ29),0)</f>
        <v>2370570.1867869394</v>
      </c>
      <c r="EK29" s="126">
        <f ca="1">MAX(EK28*(1+AL29)-(Dashboard!$C$11)/(1-Dashboard!$C$17)*((1+Dashboard!$C$12)^$CZ29),0)</f>
        <v>5716127.0223333072</v>
      </c>
      <c r="EL29" s="126">
        <f ca="1">MAX(EL28*(1+AM29)-(Dashboard!$C$11)/(1-Dashboard!$C$17)*((1+Dashboard!$C$12)^$CZ29),0)</f>
        <v>948912.01038587012</v>
      </c>
      <c r="EM29" s="126">
        <f ca="1">MAX(EM28*(1+AN29)-(Dashboard!$C$11)/(1-Dashboard!$C$17)*((1+Dashboard!$C$12)^$CZ29),0)</f>
        <v>5290219.6831790879</v>
      </c>
      <c r="EN29" s="126">
        <f ca="1">MAX(EN28*(1+AO29)-(Dashboard!$C$11)/(1-Dashboard!$C$17)*((1+Dashboard!$C$12)^$CZ29),0)</f>
        <v>2861999.6475652889</v>
      </c>
      <c r="EO29" s="126">
        <f ca="1">MAX(EO28*(1+AP29)-(Dashboard!$C$11)/(1-Dashboard!$C$17)*((1+Dashboard!$C$12)^$CZ29),0)</f>
        <v>0</v>
      </c>
      <c r="EP29" s="126">
        <f ca="1">MAX(EP28*(1+AQ29)-(Dashboard!$C$11)/(1-Dashboard!$C$17)*((1+Dashboard!$C$12)^$CZ29),0)</f>
        <v>1516468.9460300035</v>
      </c>
      <c r="EQ29" s="126">
        <f ca="1">MAX(EQ28*(1+AR29)-(Dashboard!$C$11)/(1-Dashboard!$C$17)*((1+Dashboard!$C$12)^$CZ29),0)</f>
        <v>1760536.2007803689</v>
      </c>
      <c r="ER29" s="126">
        <f ca="1">MAX(ER28*(1+AS29)-(Dashboard!$C$11)/(1-Dashboard!$C$17)*((1+Dashboard!$C$12)^$CZ29),0)</f>
        <v>0</v>
      </c>
      <c r="ES29" s="126">
        <f ca="1">MAX(ES28*(1+AT29)-(Dashboard!$C$11)/(1-Dashboard!$C$17)*((1+Dashboard!$C$12)^$CZ29),0)</f>
        <v>9624129.8132089097</v>
      </c>
      <c r="ET29" s="126">
        <f ca="1">MAX(ET28*(1+AU29)-(Dashboard!$C$11)/(1-Dashboard!$C$17)*((1+Dashboard!$C$12)^$CZ29),0)</f>
        <v>2856673.8159871502</v>
      </c>
      <c r="EU29" s="126">
        <f ca="1">MAX(EU28*(1+AV29)-(Dashboard!$C$11)/(1-Dashboard!$C$17)*((1+Dashboard!$C$12)^$CZ29),0)</f>
        <v>1481037.8675406836</v>
      </c>
      <c r="EV29" s="126">
        <f ca="1">MAX(EV28*(1+AW29)-(Dashboard!$C$11)/(1-Dashboard!$C$17)*((1+Dashboard!$C$12)^$CZ29),0)</f>
        <v>13478028.505597685</v>
      </c>
      <c r="EW29" s="126">
        <f ca="1">MAX(EW28*(1+AX29)-(Dashboard!$C$11)/(1-Dashboard!$C$17)*((1+Dashboard!$C$12)^$CZ29),0)</f>
        <v>1158817.2308162635</v>
      </c>
      <c r="EX29" s="126">
        <f ca="1">MAX(EX28*(1+AY29)-(Dashboard!$C$11)/(1-Dashboard!$C$17)*((1+Dashboard!$C$12)^$CZ29),0)</f>
        <v>2147071.3056125306</v>
      </c>
      <c r="EY29" s="126">
        <f ca="1">MAX(EY28*(1+AZ29)-(Dashboard!$C$11)/(1-Dashboard!$C$17)*((1+Dashboard!$C$12)^$CZ29),0)</f>
        <v>9433425.0072093699</v>
      </c>
      <c r="EZ29" s="126">
        <f ca="1">MAX(EZ28*(1+BA29)-(Dashboard!$C$11)/(1-Dashboard!$C$17)*((1+Dashboard!$C$12)^$CZ29),0)</f>
        <v>1753627.1726604449</v>
      </c>
      <c r="FA29" s="126">
        <f ca="1">MAX(FA28*(1+BB29)-(Dashboard!$C$11)/(1-Dashboard!$C$17)*((1+Dashboard!$C$12)^$CZ29),0)</f>
        <v>7265694.6857339889</v>
      </c>
      <c r="FB29" s="126">
        <f ca="1">MAX(FB28*(1+BC29)-(Dashboard!$C$11)/(1-Dashboard!$C$17)*((1+Dashboard!$C$12)^$CZ29),0)</f>
        <v>1222716.7466034847</v>
      </c>
      <c r="FC29" s="126">
        <f ca="1">MAX(FC28*(1+BD29)-(Dashboard!$C$11)/(1-Dashboard!$C$17)*((1+Dashboard!$C$12)^$CZ29),0)</f>
        <v>9865759.7231644727</v>
      </c>
      <c r="FD29" s="126">
        <f ca="1">MAX(FD28*(1+BE29)-(Dashboard!$C$11)/(1-Dashboard!$C$17)*((1+Dashboard!$C$12)^$CZ29),0)</f>
        <v>6801330.4346681265</v>
      </c>
      <c r="FE29" s="126">
        <f ca="1">MAX(FE28*(1+BF29)-(Dashboard!$C$11)/(1-Dashboard!$C$17)*((1+Dashboard!$C$12)^$CZ29),0)</f>
        <v>5664943.7772570355</v>
      </c>
      <c r="FF29" s="126">
        <f ca="1">MAX(FF28*(1+BG29)-(Dashboard!$C$11)/(1-Dashboard!$C$17)*((1+Dashboard!$C$12)^$CZ29),0)</f>
        <v>1339656.0313716519</v>
      </c>
      <c r="FG29" s="126">
        <f ca="1">MAX(FG28*(1+BH29)-(Dashboard!$C$11)/(1-Dashboard!$C$17)*((1+Dashboard!$C$12)^$CZ29),0)</f>
        <v>1406766.8448926646</v>
      </c>
      <c r="FH29" s="126">
        <f ca="1">MAX(FH28*(1+BI29)-(Dashboard!$C$11)/(1-Dashboard!$C$17)*((1+Dashboard!$C$12)^$CZ29),0)</f>
        <v>2518661.2889059023</v>
      </c>
      <c r="FI29" s="126">
        <f ca="1">MAX(FI28*(1+BJ29)-(Dashboard!$C$11)/(1-Dashboard!$C$17)*((1+Dashboard!$C$12)^$CZ29),0)</f>
        <v>4020776.001852998</v>
      </c>
      <c r="FJ29" s="126">
        <f ca="1">MAX(FJ28*(1+BK29)-(Dashboard!$C$11)/(1-Dashboard!$C$17)*((1+Dashboard!$C$12)^$CZ29),0)</f>
        <v>2147329.9070054055</v>
      </c>
      <c r="FK29" s="126">
        <f ca="1">MAX(FK28*(1+BL29)-(Dashboard!$C$11)/(1-Dashboard!$C$17)*((1+Dashboard!$C$12)^$CZ29),0)</f>
        <v>3509955.7441227864</v>
      </c>
      <c r="FL29" s="126">
        <f ca="1">MAX(FL28*(1+BM29)-(Dashboard!$C$11)/(1-Dashboard!$C$17)*((1+Dashboard!$C$12)^$CZ29),0)</f>
        <v>1617319.0112104311</v>
      </c>
      <c r="FM29" s="126">
        <f ca="1">MAX(FM28*(1+BN29)-(Dashboard!$C$11)/(1-Dashboard!$C$17)*((1+Dashboard!$C$12)^$CZ29),0)</f>
        <v>5209744.336240747</v>
      </c>
      <c r="FN29" s="126">
        <f ca="1">MAX(FN28*(1+BO29)-(Dashboard!$C$11)/(1-Dashboard!$C$17)*((1+Dashboard!$C$12)^$CZ29),0)</f>
        <v>28083.830869133926</v>
      </c>
      <c r="FO29" s="126">
        <f ca="1">MAX(FO28*(1+BP29)-(Dashboard!$C$11)/(1-Dashboard!$C$17)*((1+Dashboard!$C$12)^$CZ29),0)</f>
        <v>2611175.1096514426</v>
      </c>
      <c r="FP29" s="126">
        <f ca="1">MAX(FP28*(1+BQ29)-(Dashboard!$C$11)/(1-Dashboard!$C$17)*((1+Dashboard!$C$12)^$CZ29),0)</f>
        <v>2105407.0041854847</v>
      </c>
      <c r="FQ29" s="126">
        <f ca="1">MAX(FQ28*(1+BR29)-(Dashboard!$C$11)/(1-Dashboard!$C$17)*((1+Dashboard!$C$12)^$CZ29),0)</f>
        <v>1209617.9704263315</v>
      </c>
      <c r="FR29" s="126">
        <f ca="1">MAX(FR28*(1+BS29)-(Dashboard!$C$11)/(1-Dashboard!$C$17)*((1+Dashboard!$C$12)^$CZ29),0)</f>
        <v>3986155.8287235703</v>
      </c>
      <c r="FS29" s="126">
        <f ca="1">MAX(FS28*(1+BT29)-(Dashboard!$C$11)/(1-Dashboard!$C$17)*((1+Dashboard!$C$12)^$CZ29),0)</f>
        <v>3371174.9966545426</v>
      </c>
      <c r="FT29" s="126">
        <f ca="1">MAX(FT28*(1+BU29)-(Dashboard!$C$11)/(1-Dashboard!$C$17)*((1+Dashboard!$C$12)^$CZ29),0)</f>
        <v>576944.07079018117</v>
      </c>
      <c r="FU29" s="126">
        <f ca="1">MAX(FU28*(1+BV29)-(Dashboard!$C$11)/(1-Dashboard!$C$17)*((1+Dashboard!$C$12)^$CZ29),0)</f>
        <v>2025236.8094915955</v>
      </c>
      <c r="FV29" s="126">
        <f ca="1">MAX(FV28*(1+BW29)-(Dashboard!$C$11)/(1-Dashboard!$C$17)*((1+Dashboard!$C$12)^$CZ29),0)</f>
        <v>4240823.5994754387</v>
      </c>
      <c r="FW29" s="126">
        <f ca="1">MAX(FW28*(1+BX29)-(Dashboard!$C$11)/(1-Dashboard!$C$17)*((1+Dashboard!$C$12)^$CZ29),0)</f>
        <v>1956118.4746792666</v>
      </c>
      <c r="FX29" s="126">
        <f ca="1">MAX(FX28*(1+BY29)-(Dashboard!$C$11)/(1-Dashboard!$C$17)*((1+Dashboard!$C$12)^$CZ29),0)</f>
        <v>231308.80238721397</v>
      </c>
      <c r="FY29" s="126">
        <f ca="1">MAX(FY28*(1+BZ29)-(Dashboard!$C$11)/(1-Dashboard!$C$17)*((1+Dashboard!$C$12)^$CZ29),0)</f>
        <v>841532.19753113808</v>
      </c>
      <c r="FZ29" s="126">
        <f ca="1">MAX(FZ28*(1+CA29)-(Dashboard!$C$11)/(1-Dashboard!$C$17)*((1+Dashboard!$C$12)^$CZ29),0)</f>
        <v>5429522.2433549967</v>
      </c>
      <c r="GA29" s="126">
        <f ca="1">MAX(GA28*(1+CB29)-(Dashboard!$C$11)/(1-Dashboard!$C$17)*((1+Dashboard!$C$12)^$CZ29),0)</f>
        <v>5221717.8464168534</v>
      </c>
      <c r="GB29" s="126">
        <f ca="1">MAX(GB28*(1+CC29)-(Dashboard!$C$11)/(1-Dashboard!$C$17)*((1+Dashboard!$C$12)^$CZ29),0)</f>
        <v>1559965.8387113397</v>
      </c>
      <c r="GC29" s="126">
        <f ca="1">MAX(GC28*(1+CD29)-(Dashboard!$C$11)/(1-Dashboard!$C$17)*((1+Dashboard!$C$12)^$CZ29),0)</f>
        <v>4268902.1478747036</v>
      </c>
      <c r="GD29" s="126">
        <f ca="1">MAX(GD28*(1+CE29)-(Dashboard!$C$11)/(1-Dashboard!$C$17)*((1+Dashboard!$C$12)^$CZ29),0)</f>
        <v>11918255.596060483</v>
      </c>
      <c r="GE29" s="126">
        <f ca="1">MAX(GE28*(1+CF29)-(Dashboard!$C$11)/(1-Dashboard!$C$17)*((1+Dashboard!$C$12)^$CZ29),0)</f>
        <v>1938103.3538065946</v>
      </c>
      <c r="GF29" s="126">
        <f ca="1">MAX(GF28*(1+CG29)-(Dashboard!$C$11)/(1-Dashboard!$C$17)*((1+Dashboard!$C$12)^$CZ29),0)</f>
        <v>3080052.0158674172</v>
      </c>
      <c r="GG29" s="126">
        <f ca="1">MAX(GG28*(1+CH29)-(Dashboard!$C$11)/(1-Dashboard!$C$17)*((1+Dashboard!$C$12)^$CZ29),0)</f>
        <v>607324.36877292767</v>
      </c>
      <c r="GH29" s="126">
        <f ca="1">MAX(GH28*(1+CI29)-(Dashboard!$C$11)/(1-Dashboard!$C$17)*((1+Dashboard!$C$12)^$CZ29),0)</f>
        <v>1390482.2648733165</v>
      </c>
      <c r="GI29" s="126">
        <f ca="1">MAX(GI28*(1+CJ29)-(Dashboard!$C$11)/(1-Dashboard!$C$17)*((1+Dashboard!$C$12)^$CZ29),0)</f>
        <v>2260654.7363304594</v>
      </c>
      <c r="GJ29" s="126">
        <f ca="1">MAX(GJ28*(1+CK29)-(Dashboard!$C$11)/(1-Dashboard!$C$17)*((1+Dashboard!$C$12)^$CZ29),0)</f>
        <v>7213890.2152421121</v>
      </c>
      <c r="GK29" s="126">
        <f ca="1">MAX(GK28*(1+CL29)-(Dashboard!$C$11)/(1-Dashboard!$C$17)*((1+Dashboard!$C$12)^$CZ29),0)</f>
        <v>4154023.6277627656</v>
      </c>
      <c r="GL29" s="126">
        <f ca="1">MAX(GL28*(1+CM29)-(Dashboard!$C$11)/(1-Dashboard!$C$17)*((1+Dashboard!$C$12)^$CZ29),0)</f>
        <v>5159276.2385628726</v>
      </c>
      <c r="GM29" s="126">
        <f ca="1">MAX(GM28*(1+CN29)-(Dashboard!$C$11)/(1-Dashboard!$C$17)*((1+Dashboard!$C$12)^$CZ29),0)</f>
        <v>472489.63903960015</v>
      </c>
      <c r="GN29" s="126">
        <f ca="1">MAX(GN28*(1+CO29)-(Dashboard!$C$11)/(1-Dashboard!$C$17)*((1+Dashboard!$C$12)^$CZ29),0)</f>
        <v>0</v>
      </c>
      <c r="GO29" s="126">
        <f ca="1">MAX(GO28*(1+CP29)-(Dashboard!$C$11)/(1-Dashboard!$C$17)*((1+Dashboard!$C$12)^$CZ29),0)</f>
        <v>885128.70191179856</v>
      </c>
      <c r="GP29" s="126">
        <f ca="1">MAX(GP28*(1+CQ29)-(Dashboard!$C$11)/(1-Dashboard!$C$17)*((1+Dashboard!$C$12)^$CZ29),0)</f>
        <v>2392461.3084461256</v>
      </c>
      <c r="GQ29" s="126">
        <f ca="1">MAX(GQ28*(1+CR29)-(Dashboard!$C$11)/(1-Dashboard!$C$17)*((1+Dashboard!$C$12)^$CZ29),0)</f>
        <v>0</v>
      </c>
      <c r="GR29" s="126">
        <f ca="1">MAX(GR28*(1+CS29)-(Dashboard!$C$11)/(1-Dashboard!$C$17)*((1+Dashboard!$C$12)^$CZ29),0)</f>
        <v>1851063.0133209177</v>
      </c>
      <c r="GS29" s="126">
        <f ca="1">MAX(GS28*(1+CT29)-(Dashboard!$C$11)/(1-Dashboard!$C$17)*((1+Dashboard!$C$12)^$CZ29),0)</f>
        <v>4893665.0017252089</v>
      </c>
      <c r="GT29" s="126">
        <f ca="1">MAX(GT28*(1+CU29)-(Dashboard!$C$11)/(1-Dashboard!$C$17)*((1+Dashboard!$C$12)^$CZ29),0)</f>
        <v>9704576.9393154569</v>
      </c>
      <c r="GU29" s="126">
        <f ca="1">MAX(GU28*(1+CV29)-(Dashboard!$C$11)/(1-Dashboard!$C$17)*((1+Dashboard!$C$12)^$CZ29),0)</f>
        <v>1487591.3283281031</v>
      </c>
      <c r="GV29" s="126">
        <f ca="1">MAX(GV28*(1+CW29)-(Dashboard!$C$11)/(1-Dashboard!$C$17)*((1+Dashboard!$C$12)^$CZ29),0)</f>
        <v>485405.1215646452</v>
      </c>
      <c r="GW29" s="115">
        <f t="shared" si="4"/>
        <v>78</v>
      </c>
      <c r="GX29" s="130">
        <f t="shared" ca="1" si="2"/>
        <v>95</v>
      </c>
      <c r="HC29" s="130">
        <f t="shared" si="0"/>
        <v>78</v>
      </c>
      <c r="HD29" s="137">
        <f t="shared" ca="1" si="6"/>
        <v>1232795.7304951791</v>
      </c>
      <c r="HE29" s="137">
        <f t="shared" ca="1" si="6"/>
        <v>2214834.5676706713</v>
      </c>
      <c r="HF29" s="137">
        <f t="shared" ca="1" si="6"/>
        <v>4884245.3485063966</v>
      </c>
    </row>
    <row r="30" spans="1:214" ht="16">
      <c r="A30" s="145">
        <f t="shared" si="3"/>
        <v>79</v>
      </c>
      <c r="B30" s="119">
        <f ca="1">(Dashboard!$C$7*'Equity and Bond Returns'!N30)+(Dashboard!$C$8*'Equity and Bond Returns'!DL30)</f>
        <v>-0.1286704889193466</v>
      </c>
      <c r="C30" s="119">
        <f ca="1">(Dashboard!$C$7*'Equity and Bond Returns'!O30)+(Dashboard!$C$8*'Equity and Bond Returns'!DM30)</f>
        <v>0.22757087464724443</v>
      </c>
      <c r="D30" s="119">
        <f ca="1">(Dashboard!$C$7*'Equity and Bond Returns'!P30)+(Dashboard!$C$8*'Equity and Bond Returns'!DN30)</f>
        <v>9.557490766201103E-2</v>
      </c>
      <c r="E30" s="119">
        <f ca="1">(Dashboard!$C$7*'Equity and Bond Returns'!Q30)+(Dashboard!$C$8*'Equity and Bond Returns'!DO30)</f>
        <v>9.9319368840842776E-2</v>
      </c>
      <c r="F30" s="119">
        <f ca="1">(Dashboard!$C$7*'Equity and Bond Returns'!R30)+(Dashboard!$C$8*'Equity and Bond Returns'!DP30)</f>
        <v>0.10091949113343444</v>
      </c>
      <c r="G30" s="119">
        <f ca="1">(Dashboard!$C$7*'Equity and Bond Returns'!S30)+(Dashboard!$C$8*'Equity and Bond Returns'!DQ30)</f>
        <v>-0.10224413415350754</v>
      </c>
      <c r="H30" s="119">
        <f ca="1">(Dashboard!$C$7*'Equity and Bond Returns'!T30)+(Dashboard!$C$8*'Equity and Bond Returns'!DR30)</f>
        <v>-8.0008047041485592E-2</v>
      </c>
      <c r="I30" s="119">
        <f ca="1">(Dashboard!$C$7*'Equity and Bond Returns'!U30)+(Dashboard!$C$8*'Equity and Bond Returns'!DS30)</f>
        <v>8.001577378805684E-4</v>
      </c>
      <c r="J30" s="119">
        <f ca="1">(Dashboard!$C$7*'Equity and Bond Returns'!V30)+(Dashboard!$C$8*'Equity and Bond Returns'!DT30)</f>
        <v>0.19346510266070926</v>
      </c>
      <c r="K30" s="119">
        <f ca="1">(Dashboard!$C$7*'Equity and Bond Returns'!W30)+(Dashboard!$C$8*'Equity and Bond Returns'!DU30)</f>
        <v>0.1382246753750063</v>
      </c>
      <c r="L30" s="119">
        <f ca="1">(Dashboard!$C$7*'Equity and Bond Returns'!X30)+(Dashboard!$C$8*'Equity and Bond Returns'!DV30)</f>
        <v>9.1635350681636224E-2</v>
      </c>
      <c r="M30" s="119">
        <f ca="1">(Dashboard!$C$7*'Equity and Bond Returns'!Y30)+(Dashboard!$C$8*'Equity and Bond Returns'!DW30)</f>
        <v>9.2300266772336673E-3</v>
      </c>
      <c r="N30" s="119">
        <f ca="1">(Dashboard!$C$7*'Equity and Bond Returns'!Z30)+(Dashboard!$C$8*'Equity and Bond Returns'!DX30)</f>
        <v>4.7750421773808754E-2</v>
      </c>
      <c r="O30" s="119">
        <f ca="1">(Dashboard!$C$7*'Equity and Bond Returns'!AA30)+(Dashboard!$C$8*'Equity and Bond Returns'!DY30)</f>
        <v>0.25187771955102467</v>
      </c>
      <c r="P30" s="119">
        <f ca="1">(Dashboard!$C$7*'Equity and Bond Returns'!AB30)+(Dashboard!$C$8*'Equity and Bond Returns'!DZ30)</f>
        <v>7.9172691548149238E-2</v>
      </c>
      <c r="Q30" s="119">
        <f ca="1">(Dashboard!$C$7*'Equity and Bond Returns'!AC30)+(Dashboard!$C$8*'Equity and Bond Returns'!EA30)</f>
        <v>-8.532642823621181E-2</v>
      </c>
      <c r="R30" s="119">
        <f ca="1">(Dashboard!$C$7*'Equity and Bond Returns'!AD30)+(Dashboard!$C$8*'Equity and Bond Returns'!EB30)</f>
        <v>5.781169241772148E-2</v>
      </c>
      <c r="S30" s="119">
        <f ca="1">(Dashboard!$C$7*'Equity and Bond Returns'!AE30)+(Dashboard!$C$8*'Equity and Bond Returns'!EC30)</f>
        <v>0.14215609953037645</v>
      </c>
      <c r="T30" s="119">
        <f ca="1">(Dashboard!$C$7*'Equity and Bond Returns'!AF30)+(Dashboard!$C$8*'Equity and Bond Returns'!ED30)</f>
        <v>0.19156745736978814</v>
      </c>
      <c r="U30" s="119">
        <f ca="1">(Dashboard!$C$7*'Equity and Bond Returns'!AG30)+(Dashboard!$C$8*'Equity and Bond Returns'!EE30)</f>
        <v>2.5597445340547371E-2</v>
      </c>
      <c r="V30" s="119">
        <f ca="1">(Dashboard!$C$7*'Equity and Bond Returns'!AH30)+(Dashboard!$C$8*'Equity and Bond Returns'!EF30)</f>
        <v>-0.22569844327129818</v>
      </c>
      <c r="W30" s="119">
        <f ca="1">(Dashboard!$C$7*'Equity and Bond Returns'!AI30)+(Dashboard!$C$8*'Equity and Bond Returns'!EG30)</f>
        <v>9.8531343151317619E-2</v>
      </c>
      <c r="X30" s="119">
        <f ca="1">(Dashboard!$C$7*'Equity and Bond Returns'!AJ30)+(Dashboard!$C$8*'Equity and Bond Returns'!EH30)</f>
        <v>0.13855907604767143</v>
      </c>
      <c r="Y30" s="119">
        <f ca="1">(Dashboard!$C$7*'Equity and Bond Returns'!AK30)+(Dashboard!$C$8*'Equity and Bond Returns'!EI30)</f>
        <v>7.0658758921575748E-2</v>
      </c>
      <c r="Z30" s="119">
        <f ca="1">(Dashboard!$C$7*'Equity and Bond Returns'!AL30)+(Dashboard!$C$8*'Equity and Bond Returns'!EJ30)</f>
        <v>0.16575759747989025</v>
      </c>
      <c r="AA30" s="119">
        <f ca="1">(Dashboard!$C$7*'Equity and Bond Returns'!AM30)+(Dashboard!$C$8*'Equity and Bond Returns'!EK30)</f>
        <v>0.50237008238719139</v>
      </c>
      <c r="AB30" s="119">
        <f ca="1">(Dashboard!$C$7*'Equity and Bond Returns'!AN30)+(Dashboard!$C$8*'Equity and Bond Returns'!EL30)</f>
        <v>0.23982097048187928</v>
      </c>
      <c r="AC30" s="119">
        <f ca="1">(Dashboard!$C$7*'Equity and Bond Returns'!AO30)+(Dashboard!$C$8*'Equity and Bond Returns'!EM30)</f>
        <v>8.5598003435490261E-2</v>
      </c>
      <c r="AD30" s="119">
        <f ca="1">(Dashboard!$C$7*'Equity and Bond Returns'!AP30)+(Dashboard!$C$8*'Equity and Bond Returns'!EN30)</f>
        <v>-7.8923652400242517E-2</v>
      </c>
      <c r="AE30" s="119">
        <f ca="1">(Dashboard!$C$7*'Equity and Bond Returns'!AQ30)+(Dashboard!$C$8*'Equity and Bond Returns'!EO30)</f>
        <v>7.1506316751818552E-2</v>
      </c>
      <c r="AF30" s="119">
        <f ca="1">(Dashboard!$C$7*'Equity and Bond Returns'!AR30)+(Dashboard!$C$8*'Equity and Bond Returns'!EP30)</f>
        <v>9.8200919948975451E-2</v>
      </c>
      <c r="AG30" s="119">
        <f ca="1">(Dashboard!$C$7*'Equity and Bond Returns'!AS30)+(Dashboard!$C$8*'Equity and Bond Returns'!EQ30)</f>
        <v>1.6603345855476272E-2</v>
      </c>
      <c r="AH30" s="119">
        <f ca="1">(Dashboard!$C$7*'Equity and Bond Returns'!AT30)+(Dashboard!$C$8*'Equity and Bond Returns'!ER30)</f>
        <v>0.12224662405206019</v>
      </c>
      <c r="AI30" s="119">
        <f ca="1">(Dashboard!$C$7*'Equity and Bond Returns'!AU30)+(Dashboard!$C$8*'Equity and Bond Returns'!ES30)</f>
        <v>0.33474875821355254</v>
      </c>
      <c r="AJ30" s="119">
        <f ca="1">(Dashboard!$C$7*'Equity and Bond Returns'!AV30)+(Dashboard!$C$8*'Equity and Bond Returns'!ET30)</f>
        <v>-0.12086811892158249</v>
      </c>
      <c r="AK30" s="119">
        <f ca="1">(Dashboard!$C$7*'Equity and Bond Returns'!AW30)+(Dashboard!$C$8*'Equity and Bond Returns'!EU30)</f>
        <v>0.40355503637264367</v>
      </c>
      <c r="AL30" s="119">
        <f ca="1">(Dashboard!$C$7*'Equity and Bond Returns'!AX30)+(Dashboard!$C$8*'Equity and Bond Returns'!EV30)</f>
        <v>-7.3403728330534546E-2</v>
      </c>
      <c r="AM30" s="119">
        <f ca="1">(Dashboard!$C$7*'Equity and Bond Returns'!AY30)+(Dashboard!$C$8*'Equity and Bond Returns'!EW30)</f>
        <v>0.21742201281558543</v>
      </c>
      <c r="AN30" s="119">
        <f ca="1">(Dashboard!$C$7*'Equity and Bond Returns'!AZ30)+(Dashboard!$C$8*'Equity and Bond Returns'!EX30)</f>
        <v>0.10269909510257813</v>
      </c>
      <c r="AO30" s="119">
        <f ca="1">(Dashboard!$C$7*'Equity and Bond Returns'!BA30)+(Dashboard!$C$8*'Equity and Bond Returns'!EY30)</f>
        <v>-0.26604918549514017</v>
      </c>
      <c r="AP30" s="119">
        <f ca="1">(Dashboard!$C$7*'Equity and Bond Returns'!BB30)+(Dashboard!$C$8*'Equity and Bond Returns'!EZ30)</f>
        <v>0.17883789167606115</v>
      </c>
      <c r="AQ30" s="119">
        <f ca="1">(Dashboard!$C$7*'Equity and Bond Returns'!BC30)+(Dashboard!$C$8*'Equity and Bond Returns'!FA30)</f>
        <v>0.18958067112066951</v>
      </c>
      <c r="AR30" s="119">
        <f ca="1">(Dashboard!$C$7*'Equity and Bond Returns'!BD30)+(Dashboard!$C$8*'Equity and Bond Returns'!FB30)</f>
        <v>3.9333419906315246E-2</v>
      </c>
      <c r="AS30" s="119">
        <f ca="1">(Dashboard!$C$7*'Equity and Bond Returns'!BE30)+(Dashboard!$C$8*'Equity and Bond Returns'!FC30)</f>
        <v>-0.10493602658618319</v>
      </c>
      <c r="AT30" s="119">
        <f ca="1">(Dashboard!$C$7*'Equity and Bond Returns'!BF30)+(Dashboard!$C$8*'Equity and Bond Returns'!FD30)</f>
        <v>-2.2778290052170601E-2</v>
      </c>
      <c r="AU30" s="119">
        <f ca="1">(Dashboard!$C$7*'Equity and Bond Returns'!BG30)+(Dashboard!$C$8*'Equity and Bond Returns'!FE30)</f>
        <v>0.21847841479357871</v>
      </c>
      <c r="AV30" s="119">
        <f ca="1">(Dashboard!$C$7*'Equity and Bond Returns'!BH30)+(Dashboard!$C$8*'Equity and Bond Returns'!FF30)</f>
        <v>0.20467099303861022</v>
      </c>
      <c r="AW30" s="119">
        <f ca="1">(Dashboard!$C$7*'Equity and Bond Returns'!BI30)+(Dashboard!$C$8*'Equity and Bond Returns'!FG30)</f>
        <v>0.11907680459461399</v>
      </c>
      <c r="AX30" s="119">
        <f ca="1">(Dashboard!$C$7*'Equity and Bond Returns'!BJ30)+(Dashboard!$C$8*'Equity and Bond Returns'!FH30)</f>
        <v>-9.6755802850302206E-2</v>
      </c>
      <c r="AY30" s="119">
        <f ca="1">(Dashboard!$C$7*'Equity and Bond Returns'!BK30)+(Dashboard!$C$8*'Equity and Bond Returns'!FI30)</f>
        <v>0.26011051872964042</v>
      </c>
      <c r="AZ30" s="119">
        <f ca="1">(Dashboard!$C$7*'Equity and Bond Returns'!BL30)+(Dashboard!$C$8*'Equity and Bond Returns'!FJ30)</f>
        <v>0.1119797518001137</v>
      </c>
      <c r="BA30" s="119">
        <f ca="1">(Dashboard!$C$7*'Equity and Bond Returns'!BM30)+(Dashboard!$C$8*'Equity and Bond Returns'!FK30)</f>
        <v>0.2257222857554059</v>
      </c>
      <c r="BB30" s="119">
        <f ca="1">(Dashboard!$C$7*'Equity and Bond Returns'!BN30)+(Dashboard!$C$8*'Equity and Bond Returns'!FL30)</f>
        <v>4.0629348756172468E-2</v>
      </c>
      <c r="BC30" s="119">
        <f ca="1">(Dashboard!$C$7*'Equity and Bond Returns'!BO30)+(Dashboard!$C$8*'Equity and Bond Returns'!FM30)</f>
        <v>-0.2426011017119333</v>
      </c>
      <c r="BD30" s="119">
        <f ca="1">(Dashboard!$C$7*'Equity and Bond Returns'!BP30)+(Dashboard!$C$8*'Equity and Bond Returns'!FN30)</f>
        <v>-3.9820522706356856E-3</v>
      </c>
      <c r="BE30" s="119">
        <f ca="1">(Dashboard!$C$7*'Equity and Bond Returns'!BQ30)+(Dashboard!$C$8*'Equity and Bond Returns'!FO30)</f>
        <v>0.1210490261522707</v>
      </c>
      <c r="BF30" s="119">
        <f ca="1">(Dashboard!$C$7*'Equity and Bond Returns'!BR30)+(Dashboard!$C$8*'Equity and Bond Returns'!FP30)</f>
        <v>0.1974005308464962</v>
      </c>
      <c r="BG30" s="119">
        <f ca="1">(Dashboard!$C$7*'Equity and Bond Returns'!BS30)+(Dashboard!$C$8*'Equity and Bond Returns'!FQ30)</f>
        <v>0.22553299290312151</v>
      </c>
      <c r="BH30" s="119">
        <f ca="1">(Dashboard!$C$7*'Equity and Bond Returns'!BT30)+(Dashboard!$C$8*'Equity and Bond Returns'!FR30)</f>
        <v>0.35275788173818212</v>
      </c>
      <c r="BI30" s="119">
        <f ca="1">(Dashboard!$C$7*'Equity and Bond Returns'!BU30)+(Dashboard!$C$8*'Equity and Bond Returns'!FS30)</f>
        <v>0.26075318275886455</v>
      </c>
      <c r="BJ30" s="119">
        <f ca="1">(Dashboard!$C$7*'Equity and Bond Returns'!BV30)+(Dashboard!$C$8*'Equity and Bond Returns'!FT30)</f>
        <v>0.21460627492056311</v>
      </c>
      <c r="BK30" s="119">
        <f ca="1">(Dashboard!$C$7*'Equity and Bond Returns'!BW30)+(Dashboard!$C$8*'Equity and Bond Returns'!FU30)</f>
        <v>-0.19948477959859923</v>
      </c>
      <c r="BL30" s="119">
        <f ca="1">(Dashboard!$C$7*'Equity and Bond Returns'!BX30)+(Dashboard!$C$8*'Equity and Bond Returns'!FV30)</f>
        <v>-0.14221317960074201</v>
      </c>
      <c r="BM30" s="119">
        <f ca="1">(Dashboard!$C$7*'Equity and Bond Returns'!BY30)+(Dashboard!$C$8*'Equity and Bond Returns'!FW30)</f>
        <v>8.9958510454792931E-2</v>
      </c>
      <c r="BN30" s="119">
        <f ca="1">(Dashboard!$C$7*'Equity and Bond Returns'!BZ30)+(Dashboard!$C$8*'Equity and Bond Returns'!FX30)</f>
        <v>2.1043410246375956E-2</v>
      </c>
      <c r="BO30" s="119">
        <f ca="1">(Dashboard!$C$7*'Equity and Bond Returns'!CA30)+(Dashboard!$C$8*'Equity and Bond Returns'!FY30)</f>
        <v>-0.18329586715996585</v>
      </c>
      <c r="BP30" s="119">
        <f ca="1">(Dashboard!$C$7*'Equity and Bond Returns'!CB30)+(Dashboard!$C$8*'Equity and Bond Returns'!FZ30)</f>
        <v>0.14659801985511045</v>
      </c>
      <c r="BQ30" s="119">
        <f ca="1">(Dashboard!$C$7*'Equity and Bond Returns'!CC30)+(Dashboard!$C$8*'Equity and Bond Returns'!GA30)</f>
        <v>9.9060619181250295E-2</v>
      </c>
      <c r="BR30" s="119">
        <f ca="1">(Dashboard!$C$7*'Equity and Bond Returns'!CD30)+(Dashboard!$C$8*'Equity and Bond Returns'!GB30)</f>
        <v>0.18764161801965304</v>
      </c>
      <c r="BS30" s="119">
        <f ca="1">(Dashboard!$C$7*'Equity and Bond Returns'!CE30)+(Dashboard!$C$8*'Equity and Bond Returns'!GC30)</f>
        <v>0.12362782066196684</v>
      </c>
      <c r="BT30" s="119">
        <f ca="1">(Dashboard!$C$7*'Equity and Bond Returns'!CF30)+(Dashboard!$C$8*'Equity and Bond Returns'!GD30)</f>
        <v>0.23881758356055738</v>
      </c>
      <c r="BU30" s="119">
        <f ca="1">(Dashboard!$C$7*'Equity and Bond Returns'!CG30)+(Dashboard!$C$8*'Equity and Bond Returns'!GE30)</f>
        <v>-0.22944008236725713</v>
      </c>
      <c r="BV30" s="119">
        <f ca="1">(Dashboard!$C$7*'Equity and Bond Returns'!CH30)+(Dashboard!$C$8*'Equity and Bond Returns'!GF30)</f>
        <v>0.12826237183076772</v>
      </c>
      <c r="BW30" s="119">
        <f ca="1">(Dashboard!$C$7*'Equity and Bond Returns'!CI30)+(Dashboard!$C$8*'Equity and Bond Returns'!GG30)</f>
        <v>0.10914119558018091</v>
      </c>
      <c r="BX30" s="119">
        <f ca="1">(Dashboard!$C$7*'Equity and Bond Returns'!CJ30)+(Dashboard!$C$8*'Equity and Bond Returns'!GH30)</f>
        <v>-2.7353757185547327E-2</v>
      </c>
      <c r="BY30" s="119">
        <f ca="1">(Dashboard!$C$7*'Equity and Bond Returns'!CK30)+(Dashboard!$C$8*'Equity and Bond Returns'!GI30)</f>
        <v>0.14551754200788983</v>
      </c>
      <c r="BZ30" s="119">
        <f ca="1">(Dashboard!$C$7*'Equity and Bond Returns'!CL30)+(Dashboard!$C$8*'Equity and Bond Returns'!GJ30)</f>
        <v>0.14238841159053994</v>
      </c>
      <c r="CA30" s="119">
        <f ca="1">(Dashboard!$C$7*'Equity and Bond Returns'!CM30)+(Dashboard!$C$8*'Equity and Bond Returns'!GK30)</f>
        <v>-3.1267670171664173E-2</v>
      </c>
      <c r="CB30" s="119">
        <f ca="1">(Dashboard!$C$7*'Equity and Bond Returns'!CN30)+(Dashboard!$C$8*'Equity and Bond Returns'!GL30)</f>
        <v>0.11089944797341515</v>
      </c>
      <c r="CC30" s="119">
        <f ca="1">(Dashboard!$C$7*'Equity and Bond Returns'!CO30)+(Dashboard!$C$8*'Equity and Bond Returns'!GM30)</f>
        <v>0.33527483597695174</v>
      </c>
      <c r="CD30" s="119">
        <f ca="1">(Dashboard!$C$7*'Equity and Bond Returns'!CP30)+(Dashboard!$C$8*'Equity and Bond Returns'!GN30)</f>
        <v>0.16703476893361496</v>
      </c>
      <c r="CE30" s="119">
        <f ca="1">(Dashboard!$C$7*'Equity and Bond Returns'!CQ30)+(Dashboard!$C$8*'Equity and Bond Returns'!GO30)</f>
        <v>0.14383220319015041</v>
      </c>
      <c r="CF30" s="119">
        <f ca="1">(Dashboard!$C$7*'Equity and Bond Returns'!CR30)+(Dashboard!$C$8*'Equity and Bond Returns'!GP30)</f>
        <v>0.10532542472603365</v>
      </c>
      <c r="CG30" s="119">
        <f ca="1">(Dashboard!$C$7*'Equity and Bond Returns'!CS30)+(Dashboard!$C$8*'Equity and Bond Returns'!GQ30)</f>
        <v>0.14802717914748037</v>
      </c>
      <c r="CH30" s="119">
        <f ca="1">(Dashboard!$C$7*'Equity and Bond Returns'!CT30)+(Dashboard!$C$8*'Equity and Bond Returns'!GR30)</f>
        <v>0.36210326798006537</v>
      </c>
      <c r="CI30" s="119">
        <f ca="1">(Dashboard!$C$7*'Equity and Bond Returns'!CU30)+(Dashboard!$C$8*'Equity and Bond Returns'!GS30)</f>
        <v>8.4725839478477311E-2</v>
      </c>
      <c r="CJ30" s="119">
        <f ca="1">(Dashboard!$C$7*'Equity and Bond Returns'!CV30)+(Dashboard!$C$8*'Equity and Bond Returns'!GT30)</f>
        <v>-3.8528795559703524E-2</v>
      </c>
      <c r="CK30" s="119">
        <f ca="1">(Dashboard!$C$7*'Equity and Bond Returns'!CW30)+(Dashboard!$C$8*'Equity and Bond Returns'!GU30)</f>
        <v>8.9914612285461853E-2</v>
      </c>
      <c r="CL30" s="119">
        <f ca="1">(Dashboard!$C$7*'Equity and Bond Returns'!CX30)+(Dashboard!$C$8*'Equity and Bond Returns'!GV30)</f>
        <v>6.1329916535917545E-2</v>
      </c>
      <c r="CM30" s="119">
        <f ca="1">(Dashboard!$C$7*'Equity and Bond Returns'!CY30)+(Dashboard!$C$8*'Equity and Bond Returns'!GW30)</f>
        <v>5.6018317228642471E-2</v>
      </c>
      <c r="CN30" s="119">
        <f ca="1">(Dashboard!$C$7*'Equity and Bond Returns'!CZ30)+(Dashboard!$C$8*'Equity and Bond Returns'!GX30)</f>
        <v>0.29298846473134632</v>
      </c>
      <c r="CO30" s="119">
        <f ca="1">(Dashboard!$C$7*'Equity and Bond Returns'!DA30)+(Dashboard!$C$8*'Equity and Bond Returns'!GY30)</f>
        <v>0.10767149201333251</v>
      </c>
      <c r="CP30" s="119">
        <f ca="1">(Dashboard!$C$7*'Equity and Bond Returns'!DB30)+(Dashboard!$C$8*'Equity and Bond Returns'!GZ30)</f>
        <v>0.13060200813556594</v>
      </c>
      <c r="CQ30" s="119">
        <f ca="1">(Dashboard!$C$7*'Equity and Bond Returns'!DC30)+(Dashboard!$C$8*'Equity and Bond Returns'!HA30)</f>
        <v>0.33511034920136951</v>
      </c>
      <c r="CR30" s="119">
        <f ca="1">(Dashboard!$C$7*'Equity and Bond Returns'!DD30)+(Dashboard!$C$8*'Equity and Bond Returns'!HB30)</f>
        <v>6.6999686017306742E-2</v>
      </c>
      <c r="CS30" s="119">
        <f ca="1">(Dashboard!$C$7*'Equity and Bond Returns'!DE30)+(Dashboard!$C$8*'Equity and Bond Returns'!HC30)</f>
        <v>0.18149207483294941</v>
      </c>
      <c r="CT30" s="119">
        <f ca="1">(Dashboard!$C$7*'Equity and Bond Returns'!DF30)+(Dashboard!$C$8*'Equity and Bond Returns'!HD30)</f>
        <v>0.11314460211676508</v>
      </c>
      <c r="CU30" s="119">
        <f ca="1">(Dashboard!$C$7*'Equity and Bond Returns'!DG30)+(Dashboard!$C$8*'Equity and Bond Returns'!HE30)</f>
        <v>0.26098154855404249</v>
      </c>
      <c r="CV30" s="119">
        <f ca="1">(Dashboard!$C$7*'Equity and Bond Returns'!DH30)+(Dashboard!$C$8*'Equity and Bond Returns'!HF30)</f>
        <v>0.17964658441741052</v>
      </c>
      <c r="CW30" s="119">
        <f ca="1">(Dashboard!$C$7*'Equity and Bond Returns'!DI30)+(Dashboard!$C$8*'Equity and Bond Returns'!HG30)</f>
        <v>0.22610168091027971</v>
      </c>
      <c r="CY30" s="147">
        <f t="shared" si="5"/>
        <v>79</v>
      </c>
      <c r="CZ30" s="147">
        <v>29</v>
      </c>
      <c r="DA30" s="126">
        <f ca="1">MAX(DA29*(1+B30)-(Dashboard!$C$11)/(1-Dashboard!$C$17)*((1+Dashboard!$C$12)^$CZ30),0)</f>
        <v>10006637.765031217</v>
      </c>
      <c r="DB30" s="126">
        <f ca="1">MAX(DB29*(1+C30)-(Dashboard!$C$11)/(1-Dashboard!$C$17)*((1+Dashboard!$C$12)^$CZ30),0)</f>
        <v>0</v>
      </c>
      <c r="DC30" s="126">
        <f ca="1">MAX(DC29*(1+D30)-(Dashboard!$C$11)/(1-Dashboard!$C$17)*((1+Dashboard!$C$12)^$CZ30),0)</f>
        <v>2260844.7636017953</v>
      </c>
      <c r="DD30" s="126">
        <f ca="1">MAX(DD29*(1+E30)-(Dashboard!$C$11)/(1-Dashboard!$C$17)*((1+Dashboard!$C$12)^$CZ30),0)</f>
        <v>587876.56366996223</v>
      </c>
      <c r="DE30" s="126">
        <f ca="1">MAX(DE29*(1+F30)-(Dashboard!$C$11)/(1-Dashboard!$C$17)*((1+Dashboard!$C$12)^$CZ30),0)</f>
        <v>3580617.3928568768</v>
      </c>
      <c r="DF30" s="126">
        <f ca="1">MAX(DF29*(1+G30)-(Dashboard!$C$11)/(1-Dashboard!$C$17)*((1+Dashboard!$C$12)^$CZ30),0)</f>
        <v>7640986.1706680479</v>
      </c>
      <c r="DG30" s="126">
        <f ca="1">MAX(DG29*(1+H30)-(Dashboard!$C$11)/(1-Dashboard!$C$17)*((1+Dashboard!$C$12)^$CZ30),0)</f>
        <v>4267.8717937543188</v>
      </c>
      <c r="DH30" s="126">
        <f ca="1">MAX(DH29*(1+I30)-(Dashboard!$C$11)/(1-Dashboard!$C$17)*((1+Dashboard!$C$12)^$CZ30),0)</f>
        <v>8066713.2589155398</v>
      </c>
      <c r="DI30" s="126">
        <f ca="1">MAX(DI29*(1+J30)-(Dashboard!$C$11)/(1-Dashboard!$C$17)*((1+Dashboard!$C$12)^$CZ30),0)</f>
        <v>2643891.6348459977</v>
      </c>
      <c r="DJ30" s="126">
        <f ca="1">MAX(DJ29*(1+K30)-(Dashboard!$C$11)/(1-Dashboard!$C$17)*((1+Dashboard!$C$12)^$CZ30),0)</f>
        <v>5575888.0799323851</v>
      </c>
      <c r="DK30" s="126">
        <f ca="1">MAX(DK29*(1+L30)-(Dashboard!$C$11)/(1-Dashboard!$C$17)*((1+Dashboard!$C$12)^$CZ30),0)</f>
        <v>7739817.0940442402</v>
      </c>
      <c r="DL30" s="126">
        <f ca="1">MAX(DL29*(1+M30)-(Dashboard!$C$11)/(1-Dashboard!$C$17)*((1+Dashboard!$C$12)^$CZ30),0)</f>
        <v>921760.83275525423</v>
      </c>
      <c r="DM30" s="126">
        <f ca="1">MAX(DM29*(1+N30)-(Dashboard!$C$11)/(1-Dashboard!$C$17)*((1+Dashboard!$C$12)^$CZ30),0)</f>
        <v>4168505.3604449374</v>
      </c>
      <c r="DN30" s="126">
        <f ca="1">MAX(DN29*(1+O30)-(Dashboard!$C$11)/(1-Dashboard!$C$17)*((1+Dashboard!$C$12)^$CZ30),0)</f>
        <v>18881008.036533378</v>
      </c>
      <c r="DO30" s="126">
        <f ca="1">MAX(DO29*(1+P30)-(Dashboard!$C$11)/(1-Dashboard!$C$17)*((1+Dashboard!$C$12)^$CZ30),0)</f>
        <v>2079693.9382861811</v>
      </c>
      <c r="DP30" s="126">
        <f ca="1">MAX(DP29*(1+Q30)-(Dashboard!$C$11)/(1-Dashboard!$C$17)*((1+Dashboard!$C$12)^$CZ30),0)</f>
        <v>843400.32743578544</v>
      </c>
      <c r="DQ30" s="126">
        <f ca="1">MAX(DQ29*(1+R30)-(Dashboard!$C$11)/(1-Dashboard!$C$17)*((1+Dashboard!$C$12)^$CZ30),0)</f>
        <v>4709858.3106871927</v>
      </c>
      <c r="DR30" s="126">
        <f ca="1">MAX(DR29*(1+S30)-(Dashboard!$C$11)/(1-Dashboard!$C$17)*((1+Dashboard!$C$12)^$CZ30),0)</f>
        <v>5497690.3097000215</v>
      </c>
      <c r="DS30" s="126">
        <f ca="1">MAX(DS29*(1+T30)-(Dashboard!$C$11)/(1-Dashboard!$C$17)*((1+Dashboard!$C$12)^$CZ30),0)</f>
        <v>370156.22898610838</v>
      </c>
      <c r="DT30" s="126">
        <f ca="1">MAX(DT29*(1+U30)-(Dashboard!$C$11)/(1-Dashboard!$C$17)*((1+Dashboard!$C$12)^$CZ30),0)</f>
        <v>1649912.2676589657</v>
      </c>
      <c r="DU30" s="126">
        <f ca="1">MAX(DU29*(1+V30)-(Dashboard!$C$11)/(1-Dashboard!$C$17)*((1+Dashboard!$C$12)^$CZ30),0)</f>
        <v>2844779.6020927527</v>
      </c>
      <c r="DV30" s="126">
        <f ca="1">MAX(DV29*(1+W30)-(Dashboard!$C$11)/(1-Dashboard!$C$17)*((1+Dashboard!$C$12)^$CZ30),0)</f>
        <v>10693764.745455783</v>
      </c>
      <c r="DW30" s="126">
        <f ca="1">MAX(DW29*(1+X30)-(Dashboard!$C$11)/(1-Dashboard!$C$17)*((1+Dashboard!$C$12)^$CZ30),0)</f>
        <v>5034889.9225944299</v>
      </c>
      <c r="DX30" s="126">
        <f ca="1">MAX(DX29*(1+Y30)-(Dashboard!$C$11)/(1-Dashboard!$C$17)*((1+Dashboard!$C$12)^$CZ30),0)</f>
        <v>1303672.8404083583</v>
      </c>
      <c r="DY30" s="126">
        <f ca="1">MAX(DY29*(1+Z30)-(Dashboard!$C$11)/(1-Dashboard!$C$17)*((1+Dashboard!$C$12)^$CZ30),0)</f>
        <v>7548801.3363832403</v>
      </c>
      <c r="DZ30" s="126">
        <f ca="1">MAX(DZ29*(1+AA30)-(Dashboard!$C$11)/(1-Dashboard!$C$17)*((1+Dashboard!$C$12)^$CZ30),0)</f>
        <v>1938166.569012</v>
      </c>
      <c r="EA30" s="126">
        <f ca="1">MAX(EA29*(1+AB30)-(Dashboard!$C$11)/(1-Dashboard!$C$17)*((1+Dashboard!$C$12)^$CZ30),0)</f>
        <v>1546323.4376957919</v>
      </c>
      <c r="EB30" s="126">
        <f ca="1">MAX(EB29*(1+AC30)-(Dashboard!$C$11)/(1-Dashboard!$C$17)*((1+Dashboard!$C$12)^$CZ30),0)</f>
        <v>3290171.2743437835</v>
      </c>
      <c r="EC30" s="126">
        <f ca="1">MAX(EC29*(1+AD30)-(Dashboard!$C$11)/(1-Dashboard!$C$17)*((1+Dashboard!$C$12)^$CZ30),0)</f>
        <v>1900809.4088981289</v>
      </c>
      <c r="ED30" s="126">
        <f ca="1">MAX(ED29*(1+AE30)-(Dashboard!$C$11)/(1-Dashboard!$C$17)*((1+Dashboard!$C$12)^$CZ30),0)</f>
        <v>2280461.4556889678</v>
      </c>
      <c r="EE30" s="126">
        <f ca="1">MAX(EE29*(1+AF30)-(Dashboard!$C$11)/(1-Dashboard!$C$17)*((1+Dashboard!$C$12)^$CZ30),0)</f>
        <v>9207716.3027584963</v>
      </c>
      <c r="EF30" s="126">
        <f ca="1">MAX(EF29*(1+AG30)-(Dashboard!$C$11)/(1-Dashboard!$C$17)*((1+Dashboard!$C$12)^$CZ30),0)</f>
        <v>504022.74486265559</v>
      </c>
      <c r="EG30" s="126">
        <f ca="1">MAX(EG29*(1+AH30)-(Dashboard!$C$11)/(1-Dashboard!$C$17)*((1+Dashboard!$C$12)^$CZ30),0)</f>
        <v>3883747.3052059705</v>
      </c>
      <c r="EH30" s="126">
        <f ca="1">MAX(EH29*(1+AI30)-(Dashboard!$C$11)/(1-Dashboard!$C$17)*((1+Dashboard!$C$12)^$CZ30),0)</f>
        <v>4485806.1118129352</v>
      </c>
      <c r="EI30" s="126">
        <f ca="1">MAX(EI29*(1+AJ30)-(Dashboard!$C$11)/(1-Dashboard!$C$17)*((1+Dashboard!$C$12)^$CZ30),0)</f>
        <v>81246.370845998958</v>
      </c>
      <c r="EJ30" s="126">
        <f ca="1">MAX(EJ29*(1+AK30)-(Dashboard!$C$11)/(1-Dashboard!$C$17)*((1+Dashboard!$C$12)^$CZ30),0)</f>
        <v>3278621.5611782041</v>
      </c>
      <c r="EK30" s="126">
        <f ca="1">MAX(EK29*(1+AL30)-(Dashboard!$C$11)/(1-Dashboard!$C$17)*((1+Dashboard!$C$12)^$CZ30),0)</f>
        <v>5247937.8237216817</v>
      </c>
      <c r="EL30" s="126">
        <f ca="1">MAX(EL29*(1+AM30)-(Dashboard!$C$11)/(1-Dashboard!$C$17)*((1+Dashboard!$C$12)^$CZ30),0)</f>
        <v>1106622.2061074064</v>
      </c>
      <c r="EM30" s="126">
        <f ca="1">MAX(EM29*(1+AN30)-(Dashboard!$C$11)/(1-Dashboard!$C$17)*((1+Dashboard!$C$12)^$CZ30),0)</f>
        <v>5784916.2939739842</v>
      </c>
      <c r="EN30" s="126">
        <f ca="1">MAX(EN29*(1+AO30)-(Dashboard!$C$11)/(1-Dashboard!$C$17)*((1+Dashboard!$C$12)^$CZ30),0)</f>
        <v>2051962.8088817224</v>
      </c>
      <c r="EO30" s="126">
        <f ca="1">MAX(EO29*(1+AP30)-(Dashboard!$C$11)/(1-Dashboard!$C$17)*((1+Dashboard!$C$12)^$CZ30),0)</f>
        <v>0</v>
      </c>
      <c r="EP30" s="126">
        <f ca="1">MAX(EP29*(1+AQ30)-(Dashboard!$C$11)/(1-Dashboard!$C$17)*((1+Dashboard!$C$12)^$CZ30),0)</f>
        <v>1755357.9829905827</v>
      </c>
      <c r="EQ30" s="126">
        <f ca="1">MAX(EQ29*(1+AR30)-(Dashboard!$C$11)/(1-Dashboard!$C$17)*((1+Dashboard!$C$12)^$CZ30),0)</f>
        <v>1781179.9468644888</v>
      </c>
      <c r="ER30" s="126">
        <f ca="1">MAX(ER29*(1+AS30)-(Dashboard!$C$11)/(1-Dashboard!$C$17)*((1+Dashboard!$C$12)^$CZ30),0)</f>
        <v>0</v>
      </c>
      <c r="ES30" s="126">
        <f ca="1">MAX(ES29*(1+AT30)-(Dashboard!$C$11)/(1-Dashboard!$C$17)*((1+Dashboard!$C$12)^$CZ30),0)</f>
        <v>9356304.4292624518</v>
      </c>
      <c r="ET30" s="126">
        <f ca="1">MAX(ET29*(1+AU30)-(Dashboard!$C$11)/(1-Dashboard!$C$17)*((1+Dashboard!$C$12)^$CZ30),0)</f>
        <v>3432191.2193249031</v>
      </c>
      <c r="EU30" s="126">
        <f ca="1">MAX(EU29*(1+AV30)-(Dashboard!$C$11)/(1-Dashboard!$C$17)*((1+Dashboard!$C$12)^$CZ30),0)</f>
        <v>1735559.1950565774</v>
      </c>
      <c r="EV30" s="126">
        <f ca="1">MAX(EV29*(1+AW30)-(Dashboard!$C$11)/(1-Dashboard!$C$17)*((1+Dashboard!$C$12)^$CZ30),0)</f>
        <v>15034344.908717934</v>
      </c>
      <c r="EW30" s="126">
        <f ca="1">MAX(EW29*(1+AX30)-(Dashboard!$C$11)/(1-Dashboard!$C$17)*((1+Dashboard!$C$12)^$CZ30),0)</f>
        <v>998090.77573042852</v>
      </c>
      <c r="EX30" s="126">
        <f ca="1">MAX(EX29*(1+AY30)-(Dashboard!$C$11)/(1-Dashboard!$C$17)*((1+Dashboard!$C$12)^$CZ30),0)</f>
        <v>2656942.9731034888</v>
      </c>
      <c r="EY30" s="126">
        <f ca="1">MAX(EY29*(1+AZ30)-(Dashboard!$C$11)/(1-Dashboard!$C$17)*((1+Dashboard!$C$12)^$CZ30),0)</f>
        <v>10441173.434580218</v>
      </c>
      <c r="EZ30" s="126">
        <f ca="1">MAX(EZ29*(1+BA30)-(Dashboard!$C$11)/(1-Dashboard!$C$17)*((1+Dashboard!$C$12)^$CZ30),0)</f>
        <v>2100855.7428747071</v>
      </c>
      <c r="FA30" s="126">
        <f ca="1">MAX(FA29*(1+BB30)-(Dashboard!$C$11)/(1-Dashboard!$C$17)*((1+Dashboard!$C$12)^$CZ30),0)</f>
        <v>7512290.9655150995</v>
      </c>
      <c r="FB30" s="126">
        <f ca="1">MAX(FB29*(1+BC30)-(Dashboard!$C$11)/(1-Dashboard!$C$17)*((1+Dashboard!$C$12)^$CZ30),0)</f>
        <v>877480.15323440509</v>
      </c>
      <c r="FC30" s="126">
        <f ca="1">MAX(FC29*(1+BD30)-(Dashboard!$C$11)/(1-Dashboard!$C$17)*((1+Dashboard!$C$12)^$CZ30),0)</f>
        <v>9777869.5886958577</v>
      </c>
      <c r="FD30" s="126">
        <f ca="1">MAX(FD29*(1+BE30)-(Dashboard!$C$11)/(1-Dashboard!$C$17)*((1+Dashboard!$C$12)^$CZ30),0)</f>
        <v>7576020.6967630601</v>
      </c>
      <c r="FE30" s="126">
        <f ca="1">MAX(FE29*(1+BF30)-(Dashboard!$C$11)/(1-Dashboard!$C$17)*((1+Dashboard!$C$12)^$CZ30),0)</f>
        <v>6734602.522541685</v>
      </c>
      <c r="FF30" s="126">
        <f ca="1">MAX(FF29*(1+BG30)-(Dashboard!$C$11)/(1-Dashboard!$C$17)*((1+Dashboard!$C$12)^$CZ30),0)</f>
        <v>1593188.5020261754</v>
      </c>
      <c r="FG30" s="126">
        <f ca="1">MAX(FG29*(1+BH30)-(Dashboard!$C$11)/(1-Dashboard!$C$17)*((1+Dashboard!$C$12)^$CZ30),0)</f>
        <v>1854410.7736350633</v>
      </c>
      <c r="FH30" s="126">
        <f ca="1">MAX(FH29*(1+BI30)-(Dashboard!$C$11)/(1-Dashboard!$C$17)*((1+Dashboard!$C$12)^$CZ30),0)</f>
        <v>3126806.072718217</v>
      </c>
      <c r="FI30" s="126">
        <f ca="1">MAX(FI29*(1+BJ30)-(Dashboard!$C$11)/(1-Dashboard!$C$17)*((1+Dashboard!$C$12)^$CZ30),0)</f>
        <v>4835055.5983392214</v>
      </c>
      <c r="FJ30" s="126">
        <f ca="1">MAX(FJ29*(1+BK30)-(Dashboard!$C$11)/(1-Dashboard!$C$17)*((1+Dashboard!$C$12)^$CZ30),0)</f>
        <v>1670366.1102195082</v>
      </c>
      <c r="FK30" s="126">
        <f ca="1">MAX(FK29*(1+BL30)-(Dashboard!$C$11)/(1-Dashboard!$C$17)*((1+Dashboard!$C$12)^$CZ30),0)</f>
        <v>2962189.6139317532</v>
      </c>
      <c r="FL30" s="126">
        <f ca="1">MAX(FL29*(1+BM30)-(Dashboard!$C$11)/(1-Dashboard!$C$17)*((1+Dashboard!$C$12)^$CZ30),0)</f>
        <v>1714206.4568276966</v>
      </c>
      <c r="FM30" s="126">
        <f ca="1">MAX(FM29*(1+BN30)-(Dashboard!$C$11)/(1-Dashboard!$C$17)*((1+Dashboard!$C$12)^$CZ30),0)</f>
        <v>5270770.9600255508</v>
      </c>
      <c r="FN30" s="126">
        <f ca="1">MAX(FN29*(1+BO30)-(Dashboard!$C$11)/(1-Dashboard!$C$17)*((1+Dashboard!$C$12)^$CZ30),0)</f>
        <v>0</v>
      </c>
      <c r="FO30" s="126">
        <f ca="1">MAX(FO29*(1+BP30)-(Dashboard!$C$11)/(1-Dashboard!$C$17)*((1+Dashboard!$C$12)^$CZ30),0)</f>
        <v>2945364.0466598514</v>
      </c>
      <c r="FP30" s="126">
        <f ca="1">MAX(FP29*(1+BQ30)-(Dashboard!$C$11)/(1-Dashboard!$C$17)*((1+Dashboard!$C$12)^$CZ30),0)</f>
        <v>2265365.7620871966</v>
      </c>
      <c r="FQ30" s="126">
        <f ca="1">MAX(FQ29*(1+BR30)-(Dashboard!$C$11)/(1-Dashboard!$C$17)*((1+Dashboard!$C$12)^$CZ30),0)</f>
        <v>1387988.4800213338</v>
      </c>
      <c r="FR30" s="126">
        <f ca="1">MAX(FR29*(1+BS30)-(Dashboard!$C$11)/(1-Dashboard!$C$17)*((1+Dashboard!$C$12)^$CZ30),0)</f>
        <v>4430351.4230862176</v>
      </c>
      <c r="FS30" s="126">
        <f ca="1">MAX(FS29*(1+BT30)-(Dashboard!$C$11)/(1-Dashboard!$C$17)*((1+Dashboard!$C$12)^$CZ30),0)</f>
        <v>4127666.6995539069</v>
      </c>
      <c r="FT30" s="126">
        <f ca="1">MAX(FT29*(1+BU30)-(Dashboard!$C$11)/(1-Dashboard!$C$17)*((1+Dashboard!$C$12)^$CZ30),0)</f>
        <v>395965.81210533797</v>
      </c>
      <c r="FU30" s="126">
        <f ca="1">MAX(FU29*(1+BV30)-(Dashboard!$C$11)/(1-Dashboard!$C$17)*((1+Dashboard!$C$12)^$CZ30),0)</f>
        <v>2236394.3226345209</v>
      </c>
      <c r="FV30" s="126">
        <f ca="1">MAX(FV29*(1+BW30)-(Dashboard!$C$11)/(1-Dashboard!$C$17)*((1+Dashboard!$C$12)^$CZ30),0)</f>
        <v>4655067.9938053908</v>
      </c>
      <c r="FW30" s="126">
        <f ca="1">MAX(FW29*(1+BX30)-(Dashboard!$C$11)/(1-Dashboard!$C$17)*((1+Dashboard!$C$12)^$CZ30),0)</f>
        <v>1854007.1213352834</v>
      </c>
      <c r="FX30" s="126">
        <f ca="1">MAX(FX29*(1+BY30)-(Dashboard!$C$11)/(1-Dashboard!$C$17)*((1+Dashboard!$C$12)^$CZ30),0)</f>
        <v>216364.12719394665</v>
      </c>
      <c r="FY30" s="126">
        <f ca="1">MAX(FY29*(1+BZ30)-(Dashboard!$C$11)/(1-Dashboard!$C$17)*((1+Dashboard!$C$12)^$CZ30),0)</f>
        <v>912752.46687844978</v>
      </c>
      <c r="FZ30" s="126">
        <f ca="1">MAX(FZ29*(1+CA30)-(Dashboard!$C$11)/(1-Dashboard!$C$17)*((1+Dashboard!$C$12)^$CZ30),0)</f>
        <v>5211149.5690986142</v>
      </c>
      <c r="GA30" s="126">
        <f ca="1">MAX(GA29*(1+CB30)-(Dashboard!$C$11)/(1-Dashboard!$C$17)*((1+Dashboard!$C$12)^$CZ30),0)</f>
        <v>5752199.3094959687</v>
      </c>
      <c r="GB30" s="126">
        <f ca="1">MAX(GB29*(1+CC30)-(Dashboard!$C$11)/(1-Dashboard!$C$17)*((1+Dashboard!$C$12)^$CZ30),0)</f>
        <v>2034378.9658534888</v>
      </c>
      <c r="GC30" s="126">
        <f ca="1">MAX(GC29*(1+CD30)-(Dashboard!$C$11)/(1-Dashboard!$C$17)*((1+Dashboard!$C$12)^$CZ30),0)</f>
        <v>4933353.0681837229</v>
      </c>
      <c r="GD30" s="126">
        <f ca="1">MAX(GD29*(1+CE30)-(Dashboard!$C$11)/(1-Dashboard!$C$17)*((1+Dashboard!$C$12)^$CZ30),0)</f>
        <v>13583880.393063759</v>
      </c>
      <c r="GE30" s="126">
        <f ca="1">MAX(GE29*(1+CF30)-(Dashboard!$C$11)/(1-Dashboard!$C$17)*((1+Dashboard!$C$12)^$CZ30),0)</f>
        <v>2093630.7491477812</v>
      </c>
      <c r="GF30" s="126">
        <f ca="1">MAX(GF29*(1+CG30)-(Dashboard!$C$11)/(1-Dashboard!$C$17)*((1+Dashboard!$C$12)^$CZ30),0)</f>
        <v>3487379.2638423378</v>
      </c>
      <c r="GG30" s="126">
        <f ca="1">MAX(GG29*(1+CH30)-(Dashboard!$C$11)/(1-Dashboard!$C$17)*((1+Dashboard!$C$12)^$CZ30),0)</f>
        <v>778634.3438680917</v>
      </c>
      <c r="GH30" s="126">
        <f ca="1">MAX(GH29*(1+CI30)-(Dashboard!$C$11)/(1-Dashboard!$C$17)*((1+Dashboard!$C$12)^$CZ30),0)</f>
        <v>1459687.8784831995</v>
      </c>
      <c r="GI30" s="126">
        <f ca="1">MAX(GI29*(1+CJ30)-(Dashboard!$C$11)/(1-Dashboard!$C$17)*((1+Dashboard!$C$12)^$CZ30),0)</f>
        <v>2124950.2686018641</v>
      </c>
      <c r="GJ30" s="126">
        <f ca="1">MAX(GJ29*(1+CK30)-(Dashboard!$C$11)/(1-Dashboard!$C$17)*((1+Dashboard!$C$12)^$CZ30),0)</f>
        <v>7813920.1934540505</v>
      </c>
      <c r="GK30" s="126">
        <f ca="1">MAX(GK29*(1+CL30)-(Dashboard!$C$11)/(1-Dashboard!$C$17)*((1+Dashboard!$C$12)^$CZ30),0)</f>
        <v>4360185.3865802418</v>
      </c>
      <c r="GL30" s="126">
        <f ca="1">MAX(GL29*(1+CM30)-(Dashboard!$C$11)/(1-Dashboard!$C$17)*((1+Dashboard!$C$12)^$CZ30),0)</f>
        <v>5399686.0480034407</v>
      </c>
      <c r="GM30" s="126">
        <f ca="1">MAX(GM29*(1+CN30)-(Dashboard!$C$11)/(1-Dashboard!$C$17)*((1+Dashboard!$C$12)^$CZ30),0)</f>
        <v>562319.48942183715</v>
      </c>
      <c r="GN30" s="126">
        <f ca="1">MAX(GN29*(1+CO30)-(Dashboard!$C$11)/(1-Dashboard!$C$17)*((1+Dashboard!$C$12)^$CZ30),0)</f>
        <v>0</v>
      </c>
      <c r="GO30" s="126">
        <f ca="1">MAX(GO29*(1+CP30)-(Dashboard!$C$11)/(1-Dashboard!$C$17)*((1+Dashboard!$C$12)^$CZ30),0)</f>
        <v>952124.12427846272</v>
      </c>
      <c r="GP30" s="126">
        <f ca="1">MAX(GP29*(1+CQ30)-(Dashboard!$C$11)/(1-Dashboard!$C$17)*((1+Dashboard!$C$12)^$CZ30),0)</f>
        <v>3145595.6894088285</v>
      </c>
      <c r="GQ30" s="126">
        <f ca="1">MAX(GQ29*(1+CR30)-(Dashboard!$C$11)/(1-Dashboard!$C$17)*((1+Dashboard!$C$12)^$CZ30),0)</f>
        <v>0</v>
      </c>
      <c r="GR30" s="126">
        <f ca="1">MAX(GR29*(1+CS30)-(Dashboard!$C$11)/(1-Dashboard!$C$17)*((1+Dashboard!$C$12)^$CZ30),0)</f>
        <v>2138412.1166936192</v>
      </c>
      <c r="GS30" s="126">
        <f ca="1">MAX(GS29*(1+CT30)-(Dashboard!$C$11)/(1-Dashboard!$C$17)*((1+Dashboard!$C$12)^$CZ30),0)</f>
        <v>5398752.6176767023</v>
      </c>
      <c r="GT30" s="126">
        <f ca="1">MAX(GT29*(1+CU30)-(Dashboard!$C$11)/(1-Dashboard!$C$17)*((1+Dashboard!$C$12)^$CZ30),0)</f>
        <v>12188688.293438412</v>
      </c>
      <c r="GU30" s="126">
        <f ca="1">MAX(GU29*(1+CV30)-(Dashboard!$C$11)/(1-Dashboard!$C$17)*((1+Dashboard!$C$12)^$CZ30),0)</f>
        <v>1706227.865909762</v>
      </c>
      <c r="GV30" s="126">
        <f ca="1">MAX(GV29*(1+CW30)-(Dashboard!$C$11)/(1-Dashboard!$C$17)*((1+Dashboard!$C$12)^$CZ30),0)</f>
        <v>546551.87191142666</v>
      </c>
      <c r="GW30" s="115">
        <f t="shared" si="4"/>
        <v>79</v>
      </c>
      <c r="GX30" s="130">
        <f t="shared" ca="1" si="2"/>
        <v>94</v>
      </c>
      <c r="HC30" s="130">
        <f t="shared" si="0"/>
        <v>79</v>
      </c>
      <c r="HD30" s="137">
        <f t="shared" ca="1" si="6"/>
        <v>1324751.7503116021</v>
      </c>
      <c r="HE30" s="137">
        <f t="shared" ca="1" si="6"/>
        <v>2272913.6088880822</v>
      </c>
      <c r="HF30" s="137">
        <f t="shared" ca="1" si="6"/>
        <v>5238740.7600659151</v>
      </c>
    </row>
    <row r="31" spans="1:214" ht="16">
      <c r="A31" s="145">
        <f t="shared" si="3"/>
        <v>80</v>
      </c>
      <c r="B31" s="119">
        <f ca="1">(Dashboard!$C$7*'Equity and Bond Returns'!N31)+(Dashboard!$C$8*'Equity and Bond Returns'!DL31)</f>
        <v>2.635756747101722E-2</v>
      </c>
      <c r="C31" s="119">
        <f ca="1">(Dashboard!$C$7*'Equity and Bond Returns'!O31)+(Dashboard!$C$8*'Equity and Bond Returns'!DM31)</f>
        <v>-7.0151814743823315E-2</v>
      </c>
      <c r="D31" s="119">
        <f ca="1">(Dashboard!$C$7*'Equity and Bond Returns'!P31)+(Dashboard!$C$8*'Equity and Bond Returns'!DN31)</f>
        <v>2.9812976364816231E-2</v>
      </c>
      <c r="E31" s="119">
        <f ca="1">(Dashboard!$C$7*'Equity and Bond Returns'!Q31)+(Dashboard!$C$8*'Equity and Bond Returns'!DO31)</f>
        <v>0.13740488205358339</v>
      </c>
      <c r="F31" s="119">
        <f ca="1">(Dashboard!$C$7*'Equity and Bond Returns'!R31)+(Dashboard!$C$8*'Equity and Bond Returns'!DP31)</f>
        <v>2.1040432190928861E-2</v>
      </c>
      <c r="G31" s="119">
        <f ca="1">(Dashboard!$C$7*'Equity and Bond Returns'!S31)+(Dashboard!$C$8*'Equity and Bond Returns'!DQ31)</f>
        <v>0.19982547553616686</v>
      </c>
      <c r="H31" s="119">
        <f ca="1">(Dashboard!$C$7*'Equity and Bond Returns'!T31)+(Dashboard!$C$8*'Equity and Bond Returns'!DR31)</f>
        <v>0.18076022406377587</v>
      </c>
      <c r="I31" s="119">
        <f ca="1">(Dashboard!$C$7*'Equity and Bond Returns'!U31)+(Dashboard!$C$8*'Equity and Bond Returns'!DS31)</f>
        <v>0.18419832183840948</v>
      </c>
      <c r="J31" s="119">
        <f ca="1">(Dashboard!$C$7*'Equity and Bond Returns'!V31)+(Dashboard!$C$8*'Equity and Bond Returns'!DT31)</f>
        <v>3.561931854059968E-2</v>
      </c>
      <c r="K31" s="119">
        <f ca="1">(Dashboard!$C$7*'Equity and Bond Returns'!W31)+(Dashboard!$C$8*'Equity and Bond Returns'!DU31)</f>
        <v>4.4837747258487409E-2</v>
      </c>
      <c r="L31" s="119">
        <f ca="1">(Dashboard!$C$7*'Equity and Bond Returns'!X31)+(Dashboard!$C$8*'Equity and Bond Returns'!DV31)</f>
        <v>0.14196850377684253</v>
      </c>
      <c r="M31" s="119">
        <f ca="1">(Dashboard!$C$7*'Equity and Bond Returns'!Y31)+(Dashboard!$C$8*'Equity and Bond Returns'!DW31)</f>
        <v>1.8416211944689884E-2</v>
      </c>
      <c r="N31" s="119">
        <f ca="1">(Dashboard!$C$7*'Equity and Bond Returns'!Z31)+(Dashboard!$C$8*'Equity and Bond Returns'!DX31)</f>
        <v>0.14568630258489801</v>
      </c>
      <c r="O31" s="119">
        <f ca="1">(Dashboard!$C$7*'Equity and Bond Returns'!AA31)+(Dashboard!$C$8*'Equity and Bond Returns'!DY31)</f>
        <v>-7.1449629078775487E-2</v>
      </c>
      <c r="P31" s="119">
        <f ca="1">(Dashboard!$C$7*'Equity and Bond Returns'!AB31)+(Dashboard!$C$8*'Equity and Bond Returns'!DZ31)</f>
        <v>7.1381858582001009E-2</v>
      </c>
      <c r="Q31" s="119">
        <f ca="1">(Dashboard!$C$7*'Equity and Bond Returns'!AC31)+(Dashboard!$C$8*'Equity and Bond Returns'!EA31)</f>
        <v>0.17919122485628644</v>
      </c>
      <c r="R31" s="119">
        <f ca="1">(Dashboard!$C$7*'Equity and Bond Returns'!AD31)+(Dashboard!$C$8*'Equity and Bond Returns'!EB31)</f>
        <v>2.8306779604725024E-2</v>
      </c>
      <c r="S31" s="119">
        <f ca="1">(Dashboard!$C$7*'Equity and Bond Returns'!AE31)+(Dashboard!$C$8*'Equity and Bond Returns'!EC31)</f>
        <v>-3.0964569932726387E-3</v>
      </c>
      <c r="T31" s="119">
        <f ca="1">(Dashboard!$C$7*'Equity and Bond Returns'!AF31)+(Dashboard!$C$8*'Equity and Bond Returns'!ED31)</f>
        <v>0.17424212087406843</v>
      </c>
      <c r="U31" s="119">
        <f ca="1">(Dashboard!$C$7*'Equity and Bond Returns'!AG31)+(Dashboard!$C$8*'Equity and Bond Returns'!EE31)</f>
        <v>-7.0036403367544756E-2</v>
      </c>
      <c r="V31" s="119">
        <f ca="1">(Dashboard!$C$7*'Equity and Bond Returns'!AH31)+(Dashboard!$C$8*'Equity and Bond Returns'!EF31)</f>
        <v>1.7547455409007803E-2</v>
      </c>
      <c r="W31" s="119">
        <f ca="1">(Dashboard!$C$7*'Equity and Bond Returns'!AI31)+(Dashboard!$C$8*'Equity and Bond Returns'!EG31)</f>
        <v>8.0662914959579765E-2</v>
      </c>
      <c r="X31" s="119">
        <f ca="1">(Dashboard!$C$7*'Equity and Bond Returns'!AJ31)+(Dashboard!$C$8*'Equity and Bond Returns'!EH31)</f>
        <v>1.576293679986291E-2</v>
      </c>
      <c r="Y31" s="119">
        <f ca="1">(Dashboard!$C$7*'Equity and Bond Returns'!AK31)+(Dashboard!$C$8*'Equity and Bond Returns'!EI31)</f>
        <v>0.27181249447035988</v>
      </c>
      <c r="Z31" s="119">
        <f ca="1">(Dashboard!$C$7*'Equity and Bond Returns'!AL31)+(Dashboard!$C$8*'Equity and Bond Returns'!EJ31)</f>
        <v>-8.9599836048446874E-2</v>
      </c>
      <c r="AA31" s="119">
        <f ca="1">(Dashboard!$C$7*'Equity and Bond Returns'!AM31)+(Dashboard!$C$8*'Equity and Bond Returns'!EK31)</f>
        <v>1.9515941722533715E-2</v>
      </c>
      <c r="AB31" s="119">
        <f ca="1">(Dashboard!$C$7*'Equity and Bond Returns'!AN31)+(Dashboard!$C$8*'Equity and Bond Returns'!EL31)</f>
        <v>4.3526192591899188E-2</v>
      </c>
      <c r="AC31" s="119">
        <f ca="1">(Dashboard!$C$7*'Equity and Bond Returns'!AO31)+(Dashboard!$C$8*'Equity and Bond Returns'!EM31)</f>
        <v>5.4512888962951804E-2</v>
      </c>
      <c r="AD31" s="119">
        <f ca="1">(Dashboard!$C$7*'Equity and Bond Returns'!AP31)+(Dashboard!$C$8*'Equity and Bond Returns'!EN31)</f>
        <v>0.26424704414403027</v>
      </c>
      <c r="AE31" s="119">
        <f ca="1">(Dashboard!$C$7*'Equity and Bond Returns'!AQ31)+(Dashboard!$C$8*'Equity and Bond Returns'!EO31)</f>
        <v>-5.0570131707032645E-2</v>
      </c>
      <c r="AF31" s="119">
        <f ca="1">(Dashboard!$C$7*'Equity and Bond Returns'!AR31)+(Dashboard!$C$8*'Equity and Bond Returns'!EP31)</f>
        <v>1.6367991983804953E-2</v>
      </c>
      <c r="AG31" s="119">
        <f ca="1">(Dashboard!$C$7*'Equity and Bond Returns'!AS31)+(Dashboard!$C$8*'Equity and Bond Returns'!EQ31)</f>
        <v>-0.14711437800417759</v>
      </c>
      <c r="AH31" s="119">
        <f ca="1">(Dashboard!$C$7*'Equity and Bond Returns'!AT31)+(Dashboard!$C$8*'Equity and Bond Returns'!ER31)</f>
        <v>0.14649261147462192</v>
      </c>
      <c r="AI31" s="119">
        <f ca="1">(Dashboard!$C$7*'Equity and Bond Returns'!AU31)+(Dashboard!$C$8*'Equity and Bond Returns'!ES31)</f>
        <v>0.26537011966249613</v>
      </c>
      <c r="AJ31" s="119">
        <f ca="1">(Dashboard!$C$7*'Equity and Bond Returns'!AV31)+(Dashboard!$C$8*'Equity and Bond Returns'!ET31)</f>
        <v>0.18545491150278479</v>
      </c>
      <c r="AK31" s="119">
        <f ca="1">(Dashboard!$C$7*'Equity and Bond Returns'!AW31)+(Dashboard!$C$8*'Equity and Bond Returns'!EU31)</f>
        <v>3.095201816108005E-2</v>
      </c>
      <c r="AL31" s="119">
        <f ca="1">(Dashboard!$C$7*'Equity and Bond Returns'!AX31)+(Dashboard!$C$8*'Equity and Bond Returns'!EV31)</f>
        <v>-0.20401161874743046</v>
      </c>
      <c r="AM31" s="119">
        <f ca="1">(Dashboard!$C$7*'Equity and Bond Returns'!AY31)+(Dashboard!$C$8*'Equity and Bond Returns'!EW31)</f>
        <v>0.22221293965050531</v>
      </c>
      <c r="AN31" s="119">
        <f ca="1">(Dashboard!$C$7*'Equity and Bond Returns'!AZ31)+(Dashboard!$C$8*'Equity and Bond Returns'!EX31)</f>
        <v>0.15741196653468573</v>
      </c>
      <c r="AO31" s="119">
        <f ca="1">(Dashboard!$C$7*'Equity and Bond Returns'!BA31)+(Dashboard!$C$8*'Equity and Bond Returns'!EY31)</f>
        <v>0.1712252357224727</v>
      </c>
      <c r="AP31" s="119">
        <f ca="1">(Dashboard!$C$7*'Equity and Bond Returns'!BB31)+(Dashboard!$C$8*'Equity and Bond Returns'!EZ31)</f>
        <v>0.41504026195461768</v>
      </c>
      <c r="AQ31" s="119">
        <f ca="1">(Dashboard!$C$7*'Equity and Bond Returns'!BC31)+(Dashboard!$C$8*'Equity and Bond Returns'!FA31)</f>
        <v>0.22559077122688748</v>
      </c>
      <c r="AR31" s="119">
        <f ca="1">(Dashboard!$C$7*'Equity and Bond Returns'!BD31)+(Dashboard!$C$8*'Equity and Bond Returns'!FB31)</f>
        <v>0.13567945979638202</v>
      </c>
      <c r="AS31" s="119">
        <f ca="1">(Dashboard!$C$7*'Equity and Bond Returns'!BE31)+(Dashboard!$C$8*'Equity and Bond Returns'!FC31)</f>
        <v>9.7287965917493724E-2</v>
      </c>
      <c r="AT31" s="119">
        <f ca="1">(Dashboard!$C$7*'Equity and Bond Returns'!BF31)+(Dashboard!$C$8*'Equity and Bond Returns'!FD31)</f>
        <v>9.3560008960536997E-2</v>
      </c>
      <c r="AU31" s="119">
        <f ca="1">(Dashboard!$C$7*'Equity and Bond Returns'!BG31)+(Dashboard!$C$8*'Equity and Bond Returns'!FE31)</f>
        <v>2.4242049320671918E-2</v>
      </c>
      <c r="AV31" s="119">
        <f ca="1">(Dashboard!$C$7*'Equity and Bond Returns'!BH31)+(Dashboard!$C$8*'Equity and Bond Returns'!FF31)</f>
        <v>0.21188031647519501</v>
      </c>
      <c r="AW31" s="119">
        <f ca="1">(Dashboard!$C$7*'Equity and Bond Returns'!BI31)+(Dashboard!$C$8*'Equity and Bond Returns'!FG31)</f>
        <v>0.26555602524657351</v>
      </c>
      <c r="AX31" s="119">
        <f ca="1">(Dashboard!$C$7*'Equity and Bond Returns'!BJ31)+(Dashboard!$C$8*'Equity and Bond Returns'!FH31)</f>
        <v>3.4016316749946596E-2</v>
      </c>
      <c r="AY31" s="119">
        <f ca="1">(Dashboard!$C$7*'Equity and Bond Returns'!BK31)+(Dashboard!$C$8*'Equity and Bond Returns'!FI31)</f>
        <v>3.2355659022091976E-2</v>
      </c>
      <c r="AZ31" s="119">
        <f ca="1">(Dashboard!$C$7*'Equity and Bond Returns'!BL31)+(Dashboard!$C$8*'Equity and Bond Returns'!FJ31)</f>
        <v>-0.17672413061828171</v>
      </c>
      <c r="BA31" s="119">
        <f ca="1">(Dashboard!$C$7*'Equity and Bond Returns'!BM31)+(Dashboard!$C$8*'Equity and Bond Returns'!FK31)</f>
        <v>0.14656302128332341</v>
      </c>
      <c r="BB31" s="119">
        <f ca="1">(Dashboard!$C$7*'Equity and Bond Returns'!BN31)+(Dashboard!$C$8*'Equity and Bond Returns'!FL31)</f>
        <v>0.21080828825850301</v>
      </c>
      <c r="BC31" s="119">
        <f ca="1">(Dashboard!$C$7*'Equity and Bond Returns'!BO31)+(Dashboard!$C$8*'Equity and Bond Returns'!FM31)</f>
        <v>0.17055976951534019</v>
      </c>
      <c r="BD31" s="119">
        <f ca="1">(Dashboard!$C$7*'Equity and Bond Returns'!BP31)+(Dashboard!$C$8*'Equity and Bond Returns'!FN31)</f>
        <v>-0.19783992637904257</v>
      </c>
      <c r="BE31" s="119">
        <f ca="1">(Dashboard!$C$7*'Equity and Bond Returns'!BQ31)+(Dashboard!$C$8*'Equity and Bond Returns'!FO31)</f>
        <v>5.3654054660916294E-2</v>
      </c>
      <c r="BF31" s="119">
        <f ca="1">(Dashboard!$C$7*'Equity and Bond Returns'!BR31)+(Dashboard!$C$8*'Equity and Bond Returns'!FP31)</f>
        <v>0.15392698330966503</v>
      </c>
      <c r="BG31" s="119">
        <f ca="1">(Dashboard!$C$7*'Equity and Bond Returns'!BS31)+(Dashboard!$C$8*'Equity and Bond Returns'!FQ31)</f>
        <v>5.8135474829062728E-2</v>
      </c>
      <c r="BH31" s="119">
        <f ca="1">(Dashboard!$C$7*'Equity and Bond Returns'!BT31)+(Dashboard!$C$8*'Equity and Bond Returns'!FR31)</f>
        <v>-0.16129223930758049</v>
      </c>
      <c r="BI31" s="119">
        <f ca="1">(Dashboard!$C$7*'Equity and Bond Returns'!BU31)+(Dashboard!$C$8*'Equity and Bond Returns'!FS31)</f>
        <v>4.8630898763457761E-2</v>
      </c>
      <c r="BJ31" s="119">
        <f ca="1">(Dashboard!$C$7*'Equity and Bond Returns'!BV31)+(Dashboard!$C$8*'Equity and Bond Returns'!FT31)</f>
        <v>2.8035097845796296E-2</v>
      </c>
      <c r="BK31" s="119">
        <f ca="1">(Dashboard!$C$7*'Equity and Bond Returns'!BW31)+(Dashboard!$C$8*'Equity and Bond Returns'!FU31)</f>
        <v>0.12375266029263592</v>
      </c>
      <c r="BL31" s="119">
        <f ca="1">(Dashboard!$C$7*'Equity and Bond Returns'!BX31)+(Dashboard!$C$8*'Equity and Bond Returns'!FV31)</f>
        <v>9.9563606272854557E-2</v>
      </c>
      <c r="BM31" s="119">
        <f ca="1">(Dashboard!$C$7*'Equity and Bond Returns'!BY31)+(Dashboard!$C$8*'Equity and Bond Returns'!FW31)</f>
        <v>6.545958439806196E-2</v>
      </c>
      <c r="BN31" s="119">
        <f ca="1">(Dashboard!$C$7*'Equity and Bond Returns'!BZ31)+(Dashboard!$C$8*'Equity and Bond Returns'!FX31)</f>
        <v>-0.1076148373524841</v>
      </c>
      <c r="BO31" s="119">
        <f ca="1">(Dashboard!$C$7*'Equity and Bond Returns'!CA31)+(Dashboard!$C$8*'Equity and Bond Returns'!FY31)</f>
        <v>0.1972265846977434</v>
      </c>
      <c r="BP31" s="119">
        <f ca="1">(Dashboard!$C$7*'Equity and Bond Returns'!CB31)+(Dashboard!$C$8*'Equity and Bond Returns'!FZ31)</f>
        <v>7.6788830232027233E-2</v>
      </c>
      <c r="BQ31" s="119">
        <f ca="1">(Dashboard!$C$7*'Equity and Bond Returns'!CC31)+(Dashboard!$C$8*'Equity and Bond Returns'!GA31)</f>
        <v>-7.9746113799191623E-2</v>
      </c>
      <c r="BR31" s="119">
        <f ca="1">(Dashboard!$C$7*'Equity and Bond Returns'!CD31)+(Dashboard!$C$8*'Equity and Bond Returns'!GB31)</f>
        <v>9.9399622903468807E-2</v>
      </c>
      <c r="BS31" s="119">
        <f ca="1">(Dashboard!$C$7*'Equity and Bond Returns'!CE31)+(Dashboard!$C$8*'Equity and Bond Returns'!GC31)</f>
        <v>-5.9779791659423639E-2</v>
      </c>
      <c r="BT31" s="119">
        <f ca="1">(Dashboard!$C$7*'Equity and Bond Returns'!CF31)+(Dashboard!$C$8*'Equity and Bond Returns'!GD31)</f>
        <v>-1.2069343774331054E-2</v>
      </c>
      <c r="BU31" s="119">
        <f ca="1">(Dashboard!$C$7*'Equity and Bond Returns'!CG31)+(Dashboard!$C$8*'Equity and Bond Returns'!GE31)</f>
        <v>8.1298932179814001E-2</v>
      </c>
      <c r="BV31" s="119">
        <f ca="1">(Dashboard!$C$7*'Equity and Bond Returns'!CH31)+(Dashboard!$C$8*'Equity and Bond Returns'!GF31)</f>
        <v>-0.12677664059772728</v>
      </c>
      <c r="BW31" s="119">
        <f ca="1">(Dashboard!$C$7*'Equity and Bond Returns'!CI31)+(Dashboard!$C$8*'Equity and Bond Returns'!GG31)</f>
        <v>-5.5812054348996797E-2</v>
      </c>
      <c r="BX31" s="119">
        <f ca="1">(Dashboard!$C$7*'Equity and Bond Returns'!CJ31)+(Dashboard!$C$8*'Equity and Bond Returns'!GH31)</f>
        <v>3.6890200607107411E-2</v>
      </c>
      <c r="BY31" s="119">
        <f ca="1">(Dashboard!$C$7*'Equity and Bond Returns'!CK31)+(Dashboard!$C$8*'Equity and Bond Returns'!GI31)</f>
        <v>7.6395804757040997E-2</v>
      </c>
      <c r="BZ31" s="119">
        <f ca="1">(Dashboard!$C$7*'Equity and Bond Returns'!CL31)+(Dashboard!$C$8*'Equity and Bond Returns'!GJ31)</f>
        <v>-0.15676077469512473</v>
      </c>
      <c r="CA31" s="119">
        <f ca="1">(Dashboard!$C$7*'Equity and Bond Returns'!CM31)+(Dashboard!$C$8*'Equity and Bond Returns'!GK31)</f>
        <v>0.20052642944838686</v>
      </c>
      <c r="CB31" s="119">
        <f ca="1">(Dashboard!$C$7*'Equity and Bond Returns'!CN31)+(Dashboard!$C$8*'Equity and Bond Returns'!GL31)</f>
        <v>-2.1502745409460212E-3</v>
      </c>
      <c r="CC31" s="119">
        <f ca="1">(Dashboard!$C$7*'Equity and Bond Returns'!CO31)+(Dashboard!$C$8*'Equity and Bond Returns'!GM31)</f>
        <v>6.320603698364044E-2</v>
      </c>
      <c r="CD31" s="119">
        <f ca="1">(Dashboard!$C$7*'Equity and Bond Returns'!CP31)+(Dashboard!$C$8*'Equity and Bond Returns'!GN31)</f>
        <v>-3.5047556682218248E-2</v>
      </c>
      <c r="CE31" s="119">
        <f ca="1">(Dashboard!$C$7*'Equity and Bond Returns'!CQ31)+(Dashboard!$C$8*'Equity and Bond Returns'!GO31)</f>
        <v>8.5243109854293286E-2</v>
      </c>
      <c r="CF31" s="119">
        <f ca="1">(Dashboard!$C$7*'Equity and Bond Returns'!CR31)+(Dashboard!$C$8*'Equity and Bond Returns'!GP31)</f>
        <v>0.23135879256770953</v>
      </c>
      <c r="CG31" s="119">
        <f ca="1">(Dashboard!$C$7*'Equity and Bond Returns'!CS31)+(Dashboard!$C$8*'Equity and Bond Returns'!GQ31)</f>
        <v>-0.1357062199717699</v>
      </c>
      <c r="CH31" s="119">
        <f ca="1">(Dashboard!$C$7*'Equity and Bond Returns'!CT31)+(Dashboard!$C$8*'Equity and Bond Returns'!GR31)</f>
        <v>-0.11844049012207528</v>
      </c>
      <c r="CI31" s="119">
        <f ca="1">(Dashboard!$C$7*'Equity and Bond Returns'!CU31)+(Dashboard!$C$8*'Equity and Bond Returns'!GS31)</f>
        <v>0.111436820789311</v>
      </c>
      <c r="CJ31" s="119">
        <f ca="1">(Dashboard!$C$7*'Equity and Bond Returns'!CV31)+(Dashboard!$C$8*'Equity and Bond Returns'!GT31)</f>
        <v>-8.9812614258284212E-2</v>
      </c>
      <c r="CK31" s="119">
        <f ca="1">(Dashboard!$C$7*'Equity and Bond Returns'!CW31)+(Dashboard!$C$8*'Equity and Bond Returns'!GU31)</f>
        <v>0.28120256682666711</v>
      </c>
      <c r="CL31" s="119">
        <f ca="1">(Dashboard!$C$7*'Equity and Bond Returns'!CX31)+(Dashboard!$C$8*'Equity and Bond Returns'!GV31)</f>
        <v>-7.439579626753523E-2</v>
      </c>
      <c r="CM31" s="119">
        <f ca="1">(Dashboard!$C$7*'Equity and Bond Returns'!CY31)+(Dashboard!$C$8*'Equity and Bond Returns'!GW31)</f>
        <v>-6.209776413170992E-2</v>
      </c>
      <c r="CN31" s="119">
        <f ca="1">(Dashboard!$C$7*'Equity and Bond Returns'!CZ31)+(Dashboard!$C$8*'Equity and Bond Returns'!GX31)</f>
        <v>1.108543761787345E-2</v>
      </c>
      <c r="CO31" s="119">
        <f ca="1">(Dashboard!$C$7*'Equity and Bond Returns'!DA31)+(Dashboard!$C$8*'Equity and Bond Returns'!GY31)</f>
        <v>-6.4707256232863622E-2</v>
      </c>
      <c r="CP31" s="119">
        <f ca="1">(Dashboard!$C$7*'Equity and Bond Returns'!DB31)+(Dashboard!$C$8*'Equity and Bond Returns'!GZ31)</f>
        <v>0.20910196852174612</v>
      </c>
      <c r="CQ31" s="119">
        <f ca="1">(Dashboard!$C$7*'Equity and Bond Returns'!DC31)+(Dashboard!$C$8*'Equity and Bond Returns'!HA31)</f>
        <v>8.085353292511345E-2</v>
      </c>
      <c r="CR31" s="119">
        <f ca="1">(Dashboard!$C$7*'Equity and Bond Returns'!DD31)+(Dashboard!$C$8*'Equity and Bond Returns'!HB31)</f>
        <v>-7.6006251711395495E-2</v>
      </c>
      <c r="CS31" s="119">
        <f ca="1">(Dashboard!$C$7*'Equity and Bond Returns'!DE31)+(Dashboard!$C$8*'Equity and Bond Returns'!HC31)</f>
        <v>-5.1976524673594295E-2</v>
      </c>
      <c r="CT31" s="119">
        <f ca="1">(Dashboard!$C$7*'Equity and Bond Returns'!DF31)+(Dashboard!$C$8*'Equity and Bond Returns'!HD31)</f>
        <v>-1.574832827979274E-2</v>
      </c>
      <c r="CU31" s="119">
        <f ca="1">(Dashboard!$C$7*'Equity and Bond Returns'!DG31)+(Dashboard!$C$8*'Equity and Bond Returns'!HE31)</f>
        <v>0.14032935571093325</v>
      </c>
      <c r="CV31" s="119">
        <f ca="1">(Dashboard!$C$7*'Equity and Bond Returns'!DH31)+(Dashboard!$C$8*'Equity and Bond Returns'!HF31)</f>
        <v>-2.1956287859536471E-2</v>
      </c>
      <c r="CW31" s="119">
        <f ca="1">(Dashboard!$C$7*'Equity and Bond Returns'!DI31)+(Dashboard!$C$8*'Equity and Bond Returns'!HG31)</f>
        <v>0.14862862517978262</v>
      </c>
      <c r="CY31" s="147">
        <f t="shared" si="5"/>
        <v>80</v>
      </c>
      <c r="CZ31" s="147">
        <v>30</v>
      </c>
      <c r="DA31" s="126">
        <f ca="1">MAX(DA30*(1+B31)-(Dashboard!$C$11)/(1-Dashboard!$C$17)*((1+Dashboard!$C$12)^$CZ31),0)</f>
        <v>10220326.10661277</v>
      </c>
      <c r="DB31" s="126">
        <f ca="1">MAX(DB30*(1+C31)-(Dashboard!$C$11)/(1-Dashboard!$C$17)*((1+Dashboard!$C$12)^$CZ31),0)</f>
        <v>0</v>
      </c>
      <c r="DC31" s="126">
        <f ca="1">MAX(DC30*(1+D31)-(Dashboard!$C$11)/(1-Dashboard!$C$17)*((1+Dashboard!$C$12)^$CZ31),0)</f>
        <v>2278184.9866352873</v>
      </c>
      <c r="DD31" s="126">
        <f ca="1">MAX(DD30*(1+E31)-(Dashboard!$C$11)/(1-Dashboard!$C$17)*((1+Dashboard!$C$12)^$CZ31),0)</f>
        <v>618591.38509481249</v>
      </c>
      <c r="DE31" s="126">
        <f ca="1">MAX(DE30*(1+F31)-(Dashboard!$C$11)/(1-Dashboard!$C$17)*((1+Dashboard!$C$12)^$CZ31),0)</f>
        <v>3605892.8418446551</v>
      </c>
      <c r="DF31" s="126">
        <f ca="1">MAX(DF30*(1+G31)-(Dashboard!$C$11)/(1-Dashboard!$C$17)*((1+Dashboard!$C$12)^$CZ31),0)</f>
        <v>9117787.5773187783</v>
      </c>
      <c r="DG31" s="126">
        <f ca="1">MAX(DG30*(1+H31)-(Dashboard!$C$11)/(1-Dashboard!$C$17)*((1+Dashboard!$C$12)^$CZ31),0)</f>
        <v>0</v>
      </c>
      <c r="DH31" s="126">
        <f ca="1">MAX(DH30*(1+I31)-(Dashboard!$C$11)/(1-Dashboard!$C$17)*((1+Dashboard!$C$12)^$CZ31),0)</f>
        <v>9502526.0154911429</v>
      </c>
      <c r="DI31" s="126">
        <f ca="1">MAX(DI30*(1+J31)-(Dashboard!$C$11)/(1-Dashboard!$C$17)*((1+Dashboard!$C$12)^$CZ31),0)</f>
        <v>2688002.9647061173</v>
      </c>
      <c r="DJ31" s="126">
        <f ca="1">MAX(DJ30*(1+K31)-(Dashboard!$C$11)/(1-Dashboard!$C$17)*((1+Dashboard!$C$12)^$CZ31),0)</f>
        <v>5775836.0519337188</v>
      </c>
      <c r="DK31" s="126">
        <f ca="1">MAX(DK30*(1+L31)-(Dashboard!$C$11)/(1-Dashboard!$C$17)*((1+Dashboard!$C$12)^$CZ31),0)</f>
        <v>8788565.0579238441</v>
      </c>
      <c r="DL31" s="126">
        <f ca="1">MAX(DL30*(1+M31)-(Dashboard!$C$11)/(1-Dashboard!$C$17)*((1+Dashboard!$C$12)^$CZ31),0)</f>
        <v>888673.88714530203</v>
      </c>
      <c r="DM31" s="126">
        <f ca="1">MAX(DM30*(1+N31)-(Dashboard!$C$11)/(1-Dashboard!$C$17)*((1+Dashboard!$C$12)^$CZ31),0)</f>
        <v>4725737.2052452015</v>
      </c>
      <c r="DN31" s="126">
        <f ca="1">MAX(DN30*(1+O31)-(Dashboard!$C$11)/(1-Dashboard!$C$17)*((1+Dashboard!$C$12)^$CZ31),0)</f>
        <v>17481904.727221403</v>
      </c>
      <c r="DO31" s="126">
        <f ca="1">MAX(DO30*(1+P31)-(Dashboard!$C$11)/(1-Dashboard!$C$17)*((1+Dashboard!$C$12)^$CZ31),0)</f>
        <v>2178084.0684144832</v>
      </c>
      <c r="DP31" s="126">
        <f ca="1">MAX(DP30*(1+Q31)-(Dashboard!$C$11)/(1-Dashboard!$C$17)*((1+Dashboard!$C$12)^$CZ31),0)</f>
        <v>944467.97668491001</v>
      </c>
      <c r="DQ31" s="126">
        <f ca="1">MAX(DQ30*(1+R31)-(Dashboard!$C$11)/(1-Dashboard!$C$17)*((1+Dashboard!$C$12)^$CZ31),0)</f>
        <v>4793116.9433890106</v>
      </c>
      <c r="DR31" s="126">
        <f ca="1">MAX(DR30*(1+S31)-(Dashboard!$C$11)/(1-Dashboard!$C$17)*((1+Dashboard!$C$12)^$CZ31),0)</f>
        <v>5430604.6596254176</v>
      </c>
      <c r="DS31" s="126">
        <f ca="1">MAX(DS30*(1+T31)-(Dashboard!$C$11)/(1-Dashboard!$C$17)*((1+Dashboard!$C$12)^$CZ31),0)</f>
        <v>384590.74691110855</v>
      </c>
      <c r="DT31" s="126">
        <f ca="1">MAX(DT30*(1+U31)-(Dashboard!$C$11)/(1-Dashboard!$C$17)*((1+Dashboard!$C$12)^$CZ31),0)</f>
        <v>1484296.0580918551</v>
      </c>
      <c r="DU31" s="126">
        <f ca="1">MAX(DU30*(1+V31)-(Dashboard!$C$11)/(1-Dashboard!$C$17)*((1+Dashboard!$C$12)^$CZ31),0)</f>
        <v>2844635.9568406432</v>
      </c>
      <c r="DV31" s="126">
        <f ca="1">MAX(DV30*(1+W31)-(Dashboard!$C$11)/(1-Dashboard!$C$17)*((1+Dashboard!$C$12)^$CZ31),0)</f>
        <v>11506292.693247948</v>
      </c>
      <c r="DW31" s="126">
        <f ca="1">MAX(DW30*(1+X31)-(Dashboard!$C$11)/(1-Dashboard!$C$17)*((1+Dashboard!$C$12)^$CZ31),0)</f>
        <v>5064192.2857702663</v>
      </c>
      <c r="DX31" s="126">
        <f ca="1">MAX(DX30*(1+Y31)-(Dashboard!$C$11)/(1-Dashboard!$C$17)*((1+Dashboard!$C$12)^$CZ31),0)</f>
        <v>1607965.1186647268</v>
      </c>
      <c r="DY31" s="126">
        <f ca="1">MAX(DY30*(1+Z31)-(Dashboard!$C$11)/(1-Dashboard!$C$17)*((1+Dashboard!$C$12)^$CZ31),0)</f>
        <v>6822367.6858127192</v>
      </c>
      <c r="DZ31" s="126">
        <f ca="1">MAX(DZ30*(1+AA31)-(Dashboard!$C$11)/(1-Dashboard!$C$17)*((1+Dashboard!$C$12)^$CZ31),0)</f>
        <v>1925929.4263531147</v>
      </c>
      <c r="EA31" s="126">
        <f ca="1">MAX(EA30*(1+AB31)-(Dashboard!$C$11)/(1-Dashboard!$C$17)*((1+Dashboard!$C$12)^$CZ31),0)</f>
        <v>1563566.7209860201</v>
      </c>
      <c r="EB31" s="126">
        <f ca="1">MAX(EB30*(1+AC31)-(Dashboard!$C$11)/(1-Dashboard!$C$17)*((1+Dashboard!$C$12)^$CZ31),0)</f>
        <v>3419465.7272228929</v>
      </c>
      <c r="EC31" s="126">
        <f ca="1">MAX(EC30*(1+AD31)-(Dashboard!$C$11)/(1-Dashboard!$C$17)*((1+Dashboard!$C$12)^$CZ31),0)</f>
        <v>2353030.3882123339</v>
      </c>
      <c r="ED31" s="126">
        <f ca="1">MAX(ED30*(1+AE31)-(Dashboard!$C$11)/(1-Dashboard!$C$17)*((1+Dashboard!$C$12)^$CZ31),0)</f>
        <v>2115075.9310536785</v>
      </c>
      <c r="EE31" s="126">
        <f ca="1">MAX(EE30*(1+AF31)-(Dashboard!$C$11)/(1-Dashboard!$C$17)*((1+Dashboard!$C$12)^$CZ31),0)</f>
        <v>9308365.8409229107</v>
      </c>
      <c r="EF31" s="126">
        <f ca="1">MAX(EF30*(1+AG31)-(Dashboard!$C$11)/(1-Dashboard!$C$17)*((1+Dashboard!$C$12)^$CZ31),0)</f>
        <v>379811.46378394094</v>
      </c>
      <c r="EG31" s="126">
        <f ca="1">MAX(EG30*(1+AH31)-(Dashboard!$C$11)/(1-Dashboard!$C$17)*((1+Dashboard!$C$12)^$CZ31),0)</f>
        <v>4402625.301784832</v>
      </c>
      <c r="EH31" s="126">
        <f ca="1">MAX(EH30*(1+AI31)-(Dashboard!$C$11)/(1-Dashboard!$C$17)*((1+Dashboard!$C$12)^$CZ31),0)</f>
        <v>5626142.728019204</v>
      </c>
      <c r="EI31" s="126">
        <f ca="1">MAX(EI30*(1+AJ31)-(Dashboard!$C$11)/(1-Dashboard!$C$17)*((1+Dashboard!$C$12)^$CZ31),0)</f>
        <v>46251.620892879415</v>
      </c>
      <c r="EJ31" s="126">
        <f ca="1">MAX(EJ30*(1+AK31)-(Dashboard!$C$11)/(1-Dashboard!$C$17)*((1+Dashboard!$C$12)^$CZ31),0)</f>
        <v>3330039.2268148139</v>
      </c>
      <c r="EK31" s="126">
        <f ca="1">MAX(EK30*(1+AL31)-(Dashboard!$C$11)/(1-Dashboard!$C$17)*((1+Dashboard!$C$12)^$CZ31),0)</f>
        <v>4127235.2447500671</v>
      </c>
      <c r="EL31" s="126">
        <f ca="1">MAX(EL30*(1+AM31)-(Dashboard!$C$11)/(1-Dashboard!$C$17)*((1+Dashboard!$C$12)^$CZ31),0)</f>
        <v>1302465.6911407739</v>
      </c>
      <c r="EM31" s="126">
        <f ca="1">MAX(EM30*(1+AN31)-(Dashboard!$C$11)/(1-Dashboard!$C$17)*((1+Dashboard!$C$12)^$CZ31),0)</f>
        <v>6645469.0555786891</v>
      </c>
      <c r="EN31" s="126">
        <f ca="1">MAX(EN30*(1+AO31)-(Dashboard!$C$11)/(1-Dashboard!$C$17)*((1+Dashboard!$C$12)^$CZ31),0)</f>
        <v>2353248.3360579554</v>
      </c>
      <c r="EO31" s="126">
        <f ca="1">MAX(EO30*(1+AP31)-(Dashboard!$C$11)/(1-Dashboard!$C$17)*((1+Dashboard!$C$12)^$CZ31),0)</f>
        <v>0</v>
      </c>
      <c r="EP31" s="126">
        <f ca="1">MAX(EP30*(1+AQ31)-(Dashboard!$C$11)/(1-Dashboard!$C$17)*((1+Dashboard!$C$12)^$CZ31),0)</f>
        <v>2101288.2556844149</v>
      </c>
      <c r="EQ31" s="126">
        <f ca="1">MAX(EQ30*(1+AR31)-(Dashboard!$C$11)/(1-Dashboard!$C$17)*((1+Dashboard!$C$12)^$CZ31),0)</f>
        <v>1972787.1913869244</v>
      </c>
      <c r="ER31" s="126">
        <f ca="1">MAX(ER30*(1+AS31)-(Dashboard!$C$11)/(1-Dashboard!$C$17)*((1+Dashboard!$C$12)^$CZ31),0)</f>
        <v>0</v>
      </c>
      <c r="ES31" s="126">
        <f ca="1">MAX(ES30*(1+AT31)-(Dashboard!$C$11)/(1-Dashboard!$C$17)*((1+Dashboard!$C$12)^$CZ31),0)</f>
        <v>10181618.067033473</v>
      </c>
      <c r="ET31" s="126">
        <f ca="1">MAX(ET30*(1+AU31)-(Dashboard!$C$11)/(1-Dashboard!$C$17)*((1+Dashboard!$C$12)^$CZ31),0)</f>
        <v>3465332.2796734674</v>
      </c>
      <c r="EU31" s="126">
        <f ca="1">MAX(EU30*(1+AV31)-(Dashboard!$C$11)/(1-Dashboard!$C$17)*((1+Dashboard!$C$12)^$CZ31),0)</f>
        <v>2053227.7380983133</v>
      </c>
      <c r="EV31" s="126">
        <f ca="1">MAX(EV30*(1+AW31)-(Dashboard!$C$11)/(1-Dashboard!$C$17)*((1+Dashboard!$C$12)^$CZ31),0)</f>
        <v>18976743.496394839</v>
      </c>
      <c r="EW31" s="126">
        <f ca="1">MAX(EW30*(1+AX31)-(Dashboard!$C$11)/(1-Dashboard!$C$17)*((1+Dashboard!$C$12)^$CZ31),0)</f>
        <v>981979.85923458787</v>
      </c>
      <c r="EX31" s="126">
        <f ca="1">MAX(EX30*(1+AY31)-(Dashboard!$C$11)/(1-Dashboard!$C$17)*((1+Dashboard!$C$12)^$CZ31),0)</f>
        <v>2692847.8255140814</v>
      </c>
      <c r="EY31" s="126">
        <f ca="1">MAX(EY30*(1+AZ31)-(Dashboard!$C$11)/(1-Dashboard!$C$17)*((1+Dashboard!$C$12)^$CZ31),0)</f>
        <v>8545903.8482510448</v>
      </c>
      <c r="EZ31" s="126">
        <f ca="1">MAX(EZ30*(1+BA31)-(Dashboard!$C$11)/(1-Dashboard!$C$17)*((1+Dashboard!$C$12)^$CZ31),0)</f>
        <v>2358701.2193625579</v>
      </c>
      <c r="FA31" s="126">
        <f ca="1">MAX(FA30*(1+BB31)-(Dashboard!$C$11)/(1-Dashboard!$C$17)*((1+Dashboard!$C$12)^$CZ31),0)</f>
        <v>9045881.8763868678</v>
      </c>
      <c r="FB31" s="126">
        <f ca="1">MAX(FB30*(1+BC31)-(Dashboard!$C$11)/(1-Dashboard!$C$17)*((1+Dashboard!$C$12)^$CZ31),0)</f>
        <v>977080.67745606392</v>
      </c>
      <c r="FC31" s="126">
        <f ca="1">MAX(FC30*(1+BD31)-(Dashboard!$C$11)/(1-Dashboard!$C$17)*((1+Dashboard!$C$12)^$CZ31),0)</f>
        <v>7793354.3006561035</v>
      </c>
      <c r="FD31" s="126">
        <f ca="1">MAX(FD30*(1+BE31)-(Dashboard!$C$11)/(1-Dashboard!$C$17)*((1+Dashboard!$C$12)^$CZ31),0)</f>
        <v>7932442.6368711321</v>
      </c>
      <c r="FE31" s="126">
        <f ca="1">MAX(FE30*(1+BF31)-(Dashboard!$C$11)/(1-Dashboard!$C$17)*((1+Dashboard!$C$12)^$CZ31),0)</f>
        <v>7721177.2841579011</v>
      </c>
      <c r="FF31" s="126">
        <f ca="1">MAX(FF30*(1+BG31)-(Dashboard!$C$11)/(1-Dashboard!$C$17)*((1+Dashboard!$C$12)^$CZ31),0)</f>
        <v>1635746.9836153837</v>
      </c>
      <c r="FG31" s="126">
        <f ca="1">MAX(FG30*(1+BH31)-(Dashboard!$C$11)/(1-Dashboard!$C$17)*((1+Dashboard!$C$12)^$CZ31),0)</f>
        <v>1505246.4188910746</v>
      </c>
      <c r="FH31" s="126">
        <f ca="1">MAX(FH30*(1+BI31)-(Dashboard!$C$11)/(1-Dashboard!$C$17)*((1+Dashboard!$C$12)^$CZ31),0)</f>
        <v>3228803.1738252551</v>
      </c>
      <c r="FI31" s="126">
        <f ca="1">MAX(FI30*(1+BJ31)-(Dashboard!$C$11)/(1-Dashboard!$C$17)*((1+Dashboard!$C$12)^$CZ31),0)</f>
        <v>4920544.5666602403</v>
      </c>
      <c r="FJ31" s="126">
        <f ca="1">MAX(FJ30*(1+BK31)-(Dashboard!$C$11)/(1-Dashboard!$C$17)*((1+Dashboard!$C$12)^$CZ31),0)</f>
        <v>1827016.0715535481</v>
      </c>
      <c r="FK31" s="126">
        <f ca="1">MAX(FK30*(1+BL31)-(Dashboard!$C$11)/(1-Dashboard!$C$17)*((1+Dashboard!$C$12)^$CZ31),0)</f>
        <v>3207053.6058905069</v>
      </c>
      <c r="FL31" s="126">
        <f ca="1">MAX(FL30*(1+BM31)-(Dashboard!$C$11)/(1-Dashboard!$C$17)*((1+Dashboard!$C$12)^$CZ31),0)</f>
        <v>1776355.4105958252</v>
      </c>
      <c r="FM31" s="126">
        <f ca="1">MAX(FM30*(1+BN31)-(Dashboard!$C$11)/(1-Dashboard!$C$17)*((1+Dashboard!$C$12)^$CZ31),0)</f>
        <v>4653495.5119719179</v>
      </c>
      <c r="FN31" s="126">
        <f ca="1">MAX(FN30*(1+BO31)-(Dashboard!$C$11)/(1-Dashboard!$C$17)*((1+Dashboard!$C$12)^$CZ31),0)</f>
        <v>0</v>
      </c>
      <c r="FO31" s="126">
        <f ca="1">MAX(FO30*(1+BP31)-(Dashboard!$C$11)/(1-Dashboard!$C$17)*((1+Dashboard!$C$12)^$CZ31),0)</f>
        <v>3121472.8179420447</v>
      </c>
      <c r="FP31" s="126">
        <f ca="1">MAX(FP30*(1+BQ31)-(Dashboard!$C$11)/(1-Dashboard!$C$17)*((1+Dashboard!$C$12)^$CZ31),0)</f>
        <v>2034649.357758712</v>
      </c>
      <c r="FQ31" s="126">
        <f ca="1">MAX(FQ30*(1+BR31)-(Dashboard!$C$11)/(1-Dashboard!$C$17)*((1+Dashboard!$C$12)^$CZ31),0)</f>
        <v>1475891.7230615267</v>
      </c>
      <c r="FR31" s="126">
        <f ca="1">MAX(FR30*(1+BS31)-(Dashboard!$C$11)/(1-Dashboard!$C$17)*((1+Dashboard!$C$12)^$CZ31),0)</f>
        <v>4115443.6495678057</v>
      </c>
      <c r="FS31" s="126">
        <f ca="1">MAX(FS30*(1+BT31)-(Dashboard!$C$11)/(1-Dashboard!$C$17)*((1+Dashboard!$C$12)^$CZ31),0)</f>
        <v>4027786.1827028454</v>
      </c>
      <c r="FT31" s="126">
        <f ca="1">MAX(FT30*(1+BU31)-(Dashboard!$C$11)/(1-Dashboard!$C$17)*((1+Dashboard!$C$12)^$CZ31),0)</f>
        <v>378095.12134092813</v>
      </c>
      <c r="FU31" s="126">
        <f ca="1">MAX(FU30*(1+BV31)-(Dashboard!$C$11)/(1-Dashboard!$C$17)*((1+Dashboard!$C$12)^$CZ31),0)</f>
        <v>1902809.4748907997</v>
      </c>
      <c r="FV31" s="126">
        <f ca="1">MAX(FV30*(1+BW31)-(Dashboard!$C$11)/(1-Dashboard!$C$17)*((1+Dashboard!$C$12)^$CZ31),0)</f>
        <v>4345196.7974685626</v>
      </c>
      <c r="FW31" s="126">
        <f ca="1">MAX(FW30*(1+BX31)-(Dashboard!$C$11)/(1-Dashboard!$C$17)*((1+Dashboard!$C$12)^$CZ31),0)</f>
        <v>1872339.5275000611</v>
      </c>
      <c r="FX31" s="126">
        <f ca="1">MAX(FX30*(1+BY31)-(Dashboard!$C$11)/(1-Dashboard!$C$17)*((1+Dashboard!$C$12)^$CZ31),0)</f>
        <v>182831.15034319626</v>
      </c>
      <c r="FY31" s="126">
        <f ca="1">MAX(FY30*(1+BZ31)-(Dashboard!$C$11)/(1-Dashboard!$C$17)*((1+Dashboard!$C$12)^$CZ31),0)</f>
        <v>719606.39459741104</v>
      </c>
      <c r="FZ31" s="126">
        <f ca="1">MAX(FZ30*(1+CA31)-(Dashboard!$C$11)/(1-Dashboard!$C$17)*((1+Dashboard!$C$12)^$CZ31),0)</f>
        <v>6206060.4970431728</v>
      </c>
      <c r="GA31" s="126">
        <f ca="1">MAX(GA30*(1+CB31)-(Dashboard!$C$11)/(1-Dashboard!$C$17)*((1+Dashboard!$C$12)^$CZ31),0)</f>
        <v>5689768.2132980255</v>
      </c>
      <c r="GB31" s="126">
        <f ca="1">MAX(GB30*(1+CC31)-(Dashboard!$C$11)/(1-Dashboard!$C$17)*((1+Dashboard!$C$12)^$CZ31),0)</f>
        <v>2112901.7095396779</v>
      </c>
      <c r="GC31" s="126">
        <f ca="1">MAX(GC30*(1+CD31)-(Dashboard!$C$11)/(1-Dashboard!$C$17)*((1+Dashboard!$C$12)^$CZ31),0)</f>
        <v>4710388.8084248723</v>
      </c>
      <c r="GD31" s="126">
        <f ca="1">MAX(GD30*(1+CE31)-(Dashboard!$C$11)/(1-Dashboard!$C$17)*((1+Dashboard!$C$12)^$CZ31),0)</f>
        <v>14691750.313188989</v>
      </c>
      <c r="GE31" s="126">
        <f ca="1">MAX(GE30*(1+CF31)-(Dashboard!$C$11)/(1-Dashboard!$C$17)*((1+Dashboard!$C$12)^$CZ31),0)</f>
        <v>2527948.3428849541</v>
      </c>
      <c r="GF31" s="126">
        <f ca="1">MAX(GF30*(1+CG31)-(Dashboard!$C$11)/(1-Dashboard!$C$17)*((1+Dashboard!$C$12)^$CZ31),0)</f>
        <v>2964057.9178700736</v>
      </c>
      <c r="GG31" s="126">
        <f ca="1">MAX(GG30*(1+CH31)-(Dashboard!$C$11)/(1-Dashboard!$C$17)*((1+Dashboard!$C$12)^$CZ31),0)</f>
        <v>636350.22208618768</v>
      </c>
      <c r="GH31" s="126">
        <f ca="1">MAX(GH30*(1+CI31)-(Dashboard!$C$11)/(1-Dashboard!$C$17)*((1+Dashboard!$C$12)^$CZ31),0)</f>
        <v>1572288.5665377749</v>
      </c>
      <c r="GI31" s="126">
        <f ca="1">MAX(GI30*(1+CJ31)-(Dashboard!$C$11)/(1-Dashboard!$C$17)*((1+Dashboard!$C$12)^$CZ31),0)</f>
        <v>1884040.6413416008</v>
      </c>
      <c r="GJ31" s="126">
        <f ca="1">MAX(GJ30*(1+CK31)-(Dashboard!$C$11)/(1-Dashboard!$C$17)*((1+Dashboard!$C$12)^$CZ31),0)</f>
        <v>9961152.3203637712</v>
      </c>
      <c r="GK31" s="126">
        <f ca="1">MAX(GK30*(1+CL31)-(Dashboard!$C$11)/(1-Dashboard!$C$17)*((1+Dashboard!$C$12)^$CZ31),0)</f>
        <v>3985743.6344032469</v>
      </c>
      <c r="GL31" s="126">
        <f ca="1">MAX(GL30*(1+CM31)-(Dashboard!$C$11)/(1-Dashboard!$C$17)*((1+Dashboard!$C$12)^$CZ31),0)</f>
        <v>5014315.3289409513</v>
      </c>
      <c r="GM31" s="126">
        <f ca="1">MAX(GM30*(1+CN31)-(Dashboard!$C$11)/(1-Dashboard!$C$17)*((1+Dashboard!$C$12)^$CZ31),0)</f>
        <v>518490.75857485062</v>
      </c>
      <c r="GN31" s="126">
        <f ca="1">MAX(GN30*(1+CO31)-(Dashboard!$C$11)/(1-Dashboard!$C$17)*((1+Dashboard!$C$12)^$CZ31),0)</f>
        <v>0</v>
      </c>
      <c r="GO31" s="126">
        <f ca="1">MAX(GO30*(1+CP31)-(Dashboard!$C$11)/(1-Dashboard!$C$17)*((1+Dashboard!$C$12)^$CZ31),0)</f>
        <v>1101152.8644738463</v>
      </c>
      <c r="GP31" s="126">
        <f ca="1">MAX(GP30*(1+CQ31)-(Dashboard!$C$11)/(1-Dashboard!$C$17)*((1+Dashboard!$C$12)^$CZ31),0)</f>
        <v>3349865.9255832531</v>
      </c>
      <c r="GQ31" s="126">
        <f ca="1">MAX(GQ30*(1+CR31)-(Dashboard!$C$11)/(1-Dashboard!$C$17)*((1+Dashboard!$C$12)^$CZ31),0)</f>
        <v>0</v>
      </c>
      <c r="GR31" s="126">
        <f ca="1">MAX(GR30*(1+CS31)-(Dashboard!$C$11)/(1-Dashboard!$C$17)*((1+Dashboard!$C$12)^$CZ31),0)</f>
        <v>1977202.5980796937</v>
      </c>
      <c r="GS31" s="126">
        <f ca="1">MAX(GS30*(1+CT31)-(Dashboard!$C$11)/(1-Dashboard!$C$17)*((1+Dashboard!$C$12)^$CZ31),0)</f>
        <v>5263669.0006838525</v>
      </c>
      <c r="GT31" s="126">
        <f ca="1">MAX(GT30*(1+CU31)-(Dashboard!$C$11)/(1-Dashboard!$C$17)*((1+Dashboard!$C$12)^$CZ31),0)</f>
        <v>13849056.780149734</v>
      </c>
      <c r="GU31" s="126">
        <f ca="1">MAX(GU30*(1+CV31)-(Dashboard!$C$11)/(1-Dashboard!$C$17)*((1+Dashboard!$C$12)^$CZ31),0)</f>
        <v>1618703.1472635979</v>
      </c>
      <c r="GV31" s="126">
        <f ca="1">MAX(GV30*(1+CW31)-(Dashboard!$C$11)/(1-Dashboard!$C$17)*((1+Dashboard!$C$12)^$CZ31),0)</f>
        <v>577722.83675477188</v>
      </c>
      <c r="GW31" s="115">
        <f t="shared" si="4"/>
        <v>80</v>
      </c>
      <c r="GX31" s="130">
        <f t="shared" ca="1" si="2"/>
        <v>93</v>
      </c>
      <c r="HC31" s="130">
        <f t="shared" si="0"/>
        <v>80</v>
      </c>
      <c r="HD31" s="137">
        <f t="shared" ca="1" si="6"/>
        <v>1477992.8068191088</v>
      </c>
      <c r="HE31" s="137">
        <f t="shared" ca="1" si="6"/>
        <v>2443324.781123756</v>
      </c>
      <c r="HF31" s="137">
        <f t="shared" ca="1" si="6"/>
        <v>5051723.046562938</v>
      </c>
    </row>
    <row r="32" spans="1:214" ht="16">
      <c r="A32" s="145">
        <f t="shared" si="3"/>
        <v>81</v>
      </c>
      <c r="B32" s="119">
        <f ca="1">(Dashboard!$C$7*'Equity and Bond Returns'!N32)+(Dashboard!$C$8*'Equity and Bond Returns'!DL32)</f>
        <v>0.10497982003624413</v>
      </c>
      <c r="C32" s="119">
        <f ca="1">(Dashboard!$C$7*'Equity and Bond Returns'!O32)+(Dashboard!$C$8*'Equity and Bond Returns'!DM32)</f>
        <v>0.33585403872229813</v>
      </c>
      <c r="D32" s="119">
        <f ca="1">(Dashboard!$C$7*'Equity and Bond Returns'!P32)+(Dashboard!$C$8*'Equity and Bond Returns'!DN32)</f>
        <v>0.15356538073941961</v>
      </c>
      <c r="E32" s="119">
        <f ca="1">(Dashboard!$C$7*'Equity and Bond Returns'!Q32)+(Dashboard!$C$8*'Equity and Bond Returns'!DO32)</f>
        <v>-3.9357552662305881E-2</v>
      </c>
      <c r="F32" s="119">
        <f ca="1">(Dashboard!$C$7*'Equity and Bond Returns'!R32)+(Dashboard!$C$8*'Equity and Bond Returns'!DP32)</f>
        <v>-0.11465462974682675</v>
      </c>
      <c r="G32" s="119">
        <f ca="1">(Dashboard!$C$7*'Equity and Bond Returns'!S32)+(Dashboard!$C$8*'Equity and Bond Returns'!DQ32)</f>
        <v>5.3801417934186226E-2</v>
      </c>
      <c r="H32" s="119">
        <f ca="1">(Dashboard!$C$7*'Equity and Bond Returns'!T32)+(Dashboard!$C$8*'Equity and Bond Returns'!DR32)</f>
        <v>-8.5023854288515138E-2</v>
      </c>
      <c r="I32" s="119">
        <f ca="1">(Dashboard!$C$7*'Equity and Bond Returns'!U32)+(Dashboard!$C$8*'Equity and Bond Returns'!DS32)</f>
        <v>8.202749719837793E-2</v>
      </c>
      <c r="J32" s="119">
        <f ca="1">(Dashboard!$C$7*'Equity and Bond Returns'!V32)+(Dashboard!$C$8*'Equity and Bond Returns'!DT32)</f>
        <v>-3.0957772199113952E-2</v>
      </c>
      <c r="K32" s="119">
        <f ca="1">(Dashboard!$C$7*'Equity and Bond Returns'!W32)+(Dashboard!$C$8*'Equity and Bond Returns'!DU32)</f>
        <v>4.9029871072673939E-2</v>
      </c>
      <c r="L32" s="119">
        <f ca="1">(Dashboard!$C$7*'Equity and Bond Returns'!X32)+(Dashboard!$C$8*'Equity and Bond Returns'!DV32)</f>
        <v>0.12666076020548436</v>
      </c>
      <c r="M32" s="119">
        <f ca="1">(Dashboard!$C$7*'Equity and Bond Returns'!Y32)+(Dashboard!$C$8*'Equity and Bond Returns'!DW32)</f>
        <v>-9.3860508274626886E-2</v>
      </c>
      <c r="N32" s="119">
        <f ca="1">(Dashboard!$C$7*'Equity and Bond Returns'!Z32)+(Dashboard!$C$8*'Equity and Bond Returns'!DX32)</f>
        <v>0.14559198451685135</v>
      </c>
      <c r="O32" s="119">
        <f ca="1">(Dashboard!$C$7*'Equity and Bond Returns'!AA32)+(Dashboard!$C$8*'Equity and Bond Returns'!DY32)</f>
        <v>0.18292862583591679</v>
      </c>
      <c r="P32" s="119">
        <f ca="1">(Dashboard!$C$7*'Equity and Bond Returns'!AB32)+(Dashboard!$C$8*'Equity and Bond Returns'!DZ32)</f>
        <v>8.0099582230078015E-2</v>
      </c>
      <c r="Q32" s="119">
        <f ca="1">(Dashboard!$C$7*'Equity and Bond Returns'!AC32)+(Dashboard!$C$8*'Equity and Bond Returns'!EA32)</f>
        <v>-5.8844822888105677E-2</v>
      </c>
      <c r="R32" s="119">
        <f ca="1">(Dashboard!$C$7*'Equity and Bond Returns'!AD32)+(Dashboard!$C$8*'Equity and Bond Returns'!EB32)</f>
        <v>-1.6410071846428481E-2</v>
      </c>
      <c r="S32" s="119">
        <f ca="1">(Dashboard!$C$7*'Equity and Bond Returns'!AE32)+(Dashboard!$C$8*'Equity and Bond Returns'!EC32)</f>
        <v>2.6189050299128817E-2</v>
      </c>
      <c r="T32" s="119">
        <f ca="1">(Dashboard!$C$7*'Equity and Bond Returns'!AF32)+(Dashboard!$C$8*'Equity and Bond Returns'!ED32)</f>
        <v>0.13828954125952472</v>
      </c>
      <c r="U32" s="119">
        <f ca="1">(Dashboard!$C$7*'Equity and Bond Returns'!AG32)+(Dashboard!$C$8*'Equity and Bond Returns'!EE32)</f>
        <v>0.11889105742737117</v>
      </c>
      <c r="V32" s="119">
        <f ca="1">(Dashboard!$C$7*'Equity and Bond Returns'!AH32)+(Dashboard!$C$8*'Equity and Bond Returns'!EF32)</f>
        <v>0.17684983068141838</v>
      </c>
      <c r="W32" s="119">
        <f ca="1">(Dashboard!$C$7*'Equity and Bond Returns'!AI32)+(Dashboard!$C$8*'Equity and Bond Returns'!EG32)</f>
        <v>0.33931570746804351</v>
      </c>
      <c r="X32" s="119">
        <f ca="1">(Dashboard!$C$7*'Equity and Bond Returns'!AJ32)+(Dashboard!$C$8*'Equity and Bond Returns'!EH32)</f>
        <v>-5.8650661155818705E-2</v>
      </c>
      <c r="Y32" s="119">
        <f ca="1">(Dashboard!$C$7*'Equity and Bond Returns'!AK32)+(Dashboard!$C$8*'Equity and Bond Returns'!EI32)</f>
        <v>-1.6280835457780529E-2</v>
      </c>
      <c r="Z32" s="119">
        <f ca="1">(Dashboard!$C$7*'Equity and Bond Returns'!AL32)+(Dashboard!$C$8*'Equity and Bond Returns'!EJ32)</f>
        <v>9.5686596872025048E-2</v>
      </c>
      <c r="AA32" s="119">
        <f ca="1">(Dashboard!$C$7*'Equity and Bond Returns'!AM32)+(Dashboard!$C$8*'Equity and Bond Returns'!EK32)</f>
        <v>0.32884861739452587</v>
      </c>
      <c r="AB32" s="119">
        <f ca="1">(Dashboard!$C$7*'Equity and Bond Returns'!AN32)+(Dashboard!$C$8*'Equity and Bond Returns'!EL32)</f>
        <v>0.27607475646230872</v>
      </c>
      <c r="AC32" s="119">
        <f ca="1">(Dashboard!$C$7*'Equity and Bond Returns'!AO32)+(Dashboard!$C$8*'Equity and Bond Returns'!EM32)</f>
        <v>0.10768445640380928</v>
      </c>
      <c r="AD32" s="119">
        <f ca="1">(Dashboard!$C$7*'Equity and Bond Returns'!AP32)+(Dashboard!$C$8*'Equity and Bond Returns'!EN32)</f>
        <v>0.22385410650214832</v>
      </c>
      <c r="AE32" s="119">
        <f ca="1">(Dashboard!$C$7*'Equity and Bond Returns'!AQ32)+(Dashboard!$C$8*'Equity and Bond Returns'!EO32)</f>
        <v>1.9994805986801107E-2</v>
      </c>
      <c r="AF32" s="119">
        <f ca="1">(Dashboard!$C$7*'Equity and Bond Returns'!AR32)+(Dashboard!$C$8*'Equity and Bond Returns'!EP32)</f>
        <v>6.2466512403296641E-2</v>
      </c>
      <c r="AG32" s="119">
        <f ca="1">(Dashboard!$C$7*'Equity and Bond Returns'!AS32)+(Dashboard!$C$8*'Equity and Bond Returns'!EQ32)</f>
        <v>0.26240686722100842</v>
      </c>
      <c r="AH32" s="119">
        <f ca="1">(Dashboard!$C$7*'Equity and Bond Returns'!AT32)+(Dashboard!$C$8*'Equity and Bond Returns'!ER32)</f>
        <v>8.8930097847712927E-2</v>
      </c>
      <c r="AI32" s="119">
        <f ca="1">(Dashboard!$C$7*'Equity and Bond Returns'!AU32)+(Dashboard!$C$8*'Equity and Bond Returns'!ES32)</f>
        <v>1.6258547178996975E-2</v>
      </c>
      <c r="AJ32" s="119">
        <f ca="1">(Dashboard!$C$7*'Equity and Bond Returns'!AV32)+(Dashboard!$C$8*'Equity and Bond Returns'!ET32)</f>
        <v>-9.9095546584164335E-2</v>
      </c>
      <c r="AK32" s="119">
        <f ca="1">(Dashboard!$C$7*'Equity and Bond Returns'!AW32)+(Dashboard!$C$8*'Equity and Bond Returns'!EU32)</f>
        <v>8.5552821288717579E-3</v>
      </c>
      <c r="AL32" s="119">
        <f ca="1">(Dashboard!$C$7*'Equity and Bond Returns'!AX32)+(Dashboard!$C$8*'Equity and Bond Returns'!EV32)</f>
        <v>0.22652421306326301</v>
      </c>
      <c r="AM32" s="119">
        <f ca="1">(Dashboard!$C$7*'Equity and Bond Returns'!AY32)+(Dashboard!$C$8*'Equity and Bond Returns'!EW32)</f>
        <v>0.19882982147937317</v>
      </c>
      <c r="AN32" s="119">
        <f ca="1">(Dashboard!$C$7*'Equity and Bond Returns'!AZ32)+(Dashboard!$C$8*'Equity and Bond Returns'!EX32)</f>
        <v>2.8444233729438891E-2</v>
      </c>
      <c r="AO32" s="119">
        <f ca="1">(Dashboard!$C$7*'Equity and Bond Returns'!BA32)+(Dashboard!$C$8*'Equity and Bond Returns'!EY32)</f>
        <v>8.2404576193076659E-2</v>
      </c>
      <c r="AP32" s="119">
        <f ca="1">(Dashboard!$C$7*'Equity and Bond Returns'!BB32)+(Dashboard!$C$8*'Equity and Bond Returns'!EZ32)</f>
        <v>0.15332923862153133</v>
      </c>
      <c r="AQ32" s="119">
        <f ca="1">(Dashboard!$C$7*'Equity and Bond Returns'!BC32)+(Dashboard!$C$8*'Equity and Bond Returns'!FA32)</f>
        <v>-2.2081205445729415E-2</v>
      </c>
      <c r="AR32" s="119">
        <f ca="1">(Dashboard!$C$7*'Equity and Bond Returns'!BD32)+(Dashboard!$C$8*'Equity and Bond Returns'!FB32)</f>
        <v>0.35932735054664705</v>
      </c>
      <c r="AS32" s="119">
        <f ca="1">(Dashboard!$C$7*'Equity and Bond Returns'!BE32)+(Dashboard!$C$8*'Equity and Bond Returns'!FC32)</f>
        <v>9.8308686943273216E-2</v>
      </c>
      <c r="AT32" s="119">
        <f ca="1">(Dashboard!$C$7*'Equity and Bond Returns'!BF32)+(Dashboard!$C$8*'Equity and Bond Returns'!FD32)</f>
        <v>-0.1348678774730977</v>
      </c>
      <c r="AU32" s="119">
        <f ca="1">(Dashboard!$C$7*'Equity and Bond Returns'!BG32)+(Dashboard!$C$8*'Equity and Bond Returns'!FE32)</f>
        <v>-7.7045063226907295E-2</v>
      </c>
      <c r="AV32" s="119">
        <f ca="1">(Dashboard!$C$7*'Equity and Bond Returns'!BH32)+(Dashboard!$C$8*'Equity and Bond Returns'!FF32)</f>
        <v>-9.0955014908489534E-2</v>
      </c>
      <c r="AW32" s="119">
        <f ca="1">(Dashboard!$C$7*'Equity and Bond Returns'!BI32)+(Dashboard!$C$8*'Equity and Bond Returns'!FG32)</f>
        <v>0.22225164992024979</v>
      </c>
      <c r="AX32" s="119">
        <f ca="1">(Dashboard!$C$7*'Equity and Bond Returns'!BJ32)+(Dashboard!$C$8*'Equity and Bond Returns'!FH32)</f>
        <v>0.30547659575586816</v>
      </c>
      <c r="AY32" s="119">
        <f ca="1">(Dashboard!$C$7*'Equity and Bond Returns'!BK32)+(Dashboard!$C$8*'Equity and Bond Returns'!FI32)</f>
        <v>6.5607574973353178E-2</v>
      </c>
      <c r="AZ32" s="119">
        <f ca="1">(Dashboard!$C$7*'Equity and Bond Returns'!BL32)+(Dashboard!$C$8*'Equity and Bond Returns'!FJ32)</f>
        <v>0.19101748331748547</v>
      </c>
      <c r="BA32" s="119">
        <f ca="1">(Dashboard!$C$7*'Equity and Bond Returns'!BM32)+(Dashboard!$C$8*'Equity and Bond Returns'!FK32)</f>
        <v>-1.7071886660080648E-2</v>
      </c>
      <c r="BB32" s="119">
        <f ca="1">(Dashboard!$C$7*'Equity and Bond Returns'!BN32)+(Dashboard!$C$8*'Equity and Bond Returns'!FL32)</f>
        <v>0.12418611623838159</v>
      </c>
      <c r="BC32" s="119">
        <f ca="1">(Dashboard!$C$7*'Equity and Bond Returns'!BO32)+(Dashboard!$C$8*'Equity and Bond Returns'!FM32)</f>
        <v>-0.18346315072842406</v>
      </c>
      <c r="BD32" s="119">
        <f ca="1">(Dashboard!$C$7*'Equity and Bond Returns'!BP32)+(Dashboard!$C$8*'Equity and Bond Returns'!FN32)</f>
        <v>0.30197980294466353</v>
      </c>
      <c r="BE32" s="119">
        <f ca="1">(Dashboard!$C$7*'Equity and Bond Returns'!BQ32)+(Dashboard!$C$8*'Equity and Bond Returns'!FO32)</f>
        <v>0.32387611765752949</v>
      </c>
      <c r="BF32" s="119">
        <f ca="1">(Dashboard!$C$7*'Equity and Bond Returns'!BR32)+(Dashboard!$C$8*'Equity and Bond Returns'!FP32)</f>
        <v>0.37705986222575605</v>
      </c>
      <c r="BG32" s="119">
        <f ca="1">(Dashboard!$C$7*'Equity and Bond Returns'!BS32)+(Dashboard!$C$8*'Equity and Bond Returns'!FQ32)</f>
        <v>0.31915173798781044</v>
      </c>
      <c r="BH32" s="119">
        <f ca="1">(Dashboard!$C$7*'Equity and Bond Returns'!BT32)+(Dashboard!$C$8*'Equity and Bond Returns'!FR32)</f>
        <v>-2.0130122519406483E-2</v>
      </c>
      <c r="BI32" s="119">
        <f ca="1">(Dashboard!$C$7*'Equity and Bond Returns'!BU32)+(Dashboard!$C$8*'Equity and Bond Returns'!FS32)</f>
        <v>-2.1665944809965476E-2</v>
      </c>
      <c r="BJ32" s="119">
        <f ca="1">(Dashboard!$C$7*'Equity and Bond Returns'!BV32)+(Dashboard!$C$8*'Equity and Bond Returns'!FT32)</f>
        <v>1.0143243870321676E-2</v>
      </c>
      <c r="BK32" s="119">
        <f ca="1">(Dashboard!$C$7*'Equity and Bond Returns'!BW32)+(Dashboard!$C$8*'Equity and Bond Returns'!FU32)</f>
        <v>8.3219881141855093E-2</v>
      </c>
      <c r="BL32" s="119">
        <f ca="1">(Dashboard!$C$7*'Equity and Bond Returns'!BX32)+(Dashboard!$C$8*'Equity and Bond Returns'!FV32)</f>
        <v>2.2843067221616348E-2</v>
      </c>
      <c r="BM32" s="119">
        <f ca="1">(Dashboard!$C$7*'Equity and Bond Returns'!BY32)+(Dashboard!$C$8*'Equity and Bond Returns'!FW32)</f>
        <v>-5.402102751814989E-2</v>
      </c>
      <c r="BN32" s="119">
        <f ca="1">(Dashboard!$C$7*'Equity and Bond Returns'!BZ32)+(Dashboard!$C$8*'Equity and Bond Returns'!FX32)</f>
        <v>-0.10896054631185426</v>
      </c>
      <c r="BO32" s="119">
        <f ca="1">(Dashboard!$C$7*'Equity and Bond Returns'!CA32)+(Dashboard!$C$8*'Equity and Bond Returns'!FY32)</f>
        <v>0.12412183747879088</v>
      </c>
      <c r="BP32" s="119">
        <f ca="1">(Dashboard!$C$7*'Equity and Bond Returns'!CB32)+(Dashboard!$C$8*'Equity and Bond Returns'!FZ32)</f>
        <v>-4.8507029542320911E-3</v>
      </c>
      <c r="BQ32" s="119">
        <f ca="1">(Dashboard!$C$7*'Equity and Bond Returns'!CC32)+(Dashboard!$C$8*'Equity and Bond Returns'!GA32)</f>
        <v>8.072474195337509E-2</v>
      </c>
      <c r="BR32" s="119">
        <f ca="1">(Dashboard!$C$7*'Equity and Bond Returns'!CD32)+(Dashboard!$C$8*'Equity and Bond Returns'!GB32)</f>
        <v>-7.7882601445481703E-2</v>
      </c>
      <c r="BS32" s="119">
        <f ca="1">(Dashboard!$C$7*'Equity and Bond Returns'!CE32)+(Dashboard!$C$8*'Equity and Bond Returns'!GC32)</f>
        <v>2.157556292005041E-2</v>
      </c>
      <c r="BT32" s="119">
        <f ca="1">(Dashboard!$C$7*'Equity and Bond Returns'!CF32)+(Dashboard!$C$8*'Equity and Bond Returns'!GD32)</f>
        <v>0.2908714194914529</v>
      </c>
      <c r="BU32" s="119">
        <f ca="1">(Dashboard!$C$7*'Equity and Bond Returns'!CG32)+(Dashboard!$C$8*'Equity and Bond Returns'!GE32)</f>
        <v>0.14679854819996344</v>
      </c>
      <c r="BV32" s="119">
        <f ca="1">(Dashboard!$C$7*'Equity and Bond Returns'!CH32)+(Dashboard!$C$8*'Equity and Bond Returns'!GF32)</f>
        <v>9.3967941190119281E-2</v>
      </c>
      <c r="BW32" s="119">
        <f ca="1">(Dashboard!$C$7*'Equity and Bond Returns'!CI32)+(Dashboard!$C$8*'Equity and Bond Returns'!GG32)</f>
        <v>-0.1067780218332491</v>
      </c>
      <c r="BX32" s="119">
        <f ca="1">(Dashboard!$C$7*'Equity and Bond Returns'!CJ32)+(Dashboard!$C$8*'Equity and Bond Returns'!GH32)</f>
        <v>-2.335113094074967E-2</v>
      </c>
      <c r="BY32" s="119">
        <f ca="1">(Dashboard!$C$7*'Equity and Bond Returns'!CK32)+(Dashboard!$C$8*'Equity and Bond Returns'!GI32)</f>
        <v>0.10129614266395012</v>
      </c>
      <c r="BZ32" s="119">
        <f ca="1">(Dashboard!$C$7*'Equity and Bond Returns'!CL32)+(Dashboard!$C$8*'Equity and Bond Returns'!GJ32)</f>
        <v>-1.9355920187175871E-2</v>
      </c>
      <c r="CA32" s="119">
        <f ca="1">(Dashboard!$C$7*'Equity and Bond Returns'!CM32)+(Dashboard!$C$8*'Equity and Bond Returns'!GK32)</f>
        <v>3.7237859352186098E-2</v>
      </c>
      <c r="CB32" s="119">
        <f ca="1">(Dashboard!$C$7*'Equity and Bond Returns'!CN32)+(Dashboard!$C$8*'Equity and Bond Returns'!GL32)</f>
        <v>-9.1908122855241491E-3</v>
      </c>
      <c r="CC32" s="119">
        <f ca="1">(Dashboard!$C$7*'Equity and Bond Returns'!CO32)+(Dashboard!$C$8*'Equity and Bond Returns'!GM32)</f>
        <v>0.12085510420719348</v>
      </c>
      <c r="CD32" s="119">
        <f ca="1">(Dashboard!$C$7*'Equity and Bond Returns'!CP32)+(Dashboard!$C$8*'Equity and Bond Returns'!GN32)</f>
        <v>-5.9812342155664326E-2</v>
      </c>
      <c r="CE32" s="119">
        <f ca="1">(Dashboard!$C$7*'Equity and Bond Returns'!CQ32)+(Dashboard!$C$8*'Equity and Bond Returns'!GO32)</f>
        <v>-9.6219060167373176E-3</v>
      </c>
      <c r="CF32" s="119">
        <f ca="1">(Dashboard!$C$7*'Equity and Bond Returns'!CR32)+(Dashboard!$C$8*'Equity and Bond Returns'!GP32)</f>
        <v>0.41647109772152041</v>
      </c>
      <c r="CG32" s="119">
        <f ca="1">(Dashboard!$C$7*'Equity and Bond Returns'!CS32)+(Dashboard!$C$8*'Equity and Bond Returns'!GQ32)</f>
        <v>8.0674686867999626E-2</v>
      </c>
      <c r="CH32" s="119">
        <f ca="1">(Dashboard!$C$7*'Equity and Bond Returns'!CT32)+(Dashboard!$C$8*'Equity and Bond Returns'!GR32)</f>
        <v>0.15219170183677908</v>
      </c>
      <c r="CI32" s="119">
        <f ca="1">(Dashboard!$C$7*'Equity and Bond Returns'!CU32)+(Dashboard!$C$8*'Equity and Bond Returns'!GS32)</f>
        <v>-9.143683140081138E-2</v>
      </c>
      <c r="CJ32" s="119">
        <f ca="1">(Dashboard!$C$7*'Equity and Bond Returns'!CV32)+(Dashboard!$C$8*'Equity and Bond Returns'!GT32)</f>
        <v>0.18696002601829761</v>
      </c>
      <c r="CK32" s="119">
        <f ca="1">(Dashboard!$C$7*'Equity and Bond Returns'!CW32)+(Dashboard!$C$8*'Equity and Bond Returns'!GU32)</f>
        <v>3.3023010047278534E-2</v>
      </c>
      <c r="CL32" s="119">
        <f ca="1">(Dashboard!$C$7*'Equity and Bond Returns'!CX32)+(Dashboard!$C$8*'Equity and Bond Returns'!GV32)</f>
        <v>-1.5854692929788444E-2</v>
      </c>
      <c r="CM32" s="119">
        <f ca="1">(Dashboard!$C$7*'Equity and Bond Returns'!CY32)+(Dashboard!$C$8*'Equity and Bond Returns'!GW32)</f>
        <v>8.8803636258698096E-2</v>
      </c>
      <c r="CN32" s="119">
        <f ca="1">(Dashboard!$C$7*'Equity and Bond Returns'!CZ32)+(Dashboard!$C$8*'Equity and Bond Returns'!GX32)</f>
        <v>-0.10500333273270208</v>
      </c>
      <c r="CO32" s="119">
        <f ca="1">(Dashboard!$C$7*'Equity and Bond Returns'!DA32)+(Dashboard!$C$8*'Equity and Bond Returns'!GY32)</f>
        <v>-9.7120857511819356E-2</v>
      </c>
      <c r="CP32" s="119">
        <f ca="1">(Dashboard!$C$7*'Equity and Bond Returns'!DB32)+(Dashboard!$C$8*'Equity and Bond Returns'!GZ32)</f>
        <v>0.25907601140784448</v>
      </c>
      <c r="CQ32" s="119">
        <f ca="1">(Dashboard!$C$7*'Equity and Bond Returns'!DC32)+(Dashboard!$C$8*'Equity and Bond Returns'!HA32)</f>
        <v>0.57172673043216371</v>
      </c>
      <c r="CR32" s="119">
        <f ca="1">(Dashboard!$C$7*'Equity and Bond Returns'!DD32)+(Dashboard!$C$8*'Equity and Bond Returns'!HB32)</f>
        <v>0.36658537314616302</v>
      </c>
      <c r="CS32" s="119">
        <f ca="1">(Dashboard!$C$7*'Equity and Bond Returns'!DE32)+(Dashboard!$C$8*'Equity and Bond Returns'!HC32)</f>
        <v>5.1517315302306001E-2</v>
      </c>
      <c r="CT32" s="119">
        <f ca="1">(Dashboard!$C$7*'Equity and Bond Returns'!DF32)+(Dashboard!$C$8*'Equity and Bond Returns'!HD32)</f>
        <v>0.10810455203872552</v>
      </c>
      <c r="CU32" s="119">
        <f ca="1">(Dashboard!$C$7*'Equity and Bond Returns'!DG32)+(Dashboard!$C$8*'Equity and Bond Returns'!HE32)</f>
        <v>0.1285915783194507</v>
      </c>
      <c r="CV32" s="119">
        <f ca="1">(Dashboard!$C$7*'Equity and Bond Returns'!DH32)+(Dashboard!$C$8*'Equity and Bond Returns'!HF32)</f>
        <v>0.21902079585193407</v>
      </c>
      <c r="CW32" s="119">
        <f ca="1">(Dashboard!$C$7*'Equity and Bond Returns'!DI32)+(Dashboard!$C$8*'Equity and Bond Returns'!HG32)</f>
        <v>8.5172223738358699E-2</v>
      </c>
      <c r="CY32" s="147">
        <f t="shared" si="5"/>
        <v>81</v>
      </c>
      <c r="CZ32" s="147">
        <v>31</v>
      </c>
      <c r="DA32" s="126">
        <f ca="1">MAX(DA31*(1+B32)-(Dashboard!$C$11)/(1-Dashboard!$C$17)*((1+Dashboard!$C$12)^$CZ32),0)</f>
        <v>11241689.944874372</v>
      </c>
      <c r="DB32" s="126">
        <f ca="1">MAX(DB31*(1+C32)-(Dashboard!$C$11)/(1-Dashboard!$C$17)*((1+Dashboard!$C$12)^$CZ32),0)</f>
        <v>0</v>
      </c>
      <c r="DC32" s="126">
        <f ca="1">MAX(DC31*(1+D32)-(Dashboard!$C$11)/(1-Dashboard!$C$17)*((1+Dashboard!$C$12)^$CZ32),0)</f>
        <v>2576471.1743804291</v>
      </c>
      <c r="DD32" s="126">
        <f ca="1">MAX(DD31*(1+E32)-(Dashboard!$C$11)/(1-Dashboard!$C$17)*((1+Dashboard!$C$12)^$CZ32),0)</f>
        <v>542680.98495715938</v>
      </c>
      <c r="DE32" s="126">
        <f ca="1">MAX(DE31*(1+F32)-(Dashboard!$C$11)/(1-Dashboard!$C$17)*((1+Dashboard!$C$12)^$CZ32),0)</f>
        <v>3140896.3760338882</v>
      </c>
      <c r="DF32" s="126">
        <f ca="1">MAX(DF31*(1+G32)-(Dashboard!$C$11)/(1-Dashboard!$C$17)*((1+Dashboard!$C$12)^$CZ32),0)</f>
        <v>9556773.3202789016</v>
      </c>
      <c r="DG32" s="126">
        <f ca="1">MAX(DG31*(1+H32)-(Dashboard!$C$11)/(1-Dashboard!$C$17)*((1+Dashboard!$C$12)^$CZ32),0)</f>
        <v>0</v>
      </c>
      <c r="DH32" s="126">
        <f ca="1">MAX(DH31*(1+I32)-(Dashboard!$C$11)/(1-Dashboard!$C$17)*((1+Dashboard!$C$12)^$CZ32),0)</f>
        <v>10230430.284482021</v>
      </c>
      <c r="DI32" s="126">
        <f ca="1">MAX(DI31*(1+J32)-(Dashboard!$C$11)/(1-Dashboard!$C$17)*((1+Dashboard!$C$12)^$CZ32),0)</f>
        <v>2553224.2241318668</v>
      </c>
      <c r="DJ32" s="126">
        <f ca="1">MAX(DJ31*(1+K32)-(Dashboard!$C$11)/(1-Dashboard!$C$17)*((1+Dashboard!$C$12)^$CZ32),0)</f>
        <v>6007460.3917745957</v>
      </c>
      <c r="DK32" s="126">
        <f ca="1">MAX(DK31*(1+L32)-(Dashboard!$C$11)/(1-Dashboard!$C$17)*((1+Dashboard!$C$12)^$CZ32),0)</f>
        <v>9850167.2321534995</v>
      </c>
      <c r="DL32" s="126">
        <f ca="1">MAX(DL31*(1+M32)-(Dashboard!$C$11)/(1-Dashboard!$C$17)*((1+Dashboard!$C$12)^$CZ32),0)</f>
        <v>753698.34728512028</v>
      </c>
      <c r="DM32" s="126">
        <f ca="1">MAX(DM31*(1+N32)-(Dashboard!$C$11)/(1-Dashboard!$C$17)*((1+Dashboard!$C$12)^$CZ32),0)</f>
        <v>5362202.5061396342</v>
      </c>
      <c r="DN32" s="126">
        <f ca="1">MAX(DN31*(1+O32)-(Dashboard!$C$11)/(1-Dashboard!$C$17)*((1+Dashboard!$C$12)^$CZ32),0)</f>
        <v>20628281.378844097</v>
      </c>
      <c r="DO32" s="126">
        <f ca="1">MAX(DO31*(1+P32)-(Dashboard!$C$11)/(1-Dashboard!$C$17)*((1+Dashboard!$C$12)^$CZ32),0)</f>
        <v>2300983.5352341365</v>
      </c>
      <c r="DP32" s="126">
        <f ca="1">MAX(DP31*(1+Q32)-(Dashboard!$C$11)/(1-Dashboard!$C$17)*((1+Dashboard!$C$12)^$CZ32),0)</f>
        <v>837326.76875106373</v>
      </c>
      <c r="DQ32" s="126">
        <f ca="1">MAX(DQ31*(1+R32)-(Dashboard!$C$11)/(1-Dashboard!$C$17)*((1+Dashboard!$C$12)^$CZ32),0)</f>
        <v>4662897.3928573281</v>
      </c>
      <c r="DR32" s="126">
        <f ca="1">MAX(DR31*(1+S32)-(Dashboard!$C$11)/(1-Dashboard!$C$17)*((1+Dashboard!$C$12)^$CZ32),0)</f>
        <v>5521262.8810886955</v>
      </c>
      <c r="DS32" s="126">
        <f ca="1">MAX(DS31*(1+T32)-(Dashboard!$C$11)/(1-Dashboard!$C$17)*((1+Dashboard!$C$12)^$CZ32),0)</f>
        <v>386211.46775176836</v>
      </c>
      <c r="DT32" s="126">
        <f ca="1">MAX(DT31*(1+U32)-(Dashboard!$C$11)/(1-Dashboard!$C$17)*((1+Dashboard!$C$12)^$CZ32),0)</f>
        <v>1609201.428851339</v>
      </c>
      <c r="DU32" s="126">
        <f ca="1">MAX(DU31*(1+V32)-(Dashboard!$C$11)/(1-Dashboard!$C$17)*((1+Dashboard!$C$12)^$CZ32),0)</f>
        <v>3296145.1870358502</v>
      </c>
      <c r="DV32" s="126">
        <f ca="1">MAX(DV31*(1+W32)-(Dashboard!$C$11)/(1-Dashboard!$C$17)*((1+Dashboard!$C$12)^$CZ32),0)</f>
        <v>15358994.381669421</v>
      </c>
      <c r="DW32" s="126">
        <f ca="1">MAX(DW31*(1+X32)-(Dashboard!$C$11)/(1-Dashboard!$C$17)*((1+Dashboard!$C$12)^$CZ32),0)</f>
        <v>4715609.9028673079</v>
      </c>
      <c r="DX32" s="126">
        <f ca="1">MAX(DX31*(1+Y32)-(Dashboard!$C$11)/(1-Dashboard!$C$17)*((1+Dashboard!$C$12)^$CZ32),0)</f>
        <v>1530221.9460235604</v>
      </c>
      <c r="DY32" s="126">
        <f ca="1">MAX(DY31*(1+Z32)-(Dashboard!$C$11)/(1-Dashboard!$C$17)*((1+Dashboard!$C$12)^$CZ32),0)</f>
        <v>7423612.6751554757</v>
      </c>
      <c r="DZ32" s="126">
        <f ca="1">MAX(DZ31*(1+AA32)-(Dashboard!$C$11)/(1-Dashboard!$C$17)*((1+Dashboard!$C$12)^$CZ32),0)</f>
        <v>2507704.4982864335</v>
      </c>
      <c r="EA32" s="126">
        <f ca="1">MAX(EA31*(1+AB32)-(Dashboard!$C$11)/(1-Dashboard!$C$17)*((1+Dashboard!$C$12)^$CZ32),0)</f>
        <v>1943663.8655724707</v>
      </c>
      <c r="EB32" s="126">
        <f ca="1">MAX(EB31*(1+AC32)-(Dashboard!$C$11)/(1-Dashboard!$C$17)*((1+Dashboard!$C$12)^$CZ32),0)</f>
        <v>3736124.8781280112</v>
      </c>
      <c r="EC32" s="126">
        <f ca="1">MAX(EC31*(1+AD32)-(Dashboard!$C$11)/(1-Dashboard!$C$17)*((1+Dashboard!$C$12)^$CZ32),0)</f>
        <v>2828201.7462156736</v>
      </c>
      <c r="ED32" s="126">
        <f ca="1">MAX(ED31*(1+AE32)-(Dashboard!$C$11)/(1-Dashboard!$C$17)*((1+Dashboard!$C$12)^$CZ32),0)</f>
        <v>2105802.3068201141</v>
      </c>
      <c r="EE32" s="126">
        <f ca="1">MAX(EE31*(1+AF32)-(Dashboard!$C$11)/(1-Dashboard!$C$17)*((1+Dashboard!$C$12)^$CZ32),0)</f>
        <v>9838262.8340570088</v>
      </c>
      <c r="EF32" s="126">
        <f ca="1">MAX(EF31*(1+AG32)-(Dashboard!$C$11)/(1-Dashboard!$C$17)*((1+Dashboard!$C$12)^$CZ32),0)</f>
        <v>427912.44300777506</v>
      </c>
      <c r="EG32" s="126">
        <f ca="1">MAX(EG31*(1+AH32)-(Dashboard!$C$11)/(1-Dashboard!$C$17)*((1+Dashboard!$C$12)^$CZ32),0)</f>
        <v>4742587.0435370384</v>
      </c>
      <c r="EH32" s="126">
        <f ca="1">MAX(EH31*(1+AI32)-(Dashboard!$C$11)/(1-Dashboard!$C$17)*((1+Dashboard!$C$12)^$CZ32),0)</f>
        <v>5666051.4778761389</v>
      </c>
      <c r="EI32" s="126">
        <f ca="1">MAX(EI31*(1+AJ32)-(Dashboard!$C$11)/(1-Dashboard!$C$17)*((1+Dashboard!$C$12)^$CZ32),0)</f>
        <v>0</v>
      </c>
      <c r="EJ32" s="126">
        <f ca="1">MAX(EJ31*(1+AK32)-(Dashboard!$C$11)/(1-Dashboard!$C$17)*((1+Dashboard!$C$12)^$CZ32),0)</f>
        <v>3306964.4947780888</v>
      </c>
      <c r="EK32" s="126">
        <f ca="1">MAX(EK31*(1+AL32)-(Dashboard!$C$11)/(1-Dashboard!$C$17)*((1+Dashboard!$C$12)^$CZ32),0)</f>
        <v>5010589.8035717038</v>
      </c>
      <c r="EL32" s="126">
        <f ca="1">MAX(EL31*(1+AM32)-(Dashboard!$C$11)/(1-Dashboard!$C$17)*((1+Dashboard!$C$12)^$CZ32),0)</f>
        <v>1509870.5548709671</v>
      </c>
      <c r="EM32" s="126">
        <f ca="1">MAX(EM31*(1+AN32)-(Dashboard!$C$11)/(1-Dashboard!$C$17)*((1+Dashboard!$C$12)^$CZ32),0)</f>
        <v>6782930.1735149873</v>
      </c>
      <c r="EN32" s="126">
        <f ca="1">MAX(EN31*(1+AO32)-(Dashboard!$C$11)/(1-Dashboard!$C$17)*((1+Dashboard!$C$12)^$CZ32),0)</f>
        <v>2495602.610745539</v>
      </c>
      <c r="EO32" s="126">
        <f ca="1">MAX(EO31*(1+AP32)-(Dashboard!$C$11)/(1-Dashboard!$C$17)*((1+Dashboard!$C$12)^$CZ32),0)</f>
        <v>0</v>
      </c>
      <c r="EP32" s="126">
        <f ca="1">MAX(EP31*(1+AQ32)-(Dashboard!$C$11)/(1-Dashboard!$C$17)*((1+Dashboard!$C$12)^$CZ32),0)</f>
        <v>2003325.1208876134</v>
      </c>
      <c r="EQ32" s="126">
        <f ca="1">MAX(EQ31*(1+AR32)-(Dashboard!$C$11)/(1-Dashboard!$C$17)*((1+Dashboard!$C$12)^$CZ32),0)</f>
        <v>2630099.4289380135</v>
      </c>
      <c r="ER32" s="126">
        <f ca="1">MAX(ER31*(1+AS32)-(Dashboard!$C$11)/(1-Dashboard!$C$17)*((1+Dashboard!$C$12)^$CZ32),0)</f>
        <v>0</v>
      </c>
      <c r="ES32" s="126">
        <f ca="1">MAX(ES31*(1+AT32)-(Dashboard!$C$11)/(1-Dashboard!$C$17)*((1+Dashboard!$C$12)^$CZ32),0)</f>
        <v>8756880.69196859</v>
      </c>
      <c r="ET32" s="126">
        <f ca="1">MAX(ET31*(1+AU32)-(Dashboard!$C$11)/(1-Dashboard!$C$17)*((1+Dashboard!$C$12)^$CZ32),0)</f>
        <v>3146781.377961447</v>
      </c>
      <c r="EU32" s="126">
        <f ca="1">MAX(EU31*(1+AV32)-(Dashboard!$C$11)/(1-Dashboard!$C$17)*((1+Dashboard!$C$12)^$CZ32),0)</f>
        <v>1814912.2214467216</v>
      </c>
      <c r="EV32" s="126">
        <f ca="1">MAX(EV31*(1+AW32)-(Dashboard!$C$11)/(1-Dashboard!$C$17)*((1+Dashboard!$C$12)^$CZ32),0)</f>
        <v>23142791.891459625</v>
      </c>
      <c r="EW32" s="126">
        <f ca="1">MAX(EW31*(1+AX32)-(Dashboard!$C$11)/(1-Dashboard!$C$17)*((1+Dashboard!$C$12)^$CZ32),0)</f>
        <v>1230387.5666120611</v>
      </c>
      <c r="EX32" s="126">
        <f ca="1">MAX(EX31*(1+AY32)-(Dashboard!$C$11)/(1-Dashboard!$C$17)*((1+Dashboard!$C$12)^$CZ32),0)</f>
        <v>2817954.8839959921</v>
      </c>
      <c r="EY32" s="126">
        <f ca="1">MAX(EY31*(1+AZ32)-(Dashboard!$C$11)/(1-Dashboard!$C$17)*((1+Dashboard!$C$12)^$CZ32),0)</f>
        <v>10126756.73689484</v>
      </c>
      <c r="EZ32" s="126">
        <f ca="1">MAX(EZ31*(1+BA32)-(Dashboard!$C$11)/(1-Dashboard!$C$17)*((1+Dashboard!$C$12)^$CZ32),0)</f>
        <v>2266869.5823582709</v>
      </c>
      <c r="FA32" s="126">
        <f ca="1">MAX(FA31*(1+BB32)-(Dashboard!$C$11)/(1-Dashboard!$C$17)*((1+Dashboard!$C$12)^$CZ32),0)</f>
        <v>10117690.657444181</v>
      </c>
      <c r="FB32" s="126">
        <f ca="1">MAX(FB31*(1+BC32)-(Dashboard!$C$11)/(1-Dashboard!$C$17)*((1+Dashboard!$C$12)^$CZ32),0)</f>
        <v>746258.22073177597</v>
      </c>
      <c r="FC32" s="126">
        <f ca="1">MAX(FC31*(1+BD32)-(Dashboard!$C$11)/(1-Dashboard!$C$17)*((1+Dashboard!$C$12)^$CZ32),0)</f>
        <v>10095225.739523845</v>
      </c>
      <c r="FD32" s="126">
        <f ca="1">MAX(FD31*(1+BE32)-(Dashboard!$C$11)/(1-Dashboard!$C$17)*((1+Dashboard!$C$12)^$CZ32),0)</f>
        <v>10450007.204519676</v>
      </c>
      <c r="FE32" s="126">
        <f ca="1">MAX(FE31*(1+BF32)-(Dashboard!$C$11)/(1-Dashboard!$C$17)*((1+Dashboard!$C$12)^$CZ32),0)</f>
        <v>10580959.170020783</v>
      </c>
      <c r="FF32" s="126">
        <f ca="1">MAX(FF31*(1+BG32)-(Dashboard!$C$11)/(1-Dashboard!$C$17)*((1+Dashboard!$C$12)^$CZ32),0)</f>
        <v>2106234.3192222165</v>
      </c>
      <c r="FG32" s="126">
        <f ca="1">MAX(FG31*(1+BH32)-(Dashboard!$C$11)/(1-Dashboard!$C$17)*((1+Dashboard!$C$12)^$CZ32),0)</f>
        <v>1423381.4669345641</v>
      </c>
      <c r="FH32" s="126">
        <f ca="1">MAX(FH31*(1+BI32)-(Dashboard!$C$11)/(1-Dashboard!$C$17)*((1+Dashboard!$C$12)^$CZ32),0)</f>
        <v>3107283.9453365807</v>
      </c>
      <c r="FI32" s="126">
        <f ca="1">MAX(FI31*(1+BJ32)-(Dashboard!$C$11)/(1-Dashboard!$C$17)*((1+Dashboard!$C$12)^$CZ32),0)</f>
        <v>4918890.6930523263</v>
      </c>
      <c r="FJ32" s="126">
        <f ca="1">MAX(FJ31*(1+BK32)-(Dashboard!$C$11)/(1-Dashboard!$C$17)*((1+Dashboard!$C$12)^$CZ32),0)</f>
        <v>1927495.9747501581</v>
      </c>
      <c r="FK32" s="126">
        <f ca="1">MAX(FK31*(1+BL32)-(Dashboard!$C$11)/(1-Dashboard!$C$17)*((1+Dashboard!$C$12)^$CZ32),0)</f>
        <v>3228748.389870856</v>
      </c>
      <c r="FL32" s="126">
        <f ca="1">MAX(FL31*(1+BM32)-(Dashboard!$C$11)/(1-Dashboard!$C$17)*((1+Dashboard!$C$12)^$CZ32),0)</f>
        <v>1628830.7089556784</v>
      </c>
      <c r="FM32" s="126">
        <f ca="1">MAX(FM31*(1+BN32)-(Dashboard!$C$11)/(1-Dashboard!$C$17)*((1+Dashboard!$C$12)^$CZ32),0)</f>
        <v>4094883.9416053602</v>
      </c>
      <c r="FN32" s="126">
        <f ca="1">MAX(FN31*(1+BO32)-(Dashboard!$C$11)/(1-Dashboard!$C$17)*((1+Dashboard!$C$12)^$CZ32),0)</f>
        <v>0</v>
      </c>
      <c r="FO32" s="126">
        <f ca="1">MAX(FO31*(1+BP32)-(Dashboard!$C$11)/(1-Dashboard!$C$17)*((1+Dashboard!$C$12)^$CZ32),0)</f>
        <v>3054767.3234001626</v>
      </c>
      <c r="FP32" s="126">
        <f ca="1">MAX(FP31*(1+BQ32)-(Dashboard!$C$11)/(1-Dashboard!$C$17)*((1+Dashboard!$C$12)^$CZ32),0)</f>
        <v>2147331.7450070493</v>
      </c>
      <c r="FQ32" s="126">
        <f ca="1">MAX(FQ31*(1+BR32)-(Dashboard!$C$11)/(1-Dashboard!$C$17)*((1+Dashboard!$C$12)^$CZ32),0)</f>
        <v>1309381.2790953051</v>
      </c>
      <c r="FR32" s="126">
        <f ca="1">MAX(FR31*(1+BS32)-(Dashboard!$C$11)/(1-Dashboard!$C$17)*((1+Dashboard!$C$12)^$CZ32),0)</f>
        <v>4152672.5058506429</v>
      </c>
      <c r="FS32" s="126">
        <f ca="1">MAX(FS31*(1+BT32)-(Dashboard!$C$11)/(1-Dashboard!$C$17)*((1+Dashboard!$C$12)^$CZ32),0)</f>
        <v>5147789.9099513469</v>
      </c>
      <c r="FT32" s="126">
        <f ca="1">MAX(FT31*(1+BU32)-(Dashboard!$C$11)/(1-Dashboard!$C$17)*((1+Dashboard!$C$12)^$CZ32),0)</f>
        <v>382034.77911293006</v>
      </c>
      <c r="FU32" s="126">
        <f ca="1">MAX(FU31*(1+BV32)-(Dashboard!$C$11)/(1-Dashboard!$C$17)*((1+Dashboard!$C$12)^$CZ32),0)</f>
        <v>2030048.4066010048</v>
      </c>
      <c r="FV32" s="126">
        <f ca="1">MAX(FV31*(1+BW32)-(Dashboard!$C$11)/(1-Dashboard!$C$17)*((1+Dashboard!$C$12)^$CZ32),0)</f>
        <v>3829661.1218363647</v>
      </c>
      <c r="FW32" s="126">
        <f ca="1">MAX(FW31*(1+BX32)-(Dashboard!$C$11)/(1-Dashboard!$C$17)*((1+Dashboard!$C$12)^$CZ32),0)</f>
        <v>1777054.1249055304</v>
      </c>
      <c r="FX32" s="126">
        <f ca="1">MAX(FX31*(1+BY32)-(Dashboard!$C$11)/(1-Dashboard!$C$17)*((1+Dashboard!$C$12)^$CZ32),0)</f>
        <v>149787.08350943943</v>
      </c>
      <c r="FY32" s="126">
        <f ca="1">MAX(FY31*(1+BZ32)-(Dashboard!$C$11)/(1-Dashboard!$C$17)*((1+Dashboard!$C$12)^$CZ32),0)</f>
        <v>654113.59353506682</v>
      </c>
      <c r="FZ32" s="126">
        <f ca="1">MAX(FZ31*(1+CA32)-(Dashboard!$C$11)/(1-Dashboard!$C$17)*((1+Dashboard!$C$12)^$CZ32),0)</f>
        <v>6385596.7478408888</v>
      </c>
      <c r="GA32" s="126">
        <f ca="1">MAX(GA31*(1+CB32)-(Dashboard!$C$11)/(1-Dashboard!$C$17)*((1+Dashboard!$C$12)^$CZ32),0)</f>
        <v>5585910.4645791259</v>
      </c>
      <c r="GB32" s="126">
        <f ca="1">MAX(GB31*(1+CC32)-(Dashboard!$C$11)/(1-Dashboard!$C$17)*((1+Dashboard!$C$12)^$CZ32),0)</f>
        <v>2316692.5087033175</v>
      </c>
      <c r="GC32" s="126">
        <f ca="1">MAX(GC31*(1+CD32)-(Dashboard!$C$11)/(1-Dashboard!$C$17)*((1+Dashboard!$C$12)^$CZ32),0)</f>
        <v>4377085.2642068164</v>
      </c>
      <c r="GD32" s="126">
        <f ca="1">MAX(GD31*(1+CE32)-(Dashboard!$C$11)/(1-Dashboard!$C$17)*((1+Dashboard!$C$12)^$CZ32),0)</f>
        <v>14498823.515331779</v>
      </c>
      <c r="GE32" s="126">
        <f ca="1">MAX(GE31*(1+CF32)-(Dashboard!$C$11)/(1-Dashboard!$C$17)*((1+Dashboard!$C$12)^$CZ32),0)</f>
        <v>3529201.6071072142</v>
      </c>
      <c r="GF32" s="126">
        <f ca="1">MAX(GF31*(1+CG32)-(Dashboard!$C$11)/(1-Dashboard!$C$17)*((1+Dashboard!$C$12)^$CZ32),0)</f>
        <v>3151618.2051305217</v>
      </c>
      <c r="GG32" s="126">
        <f ca="1">MAX(GG31*(1+CH32)-(Dashboard!$C$11)/(1-Dashboard!$C$17)*((1+Dashboard!$C$12)^$CZ32),0)</f>
        <v>681633.28822736163</v>
      </c>
      <c r="GH32" s="126">
        <f ca="1">MAX(GH31*(1+CI32)-(Dashboard!$C$11)/(1-Dashboard!$C$17)*((1+Dashboard!$C$12)^$CZ32),0)</f>
        <v>1376959.3248435014</v>
      </c>
      <c r="GI32" s="126">
        <f ca="1">MAX(GI31*(1+CJ32)-(Dashboard!$C$11)/(1-Dashboard!$C$17)*((1+Dashboard!$C$12)^$CZ32),0)</f>
        <v>2184716.7715440211</v>
      </c>
      <c r="GJ32" s="126">
        <f ca="1">MAX(GJ31*(1+CK32)-(Dashboard!$C$11)/(1-Dashboard!$C$17)*((1+Dashboard!$C$12)^$CZ32),0)</f>
        <v>10238535.396399282</v>
      </c>
      <c r="GK32" s="126">
        <f ca="1">MAX(GK31*(1+CL32)-(Dashboard!$C$11)/(1-Dashboard!$C$17)*((1+Dashboard!$C$12)^$CZ32),0)</f>
        <v>3870986.735860589</v>
      </c>
      <c r="GL32" s="126">
        <f ca="1">MAX(GL31*(1+CM32)-(Dashboard!$C$11)/(1-Dashboard!$C$17)*((1+Dashboard!$C$12)^$CZ32),0)</f>
        <v>5408040.6063763024</v>
      </c>
      <c r="GM32" s="126">
        <f ca="1">MAX(GM31*(1+CN32)-(Dashboard!$C$11)/(1-Dashboard!$C$17)*((1+Dashboard!$C$12)^$CZ32),0)</f>
        <v>412483.34381104913</v>
      </c>
      <c r="GN32" s="126">
        <f ca="1">MAX(GN31*(1+CO32)-(Dashboard!$C$11)/(1-Dashboard!$C$17)*((1+Dashboard!$C$12)^$CZ32),0)</f>
        <v>0</v>
      </c>
      <c r="GO32" s="126">
        <f ca="1">MAX(GO31*(1+CP32)-(Dashboard!$C$11)/(1-Dashboard!$C$17)*((1+Dashboard!$C$12)^$CZ32),0)</f>
        <v>1334870.9994297177</v>
      </c>
      <c r="GP32" s="126">
        <f ca="1">MAX(GP31*(1+CQ32)-(Dashboard!$C$11)/(1-Dashboard!$C$17)*((1+Dashboard!$C$12)^$CZ32),0)</f>
        <v>5213509.6614807444</v>
      </c>
      <c r="GQ32" s="126">
        <f ca="1">MAX(GQ31*(1+CR32)-(Dashboard!$C$11)/(1-Dashboard!$C$17)*((1+Dashboard!$C$12)^$CZ32),0)</f>
        <v>0</v>
      </c>
      <c r="GR32" s="126">
        <f ca="1">MAX(GR31*(1+CS32)-(Dashboard!$C$11)/(1-Dashboard!$C$17)*((1+Dashboard!$C$12)^$CZ32),0)</f>
        <v>2027498.6106191687</v>
      </c>
      <c r="GS32" s="126">
        <f ca="1">MAX(GS31*(1+CT32)-(Dashboard!$C$11)/(1-Dashboard!$C$17)*((1+Dashboard!$C$12)^$CZ32),0)</f>
        <v>5781131.422960571</v>
      </c>
      <c r="GT32" s="126">
        <f ca="1">MAX(GT31*(1+CU32)-(Dashboard!$C$11)/(1-Dashboard!$C$17)*((1+Dashboard!$C$12)^$CZ32),0)</f>
        <v>15578364.692622542</v>
      </c>
      <c r="GU32" s="126">
        <f ca="1">MAX(GU31*(1+CV32)-(Dashboard!$C$11)/(1-Dashboard!$C$17)*((1+Dashboard!$C$12)^$CZ32),0)</f>
        <v>1921668.6417029663</v>
      </c>
      <c r="GV32" s="126">
        <f ca="1">MAX(GV31*(1+CW32)-(Dashboard!$C$11)/(1-Dashboard!$C$17)*((1+Dashboard!$C$12)^$CZ32),0)</f>
        <v>575364.61834327329</v>
      </c>
      <c r="GW32" s="115">
        <f t="shared" si="4"/>
        <v>81</v>
      </c>
      <c r="GX32" s="130">
        <f t="shared" ca="1" si="2"/>
        <v>92</v>
      </c>
      <c r="HC32" s="130">
        <f t="shared" si="0"/>
        <v>81</v>
      </c>
      <c r="HD32" s="137">
        <f t="shared" ca="1" si="6"/>
        <v>1388564.8603662672</v>
      </c>
      <c r="HE32" s="137">
        <f t="shared" ca="1" si="6"/>
        <v>2724027.1564670028</v>
      </c>
      <c r="HF32" s="137">
        <f t="shared" ca="1" si="6"/>
        <v>5396581.0813171351</v>
      </c>
    </row>
    <row r="33" spans="1:214" ht="16">
      <c r="A33" s="145">
        <f t="shared" si="3"/>
        <v>82</v>
      </c>
      <c r="B33" s="119">
        <f ca="1">(Dashboard!$C$7*'Equity and Bond Returns'!N33)+(Dashboard!$C$8*'Equity and Bond Returns'!DL33)</f>
        <v>0.10349365901318346</v>
      </c>
      <c r="C33" s="119">
        <f ca="1">(Dashboard!$C$7*'Equity and Bond Returns'!O33)+(Dashboard!$C$8*'Equity and Bond Returns'!DM33)</f>
        <v>4.8495680581898633E-2</v>
      </c>
      <c r="D33" s="119">
        <f ca="1">(Dashboard!$C$7*'Equity and Bond Returns'!P33)+(Dashboard!$C$8*'Equity and Bond Returns'!DN33)</f>
        <v>0.16407534039149069</v>
      </c>
      <c r="E33" s="119">
        <f ca="1">(Dashboard!$C$7*'Equity and Bond Returns'!Q33)+(Dashboard!$C$8*'Equity and Bond Returns'!DO33)</f>
        <v>-0.13080538752744528</v>
      </c>
      <c r="F33" s="119">
        <f ca="1">(Dashboard!$C$7*'Equity and Bond Returns'!R33)+(Dashboard!$C$8*'Equity and Bond Returns'!DP33)</f>
        <v>-5.6286690453247142E-2</v>
      </c>
      <c r="G33" s="119">
        <f ca="1">(Dashboard!$C$7*'Equity and Bond Returns'!S33)+(Dashboard!$C$8*'Equity and Bond Returns'!DQ33)</f>
        <v>-7.4971484241271619E-2</v>
      </c>
      <c r="H33" s="119">
        <f ca="1">(Dashboard!$C$7*'Equity and Bond Returns'!T33)+(Dashboard!$C$8*'Equity and Bond Returns'!DR33)</f>
        <v>-0.20162188088995364</v>
      </c>
      <c r="I33" s="119">
        <f ca="1">(Dashboard!$C$7*'Equity and Bond Returns'!U33)+(Dashboard!$C$8*'Equity and Bond Returns'!DS33)</f>
        <v>7.6826235184706299E-2</v>
      </c>
      <c r="J33" s="119">
        <f ca="1">(Dashboard!$C$7*'Equity and Bond Returns'!V33)+(Dashboard!$C$8*'Equity and Bond Returns'!DT33)</f>
        <v>0.15687688001844105</v>
      </c>
      <c r="K33" s="119">
        <f ca="1">(Dashboard!$C$7*'Equity and Bond Returns'!W33)+(Dashboard!$C$8*'Equity and Bond Returns'!DU33)</f>
        <v>-2.374839277668387E-2</v>
      </c>
      <c r="L33" s="119">
        <f ca="1">(Dashboard!$C$7*'Equity and Bond Returns'!X33)+(Dashboard!$C$8*'Equity and Bond Returns'!DV33)</f>
        <v>-5.5382098762405192E-2</v>
      </c>
      <c r="M33" s="119">
        <f ca="1">(Dashboard!$C$7*'Equity and Bond Returns'!Y33)+(Dashboard!$C$8*'Equity and Bond Returns'!DW33)</f>
        <v>0.14974142657000494</v>
      </c>
      <c r="N33" s="119">
        <f ca="1">(Dashboard!$C$7*'Equity and Bond Returns'!Z33)+(Dashboard!$C$8*'Equity and Bond Returns'!DX33)</f>
        <v>-5.2726383475442708E-2</v>
      </c>
      <c r="O33" s="119">
        <f ca="1">(Dashboard!$C$7*'Equity and Bond Returns'!AA33)+(Dashboard!$C$8*'Equity and Bond Returns'!DY33)</f>
        <v>0.12991790769001299</v>
      </c>
      <c r="P33" s="119">
        <f ca="1">(Dashboard!$C$7*'Equity and Bond Returns'!AB33)+(Dashboard!$C$8*'Equity and Bond Returns'!DZ33)</f>
        <v>-4.7521804140592719E-2</v>
      </c>
      <c r="Q33" s="119">
        <f ca="1">(Dashboard!$C$7*'Equity and Bond Returns'!AC33)+(Dashboard!$C$8*'Equity and Bond Returns'!EA33)</f>
        <v>7.6334739493318267E-4</v>
      </c>
      <c r="R33" s="119">
        <f ca="1">(Dashboard!$C$7*'Equity and Bond Returns'!AD33)+(Dashboard!$C$8*'Equity and Bond Returns'!EB33)</f>
        <v>-2.8803303060496728E-2</v>
      </c>
      <c r="S33" s="119">
        <f ca="1">(Dashboard!$C$7*'Equity and Bond Returns'!AE33)+(Dashboard!$C$8*'Equity and Bond Returns'!EC33)</f>
        <v>0.10947786929844952</v>
      </c>
      <c r="T33" s="119">
        <f ca="1">(Dashboard!$C$7*'Equity and Bond Returns'!AF33)+(Dashboard!$C$8*'Equity and Bond Returns'!ED33)</f>
        <v>3.5550130019521349E-2</v>
      </c>
      <c r="U33" s="119">
        <f ca="1">(Dashboard!$C$7*'Equity and Bond Returns'!AG33)+(Dashboard!$C$8*'Equity and Bond Returns'!EE33)</f>
        <v>-0.33994691644296426</v>
      </c>
      <c r="V33" s="119">
        <f ca="1">(Dashboard!$C$7*'Equity and Bond Returns'!AH33)+(Dashboard!$C$8*'Equity and Bond Returns'!EF33)</f>
        <v>0.110294024135835</v>
      </c>
      <c r="W33" s="119">
        <f ca="1">(Dashboard!$C$7*'Equity and Bond Returns'!AI33)+(Dashboard!$C$8*'Equity and Bond Returns'!EG33)</f>
        <v>0.26725026929391438</v>
      </c>
      <c r="X33" s="119">
        <f ca="1">(Dashboard!$C$7*'Equity and Bond Returns'!AJ33)+(Dashboard!$C$8*'Equity and Bond Returns'!EH33)</f>
        <v>-8.4444765433091706E-2</v>
      </c>
      <c r="Y33" s="119">
        <f ca="1">(Dashboard!$C$7*'Equity and Bond Returns'!AK33)+(Dashboard!$C$8*'Equity and Bond Returns'!EI33)</f>
        <v>4.9518446800600802E-2</v>
      </c>
      <c r="Z33" s="119">
        <f ca="1">(Dashboard!$C$7*'Equity and Bond Returns'!AL33)+(Dashboard!$C$8*'Equity and Bond Returns'!EJ33)</f>
        <v>0.11719309591409599</v>
      </c>
      <c r="AA33" s="119">
        <f ca="1">(Dashboard!$C$7*'Equity and Bond Returns'!AM33)+(Dashboard!$C$8*'Equity and Bond Returns'!EK33)</f>
        <v>3.1928104939638359E-2</v>
      </c>
      <c r="AB33" s="119">
        <f ca="1">(Dashboard!$C$7*'Equity and Bond Returns'!AN33)+(Dashboard!$C$8*'Equity and Bond Returns'!EL33)</f>
        <v>7.1790596088975103E-2</v>
      </c>
      <c r="AC33" s="119">
        <f ca="1">(Dashboard!$C$7*'Equity and Bond Returns'!AO33)+(Dashboard!$C$8*'Equity and Bond Returns'!EM33)</f>
        <v>0.12097973747642436</v>
      </c>
      <c r="AD33" s="119">
        <f ca="1">(Dashboard!$C$7*'Equity and Bond Returns'!AP33)+(Dashboard!$C$8*'Equity and Bond Returns'!EN33)</f>
        <v>0.15045888715140748</v>
      </c>
      <c r="AE33" s="119">
        <f ca="1">(Dashboard!$C$7*'Equity and Bond Returns'!AQ33)+(Dashboard!$C$8*'Equity and Bond Returns'!EO33)</f>
        <v>-5.5282346279213579E-2</v>
      </c>
      <c r="AF33" s="119">
        <f ca="1">(Dashboard!$C$7*'Equity and Bond Returns'!AR33)+(Dashboard!$C$8*'Equity and Bond Returns'!EP33)</f>
        <v>4.9020628466335425E-2</v>
      </c>
      <c r="AG33" s="119">
        <f ca="1">(Dashboard!$C$7*'Equity and Bond Returns'!AS33)+(Dashboard!$C$8*'Equity and Bond Returns'!EQ33)</f>
        <v>5.7974160366595509E-3</v>
      </c>
      <c r="AH33" s="119">
        <f ca="1">(Dashboard!$C$7*'Equity and Bond Returns'!AT33)+(Dashboard!$C$8*'Equity and Bond Returns'!ER33)</f>
        <v>-7.9881010751741505E-2</v>
      </c>
      <c r="AI33" s="119">
        <f ca="1">(Dashboard!$C$7*'Equity and Bond Returns'!AU33)+(Dashboard!$C$8*'Equity and Bond Returns'!ES33)</f>
        <v>0.15791583833639641</v>
      </c>
      <c r="AJ33" s="119">
        <f ca="1">(Dashboard!$C$7*'Equity and Bond Returns'!AV33)+(Dashboard!$C$8*'Equity and Bond Returns'!ET33)</f>
        <v>5.5216467346535292E-2</v>
      </c>
      <c r="AK33" s="119">
        <f ca="1">(Dashboard!$C$7*'Equity and Bond Returns'!AW33)+(Dashboard!$C$8*'Equity and Bond Returns'!EU33)</f>
        <v>-3.641847585563248E-2</v>
      </c>
      <c r="AL33" s="119">
        <f ca="1">(Dashboard!$C$7*'Equity and Bond Returns'!AX33)+(Dashboard!$C$8*'Equity and Bond Returns'!EV33)</f>
        <v>0.15406728805619999</v>
      </c>
      <c r="AM33" s="119">
        <f ca="1">(Dashboard!$C$7*'Equity and Bond Returns'!AY33)+(Dashboard!$C$8*'Equity and Bond Returns'!EW33)</f>
        <v>0.13735597800772562</v>
      </c>
      <c r="AN33" s="119">
        <f ca="1">(Dashboard!$C$7*'Equity and Bond Returns'!AZ33)+(Dashboard!$C$8*'Equity and Bond Returns'!EX33)</f>
        <v>4.0075252528755288E-2</v>
      </c>
      <c r="AO33" s="119">
        <f ca="1">(Dashboard!$C$7*'Equity and Bond Returns'!BA33)+(Dashboard!$C$8*'Equity and Bond Returns'!EY33)</f>
        <v>-0.24220993425694839</v>
      </c>
      <c r="AP33" s="119">
        <f ca="1">(Dashboard!$C$7*'Equity and Bond Returns'!BB33)+(Dashboard!$C$8*'Equity and Bond Returns'!EZ33)</f>
        <v>0.10377656261783566</v>
      </c>
      <c r="AQ33" s="119">
        <f ca="1">(Dashboard!$C$7*'Equity and Bond Returns'!BC33)+(Dashboard!$C$8*'Equity and Bond Returns'!FA33)</f>
        <v>5.9986395691840895E-2</v>
      </c>
      <c r="AR33" s="119">
        <f ca="1">(Dashboard!$C$7*'Equity and Bond Returns'!BD33)+(Dashboard!$C$8*'Equity and Bond Returns'!FB33)</f>
        <v>4.9662674179258674E-2</v>
      </c>
      <c r="AS33" s="119">
        <f ca="1">(Dashboard!$C$7*'Equity and Bond Returns'!BE33)+(Dashboard!$C$8*'Equity and Bond Returns'!FC33)</f>
        <v>0.20516514685291404</v>
      </c>
      <c r="AT33" s="119">
        <f ca="1">(Dashboard!$C$7*'Equity and Bond Returns'!BF33)+(Dashboard!$C$8*'Equity and Bond Returns'!FD33)</f>
        <v>0.23493638158682839</v>
      </c>
      <c r="AU33" s="119">
        <f ca="1">(Dashboard!$C$7*'Equity and Bond Returns'!BG33)+(Dashboard!$C$8*'Equity and Bond Returns'!FE33)</f>
        <v>0.14691742162583535</v>
      </c>
      <c r="AV33" s="119">
        <f ca="1">(Dashboard!$C$7*'Equity and Bond Returns'!BH33)+(Dashboard!$C$8*'Equity and Bond Returns'!FF33)</f>
        <v>0.18945040417438094</v>
      </c>
      <c r="AW33" s="119">
        <f ca="1">(Dashboard!$C$7*'Equity and Bond Returns'!BI33)+(Dashboard!$C$8*'Equity and Bond Returns'!FG33)</f>
        <v>7.100559357089857E-2</v>
      </c>
      <c r="AX33" s="119">
        <f ca="1">(Dashboard!$C$7*'Equity and Bond Returns'!BJ33)+(Dashboard!$C$8*'Equity and Bond Returns'!FH33)</f>
        <v>3.9386024573303251E-2</v>
      </c>
      <c r="AY33" s="119">
        <f ca="1">(Dashboard!$C$7*'Equity and Bond Returns'!BK33)+(Dashboard!$C$8*'Equity and Bond Returns'!FI33)</f>
        <v>0.13628915596513569</v>
      </c>
      <c r="AZ33" s="119">
        <f ca="1">(Dashboard!$C$7*'Equity and Bond Returns'!BL33)+(Dashboard!$C$8*'Equity and Bond Returns'!FJ33)</f>
        <v>-6.1142986886395537E-2</v>
      </c>
      <c r="BA33" s="119">
        <f ca="1">(Dashboard!$C$7*'Equity and Bond Returns'!BM33)+(Dashboard!$C$8*'Equity and Bond Returns'!FK33)</f>
        <v>0.16693642445620338</v>
      </c>
      <c r="BB33" s="119">
        <f ca="1">(Dashboard!$C$7*'Equity and Bond Returns'!BN33)+(Dashboard!$C$8*'Equity and Bond Returns'!FL33)</f>
        <v>0.13928673885403858</v>
      </c>
      <c r="BC33" s="119">
        <f ca="1">(Dashboard!$C$7*'Equity and Bond Returns'!BO33)+(Dashboard!$C$8*'Equity and Bond Returns'!FM33)</f>
        <v>0.22065742159049004</v>
      </c>
      <c r="BD33" s="119">
        <f ca="1">(Dashboard!$C$7*'Equity and Bond Returns'!BP33)+(Dashboard!$C$8*'Equity and Bond Returns'!FN33)</f>
        <v>-6.2421907936956303E-2</v>
      </c>
      <c r="BE33" s="119">
        <f ca="1">(Dashboard!$C$7*'Equity and Bond Returns'!BQ33)+(Dashboard!$C$8*'Equity and Bond Returns'!FO33)</f>
        <v>-2.9553938609658062E-3</v>
      </c>
      <c r="BF33" s="119">
        <f ca="1">(Dashboard!$C$7*'Equity and Bond Returns'!BR33)+(Dashboard!$C$8*'Equity and Bond Returns'!FP33)</f>
        <v>-5.4591095291029748E-2</v>
      </c>
      <c r="BG33" s="119">
        <f ca="1">(Dashboard!$C$7*'Equity and Bond Returns'!BS33)+(Dashboard!$C$8*'Equity and Bond Returns'!FQ33)</f>
        <v>0.10019729682880062</v>
      </c>
      <c r="BH33" s="119">
        <f ca="1">(Dashboard!$C$7*'Equity and Bond Returns'!BT33)+(Dashboard!$C$8*'Equity and Bond Returns'!FR33)</f>
        <v>0.12019404481884874</v>
      </c>
      <c r="BI33" s="119">
        <f ca="1">(Dashboard!$C$7*'Equity and Bond Returns'!BU33)+(Dashboard!$C$8*'Equity and Bond Returns'!FS33)</f>
        <v>-0.11147673926370462</v>
      </c>
      <c r="BJ33" s="119">
        <f ca="1">(Dashboard!$C$7*'Equity and Bond Returns'!BV33)+(Dashboard!$C$8*'Equity and Bond Returns'!FT33)</f>
        <v>0.39275948419862644</v>
      </c>
      <c r="BK33" s="119">
        <f ca="1">(Dashboard!$C$7*'Equity and Bond Returns'!BW33)+(Dashboard!$C$8*'Equity and Bond Returns'!FU33)</f>
        <v>-0.13176832509301536</v>
      </c>
      <c r="BL33" s="119">
        <f ca="1">(Dashboard!$C$7*'Equity and Bond Returns'!BX33)+(Dashboard!$C$8*'Equity and Bond Returns'!FV33)</f>
        <v>0.24587600037935198</v>
      </c>
      <c r="BM33" s="119">
        <f ca="1">(Dashboard!$C$7*'Equity and Bond Returns'!BY33)+(Dashboard!$C$8*'Equity and Bond Returns'!FW33)</f>
        <v>-1.6641762655115494E-2</v>
      </c>
      <c r="BN33" s="119">
        <f ca="1">(Dashboard!$C$7*'Equity and Bond Returns'!BZ33)+(Dashboard!$C$8*'Equity and Bond Returns'!FX33)</f>
        <v>-0.34582990432680027</v>
      </c>
      <c r="BO33" s="119">
        <f ca="1">(Dashboard!$C$7*'Equity and Bond Returns'!CA33)+(Dashboard!$C$8*'Equity and Bond Returns'!FY33)</f>
        <v>6.2817418428216074E-2</v>
      </c>
      <c r="BP33" s="119">
        <f ca="1">(Dashboard!$C$7*'Equity and Bond Returns'!CB33)+(Dashboard!$C$8*'Equity and Bond Returns'!FZ33)</f>
        <v>-9.1619787103367545E-2</v>
      </c>
      <c r="BQ33" s="119">
        <f ca="1">(Dashboard!$C$7*'Equity and Bond Returns'!CC33)+(Dashboard!$C$8*'Equity and Bond Returns'!GA33)</f>
        <v>-1.5248126384287268E-2</v>
      </c>
      <c r="BR33" s="119">
        <f ca="1">(Dashboard!$C$7*'Equity and Bond Returns'!CD33)+(Dashboard!$C$8*'Equity and Bond Returns'!GB33)</f>
        <v>0.25328682775777495</v>
      </c>
      <c r="BS33" s="119">
        <f ca="1">(Dashboard!$C$7*'Equity and Bond Returns'!CE33)+(Dashboard!$C$8*'Equity and Bond Returns'!GC33)</f>
        <v>0.24067816908044279</v>
      </c>
      <c r="BT33" s="119">
        <f ca="1">(Dashboard!$C$7*'Equity and Bond Returns'!CF33)+(Dashboard!$C$8*'Equity and Bond Returns'!GD33)</f>
        <v>0.21745125637320975</v>
      </c>
      <c r="BU33" s="119">
        <f ca="1">(Dashboard!$C$7*'Equity and Bond Returns'!CG33)+(Dashboard!$C$8*'Equity and Bond Returns'!GE33)</f>
        <v>8.1178641773900218E-2</v>
      </c>
      <c r="BV33" s="119">
        <f ca="1">(Dashboard!$C$7*'Equity and Bond Returns'!CH33)+(Dashboard!$C$8*'Equity and Bond Returns'!GF33)</f>
        <v>0.18456571344274389</v>
      </c>
      <c r="BW33" s="119">
        <f ca="1">(Dashboard!$C$7*'Equity and Bond Returns'!CI33)+(Dashboard!$C$8*'Equity and Bond Returns'!GG33)</f>
        <v>3.3598590238451846E-2</v>
      </c>
      <c r="BX33" s="119">
        <f ca="1">(Dashboard!$C$7*'Equity and Bond Returns'!CJ33)+(Dashboard!$C$8*'Equity and Bond Returns'!GH33)</f>
        <v>5.5399054563617565E-2</v>
      </c>
      <c r="BY33" s="119">
        <f ca="1">(Dashboard!$C$7*'Equity and Bond Returns'!CK33)+(Dashboard!$C$8*'Equity and Bond Returns'!GI33)</f>
        <v>3.1891584263003467E-4</v>
      </c>
      <c r="BZ33" s="119">
        <f ca="1">(Dashboard!$C$7*'Equity and Bond Returns'!CL33)+(Dashboard!$C$8*'Equity and Bond Returns'!GJ33)</f>
        <v>-6.3315249512576027E-2</v>
      </c>
      <c r="CA33" s="119">
        <f ca="1">(Dashboard!$C$7*'Equity and Bond Returns'!CM33)+(Dashboard!$C$8*'Equity and Bond Returns'!GK33)</f>
        <v>0.21610086861390279</v>
      </c>
      <c r="CB33" s="119">
        <f ca="1">(Dashboard!$C$7*'Equity and Bond Returns'!CN33)+(Dashboard!$C$8*'Equity and Bond Returns'!GL33)</f>
        <v>4.7533328578725005E-2</v>
      </c>
      <c r="CC33" s="119">
        <f ca="1">(Dashboard!$C$7*'Equity and Bond Returns'!CO33)+(Dashboard!$C$8*'Equity and Bond Returns'!GM33)</f>
        <v>-7.8075372397147638E-2</v>
      </c>
      <c r="CD33" s="119">
        <f ca="1">(Dashboard!$C$7*'Equity and Bond Returns'!CP33)+(Dashboard!$C$8*'Equity and Bond Returns'!GN33)</f>
        <v>-6.2060120847551754E-2</v>
      </c>
      <c r="CE33" s="119">
        <f ca="1">(Dashboard!$C$7*'Equity and Bond Returns'!CQ33)+(Dashboard!$C$8*'Equity and Bond Returns'!GO33)</f>
        <v>0.11964062182160856</v>
      </c>
      <c r="CF33" s="119">
        <f ca="1">(Dashboard!$C$7*'Equity and Bond Returns'!CR33)+(Dashboard!$C$8*'Equity and Bond Returns'!GP33)</f>
        <v>0.10823054547942701</v>
      </c>
      <c r="CG33" s="119">
        <f ca="1">(Dashboard!$C$7*'Equity and Bond Returns'!CS33)+(Dashboard!$C$8*'Equity and Bond Returns'!GQ33)</f>
        <v>0.22081230085529124</v>
      </c>
      <c r="CH33" s="119">
        <f ca="1">(Dashboard!$C$7*'Equity and Bond Returns'!CT33)+(Dashboard!$C$8*'Equity and Bond Returns'!GR33)</f>
        <v>-9.3508072574756795E-2</v>
      </c>
      <c r="CI33" s="119">
        <f ca="1">(Dashboard!$C$7*'Equity and Bond Returns'!CU33)+(Dashboard!$C$8*'Equity and Bond Returns'!GS33)</f>
        <v>-0.12368324894215711</v>
      </c>
      <c r="CJ33" s="119">
        <f ca="1">(Dashboard!$C$7*'Equity and Bond Returns'!CV33)+(Dashboard!$C$8*'Equity and Bond Returns'!GT33)</f>
        <v>0.29276859750475259</v>
      </c>
      <c r="CK33" s="119">
        <f ca="1">(Dashboard!$C$7*'Equity and Bond Returns'!CW33)+(Dashboard!$C$8*'Equity and Bond Returns'!GU33)</f>
        <v>0.31741974976988652</v>
      </c>
      <c r="CL33" s="119">
        <f ca="1">(Dashboard!$C$7*'Equity and Bond Returns'!CX33)+(Dashboard!$C$8*'Equity and Bond Returns'!GV33)</f>
        <v>5.3753698811735556E-3</v>
      </c>
      <c r="CM33" s="119">
        <f ca="1">(Dashboard!$C$7*'Equity and Bond Returns'!CY33)+(Dashboard!$C$8*'Equity and Bond Returns'!GW33)</f>
        <v>2.3270058033002597E-2</v>
      </c>
      <c r="CN33" s="119">
        <f ca="1">(Dashboard!$C$7*'Equity and Bond Returns'!CZ33)+(Dashboard!$C$8*'Equity and Bond Returns'!GX33)</f>
        <v>7.6205231140602236E-2</v>
      </c>
      <c r="CO33" s="119">
        <f ca="1">(Dashboard!$C$7*'Equity and Bond Returns'!DA33)+(Dashboard!$C$8*'Equity and Bond Returns'!GY33)</f>
        <v>0.22669985691470707</v>
      </c>
      <c r="CP33" s="119">
        <f ca="1">(Dashboard!$C$7*'Equity and Bond Returns'!DB33)+(Dashboard!$C$8*'Equity and Bond Returns'!GZ33)</f>
        <v>0.21055185490887429</v>
      </c>
      <c r="CQ33" s="119">
        <f ca="1">(Dashboard!$C$7*'Equity and Bond Returns'!DC33)+(Dashboard!$C$8*'Equity and Bond Returns'!HA33)</f>
        <v>2.9873244379069144E-2</v>
      </c>
      <c r="CR33" s="119">
        <f ca="1">(Dashboard!$C$7*'Equity and Bond Returns'!DD33)+(Dashboard!$C$8*'Equity and Bond Returns'!HB33)</f>
        <v>0.23708446343851383</v>
      </c>
      <c r="CS33" s="119">
        <f ca="1">(Dashboard!$C$7*'Equity and Bond Returns'!DE33)+(Dashboard!$C$8*'Equity and Bond Returns'!HC33)</f>
        <v>-1.7325088036007533E-2</v>
      </c>
      <c r="CT33" s="119">
        <f ca="1">(Dashboard!$C$7*'Equity and Bond Returns'!DF33)+(Dashboard!$C$8*'Equity and Bond Returns'!HD33)</f>
        <v>0.13287035507015499</v>
      </c>
      <c r="CU33" s="119">
        <f ca="1">(Dashboard!$C$7*'Equity and Bond Returns'!DG33)+(Dashboard!$C$8*'Equity and Bond Returns'!HE33)</f>
        <v>0.27008436579558381</v>
      </c>
      <c r="CV33" s="119">
        <f ca="1">(Dashboard!$C$7*'Equity and Bond Returns'!DH33)+(Dashboard!$C$8*'Equity and Bond Returns'!HF33)</f>
        <v>-8.2821201468389699E-2</v>
      </c>
      <c r="CW33" s="119">
        <f ca="1">(Dashboard!$C$7*'Equity and Bond Returns'!DI33)+(Dashboard!$C$8*'Equity and Bond Returns'!HG33)</f>
        <v>2.4840758421054768E-2</v>
      </c>
      <c r="CY33" s="147">
        <f t="shared" si="5"/>
        <v>82</v>
      </c>
      <c r="CZ33" s="147">
        <v>32</v>
      </c>
      <c r="DA33" s="126">
        <f ca="1">MAX(DA32*(1+B33)-(Dashboard!$C$11)/(1-Dashboard!$C$17)*((1+Dashboard!$C$12)^$CZ33),0)</f>
        <v>12352022.488925127</v>
      </c>
      <c r="DB33" s="126">
        <f ca="1">MAX(DB32*(1+C33)-(Dashboard!$C$11)/(1-Dashboard!$C$17)*((1+Dashboard!$C$12)^$CZ33),0)</f>
        <v>0</v>
      </c>
      <c r="DC33" s="126">
        <f ca="1">MAX(DC32*(1+D33)-(Dashboard!$C$11)/(1-Dashboard!$C$17)*((1+Dashboard!$C$12)^$CZ33),0)</f>
        <v>2946095.4774897569</v>
      </c>
      <c r="DD33" s="126">
        <f ca="1">MAX(DD32*(1+E33)-(Dashboard!$C$11)/(1-Dashboard!$C$17)*((1+Dashboard!$C$12)^$CZ33),0)</f>
        <v>418584.30658005708</v>
      </c>
      <c r="DE33" s="126">
        <f ca="1">MAX(DE32*(1+F33)-(Dashboard!$C$11)/(1-Dashboard!$C$17)*((1+Dashboard!$C$12)^$CZ33),0)</f>
        <v>2910994.6321343374</v>
      </c>
      <c r="DF33" s="126">
        <f ca="1">MAX(DF32*(1+G33)-(Dashboard!$C$11)/(1-Dashboard!$C$17)*((1+Dashboard!$C$12)^$CZ33),0)</f>
        <v>8787176.7580642011</v>
      </c>
      <c r="DG33" s="126">
        <f ca="1">MAX(DG32*(1+H33)-(Dashboard!$C$11)/(1-Dashboard!$C$17)*((1+Dashboard!$C$12)^$CZ33),0)</f>
        <v>0</v>
      </c>
      <c r="DH33" s="126">
        <f ca="1">MAX(DH32*(1+I33)-(Dashboard!$C$11)/(1-Dashboard!$C$17)*((1+Dashboard!$C$12)^$CZ33),0)</f>
        <v>10963284.645722372</v>
      </c>
      <c r="DI33" s="126">
        <f ca="1">MAX(DI32*(1+J33)-(Dashboard!$C$11)/(1-Dashboard!$C$17)*((1+Dashboard!$C$12)^$CZ33),0)</f>
        <v>2900654.9925651737</v>
      </c>
      <c r="DJ33" s="126">
        <f ca="1">MAX(DJ32*(1+K33)-(Dashboard!$C$11)/(1-Dashboard!$C$17)*((1+Dashboard!$C$12)^$CZ33),0)</f>
        <v>5811681.7809643559</v>
      </c>
      <c r="DK33" s="126">
        <f ca="1">MAX(DK32*(1+L33)-(Dashboard!$C$11)/(1-Dashboard!$C$17)*((1+Dashboard!$C$12)^$CZ33),0)</f>
        <v>9251533.2158401608</v>
      </c>
      <c r="DL33" s="126">
        <f ca="1">MAX(DL32*(1+M33)-(Dashboard!$C$11)/(1-Dashboard!$C$17)*((1+Dashboard!$C$12)^$CZ33),0)</f>
        <v>813447.13117504376</v>
      </c>
      <c r="DM33" s="126">
        <f ca="1">MAX(DM32*(1+N33)-(Dashboard!$C$11)/(1-Dashboard!$C$17)*((1+Dashboard!$C$12)^$CZ33),0)</f>
        <v>5026361.8786919303</v>
      </c>
      <c r="DN33" s="126">
        <f ca="1">MAX(DN32*(1+O33)-(Dashboard!$C$11)/(1-Dashboard!$C$17)*((1+Dashboard!$C$12)^$CZ33),0)</f>
        <v>23255153.452988375</v>
      </c>
      <c r="DO33" s="126">
        <f ca="1">MAX(DO32*(1+P33)-(Dashboard!$C$11)/(1-Dashboard!$C$17)*((1+Dashboard!$C$12)^$CZ33),0)</f>
        <v>2138525.564506006</v>
      </c>
      <c r="DP33" s="126">
        <f ca="1">MAX(DP32*(1+Q33)-(Dashboard!$C$11)/(1-Dashboard!$C$17)*((1+Dashboard!$C$12)^$CZ33),0)</f>
        <v>784854.85812269221</v>
      </c>
      <c r="DQ33" s="126">
        <f ca="1">MAX(DQ32*(1+R33)-(Dashboard!$C$11)/(1-Dashboard!$C$17)*((1+Dashboard!$C$12)^$CZ33),0)</f>
        <v>4475479.4642748525</v>
      </c>
      <c r="DR33" s="126">
        <f ca="1">MAX(DR32*(1+S33)-(Dashboard!$C$11)/(1-Dashboard!$C$17)*((1+Dashboard!$C$12)^$CZ33),0)</f>
        <v>6072607.8953108983</v>
      </c>
      <c r="DS33" s="126">
        <f ca="1">MAX(DS32*(1+T33)-(Dashboard!$C$11)/(1-Dashboard!$C$17)*((1+Dashboard!$C$12)^$CZ33),0)</f>
        <v>346830.25380936853</v>
      </c>
      <c r="DT33" s="126">
        <f ca="1">MAX(DT32*(1+U33)-(Dashboard!$C$11)/(1-Dashboard!$C$17)*((1+Dashboard!$C$12)^$CZ33),0)</f>
        <v>1009047.2833417088</v>
      </c>
      <c r="DU33" s="126">
        <f ca="1">MAX(DU32*(1+V33)-(Dashboard!$C$11)/(1-Dashboard!$C$17)*((1+Dashboard!$C$12)^$CZ33),0)</f>
        <v>3606579.2220139937</v>
      </c>
      <c r="DV33" s="126">
        <f ca="1">MAX(DV32*(1+W33)-(Dashboard!$C$11)/(1-Dashboard!$C$17)*((1+Dashboard!$C$12)^$CZ33),0)</f>
        <v>19410578.684418291</v>
      </c>
      <c r="DW33" s="126">
        <f ca="1">MAX(DW32*(1+X33)-(Dashboard!$C$11)/(1-Dashboard!$C$17)*((1+Dashboard!$C$12)^$CZ33),0)</f>
        <v>4264290.2489097081</v>
      </c>
      <c r="DX33" s="126">
        <f ca="1">MAX(DX32*(1+Y33)-(Dashboard!$C$11)/(1-Dashboard!$C$17)*((1+Dashboard!$C$12)^$CZ33),0)</f>
        <v>1552885.0782148347</v>
      </c>
      <c r="DY33" s="126">
        <f ca="1">MAX(DY32*(1+Z33)-(Dashboard!$C$11)/(1-Dashboard!$C$17)*((1+Dashboard!$C$12)^$CZ33),0)</f>
        <v>8240497.7455880651</v>
      </c>
      <c r="DZ33" s="126">
        <f ca="1">MAX(DZ32*(1+AA33)-(Dashboard!$C$11)/(1-Dashboard!$C$17)*((1+Dashboard!$C$12)^$CZ33),0)</f>
        <v>2534659.6688293205</v>
      </c>
      <c r="EA33" s="126">
        <f ca="1">MAX(EA32*(1+AB33)-(Dashboard!$C$11)/(1-Dashboard!$C$17)*((1+Dashboard!$C$12)^$CZ33),0)</f>
        <v>2030089.5712425145</v>
      </c>
      <c r="EB33" s="126">
        <f ca="1">MAX(EB32*(1+AC33)-(Dashboard!$C$11)/(1-Dashboard!$C$17)*((1+Dashboard!$C$12)^$CZ33),0)</f>
        <v>4135009.2032270706</v>
      </c>
      <c r="EC33" s="126">
        <f ca="1">MAX(EC32*(1+AD33)-(Dashboard!$C$11)/(1-Dashboard!$C$17)*((1+Dashboard!$C$12)^$CZ33),0)</f>
        <v>3200618.7517549461</v>
      </c>
      <c r="ED33" s="126">
        <f ca="1">MAX(ED32*(1+AE33)-(Dashboard!$C$11)/(1-Dashboard!$C$17)*((1+Dashboard!$C$12)^$CZ33),0)</f>
        <v>1936277.5326629125</v>
      </c>
      <c r="EE33" s="126">
        <f ca="1">MAX(EE32*(1+AF33)-(Dashboard!$C$11)/(1-Dashboard!$C$17)*((1+Dashboard!$C$12)^$CZ33),0)</f>
        <v>10267429.579363469</v>
      </c>
      <c r="EF33" s="126">
        <f ca="1">MAX(EF32*(1+AG33)-(Dashboard!$C$11)/(1-Dashboard!$C$17)*((1+Dashboard!$C$12)^$CZ33),0)</f>
        <v>377282.14763114916</v>
      </c>
      <c r="EG33" s="126">
        <f ca="1">MAX(EG32*(1+AH33)-(Dashboard!$C$11)/(1-Dashboard!$C$17)*((1+Dashboard!$C$12)^$CZ33),0)</f>
        <v>4310633.315085181</v>
      </c>
      <c r="EH33" s="126">
        <f ca="1">MAX(EH32*(1+AI33)-(Dashboard!$C$11)/(1-Dashboard!$C$17)*((1+Dashboard!$C$12)^$CZ33),0)</f>
        <v>6507699.6652261214</v>
      </c>
      <c r="EI33" s="126">
        <f ca="1">MAX(EI32*(1+AJ33)-(Dashboard!$C$11)/(1-Dashboard!$C$17)*((1+Dashboard!$C$12)^$CZ33),0)</f>
        <v>0</v>
      </c>
      <c r="EJ33" s="126">
        <f ca="1">MAX(EJ32*(1+AK33)-(Dashboard!$C$11)/(1-Dashboard!$C$17)*((1+Dashboard!$C$12)^$CZ33),0)</f>
        <v>3133418.8063335735</v>
      </c>
      <c r="EK33" s="126">
        <f ca="1">MAX(EK32*(1+AL33)-(Dashboard!$C$11)/(1-Dashboard!$C$17)*((1+Dashboard!$C$12)^$CZ33),0)</f>
        <v>5729446.7043340383</v>
      </c>
      <c r="EL33" s="126">
        <f ca="1">MAX(EL32*(1+AM33)-(Dashboard!$C$11)/(1-Dashboard!$C$17)*((1+Dashboard!$C$12)^$CZ33),0)</f>
        <v>1664149.2197643307</v>
      </c>
      <c r="EM33" s="126">
        <f ca="1">MAX(EM32*(1+AN33)-(Dashboard!$C$11)/(1-Dashboard!$C$17)*((1+Dashboard!$C$12)^$CZ33),0)</f>
        <v>7001646.7312675091</v>
      </c>
      <c r="EN33" s="126">
        <f ca="1">MAX(EN32*(1+AO33)-(Dashboard!$C$11)/(1-Dashboard!$C$17)*((1+Dashboard!$C$12)^$CZ33),0)</f>
        <v>1838031.7846293878</v>
      </c>
      <c r="EO33" s="126">
        <f ca="1">MAX(EO32*(1+AP33)-(Dashboard!$C$11)/(1-Dashboard!$C$17)*((1+Dashboard!$C$12)^$CZ33),0)</f>
        <v>0</v>
      </c>
      <c r="EP33" s="126">
        <f ca="1">MAX(EP32*(1+AQ33)-(Dashboard!$C$11)/(1-Dashboard!$C$17)*((1+Dashboard!$C$12)^$CZ33),0)</f>
        <v>2070386.2924525773</v>
      </c>
      <c r="EQ33" s="126">
        <f ca="1">MAX(EQ32*(1+AR33)-(Dashboard!$C$11)/(1-Dashboard!$C$17)*((1+Dashboard!$C$12)^$CZ33),0)</f>
        <v>2707606.1181004113</v>
      </c>
      <c r="ER33" s="126">
        <f ca="1">MAX(ER32*(1+AS33)-(Dashboard!$C$11)/(1-Dashboard!$C$17)*((1+Dashboard!$C$12)^$CZ33),0)</f>
        <v>0</v>
      </c>
      <c r="ES33" s="126">
        <f ca="1">MAX(ES32*(1+AT33)-(Dashboard!$C$11)/(1-Dashboard!$C$17)*((1+Dashboard!$C$12)^$CZ33),0)</f>
        <v>10761079.473891247</v>
      </c>
      <c r="ET33" s="126">
        <f ca="1">MAX(ET32*(1+AU33)-(Dashboard!$C$11)/(1-Dashboard!$C$17)*((1+Dashboard!$C$12)^$CZ33),0)</f>
        <v>3555987.3025957309</v>
      </c>
      <c r="EU33" s="126">
        <f ca="1">MAX(EU32*(1+AV33)-(Dashboard!$C$11)/(1-Dashboard!$C$17)*((1+Dashboard!$C$12)^$CZ33),0)</f>
        <v>2105636.9935048213</v>
      </c>
      <c r="EV33" s="126">
        <f ca="1">MAX(EV32*(1+AW33)-(Dashboard!$C$11)/(1-Dashboard!$C$17)*((1+Dashboard!$C$12)^$CZ33),0)</f>
        <v>24732948.48476449</v>
      </c>
      <c r="EW33" s="126">
        <f ca="1">MAX(EW32*(1+AX33)-(Dashboard!$C$11)/(1-Dashboard!$C$17)*((1+Dashboard!$C$12)^$CZ33),0)</f>
        <v>1225736.5597093252</v>
      </c>
      <c r="EX33" s="126">
        <f ca="1">MAX(EX32*(1+AY33)-(Dashboard!$C$11)/(1-Dashboard!$C$17)*((1+Dashboard!$C$12)^$CZ33),0)</f>
        <v>3148900.494847632</v>
      </c>
      <c r="EY33" s="126">
        <f ca="1">MAX(EY32*(1+AZ33)-(Dashboard!$C$11)/(1-Dashboard!$C$17)*((1+Dashboard!$C$12)^$CZ33),0)</f>
        <v>9454465.5006931555</v>
      </c>
      <c r="EZ33" s="126">
        <f ca="1">MAX(EZ32*(1+BA33)-(Dashboard!$C$11)/(1-Dashboard!$C$17)*((1+Dashboard!$C$12)^$CZ33),0)</f>
        <v>2592181.6033096821</v>
      </c>
      <c r="FA33" s="126">
        <f ca="1">MAX(FA32*(1+BB33)-(Dashboard!$C$11)/(1-Dashboard!$C$17)*((1+Dashboard!$C$12)^$CZ33),0)</f>
        <v>11473839.712017549</v>
      </c>
      <c r="FB33" s="126">
        <f ca="1">MAX(FB32*(1+BC33)-(Dashboard!$C$11)/(1-Dashboard!$C$17)*((1+Dashboard!$C$12)^$CZ33),0)</f>
        <v>857814.5537231511</v>
      </c>
      <c r="FC33" s="126">
        <f ca="1">MAX(FC32*(1+BD33)-(Dashboard!$C$11)/(1-Dashboard!$C$17)*((1+Dashboard!$C$12)^$CZ33),0)</f>
        <v>9411951.4059724901</v>
      </c>
      <c r="FD33" s="126">
        <f ca="1">MAX(FD32*(1+BE33)-(Dashboard!$C$11)/(1-Dashboard!$C$17)*((1+Dashboard!$C$12)^$CZ33),0)</f>
        <v>10366012.235544385</v>
      </c>
      <c r="FE33" s="126">
        <f ca="1">MAX(FE32*(1+BF33)-(Dashboard!$C$11)/(1-Dashboard!$C$17)*((1+Dashboard!$C$12)^$CZ33),0)</f>
        <v>9950221.9378636777</v>
      </c>
      <c r="FF33" s="126">
        <f ca="1">MAX(FF32*(1+BG33)-(Dashboard!$C$11)/(1-Dashboard!$C$17)*((1+Dashboard!$C$12)^$CZ33),0)</f>
        <v>2264162.2226603264</v>
      </c>
      <c r="FG33" s="126">
        <f ca="1">MAX(FG32*(1+BH33)-(Dashboard!$C$11)/(1-Dashboard!$C$17)*((1+Dashboard!$C$12)^$CZ33),0)</f>
        <v>1541352.3609296102</v>
      </c>
      <c r="FH33" s="126">
        <f ca="1">MAX(FH32*(1+BI33)-(Dashboard!$C$11)/(1-Dashboard!$C$17)*((1+Dashboard!$C$12)^$CZ33),0)</f>
        <v>2707782.9813079941</v>
      </c>
      <c r="FI33" s="126">
        <f ca="1">MAX(FI32*(1+BJ33)-(Dashboard!$C$11)/(1-Dashboard!$C$17)*((1+Dashboard!$C$12)^$CZ33),0)</f>
        <v>6797720.5826489758</v>
      </c>
      <c r="FJ33" s="126">
        <f ca="1">MAX(FJ32*(1+BK33)-(Dashboard!$C$11)/(1-Dashboard!$C$17)*((1+Dashboard!$C$12)^$CZ33),0)</f>
        <v>1620401.9766977953</v>
      </c>
      <c r="FK33" s="126">
        <f ca="1">MAX(FK32*(1+BL33)-(Dashboard!$C$11)/(1-Dashboard!$C$17)*((1+Dashboard!$C$12)^$CZ33),0)</f>
        <v>3969509.0483675697</v>
      </c>
      <c r="FL33" s="126">
        <f ca="1">MAX(FL32*(1+BM33)-(Dashboard!$C$11)/(1-Dashboard!$C$17)*((1+Dashboard!$C$12)^$CZ33),0)</f>
        <v>1548613.0130558689</v>
      </c>
      <c r="FM33" s="126">
        <f ca="1">MAX(FM32*(1+BN33)-(Dashboard!$C$11)/(1-Dashboard!$C$17)*((1+Dashboard!$C$12)^$CZ33),0)</f>
        <v>2625639.5380146224</v>
      </c>
      <c r="FN33" s="126">
        <f ca="1">MAX(FN32*(1+BO33)-(Dashboard!$C$11)/(1-Dashboard!$C$17)*((1+Dashboard!$C$12)^$CZ33),0)</f>
        <v>0</v>
      </c>
      <c r="FO33" s="126">
        <f ca="1">MAX(FO32*(1+BP33)-(Dashboard!$C$11)/(1-Dashboard!$C$17)*((1+Dashboard!$C$12)^$CZ33),0)</f>
        <v>2721779.1097439108</v>
      </c>
      <c r="FP33" s="126">
        <f ca="1">MAX(FP32*(1+BQ33)-(Dashboard!$C$11)/(1-Dashboard!$C$17)*((1+Dashboard!$C$12)^$CZ33),0)</f>
        <v>2061477.8773341842</v>
      </c>
      <c r="FQ33" s="126">
        <f ca="1">MAX(FQ32*(1+BR33)-(Dashboard!$C$11)/(1-Dashboard!$C$17)*((1+Dashboard!$C$12)^$CZ33),0)</f>
        <v>1587919.2277667671</v>
      </c>
      <c r="FR33" s="126">
        <f ca="1">MAX(FR32*(1+BS33)-(Dashboard!$C$11)/(1-Dashboard!$C$17)*((1+Dashboard!$C$12)^$CZ33),0)</f>
        <v>5099019.0395134641</v>
      </c>
      <c r="FS33" s="126">
        <f ca="1">MAX(FS32*(1+BT33)-(Dashboard!$C$11)/(1-Dashboard!$C$17)*((1+Dashboard!$C$12)^$CZ33),0)</f>
        <v>6214072.2115795948</v>
      </c>
      <c r="FT33" s="126">
        <f ca="1">MAX(FT32*(1+BU33)-(Dashboard!$C$11)/(1-Dashboard!$C$17)*((1+Dashboard!$C$12)^$CZ33),0)</f>
        <v>359936.7617557043</v>
      </c>
      <c r="FU33" s="126">
        <f ca="1">MAX(FU32*(1+BV33)-(Dashboard!$C$11)/(1-Dashboard!$C$17)*((1+Dashboard!$C$12)^$CZ33),0)</f>
        <v>2351614.6572526195</v>
      </c>
      <c r="FV33" s="126">
        <f ca="1">MAX(FV32*(1+BW33)-(Dashboard!$C$11)/(1-Dashboard!$C$17)*((1+Dashboard!$C$12)^$CZ33),0)</f>
        <v>3905221.2547850697</v>
      </c>
      <c r="FW33" s="126">
        <f ca="1">MAX(FW32*(1+BX33)-(Dashboard!$C$11)/(1-Dashboard!$C$17)*((1+Dashboard!$C$12)^$CZ33),0)</f>
        <v>1822390.1614976681</v>
      </c>
      <c r="FX33" s="126">
        <f ca="1">MAX(FX32*(1+BY33)-(Dashboard!$C$11)/(1-Dashboard!$C$17)*((1+Dashboard!$C$12)^$CZ33),0)</f>
        <v>96723.771147386549</v>
      </c>
      <c r="FY33" s="126">
        <f ca="1">MAX(FY32*(1+BZ33)-(Dashboard!$C$11)/(1-Dashboard!$C$17)*((1+Dashboard!$C$12)^$CZ33),0)</f>
        <v>559587.14631482097</v>
      </c>
      <c r="FZ33" s="126">
        <f ca="1">MAX(FZ32*(1+CA33)-(Dashboard!$C$11)/(1-Dashboard!$C$17)*((1+Dashboard!$C$12)^$CZ33),0)</f>
        <v>7712418.6698314119</v>
      </c>
      <c r="GA33" s="126">
        <f ca="1">MAX(GA32*(1+CB33)-(Dashboard!$C$11)/(1-Dashboard!$C$17)*((1+Dashboard!$C$12)^$CZ33),0)</f>
        <v>5798316.3002672978</v>
      </c>
      <c r="GB33" s="126">
        <f ca="1">MAX(GB32*(1+CC33)-(Dashboard!$C$11)/(1-Dashboard!$C$17)*((1+Dashboard!$C$12)^$CZ33),0)</f>
        <v>2082704.796520618</v>
      </c>
      <c r="GC33" s="126">
        <f ca="1">MAX(GC32*(1+CD33)-(Dashboard!$C$11)/(1-Dashboard!$C$17)*((1+Dashboard!$C$12)^$CZ33),0)</f>
        <v>4052331.7419140982</v>
      </c>
      <c r="GD33" s="126">
        <f ca="1">MAX(GD32*(1+CE33)-(Dashboard!$C$11)/(1-Dashboard!$C$17)*((1+Dashboard!$C$12)^$CZ33),0)</f>
        <v>16180360.694551829</v>
      </c>
      <c r="GE33" s="126">
        <f ca="1">MAX(GE32*(1+CF33)-(Dashboard!$C$11)/(1-Dashboard!$C$17)*((1+Dashboard!$C$12)^$CZ33),0)</f>
        <v>3858057.9403152931</v>
      </c>
      <c r="GF33" s="126">
        <f ca="1">MAX(GF32*(1+CG33)-(Dashboard!$C$11)/(1-Dashboard!$C$17)*((1+Dashboard!$C$12)^$CZ33),0)</f>
        <v>3794423.1905868105</v>
      </c>
      <c r="GG33" s="126">
        <f ca="1">MAX(GG32*(1+CH33)-(Dashboard!$C$11)/(1-Dashboard!$C$17)*((1+Dashboard!$C$12)^$CZ33),0)</f>
        <v>564783.99140642211</v>
      </c>
      <c r="GH33" s="126">
        <f ca="1">MAX(GH32*(1+CI33)-(Dashboard!$C$11)/(1-Dashboard!$C$17)*((1+Dashboard!$C$12)^$CZ33),0)</f>
        <v>1153541.4400496527</v>
      </c>
      <c r="GI33" s="126">
        <f ca="1">MAX(GI32*(1+CJ33)-(Dashboard!$C$11)/(1-Dashboard!$C$17)*((1+Dashboard!$C$12)^$CZ33),0)</f>
        <v>2771222.1548580695</v>
      </c>
      <c r="GJ33" s="126">
        <f ca="1">MAX(GJ32*(1+CK33)-(Dashboard!$C$11)/(1-Dashboard!$C$17)*((1+Dashboard!$C$12)^$CZ33),0)</f>
        <v>13435337.658098463</v>
      </c>
      <c r="GK33" s="126">
        <f ca="1">MAX(GK32*(1+CL33)-(Dashboard!$C$11)/(1-Dashboard!$C$17)*((1+Dashboard!$C$12)^$CZ33),0)</f>
        <v>3838683.6395349512</v>
      </c>
      <c r="GL33" s="126">
        <f ca="1">MAX(GL32*(1+CM33)-(Dashboard!$C$11)/(1-Dashboard!$C$17)*((1+Dashboard!$C$12)^$CZ33),0)</f>
        <v>5480774.9432955077</v>
      </c>
      <c r="GM33" s="126">
        <f ca="1">MAX(GM32*(1+CN33)-(Dashboard!$C$11)/(1-Dashboard!$C$17)*((1+Dashboard!$C$12)^$CZ33),0)</f>
        <v>390805.65053181327</v>
      </c>
      <c r="GN33" s="126">
        <f ca="1">MAX(GN32*(1+CO33)-(Dashboard!$C$11)/(1-Dashboard!$C$17)*((1+Dashboard!$C$12)^$CZ33),0)</f>
        <v>0</v>
      </c>
      <c r="GO33" s="126">
        <f ca="1">MAX(GO32*(1+CP33)-(Dashboard!$C$11)/(1-Dashboard!$C$17)*((1+Dashboard!$C$12)^$CZ33),0)</f>
        <v>1562819.4825877021</v>
      </c>
      <c r="GP33" s="126">
        <f ca="1">MAX(GP32*(1+CQ33)-(Dashboard!$C$11)/(1-Dashboard!$C$17)*((1+Dashboard!$C$12)^$CZ33),0)</f>
        <v>5316143.0278347917</v>
      </c>
      <c r="GQ33" s="126">
        <f ca="1">MAX(GQ32*(1+CR33)-(Dashboard!$C$11)/(1-Dashboard!$C$17)*((1+Dashboard!$C$12)^$CZ33),0)</f>
        <v>0</v>
      </c>
      <c r="GR33" s="126">
        <f ca="1">MAX(GR32*(1+CS33)-(Dashboard!$C$11)/(1-Dashboard!$C$17)*((1+Dashboard!$C$12)^$CZ33),0)</f>
        <v>1939260.9368613032</v>
      </c>
      <c r="GS33" s="126">
        <f ca="1">MAX(GS32*(1+CT33)-(Dashboard!$C$11)/(1-Dashboard!$C$17)*((1+Dashboard!$C$12)^$CZ33),0)</f>
        <v>6496161.3260005675</v>
      </c>
      <c r="GT33" s="126">
        <f ca="1">MAX(GT32*(1+CU33)-(Dashboard!$C$11)/(1-Dashboard!$C$17)*((1+Dashboard!$C$12)^$CZ33),0)</f>
        <v>19732726.358925812</v>
      </c>
      <c r="GU33" s="126">
        <f ca="1">MAX(GU32*(1+CV33)-(Dashboard!$C$11)/(1-Dashboard!$C$17)*((1+Dashboard!$C$12)^$CZ33),0)</f>
        <v>1709402.6541369928</v>
      </c>
      <c r="GV33" s="126">
        <f ca="1">MAX(GV32*(1+CW33)-(Dashboard!$C$11)/(1-Dashboard!$C$17)*((1+Dashboard!$C$12)^$CZ33),0)</f>
        <v>536546.02999555552</v>
      </c>
      <c r="GW33" s="115">
        <f t="shared" si="4"/>
        <v>82</v>
      </c>
      <c r="GX33" s="130">
        <f t="shared" ca="1" si="2"/>
        <v>92</v>
      </c>
      <c r="HC33" s="130">
        <f t="shared" si="0"/>
        <v>82</v>
      </c>
      <c r="HD33" s="137">
        <f t="shared" ca="1" si="6"/>
        <v>1543167.5239611748</v>
      </c>
      <c r="HE33" s="137">
        <f t="shared" ca="1" si="6"/>
        <v>2746500.6323009902</v>
      </c>
      <c r="HF33" s="137">
        <f t="shared" ca="1" si="6"/>
        <v>5808340.4107900914</v>
      </c>
    </row>
    <row r="34" spans="1:214" ht="16">
      <c r="A34" s="145">
        <f t="shared" si="3"/>
        <v>83</v>
      </c>
      <c r="B34" s="119">
        <f ca="1">(Dashboard!$C$7*'Equity and Bond Returns'!N34)+(Dashboard!$C$8*'Equity and Bond Returns'!DL34)</f>
        <v>3.7813788785494622E-2</v>
      </c>
      <c r="C34" s="119">
        <f ca="1">(Dashboard!$C$7*'Equity and Bond Returns'!O34)+(Dashboard!$C$8*'Equity and Bond Returns'!DM34)</f>
        <v>0.14474051523388248</v>
      </c>
      <c r="D34" s="119">
        <f ca="1">(Dashboard!$C$7*'Equity and Bond Returns'!P34)+(Dashboard!$C$8*'Equity and Bond Returns'!DN34)</f>
        <v>8.0457265877707129E-2</v>
      </c>
      <c r="E34" s="119">
        <f ca="1">(Dashboard!$C$7*'Equity and Bond Returns'!Q34)+(Dashboard!$C$8*'Equity and Bond Returns'!DO34)</f>
        <v>5.0666931259560809E-2</v>
      </c>
      <c r="F34" s="119">
        <f ca="1">(Dashboard!$C$7*'Equity and Bond Returns'!R34)+(Dashboard!$C$8*'Equity and Bond Returns'!DP34)</f>
        <v>6.77302915681669E-2</v>
      </c>
      <c r="G34" s="119">
        <f ca="1">(Dashboard!$C$7*'Equity and Bond Returns'!S34)+(Dashboard!$C$8*'Equity and Bond Returns'!DQ34)</f>
        <v>6.9448413614303595E-2</v>
      </c>
      <c r="H34" s="119">
        <f ca="1">(Dashboard!$C$7*'Equity and Bond Returns'!T34)+(Dashboard!$C$8*'Equity and Bond Returns'!DR34)</f>
        <v>7.0284552340217105E-2</v>
      </c>
      <c r="I34" s="119">
        <f ca="1">(Dashboard!$C$7*'Equity and Bond Returns'!U34)+(Dashboard!$C$8*'Equity and Bond Returns'!DS34)</f>
        <v>9.8391049346530882E-2</v>
      </c>
      <c r="J34" s="119">
        <f ca="1">(Dashboard!$C$7*'Equity and Bond Returns'!V34)+(Dashboard!$C$8*'Equity and Bond Returns'!DT34)</f>
        <v>0.14928202843237701</v>
      </c>
      <c r="K34" s="119">
        <f ca="1">(Dashboard!$C$7*'Equity and Bond Returns'!W34)+(Dashboard!$C$8*'Equity and Bond Returns'!DU34)</f>
        <v>-2.9504682624739868E-2</v>
      </c>
      <c r="L34" s="119">
        <f ca="1">(Dashboard!$C$7*'Equity and Bond Returns'!X34)+(Dashboard!$C$8*'Equity and Bond Returns'!DV34)</f>
        <v>5.6847755807164571E-2</v>
      </c>
      <c r="M34" s="119">
        <f ca="1">(Dashboard!$C$7*'Equity and Bond Returns'!Y34)+(Dashboard!$C$8*'Equity and Bond Returns'!DW34)</f>
        <v>-5.2211715448922218E-2</v>
      </c>
      <c r="N34" s="119">
        <f ca="1">(Dashboard!$C$7*'Equity and Bond Returns'!Z34)+(Dashboard!$C$8*'Equity and Bond Returns'!DX34)</f>
        <v>0.13814818472836851</v>
      </c>
      <c r="O34" s="119">
        <f ca="1">(Dashboard!$C$7*'Equity and Bond Returns'!AA34)+(Dashboard!$C$8*'Equity and Bond Returns'!DY34)</f>
        <v>0.28203068572397455</v>
      </c>
      <c r="P34" s="119">
        <f ca="1">(Dashboard!$C$7*'Equity and Bond Returns'!AB34)+(Dashboard!$C$8*'Equity and Bond Returns'!DZ34)</f>
        <v>-8.1469507886208881E-2</v>
      </c>
      <c r="Q34" s="119">
        <f ca="1">(Dashboard!$C$7*'Equity and Bond Returns'!AC34)+(Dashboard!$C$8*'Equity and Bond Returns'!EA34)</f>
        <v>3.5304303746123082E-2</v>
      </c>
      <c r="R34" s="119">
        <f ca="1">(Dashboard!$C$7*'Equity and Bond Returns'!AD34)+(Dashboard!$C$8*'Equity and Bond Returns'!EB34)</f>
        <v>-1.8789056626393325E-2</v>
      </c>
      <c r="S34" s="119">
        <f ca="1">(Dashboard!$C$7*'Equity and Bond Returns'!AE34)+(Dashboard!$C$8*'Equity and Bond Returns'!EC34)</f>
        <v>0.1844964088014775</v>
      </c>
      <c r="T34" s="119">
        <f ca="1">(Dashboard!$C$7*'Equity and Bond Returns'!AF34)+(Dashboard!$C$8*'Equity and Bond Returns'!ED34)</f>
        <v>-3.8252119839005547E-2</v>
      </c>
      <c r="U34" s="119">
        <f ca="1">(Dashboard!$C$7*'Equity and Bond Returns'!AG34)+(Dashboard!$C$8*'Equity and Bond Returns'!EE34)</f>
        <v>-0.20835252501383397</v>
      </c>
      <c r="V34" s="119">
        <f ca="1">(Dashboard!$C$7*'Equity and Bond Returns'!AH34)+(Dashboard!$C$8*'Equity and Bond Returns'!EF34)</f>
        <v>0.12321159889754799</v>
      </c>
      <c r="W34" s="119">
        <f ca="1">(Dashboard!$C$7*'Equity and Bond Returns'!AI34)+(Dashboard!$C$8*'Equity and Bond Returns'!EG34)</f>
        <v>4.5726458644867685E-2</v>
      </c>
      <c r="X34" s="119">
        <f ca="1">(Dashboard!$C$7*'Equity and Bond Returns'!AJ34)+(Dashboard!$C$8*'Equity and Bond Returns'!EH34)</f>
        <v>-2.2953174169029131E-3</v>
      </c>
      <c r="Y34" s="119">
        <f ca="1">(Dashboard!$C$7*'Equity and Bond Returns'!AK34)+(Dashboard!$C$8*'Equity and Bond Returns'!EI34)</f>
        <v>6.0240865533961178E-2</v>
      </c>
      <c r="Z34" s="119">
        <f ca="1">(Dashboard!$C$7*'Equity and Bond Returns'!AL34)+(Dashboard!$C$8*'Equity and Bond Returns'!EJ34)</f>
        <v>3.9714710591025312E-2</v>
      </c>
      <c r="AA34" s="119">
        <f ca="1">(Dashboard!$C$7*'Equity and Bond Returns'!AM34)+(Dashboard!$C$8*'Equity and Bond Returns'!EK34)</f>
        <v>0.19134628746410537</v>
      </c>
      <c r="AB34" s="119">
        <f ca="1">(Dashboard!$C$7*'Equity and Bond Returns'!AN34)+(Dashboard!$C$8*'Equity and Bond Returns'!EL34)</f>
        <v>-9.5014121071505364E-2</v>
      </c>
      <c r="AC34" s="119">
        <f ca="1">(Dashboard!$C$7*'Equity and Bond Returns'!AO34)+(Dashboard!$C$8*'Equity and Bond Returns'!EM34)</f>
        <v>0.13481910616829923</v>
      </c>
      <c r="AD34" s="119">
        <f ca="1">(Dashboard!$C$7*'Equity and Bond Returns'!AP34)+(Dashboard!$C$8*'Equity and Bond Returns'!EN34)</f>
        <v>-6.2305939489494082E-2</v>
      </c>
      <c r="AE34" s="119">
        <f ca="1">(Dashboard!$C$7*'Equity and Bond Returns'!AQ34)+(Dashboard!$C$8*'Equity and Bond Returns'!EO34)</f>
        <v>0.54842305199157504</v>
      </c>
      <c r="AF34" s="119">
        <f ca="1">(Dashboard!$C$7*'Equity and Bond Returns'!AR34)+(Dashboard!$C$8*'Equity and Bond Returns'!EP34)</f>
        <v>4.2962122651847179E-2</v>
      </c>
      <c r="AG34" s="119">
        <f ca="1">(Dashboard!$C$7*'Equity and Bond Returns'!AS34)+(Dashboard!$C$8*'Equity and Bond Returns'!EQ34)</f>
        <v>0.12009767124351434</v>
      </c>
      <c r="AH34" s="119">
        <f ca="1">(Dashboard!$C$7*'Equity and Bond Returns'!AT34)+(Dashboard!$C$8*'Equity and Bond Returns'!ER34)</f>
        <v>0.40117702291280305</v>
      </c>
      <c r="AI34" s="119">
        <f ca="1">(Dashboard!$C$7*'Equity and Bond Returns'!AU34)+(Dashboard!$C$8*'Equity and Bond Returns'!ES34)</f>
        <v>0.29537176228659345</v>
      </c>
      <c r="AJ34" s="119">
        <f ca="1">(Dashboard!$C$7*'Equity and Bond Returns'!AV34)+(Dashboard!$C$8*'Equity and Bond Returns'!ET34)</f>
        <v>-0.17589273633294034</v>
      </c>
      <c r="AK34" s="119">
        <f ca="1">(Dashboard!$C$7*'Equity and Bond Returns'!AW34)+(Dashboard!$C$8*'Equity and Bond Returns'!EU34)</f>
        <v>0.16861096813126386</v>
      </c>
      <c r="AL34" s="119">
        <f ca="1">(Dashboard!$C$7*'Equity and Bond Returns'!AX34)+(Dashboard!$C$8*'Equity and Bond Returns'!EV34)</f>
        <v>6.4808439618210228E-2</v>
      </c>
      <c r="AM34" s="119">
        <f ca="1">(Dashboard!$C$7*'Equity and Bond Returns'!AY34)+(Dashboard!$C$8*'Equity and Bond Returns'!EW34)</f>
        <v>-3.0828634628880684E-2</v>
      </c>
      <c r="AN34" s="119">
        <f ca="1">(Dashboard!$C$7*'Equity and Bond Returns'!AZ34)+(Dashboard!$C$8*'Equity and Bond Returns'!EX34)</f>
        <v>9.9673624589888876E-2</v>
      </c>
      <c r="AO34" s="119">
        <f ca="1">(Dashboard!$C$7*'Equity and Bond Returns'!BA34)+(Dashboard!$C$8*'Equity and Bond Returns'!EY34)</f>
        <v>0.33408597632774584</v>
      </c>
      <c r="AP34" s="119">
        <f ca="1">(Dashboard!$C$7*'Equity and Bond Returns'!BB34)+(Dashboard!$C$8*'Equity and Bond Returns'!EZ34)</f>
        <v>-8.1520253570827969E-2</v>
      </c>
      <c r="AQ34" s="119">
        <f ca="1">(Dashboard!$C$7*'Equity and Bond Returns'!BC34)+(Dashboard!$C$8*'Equity and Bond Returns'!FA34)</f>
        <v>0.17929332572413284</v>
      </c>
      <c r="AR34" s="119">
        <f ca="1">(Dashboard!$C$7*'Equity and Bond Returns'!BD34)+(Dashboard!$C$8*'Equity and Bond Returns'!FB34)</f>
        <v>0.11050014594678155</v>
      </c>
      <c r="AS34" s="119">
        <f ca="1">(Dashboard!$C$7*'Equity and Bond Returns'!BE34)+(Dashboard!$C$8*'Equity and Bond Returns'!FC34)</f>
        <v>-1.3964105110139053E-2</v>
      </c>
      <c r="AT34" s="119">
        <f ca="1">(Dashboard!$C$7*'Equity and Bond Returns'!BF34)+(Dashboard!$C$8*'Equity and Bond Returns'!FD34)</f>
        <v>0.16985874782608798</v>
      </c>
      <c r="AU34" s="119">
        <f ca="1">(Dashboard!$C$7*'Equity and Bond Returns'!BG34)+(Dashboard!$C$8*'Equity and Bond Returns'!FE34)</f>
        <v>0.22145946702394648</v>
      </c>
      <c r="AV34" s="119">
        <f ca="1">(Dashboard!$C$7*'Equity and Bond Returns'!BH34)+(Dashboard!$C$8*'Equity and Bond Returns'!FF34)</f>
        <v>0.33891242175758113</v>
      </c>
      <c r="AW34" s="119">
        <f ca="1">(Dashboard!$C$7*'Equity and Bond Returns'!BI34)+(Dashboard!$C$8*'Equity and Bond Returns'!FG34)</f>
        <v>-1.1047242565816569E-2</v>
      </c>
      <c r="AX34" s="119">
        <f ca="1">(Dashboard!$C$7*'Equity and Bond Returns'!BJ34)+(Dashboard!$C$8*'Equity and Bond Returns'!FH34)</f>
        <v>0.1148045337598991</v>
      </c>
      <c r="AY34" s="119">
        <f ca="1">(Dashboard!$C$7*'Equity and Bond Returns'!BK34)+(Dashboard!$C$8*'Equity and Bond Returns'!FI34)</f>
        <v>0.1329299059651628</v>
      </c>
      <c r="AZ34" s="119">
        <f ca="1">(Dashboard!$C$7*'Equity and Bond Returns'!BL34)+(Dashboard!$C$8*'Equity and Bond Returns'!FJ34)</f>
        <v>5.429697806690071E-2</v>
      </c>
      <c r="BA34" s="119">
        <f ca="1">(Dashboard!$C$7*'Equity and Bond Returns'!BM34)+(Dashboard!$C$8*'Equity and Bond Returns'!FK34)</f>
        <v>7.9828059102637239E-2</v>
      </c>
      <c r="BB34" s="119">
        <f ca="1">(Dashboard!$C$7*'Equity and Bond Returns'!BN34)+(Dashboard!$C$8*'Equity and Bond Returns'!FL34)</f>
        <v>0.15256794887265265</v>
      </c>
      <c r="BC34" s="119">
        <f ca="1">(Dashboard!$C$7*'Equity and Bond Returns'!BO34)+(Dashboard!$C$8*'Equity and Bond Returns'!FM34)</f>
        <v>9.1346082056560168E-2</v>
      </c>
      <c r="BD34" s="119">
        <f ca="1">(Dashboard!$C$7*'Equity and Bond Returns'!BP34)+(Dashboard!$C$8*'Equity and Bond Returns'!FN34)</f>
        <v>-0.31539965513124857</v>
      </c>
      <c r="BE34" s="119">
        <f ca="1">(Dashboard!$C$7*'Equity and Bond Returns'!BQ34)+(Dashboard!$C$8*'Equity and Bond Returns'!FO34)</f>
        <v>0.19672111370581202</v>
      </c>
      <c r="BF34" s="119">
        <f ca="1">(Dashboard!$C$7*'Equity and Bond Returns'!BR34)+(Dashboard!$C$8*'Equity and Bond Returns'!FP34)</f>
        <v>0.26234875514902395</v>
      </c>
      <c r="BG34" s="119">
        <f ca="1">(Dashboard!$C$7*'Equity and Bond Returns'!BS34)+(Dashboard!$C$8*'Equity and Bond Returns'!FQ34)</f>
        <v>-1.0699466205589682E-2</v>
      </c>
      <c r="BH34" s="119">
        <f ca="1">(Dashboard!$C$7*'Equity and Bond Returns'!BT34)+(Dashboard!$C$8*'Equity and Bond Returns'!FR34)</f>
        <v>0.12145930083654277</v>
      </c>
      <c r="BI34" s="119">
        <f ca="1">(Dashboard!$C$7*'Equity and Bond Returns'!BU34)+(Dashboard!$C$8*'Equity and Bond Returns'!FS34)</f>
        <v>0.11207157001009027</v>
      </c>
      <c r="BJ34" s="119">
        <f ca="1">(Dashboard!$C$7*'Equity and Bond Returns'!BV34)+(Dashboard!$C$8*'Equity and Bond Returns'!FT34)</f>
        <v>-4.282894046233169E-2</v>
      </c>
      <c r="BK34" s="119">
        <f ca="1">(Dashboard!$C$7*'Equity and Bond Returns'!BW34)+(Dashboard!$C$8*'Equity and Bond Returns'!FU34)</f>
        <v>9.7681229046072487E-2</v>
      </c>
      <c r="BL34" s="119">
        <f ca="1">(Dashboard!$C$7*'Equity and Bond Returns'!BX34)+(Dashboard!$C$8*'Equity and Bond Returns'!FV34)</f>
        <v>0.25625911868910667</v>
      </c>
      <c r="BM34" s="119">
        <f ca="1">(Dashboard!$C$7*'Equity and Bond Returns'!BY34)+(Dashboard!$C$8*'Equity and Bond Returns'!FW34)</f>
        <v>0.26703170006362126</v>
      </c>
      <c r="BN34" s="119">
        <f ca="1">(Dashboard!$C$7*'Equity and Bond Returns'!BZ34)+(Dashboard!$C$8*'Equity and Bond Returns'!FX34)</f>
        <v>0.26438063899522174</v>
      </c>
      <c r="BO34" s="119">
        <f ca="1">(Dashboard!$C$7*'Equity and Bond Returns'!CA34)+(Dashboard!$C$8*'Equity and Bond Returns'!FY34)</f>
        <v>-1.2916803803508981E-2</v>
      </c>
      <c r="BP34" s="119">
        <f ca="1">(Dashboard!$C$7*'Equity and Bond Returns'!CB34)+(Dashboard!$C$8*'Equity and Bond Returns'!FZ34)</f>
        <v>1.5654352232180872E-2</v>
      </c>
      <c r="BQ34" s="119">
        <f ca="1">(Dashboard!$C$7*'Equity and Bond Returns'!CC34)+(Dashboard!$C$8*'Equity and Bond Returns'!GA34)</f>
        <v>-3.8861478128303935E-2</v>
      </c>
      <c r="BR34" s="119">
        <f ca="1">(Dashboard!$C$7*'Equity and Bond Returns'!CD34)+(Dashboard!$C$8*'Equity and Bond Returns'!GB34)</f>
        <v>0.36519878567805575</v>
      </c>
      <c r="BS34" s="119">
        <f ca="1">(Dashboard!$C$7*'Equity and Bond Returns'!CE34)+(Dashboard!$C$8*'Equity and Bond Returns'!GC34)</f>
        <v>0.13396950021879528</v>
      </c>
      <c r="BT34" s="119">
        <f ca="1">(Dashboard!$C$7*'Equity and Bond Returns'!CF34)+(Dashboard!$C$8*'Equity and Bond Returns'!GD34)</f>
        <v>6.8684232104934143E-2</v>
      </c>
      <c r="BU34" s="119">
        <f ca="1">(Dashboard!$C$7*'Equity and Bond Returns'!CG34)+(Dashboard!$C$8*'Equity and Bond Returns'!GE34)</f>
        <v>-5.135012929444828E-2</v>
      </c>
      <c r="BV34" s="119">
        <f ca="1">(Dashboard!$C$7*'Equity and Bond Returns'!CH34)+(Dashboard!$C$8*'Equity and Bond Returns'!GF34)</f>
        <v>-6.431698384549471E-2</v>
      </c>
      <c r="BW34" s="119">
        <f ca="1">(Dashboard!$C$7*'Equity and Bond Returns'!CI34)+(Dashboard!$C$8*'Equity and Bond Returns'!GG34)</f>
        <v>0.10144941541618085</v>
      </c>
      <c r="BX34" s="119">
        <f ca="1">(Dashboard!$C$7*'Equity and Bond Returns'!CJ34)+(Dashboard!$C$8*'Equity and Bond Returns'!GH34)</f>
        <v>-0.17266234367410216</v>
      </c>
      <c r="BY34" s="119">
        <f ca="1">(Dashboard!$C$7*'Equity and Bond Returns'!CK34)+(Dashboard!$C$8*'Equity and Bond Returns'!GI34)</f>
        <v>0.18048953033743495</v>
      </c>
      <c r="BZ34" s="119">
        <f ca="1">(Dashboard!$C$7*'Equity and Bond Returns'!CL34)+(Dashboard!$C$8*'Equity and Bond Returns'!GJ34)</f>
        <v>-9.6262004051336655E-2</v>
      </c>
      <c r="CA34" s="119">
        <f ca="1">(Dashboard!$C$7*'Equity and Bond Returns'!CM34)+(Dashboard!$C$8*'Equity and Bond Returns'!GK34)</f>
        <v>5.6543991755656997E-2</v>
      </c>
      <c r="CB34" s="119">
        <f ca="1">(Dashboard!$C$7*'Equity and Bond Returns'!CN34)+(Dashboard!$C$8*'Equity and Bond Returns'!GL34)</f>
        <v>0.11451067918148247</v>
      </c>
      <c r="CC34" s="119">
        <f ca="1">(Dashboard!$C$7*'Equity and Bond Returns'!CO34)+(Dashboard!$C$8*'Equity and Bond Returns'!GM34)</f>
        <v>0.1850357498977882</v>
      </c>
      <c r="CD34" s="119">
        <f ca="1">(Dashboard!$C$7*'Equity and Bond Returns'!CP34)+(Dashboard!$C$8*'Equity and Bond Returns'!GN34)</f>
        <v>0.21299827584748976</v>
      </c>
      <c r="CE34" s="119">
        <f ca="1">(Dashboard!$C$7*'Equity and Bond Returns'!CQ34)+(Dashboard!$C$8*'Equity and Bond Returns'!GO34)</f>
        <v>0.11079970227628914</v>
      </c>
      <c r="CF34" s="119">
        <f ca="1">(Dashboard!$C$7*'Equity and Bond Returns'!CR34)+(Dashboard!$C$8*'Equity and Bond Returns'!GP34)</f>
        <v>8.8413619529577908E-2</v>
      </c>
      <c r="CG34" s="119">
        <f ca="1">(Dashboard!$C$7*'Equity and Bond Returns'!CS34)+(Dashboard!$C$8*'Equity and Bond Returns'!GQ34)</f>
        <v>-0.18927312679735167</v>
      </c>
      <c r="CH34" s="119">
        <f ca="1">(Dashboard!$C$7*'Equity and Bond Returns'!CT34)+(Dashboard!$C$8*'Equity and Bond Returns'!GR34)</f>
        <v>0.15601122674571374</v>
      </c>
      <c r="CI34" s="119">
        <f ca="1">(Dashboard!$C$7*'Equity and Bond Returns'!CU34)+(Dashboard!$C$8*'Equity and Bond Returns'!GS34)</f>
        <v>0.20069293152305001</v>
      </c>
      <c r="CJ34" s="119">
        <f ca="1">(Dashboard!$C$7*'Equity and Bond Returns'!CV34)+(Dashboard!$C$8*'Equity and Bond Returns'!GT34)</f>
        <v>0.19408687350533424</v>
      </c>
      <c r="CK34" s="119">
        <f ca="1">(Dashboard!$C$7*'Equity and Bond Returns'!CW34)+(Dashboard!$C$8*'Equity and Bond Returns'!GU34)</f>
        <v>-4.8010379714099258E-2</v>
      </c>
      <c r="CL34" s="119">
        <f ca="1">(Dashboard!$C$7*'Equity and Bond Returns'!CX34)+(Dashboard!$C$8*'Equity and Bond Returns'!GV34)</f>
        <v>4.5177339102415552E-3</v>
      </c>
      <c r="CM34" s="119">
        <f ca="1">(Dashboard!$C$7*'Equity and Bond Returns'!CY34)+(Dashboard!$C$8*'Equity and Bond Returns'!GW34)</f>
        <v>0.24476053590180588</v>
      </c>
      <c r="CN34" s="119">
        <f ca="1">(Dashboard!$C$7*'Equity and Bond Returns'!CZ34)+(Dashboard!$C$8*'Equity and Bond Returns'!GX34)</f>
        <v>0.32348008366084718</v>
      </c>
      <c r="CO34" s="119">
        <f ca="1">(Dashboard!$C$7*'Equity and Bond Returns'!DA34)+(Dashboard!$C$8*'Equity and Bond Returns'!GY34)</f>
        <v>-3.2926837166034357E-3</v>
      </c>
      <c r="CP34" s="119">
        <f ca="1">(Dashboard!$C$7*'Equity and Bond Returns'!DB34)+(Dashboard!$C$8*'Equity and Bond Returns'!GZ34)</f>
        <v>7.0200589039494249E-3</v>
      </c>
      <c r="CQ34" s="119">
        <f ca="1">(Dashboard!$C$7*'Equity and Bond Returns'!DC34)+(Dashboard!$C$8*'Equity and Bond Returns'!HA34)</f>
        <v>4.5098920542918086E-3</v>
      </c>
      <c r="CR34" s="119">
        <f ca="1">(Dashboard!$C$7*'Equity and Bond Returns'!DD34)+(Dashboard!$C$8*'Equity and Bond Returns'!HB34)</f>
        <v>-3.8582168374258888E-2</v>
      </c>
      <c r="CS34" s="119">
        <f ca="1">(Dashboard!$C$7*'Equity and Bond Returns'!DE34)+(Dashboard!$C$8*'Equity and Bond Returns'!HC34)</f>
        <v>-3.016442651719943E-2</v>
      </c>
      <c r="CT34" s="119">
        <f ca="1">(Dashboard!$C$7*'Equity and Bond Returns'!DF34)+(Dashboard!$C$8*'Equity and Bond Returns'!HD34)</f>
        <v>0.27628326789988733</v>
      </c>
      <c r="CU34" s="119">
        <f ca="1">(Dashboard!$C$7*'Equity and Bond Returns'!DG34)+(Dashboard!$C$8*'Equity and Bond Returns'!HE34)</f>
        <v>2.5968982725380119E-2</v>
      </c>
      <c r="CV34" s="119">
        <f ca="1">(Dashboard!$C$7*'Equity and Bond Returns'!DH34)+(Dashboard!$C$8*'Equity and Bond Returns'!HF34)</f>
        <v>0.11946446372290515</v>
      </c>
      <c r="CW34" s="119">
        <f ca="1">(Dashboard!$C$7*'Equity and Bond Returns'!DI34)+(Dashboard!$C$8*'Equity and Bond Returns'!HG34)</f>
        <v>-9.277822684187445E-2</v>
      </c>
      <c r="CY34" s="147">
        <f t="shared" si="5"/>
        <v>83</v>
      </c>
      <c r="CZ34" s="147">
        <v>33</v>
      </c>
      <c r="DA34" s="126">
        <f ca="1">MAX(DA33*(1+B34)-(Dashboard!$C$11)/(1-Dashboard!$C$17)*((1+Dashboard!$C$12)^$CZ34),0)</f>
        <v>12764394.844103936</v>
      </c>
      <c r="DB34" s="126">
        <f ca="1">MAX(DB33*(1+C34)-(Dashboard!$C$11)/(1-Dashboard!$C$17)*((1+Dashboard!$C$12)^$CZ34),0)</f>
        <v>0</v>
      </c>
      <c r="DC34" s="126">
        <f ca="1">MAX(DC33*(1+D34)-(Dashboard!$C$11)/(1-Dashboard!$C$17)*((1+Dashboard!$C$12)^$CZ34),0)</f>
        <v>3128425.8503321754</v>
      </c>
      <c r="DD34" s="126">
        <f ca="1">MAX(DD33*(1+E34)-(Dashboard!$C$11)/(1-Dashboard!$C$17)*((1+Dashboard!$C$12)^$CZ34),0)</f>
        <v>385088.27457679424</v>
      </c>
      <c r="DE34" s="126">
        <f ca="1">MAX(DE33*(1+F34)-(Dashboard!$C$11)/(1-Dashboard!$C$17)*((1+Dashboard!$C$12)^$CZ34),0)</f>
        <v>3053452.7330310796</v>
      </c>
      <c r="DF34" s="126">
        <f ca="1">MAX(DF33*(1+G34)-(Dashboard!$C$11)/(1-Dashboard!$C$17)*((1+Dashboard!$C$12)^$CZ34),0)</f>
        <v>9342727.8297691531</v>
      </c>
      <c r="DG34" s="126">
        <f ca="1">MAX(DG33*(1+H34)-(Dashboard!$C$11)/(1-Dashboard!$C$17)*((1+Dashboard!$C$12)^$CZ34),0)</f>
        <v>0</v>
      </c>
      <c r="DH34" s="126">
        <f ca="1">MAX(DH33*(1+I34)-(Dashboard!$C$11)/(1-Dashboard!$C$17)*((1+Dashboard!$C$12)^$CZ34),0)</f>
        <v>11987269.312008623</v>
      </c>
      <c r="DI34" s="126">
        <f ca="1">MAX(DI33*(1+J34)-(Dashboard!$C$11)/(1-Dashboard!$C$17)*((1+Dashboard!$C$12)^$CZ34),0)</f>
        <v>3278966.2393467184</v>
      </c>
      <c r="DJ34" s="126">
        <f ca="1">MAX(DJ33*(1+K34)-(Dashboard!$C$11)/(1-Dashboard!$C$17)*((1+Dashboard!$C$12)^$CZ34),0)</f>
        <v>5585505.5402099341</v>
      </c>
      <c r="DK34" s="126">
        <f ca="1">MAX(DK33*(1+L34)-(Dashboard!$C$11)/(1-Dashboard!$C$17)*((1+Dashboard!$C$12)^$CZ34),0)</f>
        <v>9722757.702645028</v>
      </c>
      <c r="DL34" s="126">
        <f ca="1">MAX(DL33*(1+M34)-(Dashboard!$C$11)/(1-Dashboard!$C$17)*((1+Dashboard!$C$12)^$CZ34),0)</f>
        <v>716271.24673830473</v>
      </c>
      <c r="DM34" s="126">
        <f ca="1">MAX(DM33*(1+N34)-(Dashboard!$C$11)/(1-Dashboard!$C$17)*((1+Dashboard!$C$12)^$CZ34),0)</f>
        <v>5666040.233730007</v>
      </c>
      <c r="DN34" s="126">
        <f ca="1">MAX(DN33*(1+O34)-(Dashboard!$C$11)/(1-Dashboard!$C$17)*((1+Dashboard!$C$12)^$CZ34),0)</f>
        <v>29759115.913659856</v>
      </c>
      <c r="DO34" s="126">
        <f ca="1">MAX(DO33*(1+P34)-(Dashboard!$C$11)/(1-Dashboard!$C$17)*((1+Dashboard!$C$12)^$CZ34),0)</f>
        <v>1909596.5248725391</v>
      </c>
      <c r="DP34" s="126">
        <f ca="1">MAX(DP33*(1+Q34)-(Dashboard!$C$11)/(1-Dashboard!$C$17)*((1+Dashboard!$C$12)^$CZ34),0)</f>
        <v>757859.19813939056</v>
      </c>
      <c r="DQ34" s="126">
        <f ca="1">MAX(DQ33*(1+R34)-(Dashboard!$C$11)/(1-Dashboard!$C$17)*((1+Dashboard!$C$12)^$CZ34),0)</f>
        <v>4336685.0128992461</v>
      </c>
      <c r="DR34" s="126">
        <f ca="1">MAX(DR33*(1+S34)-(Dashboard!$C$11)/(1-Dashboard!$C$17)*((1+Dashboard!$C$12)^$CZ34),0)</f>
        <v>7138277.8297641724</v>
      </c>
      <c r="DS34" s="126">
        <f ca="1">MAX(DS33*(1+T34)-(Dashboard!$C$11)/(1-Dashboard!$C$17)*((1+Dashboard!$C$12)^$CZ34),0)</f>
        <v>278858.84708577429</v>
      </c>
      <c r="DT34" s="126">
        <f ca="1">MAX(DT33*(1+U34)-(Dashboard!$C$11)/(1-Dashboard!$C$17)*((1+Dashboard!$C$12)^$CZ34),0)</f>
        <v>744105.31970802869</v>
      </c>
      <c r="DU34" s="126">
        <f ca="1">MAX(DU33*(1+V34)-(Dashboard!$C$11)/(1-Dashboard!$C$17)*((1+Dashboard!$C$12)^$CZ34),0)</f>
        <v>3996247.2002179269</v>
      </c>
      <c r="DV34" s="126">
        <f ca="1">MAX(DV33*(1+W34)-(Dashboard!$C$11)/(1-Dashboard!$C$17)*((1+Dashboard!$C$12)^$CZ34),0)</f>
        <v>20243451.293613207</v>
      </c>
      <c r="DW34" s="126">
        <f ca="1">MAX(DW33*(1+X34)-(Dashboard!$C$11)/(1-Dashboard!$C$17)*((1+Dashboard!$C$12)^$CZ34),0)</f>
        <v>4199797.9349395707</v>
      </c>
      <c r="DX34" s="126">
        <f ca="1">MAX(DX33*(1+Y34)-(Dashboard!$C$11)/(1-Dashboard!$C$17)*((1+Dashboard!$C$12)^$CZ34),0)</f>
        <v>1591727.805110184</v>
      </c>
      <c r="DY34" s="126">
        <f ca="1">MAX(DY33*(1+Z34)-(Dashboard!$C$11)/(1-Dashboard!$C$17)*((1+Dashboard!$C$12)^$CZ34),0)</f>
        <v>8513062.3143890072</v>
      </c>
      <c r="DZ34" s="126">
        <f ca="1">MAX(DZ33*(1+AA34)-(Dashboard!$C$11)/(1-Dashboard!$C$17)*((1+Dashboard!$C$12)^$CZ34),0)</f>
        <v>2964952.9721537242</v>
      </c>
      <c r="EA34" s="126">
        <f ca="1">MAX(EA33*(1+AB34)-(Dashboard!$C$11)/(1-Dashboard!$C$17)*((1+Dashboard!$C$12)^$CZ34),0)</f>
        <v>1782497.9806433923</v>
      </c>
      <c r="EB34" s="126">
        <f ca="1">MAX(EB33*(1+AC34)-(Dashboard!$C$11)/(1-Dashboard!$C$17)*((1+Dashboard!$C$12)^$CZ34),0)</f>
        <v>4637783.0337127503</v>
      </c>
      <c r="EC34" s="126">
        <f ca="1">MAX(EC33*(1+AD34)-(Dashboard!$C$11)/(1-Dashboard!$C$17)*((1+Dashboard!$C$12)^$CZ34),0)</f>
        <v>2946496.779188077</v>
      </c>
      <c r="ED34" s="126">
        <f ca="1">MAX(ED33*(1+AE34)-(Dashboard!$C$11)/(1-Dashboard!$C$17)*((1+Dashboard!$C$12)^$CZ34),0)</f>
        <v>2943472.3523375383</v>
      </c>
      <c r="EE34" s="126">
        <f ca="1">MAX(EE33*(1+AF34)-(Dashboard!$C$11)/(1-Dashboard!$C$17)*((1+Dashboard!$C$12)^$CZ34),0)</f>
        <v>10653835.733980199</v>
      </c>
      <c r="EF34" s="126">
        <f ca="1">MAX(EF33*(1+AG34)-(Dashboard!$C$11)/(1-Dashboard!$C$17)*((1+Dashboard!$C$12)^$CZ34),0)</f>
        <v>367888.44067231641</v>
      </c>
      <c r="EG34" s="126">
        <f ca="1">MAX(EG33*(1+AH34)-(Dashboard!$C$11)/(1-Dashboard!$C$17)*((1+Dashboard!$C$12)^$CZ34),0)</f>
        <v>5985255.9410087159</v>
      </c>
      <c r="EH34" s="126">
        <f ca="1">MAX(EH33*(1+AI34)-(Dashboard!$C$11)/(1-Dashboard!$C$17)*((1+Dashboard!$C$12)^$CZ34),0)</f>
        <v>8375185.9694847502</v>
      </c>
      <c r="EI34" s="126">
        <f ca="1">MAX(EI33*(1+AJ34)-(Dashboard!$C$11)/(1-Dashboard!$C$17)*((1+Dashboard!$C$12)^$CZ34),0)</f>
        <v>0</v>
      </c>
      <c r="EJ34" s="126">
        <f ca="1">MAX(EJ33*(1+AK34)-(Dashboard!$C$11)/(1-Dashboard!$C$17)*((1+Dashboard!$C$12)^$CZ34),0)</f>
        <v>3607043.1705391007</v>
      </c>
      <c r="EK34" s="126">
        <f ca="1">MAX(EK33*(1+AL34)-(Dashboard!$C$11)/(1-Dashboard!$C$17)*((1+Dashboard!$C$12)^$CZ34),0)</f>
        <v>6046058.7908265386</v>
      </c>
      <c r="EL34" s="126">
        <f ca="1">MAX(EL33*(1+AM34)-(Dashboard!$C$11)/(1-Dashboard!$C$17)*((1+Dashboard!$C$12)^$CZ34),0)</f>
        <v>1558141.357209194</v>
      </c>
      <c r="EM34" s="126">
        <f ca="1">MAX(EM33*(1+AN34)-(Dashboard!$C$11)/(1-Dashboard!$C$17)*((1+Dashboard!$C$12)^$CZ34),0)</f>
        <v>7644821.8247798029</v>
      </c>
      <c r="EN34" s="126">
        <f ca="1">MAX(EN33*(1+AO34)-(Dashboard!$C$11)/(1-Dashboard!$C$17)*((1+Dashboard!$C$12)^$CZ34),0)</f>
        <v>2397388.01362764</v>
      </c>
      <c r="EO34" s="126">
        <f ca="1">MAX(EO33*(1+AP34)-(Dashboard!$C$11)/(1-Dashboard!$C$17)*((1+Dashboard!$C$12)^$CZ34),0)</f>
        <v>0</v>
      </c>
      <c r="EP34" s="126">
        <f ca="1">MAX(EP33*(1+AQ34)-(Dashboard!$C$11)/(1-Dashboard!$C$17)*((1+Dashboard!$C$12)^$CZ34),0)</f>
        <v>2386888.3220689716</v>
      </c>
      <c r="EQ34" s="126">
        <f ca="1">MAX(EQ33*(1+AR34)-(Dashboard!$C$11)/(1-Dashboard!$C$17)*((1+Dashboard!$C$12)^$CZ34),0)</f>
        <v>2952092.5750258197</v>
      </c>
      <c r="ER34" s="126">
        <f ca="1">MAX(ER33*(1+AS34)-(Dashboard!$C$11)/(1-Dashboard!$C$17)*((1+Dashboard!$C$12)^$CZ34),0)</f>
        <v>0</v>
      </c>
      <c r="ES34" s="126">
        <f ca="1">MAX(ES33*(1+AT34)-(Dashboard!$C$11)/(1-Dashboard!$C$17)*((1+Dashboard!$C$12)^$CZ34),0)</f>
        <v>12534238.544292346</v>
      </c>
      <c r="ET34" s="126">
        <f ca="1">MAX(ET33*(1+AU34)-(Dashboard!$C$11)/(1-Dashboard!$C$17)*((1+Dashboard!$C$12)^$CZ34),0)</f>
        <v>4288789.9410814168</v>
      </c>
      <c r="EU34" s="126">
        <f ca="1">MAX(EU33*(1+AV34)-(Dashboard!$C$11)/(1-Dashboard!$C$17)*((1+Dashboard!$C$12)^$CZ34),0)</f>
        <v>2764559.1120248069</v>
      </c>
      <c r="EV34" s="126">
        <f ca="1">MAX(EV33*(1+AW34)-(Dashboard!$C$11)/(1-Dashboard!$C$17)*((1+Dashboard!$C$12)^$CZ34),0)</f>
        <v>24405013.189194366</v>
      </c>
      <c r="EW34" s="126">
        <f ca="1">MAX(EW33*(1+AX34)-(Dashboard!$C$11)/(1-Dashboard!$C$17)*((1+Dashboard!$C$12)^$CZ34),0)</f>
        <v>1311752.2596681316</v>
      </c>
      <c r="EX34" s="126">
        <f ca="1">MAX(EX33*(1+AY34)-(Dashboard!$C$11)/(1-Dashboard!$C$17)*((1+Dashboard!$C$12)^$CZ34),0)</f>
        <v>3512779.1272302964</v>
      </c>
      <c r="EY34" s="126">
        <f ca="1">MAX(EY33*(1+AZ34)-(Dashboard!$C$11)/(1-Dashboard!$C$17)*((1+Dashboard!$C$12)^$CZ34),0)</f>
        <v>9913109.9923274759</v>
      </c>
      <c r="EZ34" s="126">
        <f ca="1">MAX(EZ33*(1+BA34)-(Dashboard!$C$11)/(1-Dashboard!$C$17)*((1+Dashboard!$C$12)^$CZ34),0)</f>
        <v>2744406.0152523709</v>
      </c>
      <c r="FA34" s="126">
        <f ca="1">MAX(FA33*(1+BB34)-(Dashboard!$C$11)/(1-Dashboard!$C$17)*((1+Dashboard!$C$12)^$CZ34),0)</f>
        <v>13169675.488282567</v>
      </c>
      <c r="FB34" s="126">
        <f ca="1">MAX(FB33*(1+BC34)-(Dashboard!$C$11)/(1-Dashboard!$C$17)*((1+Dashboard!$C$12)^$CZ34),0)</f>
        <v>881468.13804577198</v>
      </c>
      <c r="FC34" s="126">
        <f ca="1">MAX(FC33*(1+BD34)-(Dashboard!$C$11)/(1-Dashboard!$C$17)*((1+Dashboard!$C$12)^$CZ34),0)</f>
        <v>6388720.7641256107</v>
      </c>
      <c r="FD34" s="126">
        <f ca="1">MAX(FD33*(1+BE34)-(Dashboard!$C$11)/(1-Dashboard!$C$17)*((1+Dashboard!$C$12)^$CZ34),0)</f>
        <v>12350521.292917665</v>
      </c>
      <c r="FE34" s="126">
        <f ca="1">MAX(FE33*(1+BF34)-(Dashboard!$C$11)/(1-Dashboard!$C$17)*((1+Dashboard!$C$12)^$CZ34),0)</f>
        <v>12505945.862427637</v>
      </c>
      <c r="FF34" s="126">
        <f ca="1">MAX(FF33*(1+BG34)-(Dashboard!$C$11)/(1-Dashboard!$C$17)*((1+Dashboard!$C$12)^$CZ34),0)</f>
        <v>2185232.4811839135</v>
      </c>
      <c r="FG34" s="126">
        <f ca="1">MAX(FG33*(1+BH34)-(Dashboard!$C$11)/(1-Dashboard!$C$17)*((1+Dashboard!$C$12)^$CZ34),0)</f>
        <v>1673859.5267397896</v>
      </c>
      <c r="FH34" s="126">
        <f ca="1">MAX(FH33*(1+BI34)-(Dashboard!$C$11)/(1-Dashboard!$C$17)*((1+Dashboard!$C$12)^$CZ34),0)</f>
        <v>2956544.0569786984</v>
      </c>
      <c r="FI34" s="126">
        <f ca="1">MAX(FI33*(1+BJ34)-(Dashboard!$C$11)/(1-Dashboard!$C$17)*((1+Dashboard!$C$12)^$CZ34),0)</f>
        <v>6451876.9982440509</v>
      </c>
      <c r="FJ34" s="126">
        <f ca="1">MAX(FJ33*(1+BK34)-(Dashboard!$C$11)/(1-Dashboard!$C$17)*((1+Dashboard!$C$12)^$CZ34),0)</f>
        <v>1723980.4190392357</v>
      </c>
      <c r="FK34" s="126">
        <f ca="1">MAX(FK33*(1+BL34)-(Dashboard!$C$11)/(1-Dashboard!$C$17)*((1+Dashboard!$C$12)^$CZ34),0)</f>
        <v>4932027.5244395919</v>
      </c>
      <c r="FL34" s="126">
        <f ca="1">MAX(FL33*(1+BM34)-(Dashboard!$C$11)/(1-Dashboard!$C$17)*((1+Dashboard!$C$12)^$CZ34),0)</f>
        <v>1907437.3643817392</v>
      </c>
      <c r="FM34" s="126">
        <f ca="1">MAX(FM33*(1+BN34)-(Dashboard!$C$11)/(1-Dashboard!$C$17)*((1+Dashboard!$C$12)^$CZ34),0)</f>
        <v>3265103.3825549614</v>
      </c>
      <c r="FN34" s="126">
        <f ca="1">MAX(FN33*(1+BO34)-(Dashboard!$C$11)/(1-Dashboard!$C$17)*((1+Dashboard!$C$12)^$CZ34),0)</f>
        <v>0</v>
      </c>
      <c r="FO34" s="126">
        <f ca="1">MAX(FO33*(1+BP34)-(Dashboard!$C$11)/(1-Dashboard!$C$17)*((1+Dashboard!$C$12)^$CZ34),0)</f>
        <v>2709682.3843349479</v>
      </c>
      <c r="FP34" s="126">
        <f ca="1">MAX(FP33*(1+BQ34)-(Dashboard!$C$11)/(1-Dashboard!$C$17)*((1+Dashboard!$C$12)^$CZ34),0)</f>
        <v>1926661.385601094</v>
      </c>
      <c r="FQ34" s="126">
        <f ca="1">MAX(FQ33*(1+BR34)-(Dashboard!$C$11)/(1-Dashboard!$C$17)*((1+Dashboard!$C$12)^$CZ34),0)</f>
        <v>2113120.987210941</v>
      </c>
      <c r="FR34" s="126">
        <f ca="1">MAX(FR33*(1+BS34)-(Dashboard!$C$11)/(1-Dashboard!$C$17)*((1+Dashboard!$C$12)^$CZ34),0)</f>
        <v>5727427.6575521184</v>
      </c>
      <c r="FS34" s="126">
        <f ca="1">MAX(FS33*(1+BT34)-(Dashboard!$C$11)/(1-Dashboard!$C$17)*((1+Dashboard!$C$12)^$CZ34),0)</f>
        <v>6586176.5753854634</v>
      </c>
      <c r="FT34" s="126">
        <f ca="1">MAX(FT33*(1+BU34)-(Dashboard!$C$11)/(1-Dashboard!$C$17)*((1+Dashboard!$C$12)^$CZ34),0)</f>
        <v>286749.54821063828</v>
      </c>
      <c r="FU34" s="126">
        <f ca="1">MAX(FU33*(1+BV34)-(Dashboard!$C$11)/(1-Dashboard!$C$17)*((1+Dashboard!$C$12)^$CZ34),0)</f>
        <v>2145661.4810401886</v>
      </c>
      <c r="FV34" s="126">
        <f ca="1">MAX(FV33*(1+BW34)-(Dashboard!$C$11)/(1-Dashboard!$C$17)*((1+Dashboard!$C$12)^$CZ34),0)</f>
        <v>4246699.253862774</v>
      </c>
      <c r="FW34" s="126">
        <f ca="1">MAX(FW33*(1+BX34)-(Dashboard!$C$11)/(1-Dashboard!$C$17)*((1+Dashboard!$C$12)^$CZ34),0)</f>
        <v>1453027.5908337699</v>
      </c>
      <c r="FX34" s="126">
        <f ca="1">MAX(FX33*(1+BY34)-(Dashboard!$C$11)/(1-Dashboard!$C$17)*((1+Dashboard!$C$12)^$CZ34),0)</f>
        <v>59476.984883158351</v>
      </c>
      <c r="FY34" s="126">
        <f ca="1">MAX(FY33*(1+BZ34)-(Dashboard!$C$11)/(1-Dashboard!$C$17)*((1+Dashboard!$C$12)^$CZ34),0)</f>
        <v>451015.75187810219</v>
      </c>
      <c r="FZ34" s="126">
        <f ca="1">MAX(FZ33*(1+CA34)-(Dashboard!$C$11)/(1-Dashboard!$C$17)*((1+Dashboard!$C$12)^$CZ34),0)</f>
        <v>8093805.1932234485</v>
      </c>
      <c r="GA34" s="126">
        <f ca="1">MAX(GA33*(1+CB34)-(Dashboard!$C$11)/(1-Dashboard!$C$17)*((1+Dashboard!$C$12)^$CZ34),0)</f>
        <v>6407581.0236288812</v>
      </c>
      <c r="GB34" s="126">
        <f ca="1">MAX(GB33*(1+CC34)-(Dashboard!$C$11)/(1-Dashboard!$C$17)*((1+Dashboard!$C$12)^$CZ34),0)</f>
        <v>2413375.2260694453</v>
      </c>
      <c r="GC34" s="126">
        <f ca="1">MAX(GC33*(1+CD34)-(Dashboard!$C$11)/(1-Dashboard!$C$17)*((1+Dashboard!$C$12)^$CZ34),0)</f>
        <v>4860767.00181277</v>
      </c>
      <c r="GD34" s="126">
        <f ca="1">MAX(GD33*(1+CE34)-(Dashboard!$C$11)/(1-Dashboard!$C$17)*((1+Dashboard!$C$12)^$CZ34),0)</f>
        <v>17918435.427940059</v>
      </c>
      <c r="GE34" s="126">
        <f ca="1">MAX(GE33*(1+CF34)-(Dashboard!$C$11)/(1-Dashboard!$C$17)*((1+Dashboard!$C$12)^$CZ34),0)</f>
        <v>4144458.3928823108</v>
      </c>
      <c r="GF34" s="126">
        <f ca="1">MAX(GF33*(1+CG34)-(Dashboard!$C$11)/(1-Dashboard!$C$17)*((1+Dashboard!$C$12)^$CZ34),0)</f>
        <v>3021536.434620976</v>
      </c>
      <c r="GG34" s="126">
        <f ca="1">MAX(GG33*(1+CH34)-(Dashboard!$C$11)/(1-Dashboard!$C$17)*((1+Dashboard!$C$12)^$CZ34),0)</f>
        <v>598192.22046099312</v>
      </c>
      <c r="GH34" s="126">
        <f ca="1">MAX(GH33*(1+CI34)-(Dashboard!$C$11)/(1-Dashboard!$C$17)*((1+Dashboard!$C$12)^$CZ34),0)</f>
        <v>1330344.6389954526</v>
      </c>
      <c r="GI34" s="126">
        <f ca="1">MAX(GI33*(1+CJ34)-(Dashboard!$C$11)/(1-Dashboard!$C$17)*((1+Dashboard!$C$12)^$CZ34),0)</f>
        <v>3254375.584392102</v>
      </c>
      <c r="GJ34" s="126">
        <f ca="1">MAX(GJ33*(1+CK34)-(Dashboard!$C$11)/(1-Dashboard!$C$17)*((1+Dashboard!$C$12)^$CZ34),0)</f>
        <v>12735597.581254933</v>
      </c>
      <c r="GK34" s="126">
        <f ca="1">MAX(GK33*(1+CL34)-(Dashboard!$C$11)/(1-Dashboard!$C$17)*((1+Dashboard!$C$12)^$CZ34),0)</f>
        <v>3801321.3764928821</v>
      </c>
      <c r="GL34" s="126">
        <f ca="1">MAX(GL33*(1+CM34)-(Dashboard!$C$11)/(1-Dashboard!$C$17)*((1+Dashboard!$C$12)^$CZ34),0)</f>
        <v>6767547.9412826207</v>
      </c>
      <c r="GM34" s="126">
        <f ca="1">MAX(GM33*(1+CN34)-(Dashboard!$C$11)/(1-Dashboard!$C$17)*((1+Dashboard!$C$12)^$CZ34),0)</f>
        <v>462519.08076989045</v>
      </c>
      <c r="GN34" s="126">
        <f ca="1">MAX(GN33*(1+CO34)-(Dashboard!$C$11)/(1-Dashboard!$C$17)*((1+Dashboard!$C$12)^$CZ34),0)</f>
        <v>0</v>
      </c>
      <c r="GO34" s="126">
        <f ca="1">MAX(GO33*(1+CP34)-(Dashboard!$C$11)/(1-Dashboard!$C$17)*((1+Dashboard!$C$12)^$CZ34),0)</f>
        <v>1519086.1531206223</v>
      </c>
      <c r="GP34" s="126">
        <f ca="1">MAX(GP33*(1+CQ34)-(Dashboard!$C$11)/(1-Dashboard!$C$17)*((1+Dashboard!$C$12)^$CZ34),0)</f>
        <v>5285413.8447444169</v>
      </c>
      <c r="GQ34" s="126">
        <f ca="1">MAX(GQ33*(1+CR34)-(Dashboard!$C$11)/(1-Dashboard!$C$17)*((1+Dashboard!$C$12)^$CZ34),0)</f>
        <v>0</v>
      </c>
      <c r="GR34" s="126">
        <f ca="1">MAX(GR33*(1+CS34)-(Dashboard!$C$11)/(1-Dashboard!$C$17)*((1+Dashboard!$C$12)^$CZ34),0)</f>
        <v>1826059.8285425897</v>
      </c>
      <c r="GS34" s="126">
        <f ca="1">MAX(GS33*(1+CT34)-(Dashboard!$C$11)/(1-Dashboard!$C$17)*((1+Dashboard!$C$12)^$CZ34),0)</f>
        <v>8236237.5916617848</v>
      </c>
      <c r="GT34" s="126">
        <f ca="1">MAX(GT33*(1+CU34)-(Dashboard!$C$11)/(1-Dashboard!$C$17)*((1+Dashboard!$C$12)^$CZ34),0)</f>
        <v>20190460.774574328</v>
      </c>
      <c r="GU34" s="126">
        <f ca="1">MAX(GU33*(1+CV34)-(Dashboard!$C$11)/(1-Dashboard!$C$17)*((1+Dashboard!$C$12)^$CZ34),0)</f>
        <v>1858911.1112088941</v>
      </c>
      <c r="GV34" s="126">
        <f ca="1">MAX(GV33*(1+CW34)-(Dashboard!$C$11)/(1-Dashboard!$C$17)*((1+Dashboard!$C$12)^$CZ34),0)</f>
        <v>432061.82642243517</v>
      </c>
      <c r="GW34" s="115">
        <f t="shared" si="4"/>
        <v>83</v>
      </c>
      <c r="GX34" s="130">
        <f t="shared" ca="1" si="2"/>
        <v>92</v>
      </c>
      <c r="HC34" s="130">
        <f t="shared" ref="HC34:HC51" si="7">GW34</f>
        <v>83</v>
      </c>
      <c r="HD34" s="137">
        <f t="shared" ca="1" si="6"/>
        <v>1469542.2314054831</v>
      </c>
      <c r="HE34" s="137">
        <f t="shared" ca="1" si="6"/>
        <v>2993244.7033873498</v>
      </c>
      <c r="HF34" s="137">
        <f t="shared" ca="1" si="6"/>
        <v>6402865.9587530633</v>
      </c>
    </row>
    <row r="35" spans="1:214" ht="16">
      <c r="A35" s="145">
        <f t="shared" si="3"/>
        <v>84</v>
      </c>
      <c r="B35" s="119">
        <f ca="1">(Dashboard!$C$7*'Equity and Bond Returns'!N35)+(Dashboard!$C$8*'Equity and Bond Returns'!DL35)</f>
        <v>0.10573401506962822</v>
      </c>
      <c r="C35" s="119">
        <f ca="1">(Dashboard!$C$7*'Equity and Bond Returns'!O35)+(Dashboard!$C$8*'Equity and Bond Returns'!DM35)</f>
        <v>-3.4178043726042634E-2</v>
      </c>
      <c r="D35" s="119">
        <f ca="1">(Dashboard!$C$7*'Equity and Bond Returns'!P35)+(Dashboard!$C$8*'Equity and Bond Returns'!DN35)</f>
        <v>-1.6243680348805641E-2</v>
      </c>
      <c r="E35" s="119">
        <f ca="1">(Dashboard!$C$7*'Equity and Bond Returns'!Q35)+(Dashboard!$C$8*'Equity and Bond Returns'!DO35)</f>
        <v>0.18599602700109025</v>
      </c>
      <c r="F35" s="119">
        <f ca="1">(Dashboard!$C$7*'Equity and Bond Returns'!R35)+(Dashboard!$C$8*'Equity and Bond Returns'!DP35)</f>
        <v>0.17744533698157933</v>
      </c>
      <c r="G35" s="119">
        <f ca="1">(Dashboard!$C$7*'Equity and Bond Returns'!S35)+(Dashboard!$C$8*'Equity and Bond Returns'!DQ35)</f>
        <v>0.29322674017088735</v>
      </c>
      <c r="H35" s="119">
        <f ca="1">(Dashboard!$C$7*'Equity and Bond Returns'!T35)+(Dashboard!$C$8*'Equity and Bond Returns'!DR35)</f>
        <v>0.304236150657414</v>
      </c>
      <c r="I35" s="119">
        <f ca="1">(Dashboard!$C$7*'Equity and Bond Returns'!U35)+(Dashboard!$C$8*'Equity and Bond Returns'!DS35)</f>
        <v>0.29704774029673936</v>
      </c>
      <c r="J35" s="119">
        <f ca="1">(Dashboard!$C$7*'Equity and Bond Returns'!V35)+(Dashboard!$C$8*'Equity and Bond Returns'!DT35)</f>
        <v>6.6193806212061529E-2</v>
      </c>
      <c r="K35" s="119">
        <f ca="1">(Dashboard!$C$7*'Equity and Bond Returns'!W35)+(Dashboard!$C$8*'Equity and Bond Returns'!DU35)</f>
        <v>0.13306212723416239</v>
      </c>
      <c r="L35" s="119">
        <f ca="1">(Dashboard!$C$7*'Equity and Bond Returns'!X35)+(Dashboard!$C$8*'Equity and Bond Returns'!DV35)</f>
        <v>0.23194362568832744</v>
      </c>
      <c r="M35" s="119">
        <f ca="1">(Dashboard!$C$7*'Equity and Bond Returns'!Y35)+(Dashboard!$C$8*'Equity and Bond Returns'!DW35)</f>
        <v>-0.10020002000554445</v>
      </c>
      <c r="N35" s="119">
        <f ca="1">(Dashboard!$C$7*'Equity and Bond Returns'!Z35)+(Dashboard!$C$8*'Equity and Bond Returns'!DX35)</f>
        <v>0.23783230616074352</v>
      </c>
      <c r="O35" s="119">
        <f ca="1">(Dashboard!$C$7*'Equity and Bond Returns'!AA35)+(Dashboard!$C$8*'Equity and Bond Returns'!DY35)</f>
        <v>-1.1170606396227039E-2</v>
      </c>
      <c r="P35" s="119">
        <f ca="1">(Dashboard!$C$7*'Equity and Bond Returns'!AB35)+(Dashboard!$C$8*'Equity and Bond Returns'!DZ35)</f>
        <v>0.29868650090538901</v>
      </c>
      <c r="Q35" s="119">
        <f ca="1">(Dashboard!$C$7*'Equity and Bond Returns'!AC35)+(Dashboard!$C$8*'Equity and Bond Returns'!EA35)</f>
        <v>0.22096705293171151</v>
      </c>
      <c r="R35" s="119">
        <f ca="1">(Dashboard!$C$7*'Equity and Bond Returns'!AD35)+(Dashboard!$C$8*'Equity and Bond Returns'!EB35)</f>
        <v>6.118057000171042E-2</v>
      </c>
      <c r="S35" s="119">
        <f ca="1">(Dashboard!$C$7*'Equity and Bond Returns'!AE35)+(Dashboard!$C$8*'Equity and Bond Returns'!EC35)</f>
        <v>0.2928849715139028</v>
      </c>
      <c r="T35" s="119">
        <f ca="1">(Dashboard!$C$7*'Equity and Bond Returns'!AF35)+(Dashboard!$C$8*'Equity and Bond Returns'!ED35)</f>
        <v>0.20874301825014541</v>
      </c>
      <c r="U35" s="119">
        <f ca="1">(Dashboard!$C$7*'Equity and Bond Returns'!AG35)+(Dashboard!$C$8*'Equity and Bond Returns'!EE35)</f>
        <v>9.0965329171693005E-2</v>
      </c>
      <c r="V35" s="119">
        <f ca="1">(Dashboard!$C$7*'Equity and Bond Returns'!AH35)+(Dashboard!$C$8*'Equity and Bond Returns'!EF35)</f>
        <v>6.8523024102516039E-2</v>
      </c>
      <c r="W35" s="119">
        <f ca="1">(Dashboard!$C$7*'Equity and Bond Returns'!AI35)+(Dashboard!$C$8*'Equity and Bond Returns'!EG35)</f>
        <v>8.3366425406989131E-2</v>
      </c>
      <c r="X35" s="119">
        <f ca="1">(Dashboard!$C$7*'Equity and Bond Returns'!AJ35)+(Dashboard!$C$8*'Equity and Bond Returns'!EH35)</f>
        <v>-0.17746603702661126</v>
      </c>
      <c r="Y35" s="119">
        <f ca="1">(Dashboard!$C$7*'Equity and Bond Returns'!AK35)+(Dashboard!$C$8*'Equity and Bond Returns'!EI35)</f>
        <v>-4.1845029161576112E-2</v>
      </c>
      <c r="Z35" s="119">
        <f ca="1">(Dashboard!$C$7*'Equity and Bond Returns'!AL35)+(Dashboard!$C$8*'Equity and Bond Returns'!EJ35)</f>
        <v>0.12216884810584162</v>
      </c>
      <c r="AA35" s="119">
        <f ca="1">(Dashboard!$C$7*'Equity and Bond Returns'!AM35)+(Dashboard!$C$8*'Equity and Bond Returns'!EK35)</f>
        <v>0.1829489823684283</v>
      </c>
      <c r="AB35" s="119">
        <f ca="1">(Dashboard!$C$7*'Equity and Bond Returns'!AN35)+(Dashboard!$C$8*'Equity and Bond Returns'!EL35)</f>
        <v>-3.0778847455192448E-2</v>
      </c>
      <c r="AC35" s="119">
        <f ca="1">(Dashboard!$C$7*'Equity and Bond Returns'!AO35)+(Dashboard!$C$8*'Equity and Bond Returns'!EM35)</f>
        <v>9.7426876881349322E-2</v>
      </c>
      <c r="AD35" s="119">
        <f ca="1">(Dashboard!$C$7*'Equity and Bond Returns'!AP35)+(Dashboard!$C$8*'Equity and Bond Returns'!EN35)</f>
        <v>0.24838853857224943</v>
      </c>
      <c r="AE35" s="119">
        <f ca="1">(Dashboard!$C$7*'Equity and Bond Returns'!AQ35)+(Dashboard!$C$8*'Equity and Bond Returns'!EO35)</f>
        <v>-6.7985698357572785E-3</v>
      </c>
      <c r="AF35" s="119">
        <f ca="1">(Dashboard!$C$7*'Equity and Bond Returns'!AR35)+(Dashboard!$C$8*'Equity and Bond Returns'!EP35)</f>
        <v>0.13137690759498674</v>
      </c>
      <c r="AG35" s="119">
        <f ca="1">(Dashboard!$C$7*'Equity and Bond Returns'!AS35)+(Dashboard!$C$8*'Equity and Bond Returns'!EQ35)</f>
        <v>-8.6772651016804342E-2</v>
      </c>
      <c r="AH35" s="119">
        <f ca="1">(Dashboard!$C$7*'Equity and Bond Returns'!AT35)+(Dashboard!$C$8*'Equity and Bond Returns'!ER35)</f>
        <v>0.13301976695118331</v>
      </c>
      <c r="AI35" s="119">
        <f ca="1">(Dashboard!$C$7*'Equity and Bond Returns'!AU35)+(Dashboard!$C$8*'Equity and Bond Returns'!ES35)</f>
        <v>9.0845177265389196E-2</v>
      </c>
      <c r="AJ35" s="119">
        <f ca="1">(Dashboard!$C$7*'Equity and Bond Returns'!AV35)+(Dashboard!$C$8*'Equity and Bond Returns'!ET35)</f>
        <v>0.16991991520243516</v>
      </c>
      <c r="AK35" s="119">
        <f ca="1">(Dashboard!$C$7*'Equity and Bond Returns'!AW35)+(Dashboard!$C$8*'Equity and Bond Returns'!EU35)</f>
        <v>0.21894056118011224</v>
      </c>
      <c r="AL35" s="119">
        <f ca="1">(Dashboard!$C$7*'Equity and Bond Returns'!AX35)+(Dashboard!$C$8*'Equity and Bond Returns'!EV35)</f>
        <v>-0.22303511062115822</v>
      </c>
      <c r="AM35" s="119">
        <f ca="1">(Dashboard!$C$7*'Equity and Bond Returns'!AY35)+(Dashboard!$C$8*'Equity and Bond Returns'!EW35)</f>
        <v>7.0374788390039369E-2</v>
      </c>
      <c r="AN35" s="119">
        <f ca="1">(Dashboard!$C$7*'Equity and Bond Returns'!AZ35)+(Dashboard!$C$8*'Equity and Bond Returns'!EX35)</f>
        <v>0.24049341156249529</v>
      </c>
      <c r="AO35" s="119">
        <f ca="1">(Dashboard!$C$7*'Equity and Bond Returns'!BA35)+(Dashboard!$C$8*'Equity and Bond Returns'!EY35)</f>
        <v>-0.10793104036967338</v>
      </c>
      <c r="AP35" s="119">
        <f ca="1">(Dashboard!$C$7*'Equity and Bond Returns'!BB35)+(Dashboard!$C$8*'Equity and Bond Returns'!EZ35)</f>
        <v>-0.11867343288156816</v>
      </c>
      <c r="AQ35" s="119">
        <f ca="1">(Dashboard!$C$7*'Equity and Bond Returns'!BC35)+(Dashboard!$C$8*'Equity and Bond Returns'!FA35)</f>
        <v>0.17170480528480048</v>
      </c>
      <c r="AR35" s="119">
        <f ca="1">(Dashboard!$C$7*'Equity and Bond Returns'!BD35)+(Dashboard!$C$8*'Equity and Bond Returns'!FB35)</f>
        <v>0.332653495614744</v>
      </c>
      <c r="AS35" s="119">
        <f ca="1">(Dashboard!$C$7*'Equity and Bond Returns'!BE35)+(Dashboard!$C$8*'Equity and Bond Returns'!FC35)</f>
        <v>0.1443336622162838</v>
      </c>
      <c r="AT35" s="119">
        <f ca="1">(Dashboard!$C$7*'Equity and Bond Returns'!BF35)+(Dashboard!$C$8*'Equity and Bond Returns'!FD35)</f>
        <v>0.14533123230712069</v>
      </c>
      <c r="AU35" s="119">
        <f ca="1">(Dashboard!$C$7*'Equity and Bond Returns'!BG35)+(Dashboard!$C$8*'Equity and Bond Returns'!FE35)</f>
        <v>0.36189485380153663</v>
      </c>
      <c r="AV35" s="119">
        <f ca="1">(Dashboard!$C$7*'Equity and Bond Returns'!BH35)+(Dashboard!$C$8*'Equity and Bond Returns'!FF35)</f>
        <v>0.12407419172198471</v>
      </c>
      <c r="AW35" s="119">
        <f ca="1">(Dashboard!$C$7*'Equity and Bond Returns'!BI35)+(Dashboard!$C$8*'Equity and Bond Returns'!FG35)</f>
        <v>4.4592817809451762E-2</v>
      </c>
      <c r="AX35" s="119">
        <f ca="1">(Dashboard!$C$7*'Equity and Bond Returns'!BJ35)+(Dashboard!$C$8*'Equity and Bond Returns'!FH35)</f>
        <v>0.13460156852664318</v>
      </c>
      <c r="AY35" s="119">
        <f ca="1">(Dashboard!$C$7*'Equity and Bond Returns'!BK35)+(Dashboard!$C$8*'Equity and Bond Returns'!FI35)</f>
        <v>-7.3613646276732586E-2</v>
      </c>
      <c r="AZ35" s="119">
        <f ca="1">(Dashboard!$C$7*'Equity and Bond Returns'!BL35)+(Dashboard!$C$8*'Equity and Bond Returns'!FJ35)</f>
        <v>-0.16822133262689001</v>
      </c>
      <c r="BA35" s="119">
        <f ca="1">(Dashboard!$C$7*'Equity and Bond Returns'!BM35)+(Dashboard!$C$8*'Equity and Bond Returns'!FK35)</f>
        <v>0.14920130073582766</v>
      </c>
      <c r="BB35" s="119">
        <f ca="1">(Dashboard!$C$7*'Equity and Bond Returns'!BN35)+(Dashboard!$C$8*'Equity and Bond Returns'!FL35)</f>
        <v>0.14620587997121143</v>
      </c>
      <c r="BC35" s="119">
        <f ca="1">(Dashboard!$C$7*'Equity and Bond Returns'!BO35)+(Dashboard!$C$8*'Equity and Bond Returns'!FM35)</f>
        <v>0.26259269286370729</v>
      </c>
      <c r="BD35" s="119">
        <f ca="1">(Dashboard!$C$7*'Equity and Bond Returns'!BP35)+(Dashboard!$C$8*'Equity and Bond Returns'!FN35)</f>
        <v>-0.10869756737828361</v>
      </c>
      <c r="BE35" s="119">
        <f ca="1">(Dashboard!$C$7*'Equity and Bond Returns'!BQ35)+(Dashboard!$C$8*'Equity and Bond Returns'!FO35)</f>
        <v>0.27992979098829907</v>
      </c>
      <c r="BF35" s="119">
        <f ca="1">(Dashboard!$C$7*'Equity and Bond Returns'!BR35)+(Dashboard!$C$8*'Equity and Bond Returns'!FP35)</f>
        <v>-9.8705897079134214E-2</v>
      </c>
      <c r="BG35" s="119">
        <f ca="1">(Dashboard!$C$7*'Equity and Bond Returns'!BS35)+(Dashboard!$C$8*'Equity and Bond Returns'!FQ35)</f>
        <v>0.14079796447745563</v>
      </c>
      <c r="BH35" s="119">
        <f ca="1">(Dashboard!$C$7*'Equity and Bond Returns'!BT35)+(Dashboard!$C$8*'Equity and Bond Returns'!FR35)</f>
        <v>0.14785725837729596</v>
      </c>
      <c r="BI35" s="119">
        <f ca="1">(Dashboard!$C$7*'Equity and Bond Returns'!BU35)+(Dashboard!$C$8*'Equity and Bond Returns'!FS35)</f>
        <v>0.14739006768279861</v>
      </c>
      <c r="BJ35" s="119">
        <f ca="1">(Dashboard!$C$7*'Equity and Bond Returns'!BV35)+(Dashboard!$C$8*'Equity and Bond Returns'!FT35)</f>
        <v>0.10932298889581737</v>
      </c>
      <c r="BK35" s="119">
        <f ca="1">(Dashboard!$C$7*'Equity and Bond Returns'!BW35)+(Dashboard!$C$8*'Equity and Bond Returns'!FU35)</f>
        <v>7.6022221515206628E-2</v>
      </c>
      <c r="BL35" s="119">
        <f ca="1">(Dashboard!$C$7*'Equity and Bond Returns'!BX35)+(Dashboard!$C$8*'Equity and Bond Returns'!FV35)</f>
        <v>-0.2062292841356991</v>
      </c>
      <c r="BM35" s="119">
        <f ca="1">(Dashboard!$C$7*'Equity and Bond Returns'!BY35)+(Dashboard!$C$8*'Equity and Bond Returns'!FW35)</f>
        <v>-7.6248412612578115E-2</v>
      </c>
      <c r="BN35" s="119">
        <f ca="1">(Dashboard!$C$7*'Equity and Bond Returns'!BZ35)+(Dashboard!$C$8*'Equity and Bond Returns'!FX35)</f>
        <v>9.6157071857898374E-2</v>
      </c>
      <c r="BO35" s="119">
        <f ca="1">(Dashboard!$C$7*'Equity and Bond Returns'!CA35)+(Dashboard!$C$8*'Equity and Bond Returns'!FY35)</f>
        <v>0.25996610583218827</v>
      </c>
      <c r="BP35" s="119">
        <f ca="1">(Dashboard!$C$7*'Equity and Bond Returns'!CB35)+(Dashboard!$C$8*'Equity and Bond Returns'!FZ35)</f>
        <v>0.16602710913782343</v>
      </c>
      <c r="BQ35" s="119">
        <f ca="1">(Dashboard!$C$7*'Equity and Bond Returns'!CC35)+(Dashboard!$C$8*'Equity and Bond Returns'!GA35)</f>
        <v>-1.7156127812196206E-2</v>
      </c>
      <c r="BR35" s="119">
        <f ca="1">(Dashboard!$C$7*'Equity and Bond Returns'!CD35)+(Dashboard!$C$8*'Equity and Bond Returns'!GB35)</f>
        <v>-8.9393165861124849E-2</v>
      </c>
      <c r="BS35" s="119">
        <f ca="1">(Dashboard!$C$7*'Equity and Bond Returns'!CE35)+(Dashboard!$C$8*'Equity and Bond Returns'!GC35)</f>
        <v>7.3931658737851985E-2</v>
      </c>
      <c r="BT35" s="119">
        <f ca="1">(Dashboard!$C$7*'Equity and Bond Returns'!CF35)+(Dashboard!$C$8*'Equity and Bond Returns'!GD35)</f>
        <v>-2.7903453095921543E-2</v>
      </c>
      <c r="BU35" s="119">
        <f ca="1">(Dashboard!$C$7*'Equity and Bond Returns'!CG35)+(Dashboard!$C$8*'Equity and Bond Returns'!GE35)</f>
        <v>-0.11756254837953797</v>
      </c>
      <c r="BV35" s="119">
        <f ca="1">(Dashboard!$C$7*'Equity and Bond Returns'!CH35)+(Dashboard!$C$8*'Equity and Bond Returns'!GF35)</f>
        <v>-8.5846210173476253E-2</v>
      </c>
      <c r="BW35" s="119">
        <f ca="1">(Dashboard!$C$7*'Equity and Bond Returns'!CI35)+(Dashboard!$C$8*'Equity and Bond Returns'!GG35)</f>
        <v>-4.2898270572513782E-2</v>
      </c>
      <c r="BX35" s="119">
        <f ca="1">(Dashboard!$C$7*'Equity and Bond Returns'!CJ35)+(Dashboard!$C$8*'Equity and Bond Returns'!GH35)</f>
        <v>0.404785145402144</v>
      </c>
      <c r="BY35" s="119">
        <f ca="1">(Dashboard!$C$7*'Equity and Bond Returns'!CK35)+(Dashboard!$C$8*'Equity and Bond Returns'!GI35)</f>
        <v>0.42012802803938526</v>
      </c>
      <c r="BZ35" s="119">
        <f ca="1">(Dashboard!$C$7*'Equity and Bond Returns'!CL35)+(Dashboard!$C$8*'Equity and Bond Returns'!GJ35)</f>
        <v>-1.0096079308579023E-2</v>
      </c>
      <c r="CA35" s="119">
        <f ca="1">(Dashboard!$C$7*'Equity and Bond Returns'!CM35)+(Dashboard!$C$8*'Equity and Bond Returns'!GK35)</f>
        <v>8.5294652139453947E-2</v>
      </c>
      <c r="CB35" s="119">
        <f ca="1">(Dashboard!$C$7*'Equity and Bond Returns'!CN35)+(Dashboard!$C$8*'Equity and Bond Returns'!GL35)</f>
        <v>0.14766738709329488</v>
      </c>
      <c r="CC35" s="119">
        <f ca="1">(Dashboard!$C$7*'Equity and Bond Returns'!CO35)+(Dashboard!$C$8*'Equity and Bond Returns'!GM35)</f>
        <v>0.39831724416433856</v>
      </c>
      <c r="CD35" s="119">
        <f ca="1">(Dashboard!$C$7*'Equity and Bond Returns'!CP35)+(Dashboard!$C$8*'Equity and Bond Returns'!GN35)</f>
        <v>2.6815800419801077E-2</v>
      </c>
      <c r="CE35" s="119">
        <f ca="1">(Dashboard!$C$7*'Equity and Bond Returns'!CQ35)+(Dashboard!$C$8*'Equity and Bond Returns'!GO35)</f>
        <v>0.20739564314506376</v>
      </c>
      <c r="CF35" s="119">
        <f ca="1">(Dashboard!$C$7*'Equity and Bond Returns'!CR35)+(Dashboard!$C$8*'Equity and Bond Returns'!GP35)</f>
        <v>-9.5239315322964008E-2</v>
      </c>
      <c r="CG35" s="119">
        <f ca="1">(Dashboard!$C$7*'Equity and Bond Returns'!CS35)+(Dashboard!$C$8*'Equity and Bond Returns'!GQ35)</f>
        <v>0.26143313701264942</v>
      </c>
      <c r="CH35" s="119">
        <f ca="1">(Dashboard!$C$7*'Equity and Bond Returns'!CT35)+(Dashboard!$C$8*'Equity and Bond Returns'!GR35)</f>
        <v>8.9498811660779512E-2</v>
      </c>
      <c r="CI35" s="119">
        <f ca="1">(Dashboard!$C$7*'Equity and Bond Returns'!CU35)+(Dashboard!$C$8*'Equity and Bond Returns'!GS35)</f>
        <v>6.4832538193734759E-2</v>
      </c>
      <c r="CJ35" s="119">
        <f ca="1">(Dashboard!$C$7*'Equity and Bond Returns'!CV35)+(Dashboard!$C$8*'Equity and Bond Returns'!GT35)</f>
        <v>0.28289240531207993</v>
      </c>
      <c r="CK35" s="119">
        <f ca="1">(Dashboard!$C$7*'Equity and Bond Returns'!CW35)+(Dashboard!$C$8*'Equity and Bond Returns'!GU35)</f>
        <v>0.35399501342721629</v>
      </c>
      <c r="CL35" s="119">
        <f ca="1">(Dashboard!$C$7*'Equity and Bond Returns'!CX35)+(Dashboard!$C$8*'Equity and Bond Returns'!GV35)</f>
        <v>-0.12182112408888644</v>
      </c>
      <c r="CM35" s="119">
        <f ca="1">(Dashboard!$C$7*'Equity and Bond Returns'!CY35)+(Dashboard!$C$8*'Equity and Bond Returns'!GW35)</f>
        <v>0.19055396565015151</v>
      </c>
      <c r="CN35" s="119">
        <f ca="1">(Dashboard!$C$7*'Equity and Bond Returns'!CZ35)+(Dashboard!$C$8*'Equity and Bond Returns'!GX35)</f>
        <v>-0.1799993938003647</v>
      </c>
      <c r="CO35" s="119">
        <f ca="1">(Dashboard!$C$7*'Equity and Bond Returns'!DA35)+(Dashboard!$C$8*'Equity and Bond Returns'!GY35)</f>
        <v>-0.14806178920695434</v>
      </c>
      <c r="CP35" s="119">
        <f ca="1">(Dashboard!$C$7*'Equity and Bond Returns'!DB35)+(Dashboard!$C$8*'Equity and Bond Returns'!GZ35)</f>
        <v>3.59606212278899E-2</v>
      </c>
      <c r="CQ35" s="119">
        <f ca="1">(Dashboard!$C$7*'Equity and Bond Returns'!DC35)+(Dashboard!$C$8*'Equity and Bond Returns'!HA35)</f>
        <v>-5.8821002247868695E-2</v>
      </c>
      <c r="CR35" s="119">
        <f ca="1">(Dashboard!$C$7*'Equity and Bond Returns'!DD35)+(Dashboard!$C$8*'Equity and Bond Returns'!HB35)</f>
        <v>0.12656915126870993</v>
      </c>
      <c r="CS35" s="119">
        <f ca="1">(Dashboard!$C$7*'Equity and Bond Returns'!DE35)+(Dashboard!$C$8*'Equity and Bond Returns'!HC35)</f>
        <v>3.6827053080754381E-2</v>
      </c>
      <c r="CT35" s="119">
        <f ca="1">(Dashboard!$C$7*'Equity and Bond Returns'!DF35)+(Dashboard!$C$8*'Equity and Bond Returns'!HD35)</f>
        <v>0.14229910701822976</v>
      </c>
      <c r="CU35" s="119">
        <f ca="1">(Dashboard!$C$7*'Equity and Bond Returns'!DG35)+(Dashboard!$C$8*'Equity and Bond Returns'!HE35)</f>
        <v>-8.4290450977040077E-2</v>
      </c>
      <c r="CV35" s="119">
        <f ca="1">(Dashboard!$C$7*'Equity and Bond Returns'!DH35)+(Dashboard!$C$8*'Equity and Bond Returns'!HF35)</f>
        <v>0.31531556642713721</v>
      </c>
      <c r="CW35" s="119">
        <f ca="1">(Dashboard!$C$7*'Equity and Bond Returns'!DI35)+(Dashboard!$C$8*'Equity and Bond Returns'!HG35)</f>
        <v>0.42353950794463252</v>
      </c>
      <c r="CY35" s="147">
        <f t="shared" si="5"/>
        <v>84</v>
      </c>
      <c r="CZ35" s="147">
        <v>34</v>
      </c>
      <c r="DA35" s="126">
        <f ca="1">MAX(DA34*(1+B35)-(Dashboard!$C$11)/(1-Dashboard!$C$17)*((1+Dashboard!$C$12)^$CZ35),0)</f>
        <v>14057680.014185289</v>
      </c>
      <c r="DB35" s="126">
        <f ca="1">MAX(DB34*(1+C35)-(Dashboard!$C$11)/(1-Dashboard!$C$17)*((1+Dashboard!$C$12)^$CZ35),0)</f>
        <v>0</v>
      </c>
      <c r="DC35" s="126">
        <f ca="1">MAX(DC34*(1+D35)-(Dashboard!$C$11)/(1-Dashboard!$C$17)*((1+Dashboard!$C$12)^$CZ35),0)</f>
        <v>3021263.1541046211</v>
      </c>
      <c r="DD35" s="126">
        <f ca="1">MAX(DD34*(1+E35)-(Dashboard!$C$11)/(1-Dashboard!$C$17)*((1+Dashboard!$C$12)^$CZ35),0)</f>
        <v>400367.61697296484</v>
      </c>
      <c r="DE35" s="126">
        <f ca="1">MAX(DE34*(1+F35)-(Dashboard!$C$11)/(1-Dashboard!$C$17)*((1+Dashboard!$C$12)^$CZ35),0)</f>
        <v>3538928.1354812863</v>
      </c>
      <c r="DF35" s="126">
        <f ca="1">MAX(DF34*(1+G35)-(Dashboard!$C$11)/(1-Dashboard!$C$17)*((1+Dashboard!$C$12)^$CZ35),0)</f>
        <v>12025919.908876374</v>
      </c>
      <c r="DG35" s="126">
        <f ca="1">MAX(DG34*(1+H35)-(Dashboard!$C$11)/(1-Dashboard!$C$17)*((1+Dashboard!$C$12)^$CZ35),0)</f>
        <v>0</v>
      </c>
      <c r="DH35" s="126">
        <f ca="1">MAX(DH34*(1+I35)-(Dashboard!$C$11)/(1-Dashboard!$C$17)*((1+Dashboard!$C$12)^$CZ35),0)</f>
        <v>15491715.026749415</v>
      </c>
      <c r="DI35" s="126">
        <f ca="1">MAX(DI34*(1+J35)-(Dashboard!$C$11)/(1-Dashboard!$C$17)*((1+Dashboard!$C$12)^$CZ35),0)</f>
        <v>3439667.9484501095</v>
      </c>
      <c r="DJ35" s="126">
        <f ca="1">MAX(DJ34*(1+K35)-(Dashboard!$C$11)/(1-Dashboard!$C$17)*((1+Dashboard!$C$12)^$CZ35),0)</f>
        <v>6272379.2423486486</v>
      </c>
      <c r="DK35" s="126">
        <f ca="1">MAX(DK34*(1+L35)-(Dashboard!$C$11)/(1-Dashboard!$C$17)*((1+Dashboard!$C$12)^$CZ35),0)</f>
        <v>11921543.829165811</v>
      </c>
      <c r="DL35" s="126">
        <f ca="1">MAX(DL34*(1+M35)-(Dashboard!$C$11)/(1-Dashboard!$C$17)*((1+Dashboard!$C$12)^$CZ35),0)</f>
        <v>588155.30676591222</v>
      </c>
      <c r="DM35" s="126">
        <f ca="1">MAX(DM34*(1+N35)-(Dashboard!$C$11)/(1-Dashboard!$C$17)*((1+Dashboard!$C$12)^$CZ35),0)</f>
        <v>6957262.1025977544</v>
      </c>
      <c r="DN35" s="126">
        <f ca="1">MAX(DN34*(1+O35)-(Dashboard!$C$11)/(1-Dashboard!$C$17)*((1+Dashboard!$C$12)^$CZ35),0)</f>
        <v>29370342.996368848</v>
      </c>
      <c r="DO35" s="126">
        <f ca="1">MAX(DO34*(1+P35)-(Dashboard!$C$11)/(1-Dashboard!$C$17)*((1+Dashboard!$C$12)^$CZ35),0)</f>
        <v>2423621.6823079903</v>
      </c>
      <c r="DP35" s="126">
        <f ca="1">MAX(DP34*(1+Q35)-(Dashboard!$C$11)/(1-Dashboard!$C$17)*((1+Dashboard!$C$12)^$CZ35),0)</f>
        <v>868975.56496962358</v>
      </c>
      <c r="DQ35" s="126">
        <f ca="1">MAX(DQ34*(1+R35)-(Dashboard!$C$11)/(1-Dashboard!$C$17)*((1+Dashboard!$C$12)^$CZ35),0)</f>
        <v>4545660.3271864792</v>
      </c>
      <c r="DR35" s="126">
        <f ca="1">MAX(DR34*(1+S35)-(Dashboard!$C$11)/(1-Dashboard!$C$17)*((1+Dashboard!$C$12)^$CZ35),0)</f>
        <v>9172626.581873158</v>
      </c>
      <c r="DS35" s="126">
        <f ca="1">MAX(DS34*(1+T35)-(Dashboard!$C$11)/(1-Dashboard!$C$17)*((1+Dashboard!$C$12)^$CZ35),0)</f>
        <v>280723.13777239656</v>
      </c>
      <c r="DT35" s="126">
        <f ca="1">MAX(DT34*(1+U35)-(Dashboard!$C$11)/(1-Dashboard!$C$17)*((1+Dashboard!$C$12)^$CZ35),0)</f>
        <v>755447.5583338592</v>
      </c>
      <c r="DU35" s="126">
        <f ca="1">MAX(DU34*(1+V35)-(Dashboard!$C$11)/(1-Dashboard!$C$17)*((1+Dashboard!$C$12)^$CZ35),0)</f>
        <v>4213736.5967182536</v>
      </c>
      <c r="DV35" s="126">
        <f ca="1">MAX(DV34*(1+W35)-(Dashboard!$C$11)/(1-Dashboard!$C$17)*((1+Dashboard!$C$12)^$CZ35),0)</f>
        <v>21874729.919142406</v>
      </c>
      <c r="DW35" s="126">
        <f ca="1">MAX(DW34*(1+X35)-(Dashboard!$C$11)/(1-Dashboard!$C$17)*((1+Dashboard!$C$12)^$CZ35),0)</f>
        <v>3398130.8923934815</v>
      </c>
      <c r="DX35" s="126">
        <f ca="1">MAX(DX34*(1+Y35)-(Dashboard!$C$11)/(1-Dashboard!$C$17)*((1+Dashboard!$C$12)^$CZ35),0)</f>
        <v>1468776.3619682388</v>
      </c>
      <c r="DY35" s="126">
        <f ca="1">MAX(DY34*(1+Z35)-(Dashboard!$C$11)/(1-Dashboard!$C$17)*((1+Dashboard!$C$12)^$CZ35),0)</f>
        <v>9496747.7844713442</v>
      </c>
      <c r="DZ35" s="126">
        <f ca="1">MAX(DZ34*(1+AA35)-(Dashboard!$C$11)/(1-Dashboard!$C$17)*((1+Dashboard!$C$12)^$CZ35),0)</f>
        <v>3451042.5544596771</v>
      </c>
      <c r="EA35" s="126">
        <f ca="1">MAX(EA34*(1+AB35)-(Dashboard!$C$11)/(1-Dashboard!$C$17)*((1+Dashboard!$C$12)^$CZ35),0)</f>
        <v>1671289.2004881627</v>
      </c>
      <c r="EB35" s="126">
        <f ca="1">MAX(EB34*(1+AC35)-(Dashboard!$C$11)/(1-Dashboard!$C$17)*((1+Dashboard!$C$12)^$CZ35),0)</f>
        <v>5033282.2036208753</v>
      </c>
      <c r="EC35" s="126">
        <f ca="1">MAX(EC34*(1+AD35)-(Dashboard!$C$11)/(1-Dashboard!$C$17)*((1+Dashboard!$C$12)^$CZ35),0)</f>
        <v>3622027.2613586257</v>
      </c>
      <c r="ED35" s="126">
        <f ca="1">MAX(ED34*(1+AE35)-(Dashboard!$C$11)/(1-Dashboard!$C$17)*((1+Dashboard!$C$12)^$CZ35),0)</f>
        <v>2867115.4032707326</v>
      </c>
      <c r="EE35" s="126">
        <f ca="1">MAX(EE34*(1+AF35)-(Dashboard!$C$11)/(1-Dashboard!$C$17)*((1+Dashboard!$C$12)^$CZ35),0)</f>
        <v>11997158.180015665</v>
      </c>
      <c r="EF35" s="126">
        <f ca="1">MAX(EF34*(1+AG35)-(Dashboard!$C$11)/(1-Dashboard!$C$17)*((1+Dashboard!$C$12)^$CZ35),0)</f>
        <v>279620.23867692309</v>
      </c>
      <c r="EG35" s="126">
        <f ca="1">MAX(EG34*(1+AH35)-(Dashboard!$C$11)/(1-Dashboard!$C$17)*((1+Dashboard!$C$12)^$CZ35),0)</f>
        <v>6725067.7447050614</v>
      </c>
      <c r="EH35" s="126">
        <f ca="1">MAX(EH34*(1+AI35)-(Dashboard!$C$11)/(1-Dashboard!$C$17)*((1+Dashboard!$C$12)^$CZ35),0)</f>
        <v>9079685.6767933741</v>
      </c>
      <c r="EI35" s="126">
        <f ca="1">MAX(EI34*(1+AJ35)-(Dashboard!$C$11)/(1-Dashboard!$C$17)*((1+Dashboard!$C$12)^$CZ35),0)</f>
        <v>0</v>
      </c>
      <c r="EJ35" s="126">
        <f ca="1">MAX(EJ34*(1+AK35)-(Dashboard!$C$11)/(1-Dashboard!$C$17)*((1+Dashboard!$C$12)^$CZ35),0)</f>
        <v>4340425.6797780041</v>
      </c>
      <c r="EK35" s="126">
        <f ca="1">MAX(EK34*(1+AL35)-(Dashboard!$C$11)/(1-Dashboard!$C$17)*((1+Dashboard!$C$12)^$CZ35),0)</f>
        <v>4641229.8528726967</v>
      </c>
      <c r="EL35" s="126">
        <f ca="1">MAX(EL34*(1+AM35)-(Dashboard!$C$11)/(1-Dashboard!$C$17)*((1+Dashboard!$C$12)^$CZ35),0)</f>
        <v>1611449.6787847418</v>
      </c>
      <c r="EM35" s="126">
        <f ca="1">MAX(EM34*(1+AN35)-(Dashboard!$C$11)/(1-Dashboard!$C$17)*((1+Dashboard!$C$12)^$CZ35),0)</f>
        <v>9427005.5594887007</v>
      </c>
      <c r="EN35" s="126">
        <f ca="1">MAX(EN34*(1+AO35)-(Dashboard!$C$11)/(1-Dashboard!$C$17)*((1+Dashboard!$C$12)^$CZ35),0)</f>
        <v>2082289.8844272059</v>
      </c>
      <c r="EO35" s="126">
        <f ca="1">MAX(EO34*(1+AP35)-(Dashboard!$C$11)/(1-Dashboard!$C$17)*((1+Dashboard!$C$12)^$CZ35),0)</f>
        <v>0</v>
      </c>
      <c r="EP35" s="126">
        <f ca="1">MAX(EP34*(1+AQ35)-(Dashboard!$C$11)/(1-Dashboard!$C$17)*((1+Dashboard!$C$12)^$CZ35),0)</f>
        <v>2740382.9699265705</v>
      </c>
      <c r="EQ35" s="126">
        <f ca="1">MAX(EQ34*(1+AR35)-(Dashboard!$C$11)/(1-Dashboard!$C$17)*((1+Dashboard!$C$12)^$CZ35),0)</f>
        <v>3877770.9427666715</v>
      </c>
      <c r="ER35" s="126">
        <f ca="1">MAX(ER34*(1+AS35)-(Dashboard!$C$11)/(1-Dashboard!$C$17)*((1+Dashboard!$C$12)^$CZ35),0)</f>
        <v>0</v>
      </c>
      <c r="ES35" s="126">
        <f ca="1">MAX(ES34*(1+AT35)-(Dashboard!$C$11)/(1-Dashboard!$C$17)*((1+Dashboard!$C$12)^$CZ35),0)</f>
        <v>14299509.331245946</v>
      </c>
      <c r="ET35" s="126">
        <f ca="1">MAX(ET34*(1+AU35)-(Dashboard!$C$11)/(1-Dashboard!$C$17)*((1+Dashboard!$C$12)^$CZ35),0)</f>
        <v>5784535.4030747581</v>
      </c>
      <c r="EU35" s="126">
        <f ca="1">MAX(EU34*(1+AV35)-(Dashboard!$C$11)/(1-Dashboard!$C$17)*((1+Dashboard!$C$12)^$CZ35),0)</f>
        <v>3051224.002597115</v>
      </c>
      <c r="EV35" s="126">
        <f ca="1">MAX(EV34*(1+AW35)-(Dashboard!$C$11)/(1-Dashboard!$C$17)*((1+Dashboard!$C$12)^$CZ35),0)</f>
        <v>25436955.949257556</v>
      </c>
      <c r="EW35" s="126">
        <f ca="1">MAX(EW34*(1+AX35)-(Dashboard!$C$11)/(1-Dashboard!$C$17)*((1+Dashboard!$C$12)^$CZ35),0)</f>
        <v>1431970.6246180125</v>
      </c>
      <c r="EX35" s="126">
        <f ca="1">MAX(EX34*(1+AY35)-(Dashboard!$C$11)/(1-Dashboard!$C$17)*((1+Dashboard!$C$12)^$CZ35),0)</f>
        <v>3197845.1003902578</v>
      </c>
      <c r="EY35" s="126">
        <f ca="1">MAX(EY34*(1+AZ35)-(Dashboard!$C$11)/(1-Dashboard!$C$17)*((1+Dashboard!$C$12)^$CZ35),0)</f>
        <v>8189167.8722213907</v>
      </c>
      <c r="EZ35" s="126">
        <f ca="1">MAX(EZ34*(1+BA35)-(Dashboard!$C$11)/(1-Dashboard!$C$17)*((1+Dashboard!$C$12)^$CZ35),0)</f>
        <v>3097529.4157554363</v>
      </c>
      <c r="FA35" s="126">
        <f ca="1">MAX(FA34*(1+BB35)-(Dashboard!$C$11)/(1-Dashboard!$C$17)*((1+Dashboard!$C$12)^$CZ35),0)</f>
        <v>15038813.935262395</v>
      </c>
      <c r="FB35" s="126">
        <f ca="1">MAX(FB34*(1+BC35)-(Dashboard!$C$11)/(1-Dashboard!$C$17)*((1+Dashboard!$C$12)^$CZ35),0)</f>
        <v>1056589.6833689511</v>
      </c>
      <c r="FC35" s="126">
        <f ca="1">MAX(FC34*(1+BD35)-(Dashboard!$C$11)/(1-Dashboard!$C$17)*((1+Dashboard!$C$12)^$CZ35),0)</f>
        <v>5637936.8116862094</v>
      </c>
      <c r="FD35" s="126">
        <f ca="1">MAX(FD34*(1+BE35)-(Dashboard!$C$11)/(1-Dashboard!$C$17)*((1+Dashboard!$C$12)^$CZ35),0)</f>
        <v>15751454.590320826</v>
      </c>
      <c r="FE35" s="126">
        <f ca="1">MAX(FE34*(1+BF35)-(Dashboard!$C$11)/(1-Dashboard!$C$17)*((1+Dashboard!$C$12)^$CZ35),0)</f>
        <v>11215189.710533813</v>
      </c>
      <c r="FF35" s="126">
        <f ca="1">MAX(FF34*(1+BG35)-(Dashboard!$C$11)/(1-Dashboard!$C$17)*((1+Dashboard!$C$12)^$CZ35),0)</f>
        <v>2436563.2197248107</v>
      </c>
      <c r="FG35" s="126">
        <f ca="1">MAX(FG34*(1+BH35)-(Dashboard!$C$11)/(1-Dashboard!$C$17)*((1+Dashboard!$C$12)^$CZ35),0)</f>
        <v>1865006.2605524347</v>
      </c>
      <c r="FH35" s="126">
        <f ca="1">MAX(FH34*(1+BI35)-(Dashboard!$C$11)/(1-Dashboard!$C$17)*((1+Dashboard!$C$12)^$CZ35),0)</f>
        <v>3335963.7389241466</v>
      </c>
      <c r="FI35" s="126">
        <f ca="1">MAX(FI34*(1+BJ35)-(Dashboard!$C$11)/(1-Dashboard!$C$17)*((1+Dashboard!$C$12)^$CZ35),0)</f>
        <v>7100869.9289604463</v>
      </c>
      <c r="FJ35" s="126">
        <f ca="1">MAX(FJ34*(1+BK35)-(Dashboard!$C$11)/(1-Dashboard!$C$17)*((1+Dashboard!$C$12)^$CZ35),0)</f>
        <v>1798695.6936234972</v>
      </c>
      <c r="FK35" s="126">
        <f ca="1">MAX(FK34*(1+BL35)-(Dashboard!$C$11)/(1-Dashboard!$C$17)*((1+Dashboard!$C$12)^$CZ35),0)</f>
        <v>3858553.472017033</v>
      </c>
      <c r="FL35" s="126">
        <f ca="1">MAX(FL34*(1+BM35)-(Dashboard!$C$11)/(1-Dashboard!$C$17)*((1+Dashboard!$C$12)^$CZ35),0)</f>
        <v>1705652.7464698937</v>
      </c>
      <c r="FM35" s="126">
        <f ca="1">MAX(FM34*(1+BN35)-(Dashboard!$C$11)/(1-Dashboard!$C$17)*((1+Dashboard!$C$12)^$CZ35),0)</f>
        <v>3522720.6164149479</v>
      </c>
      <c r="FN35" s="126">
        <f ca="1">MAX(FN34*(1+BO35)-(Dashboard!$C$11)/(1-Dashboard!$C$17)*((1+Dashboard!$C$12)^$CZ35),0)</f>
        <v>0</v>
      </c>
      <c r="FO35" s="126">
        <f ca="1">MAX(FO34*(1+BP35)-(Dashboard!$C$11)/(1-Dashboard!$C$17)*((1+Dashboard!$C$12)^$CZ35),0)</f>
        <v>3103217.5705679459</v>
      </c>
      <c r="FP35" s="126">
        <f ca="1">MAX(FP34*(1+BQ35)-(Dashboard!$C$11)/(1-Dashboard!$C$17)*((1+Dashboard!$C$12)^$CZ35),0)</f>
        <v>1837261.7898990805</v>
      </c>
      <c r="FQ35" s="126">
        <f ca="1">MAX(FQ34*(1+BR35)-(Dashboard!$C$11)/(1-Dashboard!$C$17)*((1+Dashboard!$C$12)^$CZ35),0)</f>
        <v>1867876.8655967512</v>
      </c>
      <c r="FR35" s="126">
        <f ca="1">MAX(FR34*(1+BS35)-(Dashboard!$C$11)/(1-Dashboard!$C$17)*((1+Dashboard!$C$12)^$CZ35),0)</f>
        <v>6094520.3378561782</v>
      </c>
      <c r="FS35" s="126">
        <f ca="1">MAX(FS34*(1+BT35)-(Dashboard!$C$11)/(1-Dashboard!$C$17)*((1+Dashboard!$C$12)^$CZ35),0)</f>
        <v>6346053.9595129192</v>
      </c>
      <c r="FT35" s="126">
        <f ca="1">MAX(FT34*(1+BU35)-(Dashboard!$C$11)/(1-Dashboard!$C$17)*((1+Dashboard!$C$12)^$CZ35),0)</f>
        <v>196692.99385649635</v>
      </c>
      <c r="FU35" s="126">
        <f ca="1">MAX(FU34*(1+BV35)-(Dashboard!$C$11)/(1-Dashboard!$C$17)*((1+Dashboard!$C$12)^$CZ35),0)</f>
        <v>1905119.0278578619</v>
      </c>
      <c r="FV35" s="126">
        <f ca="1">MAX(FV34*(1+BW35)-(Dashboard!$C$11)/(1-Dashboard!$C$17)*((1+Dashboard!$C$12)^$CZ35),0)</f>
        <v>4008177.6535106581</v>
      </c>
      <c r="FW35" s="126">
        <f ca="1">MAX(FW34*(1+BX35)-(Dashboard!$C$11)/(1-Dashboard!$C$17)*((1+Dashboard!$C$12)^$CZ35),0)</f>
        <v>1984846.0287429264</v>
      </c>
      <c r="FX35" s="126">
        <f ca="1">MAX(FX34*(1+BY35)-(Dashboard!$C$11)/(1-Dashboard!$C$17)*((1+Dashboard!$C$12)^$CZ35),0)</f>
        <v>28119.386536029895</v>
      </c>
      <c r="FY35" s="126">
        <f ca="1">MAX(FY34*(1+BZ35)-(Dashboard!$C$11)/(1-Dashboard!$C$17)*((1+Dashboard!$C$12)^$CZ35),0)</f>
        <v>390116.71435790439</v>
      </c>
      <c r="FZ35" s="126">
        <f ca="1">MAX(FZ34*(1+CA35)-(Dashboard!$C$11)/(1-Dashboard!$C$17)*((1+Dashboard!$C$12)^$CZ35),0)</f>
        <v>8727817.9449441303</v>
      </c>
      <c r="GA35" s="126">
        <f ca="1">MAX(GA34*(1+CB35)-(Dashboard!$C$11)/(1-Dashboard!$C$17)*((1+Dashboard!$C$12)^$CZ35),0)</f>
        <v>7297426.2242569197</v>
      </c>
      <c r="GB35" s="126">
        <f ca="1">MAX(GB34*(1+CC35)-(Dashboard!$C$11)/(1-Dashboard!$C$17)*((1+Dashboard!$C$12)^$CZ35),0)</f>
        <v>3318318.6485320963</v>
      </c>
      <c r="GC35" s="126">
        <f ca="1">MAX(GC34*(1+CD35)-(Dashboard!$C$11)/(1-Dashboard!$C$17)*((1+Dashboard!$C$12)^$CZ35),0)</f>
        <v>4934766.8129007183</v>
      </c>
      <c r="GD35" s="126">
        <f ca="1">MAX(GD34*(1+CE35)-(Dashboard!$C$11)/(1-Dashboard!$C$17)*((1+Dashboard!$C$12)^$CZ35),0)</f>
        <v>21578295.320951167</v>
      </c>
      <c r="GE35" s="126">
        <f ca="1">MAX(GE34*(1+CF35)-(Dashboard!$C$11)/(1-Dashboard!$C$17)*((1+Dashboard!$C$12)^$CZ35),0)</f>
        <v>3693397.4664398697</v>
      </c>
      <c r="GF35" s="126">
        <f ca="1">MAX(GF34*(1+CG35)-(Dashboard!$C$11)/(1-Dashboard!$C$17)*((1+Dashboard!$C$12)^$CZ35),0)</f>
        <v>3755120.6366021363</v>
      </c>
      <c r="GG35" s="126">
        <f ca="1">MAX(GG34*(1+CH35)-(Dashboard!$C$11)/(1-Dashboard!$C$17)*((1+Dashboard!$C$12)^$CZ35),0)</f>
        <v>595384.16661715694</v>
      </c>
      <c r="GH35" s="126">
        <f ca="1">MAX(GH34*(1+CI35)-(Dashboard!$C$11)/(1-Dashboard!$C$17)*((1+Dashboard!$C$12)^$CZ35),0)</f>
        <v>1360248.7118941373</v>
      </c>
      <c r="GI35" s="126">
        <f ca="1">MAX(GI34*(1+CJ35)-(Dashboard!$C$11)/(1-Dashboard!$C$17)*((1+Dashboard!$C$12)^$CZ35),0)</f>
        <v>4118668.174529871</v>
      </c>
      <c r="GJ35" s="126">
        <f ca="1">MAX(GJ34*(1+CK35)-(Dashboard!$C$11)/(1-Dashboard!$C$17)*((1+Dashboard!$C$12)^$CZ35),0)</f>
        <v>17187590.071315076</v>
      </c>
      <c r="GK35" s="126">
        <f ca="1">MAX(GK34*(1+CL35)-(Dashboard!$C$11)/(1-Dashboard!$C$17)*((1+Dashboard!$C$12)^$CZ35),0)</f>
        <v>3281894.586665588</v>
      </c>
      <c r="GL35" s="126">
        <f ca="1">MAX(GL34*(1+CM35)-(Dashboard!$C$11)/(1-Dashboard!$C$17)*((1+Dashboard!$C$12)^$CZ35),0)</f>
        <v>8000785.4925017245</v>
      </c>
      <c r="GM35" s="126">
        <f ca="1">MAX(GM34*(1+CN35)-(Dashboard!$C$11)/(1-Dashboard!$C$17)*((1+Dashboard!$C$12)^$CZ35),0)</f>
        <v>322920.37989039021</v>
      </c>
      <c r="GN35" s="126">
        <f ca="1">MAX(GN34*(1+CO35)-(Dashboard!$C$11)/(1-Dashboard!$C$17)*((1+Dashboard!$C$12)^$CZ35),0)</f>
        <v>0</v>
      </c>
      <c r="GO35" s="126">
        <f ca="1">MAX(GO34*(1+CP35)-(Dashboard!$C$11)/(1-Dashboard!$C$17)*((1+Dashboard!$C$12)^$CZ35),0)</f>
        <v>1517367.888165707</v>
      </c>
      <c r="GP35" s="126">
        <f ca="1">MAX(GP34*(1+CQ35)-(Dashboard!$C$11)/(1-Dashboard!$C$17)*((1+Dashboard!$C$12)^$CZ35),0)</f>
        <v>4918174.9583819713</v>
      </c>
      <c r="GQ35" s="126">
        <f ca="1">MAX(GQ34*(1+CR35)-(Dashboard!$C$11)/(1-Dashboard!$C$17)*((1+Dashboard!$C$12)^$CZ35),0)</f>
        <v>0</v>
      </c>
      <c r="GR35" s="126">
        <f ca="1">MAX(GR34*(1+CS35)-(Dashboard!$C$11)/(1-Dashboard!$C$17)*((1+Dashboard!$C$12)^$CZ35),0)</f>
        <v>1836962.6840571428</v>
      </c>
      <c r="GS35" s="126">
        <f ca="1">MAX(GS34*(1+CT35)-(Dashboard!$C$11)/(1-Dashboard!$C$17)*((1+Dashboard!$C$12)^$CZ35),0)</f>
        <v>9351901.2994254157</v>
      </c>
      <c r="GT35" s="126">
        <f ca="1">MAX(GT34*(1+CU35)-(Dashboard!$C$11)/(1-Dashboard!$C$17)*((1+Dashboard!$C$12)^$CZ35),0)</f>
        <v>18432252.183731399</v>
      </c>
      <c r="GU35" s="126">
        <f ca="1">MAX(GU34*(1+CV35)-(Dashboard!$C$11)/(1-Dashboard!$C$17)*((1+Dashboard!$C$12)^$CZ35),0)</f>
        <v>2388709.1744576078</v>
      </c>
      <c r="GV35" s="126">
        <f ca="1">MAX(GV34*(1+CW35)-(Dashboard!$C$11)/(1-Dashboard!$C$17)*((1+Dashboard!$C$12)^$CZ35),0)</f>
        <v>558711.53306723444</v>
      </c>
      <c r="GW35" s="115">
        <f t="shared" si="4"/>
        <v>84</v>
      </c>
      <c r="GX35" s="130">
        <f t="shared" ca="1" si="2"/>
        <v>92</v>
      </c>
      <c r="HC35" s="130">
        <f t="shared" si="7"/>
        <v>84</v>
      </c>
      <c r="HD35" s="137">
        <f t="shared" ca="1" si="6"/>
        <v>1480924.2435176058</v>
      </c>
      <c r="HE35" s="137">
        <f t="shared" ca="1" si="6"/>
        <v>3367047.3156588143</v>
      </c>
      <c r="HF35" s="137">
        <f t="shared" ca="1" si="6"/>
        <v>6899213.5131245814</v>
      </c>
    </row>
    <row r="36" spans="1:214" ht="16">
      <c r="A36" s="145">
        <f t="shared" si="3"/>
        <v>85</v>
      </c>
      <c r="B36" s="119">
        <f ca="1">(Dashboard!$C$7*'Equity and Bond Returns'!N36)+(Dashboard!$C$8*'Equity and Bond Returns'!DL36)</f>
        <v>0.31660001571368235</v>
      </c>
      <c r="C36" s="119">
        <f ca="1">(Dashboard!$C$7*'Equity and Bond Returns'!O36)+(Dashboard!$C$8*'Equity and Bond Returns'!DM36)</f>
        <v>0.14236745047340527</v>
      </c>
      <c r="D36" s="119">
        <f ca="1">(Dashboard!$C$7*'Equity and Bond Returns'!P36)+(Dashboard!$C$8*'Equity and Bond Returns'!DN36)</f>
        <v>3.6827790160869463E-2</v>
      </c>
      <c r="E36" s="119">
        <f ca="1">(Dashboard!$C$7*'Equity and Bond Returns'!Q36)+(Dashboard!$C$8*'Equity and Bond Returns'!DO36)</f>
        <v>-0.19259645624317825</v>
      </c>
      <c r="F36" s="119">
        <f ca="1">(Dashboard!$C$7*'Equity and Bond Returns'!R36)+(Dashboard!$C$8*'Equity and Bond Returns'!DP36)</f>
        <v>0.32198842187786975</v>
      </c>
      <c r="G36" s="119">
        <f ca="1">(Dashboard!$C$7*'Equity and Bond Returns'!S36)+(Dashboard!$C$8*'Equity and Bond Returns'!DQ36)</f>
        <v>0.16770226824702691</v>
      </c>
      <c r="H36" s="119">
        <f ca="1">(Dashboard!$C$7*'Equity and Bond Returns'!T36)+(Dashboard!$C$8*'Equity and Bond Returns'!DR36)</f>
        <v>-0.13090784921963672</v>
      </c>
      <c r="I36" s="119">
        <f ca="1">(Dashboard!$C$7*'Equity and Bond Returns'!U36)+(Dashboard!$C$8*'Equity and Bond Returns'!DS36)</f>
        <v>0.10809104070068207</v>
      </c>
      <c r="J36" s="119">
        <f ca="1">(Dashboard!$C$7*'Equity and Bond Returns'!V36)+(Dashboard!$C$8*'Equity and Bond Returns'!DT36)</f>
        <v>-9.3293424901631644E-2</v>
      </c>
      <c r="K36" s="119">
        <f ca="1">(Dashboard!$C$7*'Equity and Bond Returns'!W36)+(Dashboard!$C$8*'Equity and Bond Returns'!DU36)</f>
        <v>0.24258881190893258</v>
      </c>
      <c r="L36" s="119">
        <f ca="1">(Dashboard!$C$7*'Equity and Bond Returns'!X36)+(Dashboard!$C$8*'Equity and Bond Returns'!DV36)</f>
        <v>3.1466488822435232E-3</v>
      </c>
      <c r="M36" s="119">
        <f ca="1">(Dashboard!$C$7*'Equity and Bond Returns'!Y36)+(Dashboard!$C$8*'Equity and Bond Returns'!DW36)</f>
        <v>0.35244097006067338</v>
      </c>
      <c r="N36" s="119">
        <f ca="1">(Dashboard!$C$7*'Equity and Bond Returns'!Z36)+(Dashboard!$C$8*'Equity and Bond Returns'!DX36)</f>
        <v>0.42151422119261756</v>
      </c>
      <c r="O36" s="119">
        <f ca="1">(Dashboard!$C$7*'Equity and Bond Returns'!AA36)+(Dashboard!$C$8*'Equity and Bond Returns'!DY36)</f>
        <v>9.4385534952886027E-2</v>
      </c>
      <c r="P36" s="119">
        <f ca="1">(Dashboard!$C$7*'Equity and Bond Returns'!AB36)+(Dashboard!$C$8*'Equity and Bond Returns'!DZ36)</f>
        <v>1.6324046350067713E-2</v>
      </c>
      <c r="Q36" s="119">
        <f ca="1">(Dashboard!$C$7*'Equity and Bond Returns'!AC36)+(Dashboard!$C$8*'Equity and Bond Returns'!EA36)</f>
        <v>0.35132402440494892</v>
      </c>
      <c r="R36" s="119">
        <f ca="1">(Dashboard!$C$7*'Equity and Bond Returns'!AD36)+(Dashboard!$C$8*'Equity and Bond Returns'!EB36)</f>
        <v>0.10890531853789795</v>
      </c>
      <c r="S36" s="119">
        <f ca="1">(Dashboard!$C$7*'Equity and Bond Returns'!AE36)+(Dashboard!$C$8*'Equity and Bond Returns'!EC36)</f>
        <v>-1.5473727187327015E-2</v>
      </c>
      <c r="T36" s="119">
        <f ca="1">(Dashboard!$C$7*'Equity and Bond Returns'!AF36)+(Dashboard!$C$8*'Equity and Bond Returns'!ED36)</f>
        <v>4.2119359997799741E-2</v>
      </c>
      <c r="U36" s="119">
        <f ca="1">(Dashboard!$C$7*'Equity and Bond Returns'!AG36)+(Dashboard!$C$8*'Equity and Bond Returns'!EE36)</f>
        <v>4.7867794353094205E-2</v>
      </c>
      <c r="V36" s="119">
        <f ca="1">(Dashboard!$C$7*'Equity and Bond Returns'!AH36)+(Dashboard!$C$8*'Equity and Bond Returns'!EF36)</f>
        <v>0.19778508739262202</v>
      </c>
      <c r="W36" s="119">
        <f ca="1">(Dashboard!$C$7*'Equity and Bond Returns'!AI36)+(Dashboard!$C$8*'Equity and Bond Returns'!EG36)</f>
        <v>0.1458164464190066</v>
      </c>
      <c r="X36" s="119">
        <f ca="1">(Dashboard!$C$7*'Equity and Bond Returns'!AJ36)+(Dashboard!$C$8*'Equity and Bond Returns'!EH36)</f>
        <v>-0.1063007769256174</v>
      </c>
      <c r="Y36" s="119">
        <f ca="1">(Dashboard!$C$7*'Equity and Bond Returns'!AK36)+(Dashboard!$C$8*'Equity and Bond Returns'!EI36)</f>
        <v>5.8716522748225156E-2</v>
      </c>
      <c r="Z36" s="119">
        <f ca="1">(Dashboard!$C$7*'Equity and Bond Returns'!AL36)+(Dashboard!$C$8*'Equity and Bond Returns'!EJ36)</f>
        <v>0.17415337622506488</v>
      </c>
      <c r="AA36" s="119">
        <f ca="1">(Dashboard!$C$7*'Equity and Bond Returns'!AM36)+(Dashboard!$C$8*'Equity and Bond Returns'!EK36)</f>
        <v>0.28674187447394317</v>
      </c>
      <c r="AB36" s="119">
        <f ca="1">(Dashboard!$C$7*'Equity and Bond Returns'!AN36)+(Dashboard!$C$8*'Equity and Bond Returns'!EL36)</f>
        <v>0.14520049916460759</v>
      </c>
      <c r="AC36" s="119">
        <f ca="1">(Dashboard!$C$7*'Equity and Bond Returns'!AO36)+(Dashboard!$C$8*'Equity and Bond Returns'!EM36)</f>
        <v>0.17180025596799503</v>
      </c>
      <c r="AD36" s="119">
        <f ca="1">(Dashboard!$C$7*'Equity and Bond Returns'!AP36)+(Dashboard!$C$8*'Equity and Bond Returns'!EN36)</f>
        <v>5.6977612889953989E-2</v>
      </c>
      <c r="AE36" s="119">
        <f ca="1">(Dashboard!$C$7*'Equity and Bond Returns'!AQ36)+(Dashboard!$C$8*'Equity and Bond Returns'!EO36)</f>
        <v>0.1557162827680493</v>
      </c>
      <c r="AF36" s="119">
        <f ca="1">(Dashboard!$C$7*'Equity and Bond Returns'!AR36)+(Dashboard!$C$8*'Equity and Bond Returns'!EP36)</f>
        <v>0.10812915497100316</v>
      </c>
      <c r="AG36" s="119">
        <f ca="1">(Dashboard!$C$7*'Equity and Bond Returns'!AS36)+(Dashboard!$C$8*'Equity and Bond Returns'!EQ36)</f>
        <v>0.2529596328556219</v>
      </c>
      <c r="AH36" s="119">
        <f ca="1">(Dashboard!$C$7*'Equity and Bond Returns'!AT36)+(Dashboard!$C$8*'Equity and Bond Returns'!ER36)</f>
        <v>0.27910527213191305</v>
      </c>
      <c r="AI36" s="119">
        <f ca="1">(Dashboard!$C$7*'Equity and Bond Returns'!AU36)+(Dashboard!$C$8*'Equity and Bond Returns'!ES36)</f>
        <v>0.13381459317415401</v>
      </c>
      <c r="AJ36" s="119">
        <f ca="1">(Dashboard!$C$7*'Equity and Bond Returns'!AV36)+(Dashboard!$C$8*'Equity and Bond Returns'!ET36)</f>
        <v>-0.18010214065582608</v>
      </c>
      <c r="AK36" s="119">
        <f ca="1">(Dashboard!$C$7*'Equity and Bond Returns'!AW36)+(Dashboard!$C$8*'Equity and Bond Returns'!EU36)</f>
        <v>-8.9139304425863597E-2</v>
      </c>
      <c r="AL36" s="119">
        <f ca="1">(Dashboard!$C$7*'Equity and Bond Returns'!AX36)+(Dashboard!$C$8*'Equity and Bond Returns'!EV36)</f>
        <v>0.1391699228786516</v>
      </c>
      <c r="AM36" s="119">
        <f ca="1">(Dashboard!$C$7*'Equity and Bond Returns'!AY36)+(Dashboard!$C$8*'Equity and Bond Returns'!EW36)</f>
        <v>-0.14279998562574622</v>
      </c>
      <c r="AN36" s="119">
        <f ca="1">(Dashboard!$C$7*'Equity and Bond Returns'!AZ36)+(Dashboard!$C$8*'Equity and Bond Returns'!EX36)</f>
        <v>0.30717305485466184</v>
      </c>
      <c r="AO36" s="119">
        <f ca="1">(Dashboard!$C$7*'Equity and Bond Returns'!BA36)+(Dashboard!$C$8*'Equity and Bond Returns'!EY36)</f>
        <v>6.4369742906906169E-2</v>
      </c>
      <c r="AP36" s="119">
        <f ca="1">(Dashboard!$C$7*'Equity and Bond Returns'!BB36)+(Dashboard!$C$8*'Equity and Bond Returns'!EZ36)</f>
        <v>8.7304724032167907E-2</v>
      </c>
      <c r="AQ36" s="119">
        <f ca="1">(Dashboard!$C$7*'Equity and Bond Returns'!BC36)+(Dashboard!$C$8*'Equity and Bond Returns'!FA36)</f>
        <v>0.16858396110986743</v>
      </c>
      <c r="AR36" s="119">
        <f ca="1">(Dashboard!$C$7*'Equity and Bond Returns'!BD36)+(Dashboard!$C$8*'Equity and Bond Returns'!FB36)</f>
        <v>4.2795903512525171E-2</v>
      </c>
      <c r="AS36" s="119">
        <f ca="1">(Dashboard!$C$7*'Equity and Bond Returns'!BE36)+(Dashboard!$C$8*'Equity and Bond Returns'!FC36)</f>
        <v>0.26648981418183149</v>
      </c>
      <c r="AT36" s="119">
        <f ca="1">(Dashboard!$C$7*'Equity and Bond Returns'!BF36)+(Dashboard!$C$8*'Equity and Bond Returns'!FD36)</f>
        <v>0.11523535802916524</v>
      </c>
      <c r="AU36" s="119">
        <f ca="1">(Dashboard!$C$7*'Equity and Bond Returns'!BG36)+(Dashboard!$C$8*'Equity and Bond Returns'!FE36)</f>
        <v>9.9529287316037739E-4</v>
      </c>
      <c r="AV36" s="119">
        <f ca="1">(Dashboard!$C$7*'Equity and Bond Returns'!BH36)+(Dashboard!$C$8*'Equity and Bond Returns'!FF36)</f>
        <v>7.6421568812471669E-2</v>
      </c>
      <c r="AW36" s="119">
        <f ca="1">(Dashboard!$C$7*'Equity and Bond Returns'!BI36)+(Dashboard!$C$8*'Equity and Bond Returns'!FG36)</f>
        <v>0.18808562937344156</v>
      </c>
      <c r="AX36" s="119">
        <f ca="1">(Dashboard!$C$7*'Equity and Bond Returns'!BJ36)+(Dashboard!$C$8*'Equity and Bond Returns'!FH36)</f>
        <v>1.8704326293956439E-2</v>
      </c>
      <c r="AY36" s="119">
        <f ca="1">(Dashboard!$C$7*'Equity and Bond Returns'!BK36)+(Dashboard!$C$8*'Equity and Bond Returns'!FI36)</f>
        <v>0.23333180638807205</v>
      </c>
      <c r="AZ36" s="119">
        <f ca="1">(Dashboard!$C$7*'Equity and Bond Returns'!BL36)+(Dashboard!$C$8*'Equity and Bond Returns'!FJ36)</f>
        <v>8.8179881951101449E-2</v>
      </c>
      <c r="BA36" s="119">
        <f ca="1">(Dashboard!$C$7*'Equity and Bond Returns'!BM36)+(Dashboard!$C$8*'Equity and Bond Returns'!FK36)</f>
        <v>-9.0848163654326602E-2</v>
      </c>
      <c r="BB36" s="119">
        <f ca="1">(Dashboard!$C$7*'Equity and Bond Returns'!BN36)+(Dashboard!$C$8*'Equity and Bond Returns'!FL36)</f>
        <v>0.11796571034811064</v>
      </c>
      <c r="BC36" s="119">
        <f ca="1">(Dashboard!$C$7*'Equity and Bond Returns'!BO36)+(Dashboard!$C$8*'Equity and Bond Returns'!FM36)</f>
        <v>-0.10418298587050714</v>
      </c>
      <c r="BD36" s="119">
        <f ca="1">(Dashboard!$C$7*'Equity and Bond Returns'!BP36)+(Dashboard!$C$8*'Equity and Bond Returns'!FN36)</f>
        <v>-5.0762864903898933E-2</v>
      </c>
      <c r="BE36" s="119">
        <f ca="1">(Dashboard!$C$7*'Equity and Bond Returns'!BQ36)+(Dashboard!$C$8*'Equity and Bond Returns'!FO36)</f>
        <v>-5.9601407586068245E-2</v>
      </c>
      <c r="BF36" s="119">
        <f ca="1">(Dashboard!$C$7*'Equity and Bond Returns'!BR36)+(Dashboard!$C$8*'Equity and Bond Returns'!FP36)</f>
        <v>-5.4622466807718616E-2</v>
      </c>
      <c r="BG36" s="119">
        <f ca="1">(Dashboard!$C$7*'Equity and Bond Returns'!BS36)+(Dashboard!$C$8*'Equity and Bond Returns'!FQ36)</f>
        <v>0.22307676506523283</v>
      </c>
      <c r="BH36" s="119">
        <f ca="1">(Dashboard!$C$7*'Equity and Bond Returns'!BT36)+(Dashboard!$C$8*'Equity and Bond Returns'!FR36)</f>
        <v>-1.2993576637209764E-2</v>
      </c>
      <c r="BI36" s="119">
        <f ca="1">(Dashboard!$C$7*'Equity and Bond Returns'!BU36)+(Dashboard!$C$8*'Equity and Bond Returns'!FS36)</f>
        <v>0.16070956688457466</v>
      </c>
      <c r="BJ36" s="119">
        <f ca="1">(Dashboard!$C$7*'Equity and Bond Returns'!BV36)+(Dashboard!$C$8*'Equity and Bond Returns'!FT36)</f>
        <v>0.27944347266518355</v>
      </c>
      <c r="BK36" s="119">
        <f ca="1">(Dashboard!$C$7*'Equity and Bond Returns'!BW36)+(Dashboard!$C$8*'Equity and Bond Returns'!FU36)</f>
        <v>-9.8308655302270287E-2</v>
      </c>
      <c r="BL36" s="119">
        <f ca="1">(Dashboard!$C$7*'Equity and Bond Returns'!BX36)+(Dashboard!$C$8*'Equity and Bond Returns'!FV36)</f>
        <v>-5.7884788667864187E-2</v>
      </c>
      <c r="BM36" s="119">
        <f ca="1">(Dashboard!$C$7*'Equity and Bond Returns'!BY36)+(Dashboard!$C$8*'Equity and Bond Returns'!FW36)</f>
        <v>5.4230068475110554E-4</v>
      </c>
      <c r="BN36" s="119">
        <f ca="1">(Dashboard!$C$7*'Equity and Bond Returns'!BZ36)+(Dashboard!$C$8*'Equity and Bond Returns'!FX36)</f>
        <v>0.10619761743103596</v>
      </c>
      <c r="BO36" s="119">
        <f ca="1">(Dashboard!$C$7*'Equity and Bond Returns'!CA36)+(Dashboard!$C$8*'Equity and Bond Returns'!FY36)</f>
        <v>0.30304819235100627</v>
      </c>
      <c r="BP36" s="119">
        <f ca="1">(Dashboard!$C$7*'Equity and Bond Returns'!CB36)+(Dashboard!$C$8*'Equity and Bond Returns'!FZ36)</f>
        <v>0.1366141338704612</v>
      </c>
      <c r="BQ36" s="119">
        <f ca="1">(Dashboard!$C$7*'Equity and Bond Returns'!CC36)+(Dashboard!$C$8*'Equity and Bond Returns'!GA36)</f>
        <v>2.0475215258771402E-2</v>
      </c>
      <c r="BR36" s="119">
        <f ca="1">(Dashboard!$C$7*'Equity and Bond Returns'!CD36)+(Dashboard!$C$8*'Equity and Bond Returns'!GB36)</f>
        <v>0.24085573436736674</v>
      </c>
      <c r="BS36" s="119">
        <f ca="1">(Dashboard!$C$7*'Equity and Bond Returns'!CE36)+(Dashboard!$C$8*'Equity and Bond Returns'!GC36)</f>
        <v>0.29102469502586809</v>
      </c>
      <c r="BT36" s="119">
        <f ca="1">(Dashboard!$C$7*'Equity and Bond Returns'!CF36)+(Dashboard!$C$8*'Equity and Bond Returns'!GD36)</f>
        <v>1.8646253900241813E-2</v>
      </c>
      <c r="BU36" s="119">
        <f ca="1">(Dashboard!$C$7*'Equity and Bond Returns'!CG36)+(Dashboard!$C$8*'Equity and Bond Returns'!GE36)</f>
        <v>0.10753599422507203</v>
      </c>
      <c r="BV36" s="119">
        <f ca="1">(Dashboard!$C$7*'Equity and Bond Returns'!CH36)+(Dashboard!$C$8*'Equity and Bond Returns'!GF36)</f>
        <v>0.21890412405831225</v>
      </c>
      <c r="BW36" s="119">
        <f ca="1">(Dashboard!$C$7*'Equity and Bond Returns'!CI36)+(Dashboard!$C$8*'Equity and Bond Returns'!GG36)</f>
        <v>-3.4217658900847638E-2</v>
      </c>
      <c r="BX36" s="119">
        <f ca="1">(Dashboard!$C$7*'Equity and Bond Returns'!CJ36)+(Dashboard!$C$8*'Equity and Bond Returns'!GH36)</f>
        <v>5.0392809158317939E-2</v>
      </c>
      <c r="BY36" s="119">
        <f ca="1">(Dashboard!$C$7*'Equity and Bond Returns'!CK36)+(Dashboard!$C$8*'Equity and Bond Returns'!GI36)</f>
        <v>0.13194048001124595</v>
      </c>
      <c r="BZ36" s="119">
        <f ca="1">(Dashboard!$C$7*'Equity and Bond Returns'!CL36)+(Dashboard!$C$8*'Equity and Bond Returns'!GJ36)</f>
        <v>5.9493459689708331E-2</v>
      </c>
      <c r="CA36" s="119">
        <f ca="1">(Dashboard!$C$7*'Equity and Bond Returns'!CM36)+(Dashboard!$C$8*'Equity and Bond Returns'!GK36)</f>
        <v>0.43534165755613169</v>
      </c>
      <c r="CB36" s="119">
        <f ca="1">(Dashboard!$C$7*'Equity and Bond Returns'!CN36)+(Dashboard!$C$8*'Equity and Bond Returns'!GL36)</f>
        <v>0.23423378852104915</v>
      </c>
      <c r="CC36" s="119">
        <f ca="1">(Dashboard!$C$7*'Equity and Bond Returns'!CO36)+(Dashboard!$C$8*'Equity and Bond Returns'!GM36)</f>
        <v>-2.3775500149272558E-2</v>
      </c>
      <c r="CD36" s="119">
        <f ca="1">(Dashboard!$C$7*'Equity and Bond Returns'!CP36)+(Dashboard!$C$8*'Equity and Bond Returns'!GN36)</f>
        <v>0.2464737679228704</v>
      </c>
      <c r="CE36" s="119">
        <f ca="1">(Dashboard!$C$7*'Equity and Bond Returns'!CQ36)+(Dashboard!$C$8*'Equity and Bond Returns'!GO36)</f>
        <v>0.22099318029578005</v>
      </c>
      <c r="CF36" s="119">
        <f ca="1">(Dashboard!$C$7*'Equity and Bond Returns'!CR36)+(Dashboard!$C$8*'Equity and Bond Returns'!GP36)</f>
        <v>0.14310220468899187</v>
      </c>
      <c r="CG36" s="119">
        <f ca="1">(Dashboard!$C$7*'Equity and Bond Returns'!CS36)+(Dashboard!$C$8*'Equity and Bond Returns'!GQ36)</f>
        <v>9.7815292798881334E-2</v>
      </c>
      <c r="CH36" s="119">
        <f ca="1">(Dashboard!$C$7*'Equity and Bond Returns'!CT36)+(Dashboard!$C$8*'Equity and Bond Returns'!GR36)</f>
        <v>8.4946055563683107E-2</v>
      </c>
      <c r="CI36" s="119">
        <f ca="1">(Dashboard!$C$7*'Equity and Bond Returns'!CU36)+(Dashboard!$C$8*'Equity and Bond Returns'!GS36)</f>
        <v>3.2289003969515243E-2</v>
      </c>
      <c r="CJ36" s="119">
        <f ca="1">(Dashboard!$C$7*'Equity and Bond Returns'!CV36)+(Dashboard!$C$8*'Equity and Bond Returns'!GT36)</f>
        <v>0.38711067846355279</v>
      </c>
      <c r="CK36" s="119">
        <f ca="1">(Dashboard!$C$7*'Equity and Bond Returns'!CW36)+(Dashboard!$C$8*'Equity and Bond Returns'!GU36)</f>
        <v>6.274444773700491E-2</v>
      </c>
      <c r="CL36" s="119">
        <f ca="1">(Dashboard!$C$7*'Equity and Bond Returns'!CX36)+(Dashboard!$C$8*'Equity and Bond Returns'!GV36)</f>
        <v>0.15567615229377516</v>
      </c>
      <c r="CM36" s="119">
        <f ca="1">(Dashboard!$C$7*'Equity and Bond Returns'!CY36)+(Dashboard!$C$8*'Equity and Bond Returns'!GW36)</f>
        <v>2.8432834692600439E-2</v>
      </c>
      <c r="CN36" s="119">
        <f ca="1">(Dashboard!$C$7*'Equity and Bond Returns'!CZ36)+(Dashboard!$C$8*'Equity and Bond Returns'!GX36)</f>
        <v>0.27881449896416993</v>
      </c>
      <c r="CO36" s="119">
        <f ca="1">(Dashboard!$C$7*'Equity and Bond Returns'!DA36)+(Dashboard!$C$8*'Equity and Bond Returns'!GY36)</f>
        <v>-0.1049409973785841</v>
      </c>
      <c r="CP36" s="119">
        <f ca="1">(Dashboard!$C$7*'Equity and Bond Returns'!DB36)+(Dashboard!$C$8*'Equity and Bond Returns'!GZ36)</f>
        <v>0.13169865209087395</v>
      </c>
      <c r="CQ36" s="119">
        <f ca="1">(Dashboard!$C$7*'Equity and Bond Returns'!DC36)+(Dashboard!$C$8*'Equity and Bond Returns'!HA36)</f>
        <v>4.8927858110163237E-2</v>
      </c>
      <c r="CR36" s="119">
        <f ca="1">(Dashboard!$C$7*'Equity and Bond Returns'!DD36)+(Dashboard!$C$8*'Equity and Bond Returns'!HB36)</f>
        <v>0.33451038059985388</v>
      </c>
      <c r="CS36" s="119">
        <f ca="1">(Dashboard!$C$7*'Equity and Bond Returns'!DE36)+(Dashboard!$C$8*'Equity and Bond Returns'!HC36)</f>
        <v>4.6396506991413677E-2</v>
      </c>
      <c r="CT36" s="119">
        <f ca="1">(Dashboard!$C$7*'Equity and Bond Returns'!DF36)+(Dashboard!$C$8*'Equity and Bond Returns'!HD36)</f>
        <v>2.4364881543753832E-2</v>
      </c>
      <c r="CU36" s="119">
        <f ca="1">(Dashboard!$C$7*'Equity and Bond Returns'!DG36)+(Dashboard!$C$8*'Equity and Bond Returns'!HE36)</f>
        <v>0.21787448790911398</v>
      </c>
      <c r="CV36" s="119">
        <f ca="1">(Dashboard!$C$7*'Equity and Bond Returns'!DH36)+(Dashboard!$C$8*'Equity and Bond Returns'!HF36)</f>
        <v>0.14099440633321722</v>
      </c>
      <c r="CW36" s="119">
        <f ca="1">(Dashboard!$C$7*'Equity and Bond Returns'!DI36)+(Dashboard!$C$8*'Equity and Bond Returns'!HG36)</f>
        <v>0.1152845214937903</v>
      </c>
      <c r="CY36" s="147">
        <f t="shared" si="5"/>
        <v>85</v>
      </c>
      <c r="CZ36" s="147">
        <v>35</v>
      </c>
      <c r="DA36" s="126">
        <f ca="1">MAX(DA35*(1+B36)-(Dashboard!$C$11)/(1-Dashboard!$C$17)*((1+Dashboard!$C$12)^$CZ36),0)</f>
        <v>18450305.814452857</v>
      </c>
      <c r="DB36" s="126">
        <f ca="1">MAX(DB35*(1+C36)-(Dashboard!$C$11)/(1-Dashboard!$C$17)*((1+Dashboard!$C$12)^$CZ36),0)</f>
        <v>0</v>
      </c>
      <c r="DC36" s="126">
        <f ca="1">MAX(DC35*(1+D36)-(Dashboard!$C$11)/(1-Dashboard!$C$17)*((1+Dashboard!$C$12)^$CZ36),0)</f>
        <v>3074493.6864433405</v>
      </c>
      <c r="DD36" s="126">
        <f ca="1">MAX(DD35*(1+E36)-(Dashboard!$C$11)/(1-Dashboard!$C$17)*((1+Dashboard!$C$12)^$CZ36),0)</f>
        <v>265222.31962803297</v>
      </c>
      <c r="DE36" s="126">
        <f ca="1">MAX(DE35*(1+F36)-(Dashboard!$C$11)/(1-Dashboard!$C$17)*((1+Dashboard!$C$12)^$CZ36),0)</f>
        <v>4620386.1078426847</v>
      </c>
      <c r="DF36" s="126">
        <f ca="1">MAX(DF35*(1+G36)-(Dashboard!$C$11)/(1-Dashboard!$C$17)*((1+Dashboard!$C$12)^$CZ36),0)</f>
        <v>13984658.042230608</v>
      </c>
      <c r="DG36" s="126">
        <f ca="1">MAX(DG35*(1+H36)-(Dashboard!$C$11)/(1-Dashboard!$C$17)*((1+Dashboard!$C$12)^$CZ36),0)</f>
        <v>0</v>
      </c>
      <c r="DH36" s="126">
        <f ca="1">MAX(DH35*(1+I36)-(Dashboard!$C$11)/(1-Dashboard!$C$17)*((1+Dashboard!$C$12)^$CZ36),0)</f>
        <v>17108194.713107742</v>
      </c>
      <c r="DI36" s="126">
        <f ca="1">MAX(DI35*(1+J36)-(Dashboard!$C$11)/(1-Dashboard!$C$17)*((1+Dashboard!$C$12)^$CZ36),0)</f>
        <v>3060733.6318934173</v>
      </c>
      <c r="DJ36" s="126">
        <f ca="1">MAX(DJ35*(1+K36)-(Dashboard!$C$11)/(1-Dashboard!$C$17)*((1+Dashboard!$C$12)^$CZ36),0)</f>
        <v>7735952.3574708449</v>
      </c>
      <c r="DK36" s="126">
        <f ca="1">MAX(DK35*(1+L36)-(Dashboard!$C$11)/(1-Dashboard!$C$17)*((1+Dashboard!$C$12)^$CZ36),0)</f>
        <v>11901020.82860906</v>
      </c>
      <c r="DL36" s="126">
        <f ca="1">MAX(DL35*(1+M36)-(Dashboard!$C$11)/(1-Dashboard!$C$17)*((1+Dashboard!$C$12)^$CZ36),0)</f>
        <v>737409.42050741066</v>
      </c>
      <c r="DM36" s="126">
        <f ca="1">MAX(DM35*(1+N36)-(Dashboard!$C$11)/(1-Dashboard!$C$17)*((1+Dashboard!$C$12)^$CZ36),0)</f>
        <v>9831811.1062857453</v>
      </c>
      <c r="DN36" s="126">
        <f ca="1">MAX(DN35*(1+O36)-(Dashboard!$C$11)/(1-Dashboard!$C$17)*((1+Dashboard!$C$12)^$CZ36),0)</f>
        <v>32084442.618709456</v>
      </c>
      <c r="DO36" s="126">
        <f ca="1">MAX(DO35*(1+P36)-(Dashboard!$C$11)/(1-Dashboard!$C$17)*((1+Dashboard!$C$12)^$CZ36),0)</f>
        <v>2405149.0818636026</v>
      </c>
      <c r="DP36" s="126">
        <f ca="1">MAX(DP35*(1+Q36)-(Dashboard!$C$11)/(1-Dashboard!$C$17)*((1+Dashboard!$C$12)^$CZ36),0)</f>
        <v>1116231.6444429031</v>
      </c>
      <c r="DQ36" s="126">
        <f ca="1">MAX(DQ35*(1+R36)-(Dashboard!$C$11)/(1-Dashboard!$C$17)*((1+Dashboard!$C$12)^$CZ36),0)</f>
        <v>4982670.9999623951</v>
      </c>
      <c r="DR36" s="126">
        <f ca="1">MAX(DR35*(1+S36)-(Dashboard!$C$11)/(1-Dashboard!$C$17)*((1+Dashboard!$C$12)^$CZ36),0)</f>
        <v>8972655.9474326149</v>
      </c>
      <c r="DS36" s="126">
        <f ca="1">MAX(DS35*(1+T36)-(Dashboard!$C$11)/(1-Dashboard!$C$17)*((1+Dashboard!$C$12)^$CZ36),0)</f>
        <v>234511.10355053141</v>
      </c>
      <c r="DT36" s="126">
        <f ca="1">MAX(DT35*(1+U36)-(Dashboard!$C$11)/(1-Dashboard!$C$17)*((1+Dashboard!$C$12)^$CZ36),0)</f>
        <v>733573.25357931899</v>
      </c>
      <c r="DU36" s="126">
        <f ca="1">MAX(DU35*(1+V36)-(Dashboard!$C$11)/(1-Dashboard!$C$17)*((1+Dashboard!$C$12)^$CZ36),0)</f>
        <v>4989114.9446282508</v>
      </c>
      <c r="DV36" s="126">
        <f ca="1">MAX(DV35*(1+W36)-(Dashboard!$C$11)/(1-Dashboard!$C$17)*((1+Dashboard!$C$12)^$CZ36),0)</f>
        <v>25006389.389205862</v>
      </c>
      <c r="DW36" s="126">
        <f ca="1">MAX(DW35*(1+X36)-(Dashboard!$C$11)/(1-Dashboard!$C$17)*((1+Dashboard!$C$12)^$CZ36),0)</f>
        <v>2978871.0253157001</v>
      </c>
      <c r="DX36" s="126">
        <f ca="1">MAX(DX35*(1+Y36)-(Dashboard!$C$11)/(1-Dashboard!$C$17)*((1+Dashboard!$C$12)^$CZ36),0)</f>
        <v>1496981.8895163895</v>
      </c>
      <c r="DY36" s="126">
        <f ca="1">MAX(DY35*(1+Z36)-(Dashboard!$C$11)/(1-Dashboard!$C$17)*((1+Dashboard!$C$12)^$CZ36),0)</f>
        <v>11092602.561173521</v>
      </c>
      <c r="DZ36" s="126">
        <f ca="1">MAX(DZ35*(1+AA36)-(Dashboard!$C$11)/(1-Dashboard!$C$17)*((1+Dashboard!$C$12)^$CZ36),0)</f>
        <v>4382565.0522933779</v>
      </c>
      <c r="EA36" s="126">
        <f ca="1">MAX(EA35*(1+AB36)-(Dashboard!$C$11)/(1-Dashboard!$C$17)*((1+Dashboard!$C$12)^$CZ36),0)</f>
        <v>1855925.3135260493</v>
      </c>
      <c r="EB36" s="126">
        <f ca="1">MAX(EB35*(1+AC36)-(Dashboard!$C$11)/(1-Dashboard!$C$17)*((1+Dashboard!$C$12)^$CZ36),0)</f>
        <v>5839965.4614406833</v>
      </c>
      <c r="EC36" s="126">
        <f ca="1">MAX(EC35*(1+AD36)-(Dashboard!$C$11)/(1-Dashboard!$C$17)*((1+Dashboard!$C$12)^$CZ36),0)</f>
        <v>3770365.8154117651</v>
      </c>
      <c r="ED36" s="126">
        <f ca="1">MAX(ED35*(1+AE36)-(Dashboard!$C$11)/(1-Dashboard!$C$17)*((1+Dashboard!$C$12)^$CZ36),0)</f>
        <v>3255536.0430136556</v>
      </c>
      <c r="EE36" s="126">
        <f ca="1">MAX(EE35*(1+AF36)-(Dashboard!$C$11)/(1-Dashboard!$C$17)*((1+Dashboard!$C$12)^$CZ36),0)</f>
        <v>13236364.842952803</v>
      </c>
      <c r="EF36" s="126">
        <f ca="1">MAX(EF35*(1+AG36)-(Dashboard!$C$11)/(1-Dashboard!$C$17)*((1+Dashboard!$C$12)^$CZ36),0)</f>
        <v>292316.95847022627</v>
      </c>
      <c r="EG36" s="126">
        <f ca="1">MAX(EG35*(1+AH36)-(Dashboard!$C$11)/(1-Dashboard!$C$17)*((1+Dashboard!$C$12)^$CZ36),0)</f>
        <v>8544033.6945751049</v>
      </c>
      <c r="EH36" s="126">
        <f ca="1">MAX(EH35*(1+AI36)-(Dashboard!$C$11)/(1-Dashboard!$C$17)*((1+Dashboard!$C$12)^$CZ36),0)</f>
        <v>10236644.208661258</v>
      </c>
      <c r="EI36" s="126">
        <f ca="1">MAX(EI35*(1+AJ36)-(Dashboard!$C$11)/(1-Dashboard!$C$17)*((1+Dashboard!$C$12)^$CZ36),0)</f>
        <v>0</v>
      </c>
      <c r="EJ36" s="126">
        <f ca="1">MAX(EJ35*(1+AK36)-(Dashboard!$C$11)/(1-Dashboard!$C$17)*((1+Dashboard!$C$12)^$CZ36),0)</f>
        <v>3895487.240649024</v>
      </c>
      <c r="EK36" s="126">
        <f ca="1">MAX(EK35*(1+AL36)-(Dashboard!$C$11)/(1-Dashboard!$C$17)*((1+Dashboard!$C$12)^$CZ36),0)</f>
        <v>5229113.5404376732</v>
      </c>
      <c r="EL36" s="126">
        <f ca="1">MAX(EL35*(1+AM36)-(Dashboard!$C$11)/(1-Dashboard!$C$17)*((1+Dashboard!$C$12)^$CZ36),0)</f>
        <v>1323298.7746962544</v>
      </c>
      <c r="EM36" s="126">
        <f ca="1">MAX(EM35*(1+AN36)-(Dashboard!$C$11)/(1-Dashboard!$C$17)*((1+Dashboard!$C$12)^$CZ36),0)</f>
        <v>12264691.742207313</v>
      </c>
      <c r="EN36" s="126">
        <f ca="1">MAX(EN35*(1+AO36)-(Dashboard!$C$11)/(1-Dashboard!$C$17)*((1+Dashboard!$C$12)^$CZ36),0)</f>
        <v>2158290.435824024</v>
      </c>
      <c r="EO36" s="126">
        <f ca="1">MAX(EO35*(1+AP36)-(Dashboard!$C$11)/(1-Dashboard!$C$17)*((1+Dashboard!$C$12)^$CZ36),0)</f>
        <v>0</v>
      </c>
      <c r="EP36" s="126">
        <f ca="1">MAX(EP35*(1+AQ36)-(Dashboard!$C$11)/(1-Dashboard!$C$17)*((1+Dashboard!$C$12)^$CZ36),0)</f>
        <v>3144331.6728334017</v>
      </c>
      <c r="EQ36" s="126">
        <f ca="1">MAX(EQ35*(1+AR36)-(Dashboard!$C$11)/(1-Dashboard!$C$17)*((1+Dashboard!$C$12)^$CZ36),0)</f>
        <v>3985687.7407555752</v>
      </c>
      <c r="ER36" s="126">
        <f ca="1">MAX(ER35*(1+AS36)-(Dashboard!$C$11)/(1-Dashboard!$C$17)*((1+Dashboard!$C$12)^$CZ36),0)</f>
        <v>0</v>
      </c>
      <c r="ES36" s="126">
        <f ca="1">MAX(ES35*(1+AT36)-(Dashboard!$C$11)/(1-Dashboard!$C$17)*((1+Dashboard!$C$12)^$CZ36),0)</f>
        <v>15889282.495552048</v>
      </c>
      <c r="ET36" s="126">
        <f ca="1">MAX(ET35*(1+AU36)-(Dashboard!$C$11)/(1-Dashboard!$C$17)*((1+Dashboard!$C$12)^$CZ36),0)</f>
        <v>5732256.7968145702</v>
      </c>
      <c r="EU36" s="126">
        <f ca="1">MAX(EU35*(1+AV36)-(Dashboard!$C$11)/(1-Dashboard!$C$17)*((1+Dashboard!$C$12)^$CZ36),0)</f>
        <v>3226367.4145524432</v>
      </c>
      <c r="EV36" s="126">
        <f ca="1">MAX(EV35*(1+AW36)-(Dashboard!$C$11)/(1-Dashboard!$C$17)*((1+Dashboard!$C$12)^$CZ36),0)</f>
        <v>30163245.90519676</v>
      </c>
      <c r="EW36" s="126">
        <f ca="1">MAX(EW35*(1+AX36)-(Dashboard!$C$11)/(1-Dashboard!$C$17)*((1+Dashboard!$C$12)^$CZ36),0)</f>
        <v>1400718.7573028156</v>
      </c>
      <c r="EX36" s="126">
        <f ca="1">MAX(EX35*(1+AY36)-(Dashboard!$C$11)/(1-Dashboard!$C$17)*((1+Dashboard!$C$12)^$CZ36),0)</f>
        <v>3885968.1610921496</v>
      </c>
      <c r="EY36" s="126">
        <f ca="1">MAX(EY35*(1+AZ36)-(Dashboard!$C$11)/(1-Dashboard!$C$17)*((1+Dashboard!$C$12)^$CZ36),0)</f>
        <v>8853251.8153502122</v>
      </c>
      <c r="EZ36" s="126">
        <f ca="1">MAX(EZ35*(1+BA36)-(Dashboard!$C$11)/(1-Dashboard!$C$17)*((1+Dashboard!$C$12)^$CZ36),0)</f>
        <v>2758088.6433473835</v>
      </c>
      <c r="FA36" s="126">
        <f ca="1">MAX(FA35*(1+BB36)-(Dashboard!$C$11)/(1-Dashboard!$C$17)*((1+Dashboard!$C$12)^$CZ36),0)</f>
        <v>16754842.390807275</v>
      </c>
      <c r="FB36" s="126">
        <f ca="1">MAX(FB35*(1+BC36)-(Dashboard!$C$11)/(1-Dashboard!$C$17)*((1+Dashboard!$C$12)^$CZ36),0)</f>
        <v>888475.10219418746</v>
      </c>
      <c r="FC36" s="126">
        <f ca="1">MAX(FC35*(1+BD36)-(Dashboard!$C$11)/(1-Dashboard!$C$17)*((1+Dashboard!$C$12)^$CZ36),0)</f>
        <v>5293703.0738564515</v>
      </c>
      <c r="FD36" s="126">
        <f ca="1">MAX(FD35*(1+BE36)-(Dashboard!$C$11)/(1-Dashboard!$C$17)*((1+Dashboard!$C$12)^$CZ36),0)</f>
        <v>14754609.812088255</v>
      </c>
      <c r="FE36" s="126">
        <f ca="1">MAX(FE35*(1+BF36)-(Dashboard!$C$11)/(1-Dashboard!$C$17)*((1+Dashboard!$C$12)^$CZ36),0)</f>
        <v>10544552.469706498</v>
      </c>
      <c r="FF36" s="126">
        <f ca="1">MAX(FF35*(1+BG36)-(Dashboard!$C$11)/(1-Dashboard!$C$17)*((1+Dashboard!$C$12)^$CZ36),0)</f>
        <v>2922067.947536537</v>
      </c>
      <c r="FG36" s="126">
        <f ca="1">MAX(FG35*(1+BH36)-(Dashboard!$C$11)/(1-Dashboard!$C$17)*((1+Dashboard!$C$12)^$CZ36),0)</f>
        <v>1782737.245655658</v>
      </c>
      <c r="FH36" s="126">
        <f ca="1">MAX(FH35*(1+BI36)-(Dashboard!$C$11)/(1-Dashboard!$C$17)*((1+Dashboard!$C$12)^$CZ36),0)</f>
        <v>3814049.1134278798</v>
      </c>
      <c r="FI36" s="126">
        <f ca="1">MAX(FI35*(1+BJ36)-(Dashboard!$C$11)/(1-Dashboard!$C$17)*((1+Dashboard!$C$12)^$CZ36),0)</f>
        <v>9027125.7677315157</v>
      </c>
      <c r="FJ36" s="126">
        <f ca="1">MAX(FJ35*(1+BK36)-(Dashboard!$C$11)/(1-Dashboard!$C$17)*((1+Dashboard!$C$12)^$CZ36),0)</f>
        <v>1563832.4255639741</v>
      </c>
      <c r="FK36" s="126">
        <f ca="1">MAX(FK35*(1+BL36)-(Dashboard!$C$11)/(1-Dashboard!$C$17)*((1+Dashboard!$C$12)^$CZ36),0)</f>
        <v>3577166.0066042612</v>
      </c>
      <c r="FL36" s="126">
        <f ca="1">MAX(FL35*(1+BM36)-(Dashboard!$C$11)/(1-Dashboard!$C$17)*((1+Dashboard!$C$12)^$CZ36),0)</f>
        <v>1648541.8100008392</v>
      </c>
      <c r="FM36" s="126">
        <f ca="1">MAX(FM35*(1+BN36)-(Dashboard!$C$11)/(1-Dashboard!$C$17)*((1+Dashboard!$C$12)^$CZ36),0)</f>
        <v>3838789.2396319932</v>
      </c>
      <c r="FN36" s="126">
        <f ca="1">MAX(FN35*(1+BO36)-(Dashboard!$C$11)/(1-Dashboard!$C$17)*((1+Dashboard!$C$12)^$CZ36),0)</f>
        <v>0</v>
      </c>
      <c r="FO36" s="126">
        <f ca="1">MAX(FO35*(1+BP36)-(Dashboard!$C$11)/(1-Dashboard!$C$17)*((1+Dashboard!$C$12)^$CZ36),0)</f>
        <v>3469125.03806127</v>
      </c>
      <c r="FP36" s="126">
        <f ca="1">MAX(FP35*(1+BQ36)-(Dashboard!$C$11)/(1-Dashboard!$C$17)*((1+Dashboard!$C$12)^$CZ36),0)</f>
        <v>1816844.2074125672</v>
      </c>
      <c r="FQ36" s="126">
        <f ca="1">MAX(FQ35*(1+BR36)-(Dashboard!$C$11)/(1-Dashboard!$C$17)*((1+Dashboard!$C$12)^$CZ36),0)</f>
        <v>2259729.8066464593</v>
      </c>
      <c r="FR36" s="126">
        <f ca="1">MAX(FR35*(1+BS36)-(Dashboard!$C$11)/(1-Dashboard!$C$17)*((1+Dashboard!$C$12)^$CZ36),0)</f>
        <v>7810140.3473883104</v>
      </c>
      <c r="FS36" s="126">
        <f ca="1">MAX(FS35*(1+BT36)-(Dashboard!$C$11)/(1-Dashboard!$C$17)*((1+Dashboard!$C$12)^$CZ36),0)</f>
        <v>6406348.17978522</v>
      </c>
      <c r="FT36" s="126">
        <f ca="1">MAX(FT35*(1+BU36)-(Dashboard!$C$11)/(1-Dashboard!$C$17)*((1+Dashboard!$C$12)^$CZ36),0)</f>
        <v>159808.657386548</v>
      </c>
      <c r="FU36" s="126">
        <f ca="1">MAX(FU35*(1+BV36)-(Dashboard!$C$11)/(1-Dashboard!$C$17)*((1+Dashboard!$C$12)^$CZ36),0)</f>
        <v>2264121.526756498</v>
      </c>
      <c r="FV36" s="126">
        <f ca="1">MAX(FV35*(1+BW36)-(Dashboard!$C$11)/(1-Dashboard!$C$17)*((1+Dashboard!$C$12)^$CZ36),0)</f>
        <v>3812991.284627418</v>
      </c>
      <c r="FW36" s="126">
        <f ca="1">MAX(FW35*(1+BX36)-(Dashboard!$C$11)/(1-Dashboard!$C$17)*((1+Dashboard!$C$12)^$CZ36),0)</f>
        <v>2026832.082756601</v>
      </c>
      <c r="FX36" s="126">
        <f ca="1">MAX(FX35*(1+BY36)-(Dashboard!$C$11)/(1-Dashboard!$C$17)*((1+Dashboard!$C$12)^$CZ36),0)</f>
        <v>0</v>
      </c>
      <c r="FY36" s="126">
        <f ca="1">MAX(FY35*(1+BZ36)-(Dashboard!$C$11)/(1-Dashboard!$C$17)*((1+Dashboard!$C$12)^$CZ36),0)</f>
        <v>355290.19425642514</v>
      </c>
      <c r="FZ36" s="126">
        <f ca="1">MAX(FZ35*(1+CA36)-(Dashboard!$C$11)/(1-Dashboard!$C$17)*((1+Dashboard!$C$12)^$CZ36),0)</f>
        <v>12469364.762822846</v>
      </c>
      <c r="GA36" s="126">
        <f ca="1">MAX(GA35*(1+CB36)-(Dashboard!$C$11)/(1-Dashboard!$C$17)*((1+Dashboard!$C$12)^$CZ36),0)</f>
        <v>8948694.1020960584</v>
      </c>
      <c r="GB36" s="126">
        <f ca="1">MAX(GB35*(1+CC36)-(Dashboard!$C$11)/(1-Dashboard!$C$17)*((1+Dashboard!$C$12)^$CZ36),0)</f>
        <v>3181388.0498871752</v>
      </c>
      <c r="GC36" s="126">
        <f ca="1">MAX(GC35*(1+CD36)-(Dashboard!$C$11)/(1-Dashboard!$C$17)*((1+Dashboard!$C$12)^$CZ36),0)</f>
        <v>6093021.4699756801</v>
      </c>
      <c r="GD36" s="126">
        <f ca="1">MAX(GD35*(1+CE36)-(Dashboard!$C$11)/(1-Dashboard!$C$17)*((1+Dashboard!$C$12)^$CZ36),0)</f>
        <v>26288915.516168304</v>
      </c>
      <c r="GE36" s="126">
        <f ca="1">MAX(GE35*(1+CF36)-(Dashboard!$C$11)/(1-Dashboard!$C$17)*((1+Dashboard!$C$12)^$CZ36),0)</f>
        <v>4163894.8735587392</v>
      </c>
      <c r="GF36" s="126">
        <f ca="1">MAX(GF35*(1+CG36)-(Dashboard!$C$11)/(1-Dashboard!$C$17)*((1+Dashboard!$C$12)^$CZ36),0)</f>
        <v>4064392.9480450833</v>
      </c>
      <c r="GG36" s="126">
        <f ca="1">MAX(GG35*(1+CH36)-(Dashboard!$C$11)/(1-Dashboard!$C$17)*((1+Dashboard!$C$12)^$CZ36),0)</f>
        <v>587923.78999494249</v>
      </c>
      <c r="GH36" s="126">
        <f ca="1">MAX(GH35*(1+CI36)-(Dashboard!$C$11)/(1-Dashboard!$C$17)*((1+Dashboard!$C$12)^$CZ36),0)</f>
        <v>1346133.8748306022</v>
      </c>
      <c r="GI36" s="126">
        <f ca="1">MAX(GI35*(1+CJ36)-(Dashboard!$C$11)/(1-Dashboard!$C$17)*((1+Dashboard!$C$12)^$CZ36),0)</f>
        <v>5655012.6928169588</v>
      </c>
      <c r="GJ36" s="126">
        <f ca="1">MAX(GJ35*(1+CK36)-(Dashboard!$C$11)/(1-Dashboard!$C$17)*((1+Dashboard!$C$12)^$CZ36),0)</f>
        <v>18207980.005148355</v>
      </c>
      <c r="GK36" s="126">
        <f ca="1">MAX(GK35*(1+CL36)-(Dashboard!$C$11)/(1-Dashboard!$C$17)*((1+Dashboard!$C$12)^$CZ36),0)</f>
        <v>3734771.3950300436</v>
      </c>
      <c r="GL36" s="126">
        <f ca="1">MAX(GL35*(1+CM36)-(Dashboard!$C$11)/(1-Dashboard!$C$17)*((1+Dashboard!$C$12)^$CZ36),0)</f>
        <v>8170234.5906995693</v>
      </c>
      <c r="GM36" s="126">
        <f ca="1">MAX(GM35*(1+CN36)-(Dashboard!$C$11)/(1-Dashboard!$C$17)*((1+Dashboard!$C$12)^$CZ36),0)</f>
        <v>354919.35069343611</v>
      </c>
      <c r="GN36" s="126">
        <f ca="1">MAX(GN35*(1+CO36)-(Dashboard!$C$11)/(1-Dashboard!$C$17)*((1+Dashboard!$C$12)^$CZ36),0)</f>
        <v>0</v>
      </c>
      <c r="GO36" s="126">
        <f ca="1">MAX(GO35*(1+CP36)-(Dashboard!$C$11)/(1-Dashboard!$C$17)*((1+Dashboard!$C$12)^$CZ36),0)</f>
        <v>1659167.2806416936</v>
      </c>
      <c r="GP36" s="126">
        <f ca="1">MAX(GP35*(1+CQ36)-(Dashboard!$C$11)/(1-Dashboard!$C$17)*((1+Dashboard!$C$12)^$CZ36),0)</f>
        <v>5100774.8117852304</v>
      </c>
      <c r="GQ36" s="126">
        <f ca="1">MAX(GQ35*(1+CR36)-(Dashboard!$C$11)/(1-Dashboard!$C$17)*((1+Dashboard!$C$12)^$CZ36),0)</f>
        <v>0</v>
      </c>
      <c r="GR36" s="126">
        <f ca="1">MAX(GR35*(1+CS36)-(Dashboard!$C$11)/(1-Dashboard!$C$17)*((1+Dashboard!$C$12)^$CZ36),0)</f>
        <v>1864155.4229495532</v>
      </c>
      <c r="GS36" s="126">
        <f ca="1">MAX(GS35*(1+CT36)-(Dashboard!$C$11)/(1-Dashboard!$C$17)*((1+Dashboard!$C$12)^$CZ36),0)</f>
        <v>9521723.3536733799</v>
      </c>
      <c r="GT36" s="126">
        <f ca="1">MAX(GT35*(1+CU36)-(Dashboard!$C$11)/(1-Dashboard!$C$17)*((1+Dashboard!$C$12)^$CZ36),0)</f>
        <v>22390133.776152112</v>
      </c>
      <c r="GU36" s="126">
        <f ca="1">MAX(GU35*(1+CV36)-(Dashboard!$C$11)/(1-Dashboard!$C$17)*((1+Dashboard!$C$12)^$CZ36),0)</f>
        <v>2667467.8932915549</v>
      </c>
      <c r="GV36" s="126">
        <f ca="1">MAX(GV35*(1+CW36)-(Dashboard!$C$11)/(1-Dashboard!$C$17)*((1+Dashboard!$C$12)^$CZ36),0)</f>
        <v>565086.4116885399</v>
      </c>
      <c r="GW36" s="115">
        <f t="shared" si="4"/>
        <v>85</v>
      </c>
      <c r="GX36" s="130">
        <f t="shared" ca="1" si="2"/>
        <v>91</v>
      </c>
      <c r="HC36" s="130">
        <f t="shared" si="7"/>
        <v>85</v>
      </c>
      <c r="HD36" s="137">
        <f t="shared" ca="1" si="6"/>
        <v>1424784.540356209</v>
      </c>
      <c r="HE36" s="137">
        <f t="shared" ca="1" si="6"/>
        <v>3655968.7008171524</v>
      </c>
      <c r="HF36" s="137">
        <f t="shared" ca="1" si="6"/>
        <v>8450583.9186062217</v>
      </c>
    </row>
    <row r="37" spans="1:214" ht="16">
      <c r="A37" s="145">
        <f t="shared" si="3"/>
        <v>86</v>
      </c>
      <c r="B37" s="119">
        <f ca="1">(Dashboard!$C$7*'Equity and Bond Returns'!N37)+(Dashboard!$C$8*'Equity and Bond Returns'!DL37)</f>
        <v>-4.0986896365523329E-2</v>
      </c>
      <c r="C37" s="119">
        <f ca="1">(Dashboard!$C$7*'Equity and Bond Returns'!O37)+(Dashboard!$C$8*'Equity and Bond Returns'!DM37)</f>
        <v>0.1376407605238221</v>
      </c>
      <c r="D37" s="119">
        <f ca="1">(Dashboard!$C$7*'Equity and Bond Returns'!P37)+(Dashboard!$C$8*'Equity and Bond Returns'!DN37)</f>
        <v>1.6901317194039544E-2</v>
      </c>
      <c r="E37" s="119">
        <f ca="1">(Dashboard!$C$7*'Equity and Bond Returns'!Q37)+(Dashboard!$C$8*'Equity and Bond Returns'!DO37)</f>
        <v>0.18986232158519925</v>
      </c>
      <c r="F37" s="119">
        <f ca="1">(Dashboard!$C$7*'Equity and Bond Returns'!R37)+(Dashboard!$C$8*'Equity and Bond Returns'!DP37)</f>
        <v>6.8942750547724987E-2</v>
      </c>
      <c r="G37" s="119">
        <f ca="1">(Dashboard!$C$7*'Equity and Bond Returns'!S37)+(Dashboard!$C$8*'Equity and Bond Returns'!DQ37)</f>
        <v>-6.496817853801462E-2</v>
      </c>
      <c r="H37" s="119">
        <f ca="1">(Dashboard!$C$7*'Equity and Bond Returns'!T37)+(Dashboard!$C$8*'Equity and Bond Returns'!DR37)</f>
        <v>2.529613562526712E-2</v>
      </c>
      <c r="I37" s="119">
        <f ca="1">(Dashboard!$C$7*'Equity and Bond Returns'!U37)+(Dashboard!$C$8*'Equity and Bond Returns'!DS37)</f>
        <v>5.1248524744871085E-2</v>
      </c>
      <c r="J37" s="119">
        <f ca="1">(Dashboard!$C$7*'Equity and Bond Returns'!V37)+(Dashboard!$C$8*'Equity and Bond Returns'!DT37)</f>
        <v>0.12702037775612773</v>
      </c>
      <c r="K37" s="119">
        <f ca="1">(Dashboard!$C$7*'Equity and Bond Returns'!W37)+(Dashboard!$C$8*'Equity and Bond Returns'!DU37)</f>
        <v>9.029778703412443E-2</v>
      </c>
      <c r="L37" s="119">
        <f ca="1">(Dashboard!$C$7*'Equity and Bond Returns'!X37)+(Dashboard!$C$8*'Equity and Bond Returns'!DV37)</f>
        <v>-1.7166162994371487E-2</v>
      </c>
      <c r="M37" s="119">
        <f ca="1">(Dashboard!$C$7*'Equity and Bond Returns'!Y37)+(Dashboard!$C$8*'Equity and Bond Returns'!DW37)</f>
        <v>3.2270651355490128E-2</v>
      </c>
      <c r="N37" s="119">
        <f ca="1">(Dashboard!$C$7*'Equity and Bond Returns'!Z37)+(Dashboard!$C$8*'Equity and Bond Returns'!DX37)</f>
        <v>0.17849538311468344</v>
      </c>
      <c r="O37" s="119">
        <f ca="1">(Dashboard!$C$7*'Equity and Bond Returns'!AA37)+(Dashboard!$C$8*'Equity and Bond Returns'!DY37)</f>
        <v>0.11697406828558235</v>
      </c>
      <c r="P37" s="119">
        <f ca="1">(Dashboard!$C$7*'Equity and Bond Returns'!AB37)+(Dashboard!$C$8*'Equity and Bond Returns'!DZ37)</f>
        <v>0.29536556430013022</v>
      </c>
      <c r="Q37" s="119">
        <f ca="1">(Dashboard!$C$7*'Equity and Bond Returns'!AC37)+(Dashboard!$C$8*'Equity and Bond Returns'!EA37)</f>
        <v>4.1664116971415741E-2</v>
      </c>
      <c r="R37" s="119">
        <f ca="1">(Dashboard!$C$7*'Equity and Bond Returns'!AD37)+(Dashboard!$C$8*'Equity and Bond Returns'!EB37)</f>
        <v>9.0480108733428918E-2</v>
      </c>
      <c r="S37" s="119">
        <f ca="1">(Dashboard!$C$7*'Equity and Bond Returns'!AE37)+(Dashboard!$C$8*'Equity and Bond Returns'!EC37)</f>
        <v>3.0610784071316802E-2</v>
      </c>
      <c r="T37" s="119">
        <f ca="1">(Dashboard!$C$7*'Equity and Bond Returns'!AF37)+(Dashboard!$C$8*'Equity and Bond Returns'!ED37)</f>
        <v>-0.34679140807821635</v>
      </c>
      <c r="U37" s="119">
        <f ca="1">(Dashboard!$C$7*'Equity and Bond Returns'!AG37)+(Dashboard!$C$8*'Equity and Bond Returns'!EE37)</f>
        <v>8.5195047410922625E-2</v>
      </c>
      <c r="V37" s="119">
        <f ca="1">(Dashboard!$C$7*'Equity and Bond Returns'!AH37)+(Dashboard!$C$8*'Equity and Bond Returns'!EF37)</f>
        <v>-0.10851497698457559</v>
      </c>
      <c r="W37" s="119">
        <f ca="1">(Dashboard!$C$7*'Equity and Bond Returns'!AI37)+(Dashboard!$C$8*'Equity and Bond Returns'!EG37)</f>
        <v>3.4248680503941219E-2</v>
      </c>
      <c r="X37" s="119">
        <f ca="1">(Dashboard!$C$7*'Equity and Bond Returns'!AJ37)+(Dashboard!$C$8*'Equity and Bond Returns'!EH37)</f>
        <v>-5.8487232444342147E-2</v>
      </c>
      <c r="Y37" s="119">
        <f ca="1">(Dashboard!$C$7*'Equity and Bond Returns'!AK37)+(Dashboard!$C$8*'Equity and Bond Returns'!EI37)</f>
        <v>0.23987990439179152</v>
      </c>
      <c r="Z37" s="119">
        <f ca="1">(Dashboard!$C$7*'Equity and Bond Returns'!AL37)+(Dashboard!$C$8*'Equity and Bond Returns'!EJ37)</f>
        <v>-9.2908941761579406E-2</v>
      </c>
      <c r="AA37" s="119">
        <f ca="1">(Dashboard!$C$7*'Equity and Bond Returns'!AM37)+(Dashboard!$C$8*'Equity and Bond Returns'!EK37)</f>
        <v>4.8062141873483608E-2</v>
      </c>
      <c r="AB37" s="119">
        <f ca="1">(Dashboard!$C$7*'Equity and Bond Returns'!AN37)+(Dashboard!$C$8*'Equity and Bond Returns'!EL37)</f>
        <v>0.18099320127612406</v>
      </c>
      <c r="AC37" s="119">
        <f ca="1">(Dashboard!$C$7*'Equity and Bond Returns'!AO37)+(Dashboard!$C$8*'Equity and Bond Returns'!EM37)</f>
        <v>1.1325502542000185E-2</v>
      </c>
      <c r="AD37" s="119">
        <f ca="1">(Dashboard!$C$7*'Equity and Bond Returns'!AP37)+(Dashboard!$C$8*'Equity and Bond Returns'!EN37)</f>
        <v>0.30975953063164924</v>
      </c>
      <c r="AE37" s="119">
        <f ca="1">(Dashboard!$C$7*'Equity and Bond Returns'!AQ37)+(Dashboard!$C$8*'Equity and Bond Returns'!EO37)</f>
        <v>0.10651420149900219</v>
      </c>
      <c r="AF37" s="119">
        <f ca="1">(Dashboard!$C$7*'Equity and Bond Returns'!AR37)+(Dashboard!$C$8*'Equity and Bond Returns'!EP37)</f>
        <v>8.5770232142148878E-2</v>
      </c>
      <c r="AG37" s="119">
        <f ca="1">(Dashboard!$C$7*'Equity and Bond Returns'!AS37)+(Dashboard!$C$8*'Equity and Bond Returns'!EQ37)</f>
        <v>0.10212377629977497</v>
      </c>
      <c r="AH37" s="119">
        <f ca="1">(Dashboard!$C$7*'Equity and Bond Returns'!AT37)+(Dashboard!$C$8*'Equity and Bond Returns'!ER37)</f>
        <v>-7.5110850575920707E-2</v>
      </c>
      <c r="AI37" s="119">
        <f ca="1">(Dashboard!$C$7*'Equity and Bond Returns'!AU37)+(Dashboard!$C$8*'Equity and Bond Returns'!ES37)</f>
        <v>0.23281643708319197</v>
      </c>
      <c r="AJ37" s="119">
        <f ca="1">(Dashboard!$C$7*'Equity and Bond Returns'!AV37)+(Dashboard!$C$8*'Equity and Bond Returns'!ET37)</f>
        <v>0.23963745052531488</v>
      </c>
      <c r="AK37" s="119">
        <f ca="1">(Dashboard!$C$7*'Equity and Bond Returns'!AW37)+(Dashboard!$C$8*'Equity and Bond Returns'!EU37)</f>
        <v>0.12436939570956858</v>
      </c>
      <c r="AL37" s="119">
        <f ca="1">(Dashboard!$C$7*'Equity and Bond Returns'!AX37)+(Dashboard!$C$8*'Equity and Bond Returns'!EV37)</f>
        <v>-0.12695980682140101</v>
      </c>
      <c r="AM37" s="119">
        <f ca="1">(Dashboard!$C$7*'Equity and Bond Returns'!AY37)+(Dashboard!$C$8*'Equity and Bond Returns'!EW37)</f>
        <v>-8.7747855938448416E-4</v>
      </c>
      <c r="AN37" s="119">
        <f ca="1">(Dashboard!$C$7*'Equity and Bond Returns'!AZ37)+(Dashboard!$C$8*'Equity and Bond Returns'!EX37)</f>
        <v>8.2962475010053355E-2</v>
      </c>
      <c r="AO37" s="119">
        <f ca="1">(Dashboard!$C$7*'Equity and Bond Returns'!BA37)+(Dashboard!$C$8*'Equity and Bond Returns'!EY37)</f>
        <v>0.22881523119632965</v>
      </c>
      <c r="AP37" s="119">
        <f ca="1">(Dashboard!$C$7*'Equity and Bond Returns'!BB37)+(Dashboard!$C$8*'Equity and Bond Returns'!EZ37)</f>
        <v>5.2323828092089908E-2</v>
      </c>
      <c r="AQ37" s="119">
        <f ca="1">(Dashboard!$C$7*'Equity and Bond Returns'!BC37)+(Dashboard!$C$8*'Equity and Bond Returns'!FA37)</f>
        <v>-0.14144364864053297</v>
      </c>
      <c r="AR37" s="119">
        <f ca="1">(Dashboard!$C$7*'Equity and Bond Returns'!BD37)+(Dashboard!$C$8*'Equity and Bond Returns'!FB37)</f>
        <v>-0.11518938342527556</v>
      </c>
      <c r="AS37" s="119">
        <f ca="1">(Dashboard!$C$7*'Equity and Bond Returns'!BE37)+(Dashboard!$C$8*'Equity and Bond Returns'!FC37)</f>
        <v>-0.20830622329422516</v>
      </c>
      <c r="AT37" s="119">
        <f ca="1">(Dashboard!$C$7*'Equity and Bond Returns'!BF37)+(Dashboard!$C$8*'Equity and Bond Returns'!FD37)</f>
        <v>0.13926657109842119</v>
      </c>
      <c r="AU37" s="119">
        <f ca="1">(Dashboard!$C$7*'Equity and Bond Returns'!BG37)+(Dashboard!$C$8*'Equity and Bond Returns'!FE37)</f>
        <v>9.6755823063644206E-2</v>
      </c>
      <c r="AV37" s="119">
        <f ca="1">(Dashboard!$C$7*'Equity and Bond Returns'!BH37)+(Dashboard!$C$8*'Equity and Bond Returns'!FF37)</f>
        <v>0.10687192407678289</v>
      </c>
      <c r="AW37" s="119">
        <f ca="1">(Dashboard!$C$7*'Equity and Bond Returns'!BI37)+(Dashboard!$C$8*'Equity and Bond Returns'!FG37)</f>
        <v>0.23133606662929607</v>
      </c>
      <c r="AX37" s="119">
        <f ca="1">(Dashboard!$C$7*'Equity and Bond Returns'!BJ37)+(Dashboard!$C$8*'Equity and Bond Returns'!FH37)</f>
        <v>-2.7125644837297028E-2</v>
      </c>
      <c r="AY37" s="119">
        <f ca="1">(Dashboard!$C$7*'Equity and Bond Returns'!BK37)+(Dashboard!$C$8*'Equity and Bond Returns'!FI37)</f>
        <v>2.8512078090191732E-2</v>
      </c>
      <c r="AZ37" s="119">
        <f ca="1">(Dashboard!$C$7*'Equity and Bond Returns'!BL37)+(Dashboard!$C$8*'Equity and Bond Returns'!FJ37)</f>
        <v>0.51611212501646087</v>
      </c>
      <c r="BA37" s="119">
        <f ca="1">(Dashboard!$C$7*'Equity and Bond Returns'!BM37)+(Dashboard!$C$8*'Equity and Bond Returns'!FK37)</f>
        <v>-8.2737135409174115E-2</v>
      </c>
      <c r="BB37" s="119">
        <f ca="1">(Dashboard!$C$7*'Equity and Bond Returns'!BN37)+(Dashboard!$C$8*'Equity and Bond Returns'!FL37)</f>
        <v>3.1894238852655077E-2</v>
      </c>
      <c r="BC37" s="119">
        <f ca="1">(Dashboard!$C$7*'Equity and Bond Returns'!BO37)+(Dashboard!$C$8*'Equity and Bond Returns'!FM37)</f>
        <v>0.177146975635362</v>
      </c>
      <c r="BD37" s="119">
        <f ca="1">(Dashboard!$C$7*'Equity and Bond Returns'!BP37)+(Dashboard!$C$8*'Equity and Bond Returns'!FN37)</f>
        <v>1.3327393389306578E-2</v>
      </c>
      <c r="BE37" s="119">
        <f ca="1">(Dashboard!$C$7*'Equity and Bond Returns'!BQ37)+(Dashboard!$C$8*'Equity and Bond Returns'!FO37)</f>
        <v>-2.317000560912166E-2</v>
      </c>
      <c r="BF37" s="119">
        <f ca="1">(Dashboard!$C$7*'Equity and Bond Returns'!BR37)+(Dashboard!$C$8*'Equity and Bond Returns'!FP37)</f>
        <v>0.1651633610662919</v>
      </c>
      <c r="BG37" s="119">
        <f ca="1">(Dashboard!$C$7*'Equity and Bond Returns'!BS37)+(Dashboard!$C$8*'Equity and Bond Returns'!FQ37)</f>
        <v>8.6613229294346672E-2</v>
      </c>
      <c r="BH37" s="119">
        <f ca="1">(Dashboard!$C$7*'Equity and Bond Returns'!BT37)+(Dashboard!$C$8*'Equity and Bond Returns'!FR37)</f>
        <v>-9.9826107527482486E-2</v>
      </c>
      <c r="BI37" s="119">
        <f ca="1">(Dashboard!$C$7*'Equity and Bond Returns'!BU37)+(Dashboard!$C$8*'Equity and Bond Returns'!FS37)</f>
        <v>9.2193542882265569E-2</v>
      </c>
      <c r="BJ37" s="119">
        <f ca="1">(Dashboard!$C$7*'Equity and Bond Returns'!BV37)+(Dashboard!$C$8*'Equity and Bond Returns'!FT37)</f>
        <v>0.26539951973859088</v>
      </c>
      <c r="BK37" s="119">
        <f ca="1">(Dashboard!$C$7*'Equity and Bond Returns'!BW37)+(Dashboard!$C$8*'Equity and Bond Returns'!FU37)</f>
        <v>0.27948719928455984</v>
      </c>
      <c r="BL37" s="119">
        <f ca="1">(Dashboard!$C$7*'Equity and Bond Returns'!BX37)+(Dashboard!$C$8*'Equity and Bond Returns'!FV37)</f>
        <v>0.15262950956190469</v>
      </c>
      <c r="BM37" s="119">
        <f ca="1">(Dashboard!$C$7*'Equity and Bond Returns'!BY37)+(Dashboard!$C$8*'Equity and Bond Returns'!FW37)</f>
        <v>-0.18057019806003979</v>
      </c>
      <c r="BN37" s="119">
        <f ca="1">(Dashboard!$C$7*'Equity and Bond Returns'!BZ37)+(Dashboard!$C$8*'Equity and Bond Returns'!FX37)</f>
        <v>5.0500996336819294E-2</v>
      </c>
      <c r="BO37" s="119">
        <f ca="1">(Dashboard!$C$7*'Equity and Bond Returns'!CA37)+(Dashboard!$C$8*'Equity and Bond Returns'!FY37)</f>
        <v>0.1024415860253502</v>
      </c>
      <c r="BP37" s="119">
        <f ca="1">(Dashboard!$C$7*'Equity and Bond Returns'!CB37)+(Dashboard!$C$8*'Equity and Bond Returns'!FZ37)</f>
        <v>0.22059797296462855</v>
      </c>
      <c r="BQ37" s="119">
        <f ca="1">(Dashboard!$C$7*'Equity and Bond Returns'!CC37)+(Dashboard!$C$8*'Equity and Bond Returns'!GA37)</f>
        <v>0.17312546058004422</v>
      </c>
      <c r="BR37" s="119">
        <f ca="1">(Dashboard!$C$7*'Equity and Bond Returns'!CD37)+(Dashboard!$C$8*'Equity and Bond Returns'!GB37)</f>
        <v>-0.15972120207919951</v>
      </c>
      <c r="BS37" s="119">
        <f ca="1">(Dashboard!$C$7*'Equity and Bond Returns'!CE37)+(Dashboard!$C$8*'Equity and Bond Returns'!GC37)</f>
        <v>0.1586217069676005</v>
      </c>
      <c r="BT37" s="119">
        <f ca="1">(Dashboard!$C$7*'Equity and Bond Returns'!CF37)+(Dashboard!$C$8*'Equity and Bond Returns'!GD37)</f>
        <v>0.36825614862231398</v>
      </c>
      <c r="BU37" s="119">
        <f ca="1">(Dashboard!$C$7*'Equity and Bond Returns'!CG37)+(Dashboard!$C$8*'Equity and Bond Returns'!GE37)</f>
        <v>5.0337109440221579E-2</v>
      </c>
      <c r="BV37" s="119">
        <f ca="1">(Dashboard!$C$7*'Equity and Bond Returns'!CH37)+(Dashboard!$C$8*'Equity and Bond Returns'!GF37)</f>
        <v>-2.0256664753759302E-3</v>
      </c>
      <c r="BW37" s="119">
        <f ca="1">(Dashboard!$C$7*'Equity and Bond Returns'!CI37)+(Dashboard!$C$8*'Equity and Bond Returns'!GG37)</f>
        <v>0.13517170072085904</v>
      </c>
      <c r="BX37" s="119">
        <f ca="1">(Dashboard!$C$7*'Equity and Bond Returns'!CJ37)+(Dashboard!$C$8*'Equity and Bond Returns'!GH37)</f>
        <v>3.4923160123895805E-2</v>
      </c>
      <c r="BY37" s="119">
        <f ca="1">(Dashboard!$C$7*'Equity and Bond Returns'!CK37)+(Dashboard!$C$8*'Equity and Bond Returns'!GI37)</f>
        <v>-3.6728603289737073E-2</v>
      </c>
      <c r="BZ37" s="119">
        <f ca="1">(Dashboard!$C$7*'Equity and Bond Returns'!CL37)+(Dashboard!$C$8*'Equity and Bond Returns'!GJ37)</f>
        <v>0.12751877566764136</v>
      </c>
      <c r="CA37" s="119">
        <f ca="1">(Dashboard!$C$7*'Equity and Bond Returns'!CM37)+(Dashboard!$C$8*'Equity and Bond Returns'!GK37)</f>
        <v>0.11027409122129321</v>
      </c>
      <c r="CB37" s="119">
        <f ca="1">(Dashboard!$C$7*'Equity and Bond Returns'!CN37)+(Dashboard!$C$8*'Equity and Bond Returns'!GL37)</f>
        <v>2.4618269792300064E-2</v>
      </c>
      <c r="CC37" s="119">
        <f ca="1">(Dashboard!$C$7*'Equity and Bond Returns'!CO37)+(Dashboard!$C$8*'Equity and Bond Returns'!GM37)</f>
        <v>4.1350931397643967E-2</v>
      </c>
      <c r="CD37" s="119">
        <f ca="1">(Dashboard!$C$7*'Equity and Bond Returns'!CP37)+(Dashboard!$C$8*'Equity and Bond Returns'!GN37)</f>
        <v>5.8331250399673296E-2</v>
      </c>
      <c r="CE37" s="119">
        <f ca="1">(Dashboard!$C$7*'Equity and Bond Returns'!CQ37)+(Dashboard!$C$8*'Equity and Bond Returns'!GO37)</f>
        <v>0.31358305258785146</v>
      </c>
      <c r="CF37" s="119">
        <f ca="1">(Dashboard!$C$7*'Equity and Bond Returns'!CR37)+(Dashboard!$C$8*'Equity and Bond Returns'!GP37)</f>
        <v>0.11235831823020254</v>
      </c>
      <c r="CG37" s="119">
        <f ca="1">(Dashboard!$C$7*'Equity and Bond Returns'!CS37)+(Dashboard!$C$8*'Equity and Bond Returns'!GQ37)</f>
        <v>9.8561256635511338E-2</v>
      </c>
      <c r="CH37" s="119">
        <f ca="1">(Dashboard!$C$7*'Equity and Bond Returns'!CT37)+(Dashboard!$C$8*'Equity and Bond Returns'!GR37)</f>
        <v>-0.106909007895287</v>
      </c>
      <c r="CI37" s="119">
        <f ca="1">(Dashboard!$C$7*'Equity and Bond Returns'!CU37)+(Dashboard!$C$8*'Equity and Bond Returns'!GS37)</f>
        <v>0.13301299120553556</v>
      </c>
      <c r="CJ37" s="119">
        <f ca="1">(Dashboard!$C$7*'Equity and Bond Returns'!CV37)+(Dashboard!$C$8*'Equity and Bond Returns'!GT37)</f>
        <v>0.27284820714912056</v>
      </c>
      <c r="CK37" s="119">
        <f ca="1">(Dashboard!$C$7*'Equity and Bond Returns'!CW37)+(Dashboard!$C$8*'Equity and Bond Returns'!GU37)</f>
        <v>0.22706632417616737</v>
      </c>
      <c r="CL37" s="119">
        <f ca="1">(Dashboard!$C$7*'Equity and Bond Returns'!CX37)+(Dashboard!$C$8*'Equity and Bond Returns'!GV37)</f>
        <v>-0.17737505303877849</v>
      </c>
      <c r="CM37" s="119">
        <f ca="1">(Dashboard!$C$7*'Equity and Bond Returns'!CY37)+(Dashboard!$C$8*'Equity and Bond Returns'!GW37)</f>
        <v>0.12823697635884118</v>
      </c>
      <c r="CN37" s="119">
        <f ca="1">(Dashboard!$C$7*'Equity and Bond Returns'!CZ37)+(Dashboard!$C$8*'Equity and Bond Returns'!GX37)</f>
        <v>0.12403545895390818</v>
      </c>
      <c r="CO37" s="119">
        <f ca="1">(Dashboard!$C$7*'Equity and Bond Returns'!DA37)+(Dashboard!$C$8*'Equity and Bond Returns'!GY37)</f>
        <v>0.11927812036430119</v>
      </c>
      <c r="CP37" s="119">
        <f ca="1">(Dashboard!$C$7*'Equity and Bond Returns'!DB37)+(Dashboard!$C$8*'Equity and Bond Returns'!GZ37)</f>
        <v>3.7002108273880438E-2</v>
      </c>
      <c r="CQ37" s="119">
        <f ca="1">(Dashboard!$C$7*'Equity and Bond Returns'!DC37)+(Dashboard!$C$8*'Equity and Bond Returns'!HA37)</f>
        <v>0.24753297865289969</v>
      </c>
      <c r="CR37" s="119">
        <f ca="1">(Dashboard!$C$7*'Equity and Bond Returns'!DD37)+(Dashboard!$C$8*'Equity and Bond Returns'!HB37)</f>
        <v>-6.9022651907045957E-2</v>
      </c>
      <c r="CS37" s="119">
        <f ca="1">(Dashboard!$C$7*'Equity and Bond Returns'!DE37)+(Dashboard!$C$8*'Equity and Bond Returns'!HC37)</f>
        <v>-6.8820532602680007E-2</v>
      </c>
      <c r="CT37" s="119">
        <f ca="1">(Dashboard!$C$7*'Equity and Bond Returns'!DF37)+(Dashboard!$C$8*'Equity and Bond Returns'!HD37)</f>
        <v>0.1184070452167463</v>
      </c>
      <c r="CU37" s="119">
        <f ca="1">(Dashboard!$C$7*'Equity and Bond Returns'!DG37)+(Dashboard!$C$8*'Equity and Bond Returns'!HE37)</f>
        <v>-9.8520351777768439E-2</v>
      </c>
      <c r="CV37" s="119">
        <f ca="1">(Dashboard!$C$7*'Equity and Bond Returns'!DH37)+(Dashboard!$C$8*'Equity and Bond Returns'!HF37)</f>
        <v>6.2237890598459689E-2</v>
      </c>
      <c r="CW37" s="119">
        <f ca="1">(Dashboard!$C$7*'Equity and Bond Returns'!DI37)+(Dashboard!$C$8*'Equity and Bond Returns'!HG37)</f>
        <v>2.157561282541192E-2</v>
      </c>
      <c r="CY37" s="147">
        <f t="shared" si="5"/>
        <v>86</v>
      </c>
      <c r="CZ37" s="147">
        <v>36</v>
      </c>
      <c r="DA37" s="126">
        <f ca="1">MAX(DA36*(1+B37)-(Dashboard!$C$11)/(1-Dashboard!$C$17)*((1+Dashboard!$C$12)^$CZ37),0)</f>
        <v>17634308.051608611</v>
      </c>
      <c r="DB37" s="126">
        <f ca="1">MAX(DB36*(1+C37)-(Dashboard!$C$11)/(1-Dashboard!$C$17)*((1+Dashboard!$C$12)^$CZ37),0)</f>
        <v>0</v>
      </c>
      <c r="DC37" s="126">
        <f ca="1">MAX(DC36*(1+D37)-(Dashboard!$C$11)/(1-Dashboard!$C$17)*((1+Dashboard!$C$12)^$CZ37),0)</f>
        <v>3066679.6889339364</v>
      </c>
      <c r="DD37" s="126">
        <f ca="1">MAX(DD36*(1+E37)-(Dashboard!$C$11)/(1-Dashboard!$C$17)*((1+Dashboard!$C$12)^$CZ37),0)</f>
        <v>255801.05445376807</v>
      </c>
      <c r="DE37" s="126">
        <f ca="1">MAX(DE36*(1+F37)-(Dashboard!$C$11)/(1-Dashboard!$C$17)*((1+Dashboard!$C$12)^$CZ37),0)</f>
        <v>4879151.2441948019</v>
      </c>
      <c r="DF37" s="126">
        <f ca="1">MAX(DF36*(1+G37)-(Dashboard!$C$11)/(1-Dashboard!$C$17)*((1+Dashboard!$C$12)^$CZ37),0)</f>
        <v>13016323.291234832</v>
      </c>
      <c r="DG37" s="126">
        <f ca="1">MAX(DG36*(1+H37)-(Dashboard!$C$11)/(1-Dashboard!$C$17)*((1+Dashboard!$C$12)^$CZ37),0)</f>
        <v>0</v>
      </c>
      <c r="DH37" s="126">
        <f ca="1">MAX(DH36*(1+I37)-(Dashboard!$C$11)/(1-Dashboard!$C$17)*((1+Dashboard!$C$12)^$CZ37),0)</f>
        <v>17925187.462687463</v>
      </c>
      <c r="DI37" s="126">
        <f ca="1">MAX(DI36*(1+J37)-(Dashboard!$C$11)/(1-Dashboard!$C$17)*((1+Dashboard!$C$12)^$CZ37),0)</f>
        <v>3389732.1835123487</v>
      </c>
      <c r="DJ37" s="126">
        <f ca="1">MAX(DJ36*(1+K37)-(Dashboard!$C$11)/(1-Dashboard!$C$17)*((1+Dashboard!$C$12)^$CZ37),0)</f>
        <v>8374714.7454368249</v>
      </c>
      <c r="DK37" s="126">
        <f ca="1">MAX(DK36*(1+L37)-(Dashboard!$C$11)/(1-Dashboard!$C$17)*((1+Dashboard!$C$12)^$CZ37),0)</f>
        <v>11636948.974750692</v>
      </c>
      <c r="DL37" s="126">
        <f ca="1">MAX(DL36*(1+M37)-(Dashboard!$C$11)/(1-Dashboard!$C$17)*((1+Dashboard!$C$12)^$CZ37),0)</f>
        <v>701429.1123078044</v>
      </c>
      <c r="DM37" s="126">
        <f ca="1">MAX(DM36*(1+N37)-(Dashboard!$C$11)/(1-Dashboard!$C$17)*((1+Dashboard!$C$12)^$CZ37),0)</f>
        <v>11526967.005898364</v>
      </c>
      <c r="DN37" s="126">
        <f ca="1">MAX(DN36*(1+O37)-(Dashboard!$C$11)/(1-Dashboard!$C$17)*((1+Dashboard!$C$12)^$CZ37),0)</f>
        <v>35777713.40998017</v>
      </c>
      <c r="DO37" s="126">
        <f ca="1">MAX(DO36*(1+P37)-(Dashboard!$C$11)/(1-Dashboard!$C$17)*((1+Dashboard!$C$12)^$CZ37),0)</f>
        <v>3055770.3071391308</v>
      </c>
      <c r="DP37" s="126">
        <f ca="1">MAX(DP36*(1+Q37)-(Dashboard!$C$11)/(1-Dashboard!$C$17)*((1+Dashboard!$C$12)^$CZ37),0)</f>
        <v>1102961.4597291129</v>
      </c>
      <c r="DQ37" s="126">
        <f ca="1">MAX(DQ36*(1+R37)-(Dashboard!$C$11)/(1-Dashboard!$C$17)*((1+Dashboard!$C$12)^$CZ37),0)</f>
        <v>5373726.6233068397</v>
      </c>
      <c r="DR37" s="126">
        <f ca="1">MAX(DR36*(1+S37)-(Dashboard!$C$11)/(1-Dashboard!$C$17)*((1+Dashboard!$C$12)^$CZ37),0)</f>
        <v>9187538.9906706363</v>
      </c>
      <c r="DS37" s="126">
        <f ca="1">MAX(DS36*(1+T37)-(Dashboard!$C$11)/(1-Dashboard!$C$17)*((1+Dashboard!$C$12)^$CZ37),0)</f>
        <v>93407.677225211199</v>
      </c>
      <c r="DT37" s="126">
        <f ca="1">MAX(DT36*(1+U37)-(Dashboard!$C$11)/(1-Dashboard!$C$17)*((1+Dashboard!$C$12)^$CZ37),0)</f>
        <v>736293.07118233887</v>
      </c>
      <c r="DU37" s="126">
        <f ca="1">MAX(DU36*(1+V37)-(Dashboard!$C$11)/(1-Dashboard!$C$17)*((1+Dashboard!$C$12)^$CZ37),0)</f>
        <v>4387944.2607234586</v>
      </c>
      <c r="DV37" s="126">
        <f ca="1">MAX(DV36*(1+W37)-(Dashboard!$C$11)/(1-Dashboard!$C$17)*((1+Dashboard!$C$12)^$CZ37),0)</f>
        <v>25803048.239438865</v>
      </c>
      <c r="DW37" s="126">
        <f ca="1">MAX(DW36*(1+X37)-(Dashboard!$C$11)/(1-Dashboard!$C$17)*((1+Dashboard!$C$12)^$CZ37),0)</f>
        <v>2744868.1127212895</v>
      </c>
      <c r="DX37" s="126">
        <f ca="1">MAX(DX36*(1+Y37)-(Dashboard!$C$11)/(1-Dashboard!$C$17)*((1+Dashboard!$C$12)^$CZ37),0)</f>
        <v>1796300.7715347691</v>
      </c>
      <c r="DY37" s="126">
        <f ca="1">MAX(DY36*(1+Z37)-(Dashboard!$C$11)/(1-Dashboard!$C$17)*((1+Dashboard!$C$12)^$CZ37),0)</f>
        <v>10002223.605318049</v>
      </c>
      <c r="DZ37" s="126">
        <f ca="1">MAX(DZ36*(1+AA37)-(Dashboard!$C$11)/(1-Dashboard!$C$17)*((1+Dashboard!$C$12)^$CZ37),0)</f>
        <v>4533423.525091419</v>
      </c>
      <c r="EA37" s="126">
        <f ca="1">MAX(EA36*(1+AB37)-(Dashboard!$C$11)/(1-Dashboard!$C$17)*((1+Dashboard!$C$12)^$CZ37),0)</f>
        <v>2132058.1868354683</v>
      </c>
      <c r="EB37" s="126">
        <f ca="1">MAX(EB36*(1+AC37)-(Dashboard!$C$11)/(1-Dashboard!$C$17)*((1+Dashboard!$C$12)^$CZ37),0)</f>
        <v>5846329.0146043682</v>
      </c>
      <c r="EC37" s="126">
        <f ca="1">MAX(EC36*(1+AD37)-(Dashboard!$C$11)/(1-Dashboard!$C$17)*((1+Dashboard!$C$12)^$CZ37),0)</f>
        <v>4878495.5701882737</v>
      </c>
      <c r="ED37" s="126">
        <f ca="1">MAX(ED36*(1+AE37)-(Dashboard!$C$11)/(1-Dashboard!$C$17)*((1+Dashboard!$C$12)^$CZ37),0)</f>
        <v>3542519.8745714212</v>
      </c>
      <c r="EE37" s="126">
        <f ca="1">MAX(EE36*(1+AF37)-(Dashboard!$C$11)/(1-Dashboard!$C$17)*((1+Dashboard!$C$12)^$CZ37),0)</f>
        <v>14311873.937735988</v>
      </c>
      <c r="EF37" s="126">
        <f ca="1">MAX(EF36*(1+AG37)-(Dashboard!$C$11)/(1-Dashboard!$C$17)*((1+Dashboard!$C$12)^$CZ37),0)</f>
        <v>262392.47963061521</v>
      </c>
      <c r="EG37" s="126">
        <f ca="1">MAX(EG36*(1+AH37)-(Dashboard!$C$11)/(1-Dashboard!$C$17)*((1+Dashboard!$C$12)^$CZ37),0)</f>
        <v>7842507.0659111869</v>
      </c>
      <c r="EH37" s="126">
        <f ca="1">MAX(EH36*(1+AI37)-(Dashboard!$C$11)/(1-Dashboard!$C$17)*((1+Dashboard!$C$12)^$CZ37),0)</f>
        <v>12560126.250495009</v>
      </c>
      <c r="EI37" s="126">
        <f ca="1">MAX(EI36*(1+AJ37)-(Dashboard!$C$11)/(1-Dashboard!$C$17)*((1+Dashboard!$C$12)^$CZ37),0)</f>
        <v>0</v>
      </c>
      <c r="EJ37" s="126">
        <f ca="1">MAX(EJ36*(1+AK37)-(Dashboard!$C$11)/(1-Dashboard!$C$17)*((1+Dashboard!$C$12)^$CZ37),0)</f>
        <v>4320189.6442478225</v>
      </c>
      <c r="EK37" s="126">
        <f ca="1">MAX(EK36*(1+AL37)-(Dashboard!$C$11)/(1-Dashboard!$C$17)*((1+Dashboard!$C$12)^$CZ37),0)</f>
        <v>4505449.3049814785</v>
      </c>
      <c r="EL37" s="126">
        <f ca="1">MAX(EL36*(1+AM37)-(Dashboard!$C$11)/(1-Dashboard!$C$17)*((1+Dashboard!$C$12)^$CZ37),0)</f>
        <v>1262360.6178787437</v>
      </c>
      <c r="EM37" s="126">
        <f ca="1">MAX(EM36*(1+AN37)-(Dashboard!$C$11)/(1-Dashboard!$C$17)*((1+Dashboard!$C$12)^$CZ37),0)</f>
        <v>13222423.933861138</v>
      </c>
      <c r="EN37" s="126">
        <f ca="1">MAX(EN36*(1+AO37)-(Dashboard!$C$11)/(1-Dashboard!$C$17)*((1+Dashboard!$C$12)^$CZ37),0)</f>
        <v>2592363.1703708698</v>
      </c>
      <c r="EO37" s="126">
        <f ca="1">MAX(EO36*(1+AP37)-(Dashboard!$C$11)/(1-Dashboard!$C$17)*((1+Dashboard!$C$12)^$CZ37),0)</f>
        <v>0</v>
      </c>
      <c r="EP37" s="126">
        <f ca="1">MAX(EP36*(1+AQ37)-(Dashboard!$C$11)/(1-Dashboard!$C$17)*((1+Dashboard!$C$12)^$CZ37),0)</f>
        <v>2639808.9379767999</v>
      </c>
      <c r="EQ37" s="126">
        <f ca="1">MAX(EQ36*(1+AR37)-(Dashboard!$C$11)/(1-Dashboard!$C$17)*((1+Dashboard!$C$12)^$CZ37),0)</f>
        <v>3466801.8368572062</v>
      </c>
      <c r="ER37" s="126">
        <f ca="1">MAX(ER36*(1+AS37)-(Dashboard!$C$11)/(1-Dashboard!$C$17)*((1+Dashboard!$C$12)^$CZ37),0)</f>
        <v>0</v>
      </c>
      <c r="ES37" s="126">
        <f ca="1">MAX(ES36*(1+AT37)-(Dashboard!$C$11)/(1-Dashboard!$C$17)*((1+Dashboard!$C$12)^$CZ37),0)</f>
        <v>18042351.395406693</v>
      </c>
      <c r="ET37" s="126">
        <f ca="1">MAX(ET36*(1+AU37)-(Dashboard!$C$11)/(1-Dashboard!$C$17)*((1+Dashboard!$C$12)^$CZ37),0)</f>
        <v>6227109.0306874784</v>
      </c>
      <c r="EU37" s="126">
        <f ca="1">MAX(EU36*(1+AV37)-(Dashboard!$C$11)/(1-Dashboard!$C$17)*((1+Dashboard!$C$12)^$CZ37),0)</f>
        <v>3511398.5174092427</v>
      </c>
      <c r="EV37" s="126">
        <f ca="1">MAX(EV36*(1+AW37)-(Dashboard!$C$11)/(1-Dashboard!$C$17)*((1+Dashboard!$C$12)^$CZ37),0)</f>
        <v>37081315.579162143</v>
      </c>
      <c r="EW37" s="126">
        <f ca="1">MAX(EW36*(1+AX37)-(Dashboard!$C$11)/(1-Dashboard!$C$17)*((1+Dashboard!$C$12)^$CZ37),0)</f>
        <v>1302946.3672602242</v>
      </c>
      <c r="EX37" s="126">
        <f ca="1">MAX(EX36*(1+AY37)-(Dashboard!$C$11)/(1-Dashboard!$C$17)*((1+Dashboard!$C$12)^$CZ37),0)</f>
        <v>3936988.1982421526</v>
      </c>
      <c r="EY37" s="126">
        <f ca="1">MAX(EY36*(1+AZ37)-(Dashboard!$C$11)/(1-Dashboard!$C$17)*((1+Dashboard!$C$12)^$CZ37),0)</f>
        <v>13362745.432561396</v>
      </c>
      <c r="EZ37" s="126">
        <f ca="1">MAX(EZ36*(1+BA37)-(Dashboard!$C$11)/(1-Dashboard!$C$17)*((1+Dashboard!$C$12)^$CZ37),0)</f>
        <v>2470115.2992771906</v>
      </c>
      <c r="FA37" s="126">
        <f ca="1">MAX(FA36*(1+BB37)-(Dashboard!$C$11)/(1-Dashboard!$C$17)*((1+Dashboard!$C$12)^$CZ37),0)</f>
        <v>17229448.345443219</v>
      </c>
      <c r="FB37" s="126">
        <f ca="1">MAX(FB36*(1+BC37)-(Dashboard!$C$11)/(1-Dashboard!$C$17)*((1+Dashboard!$C$12)^$CZ37),0)</f>
        <v>986088.78896015196</v>
      </c>
      <c r="FC37" s="126">
        <f ca="1">MAX(FC36*(1+BD37)-(Dashboard!$C$11)/(1-Dashboard!$C$17)*((1+Dashboard!$C$12)^$CZ37),0)</f>
        <v>5304477.3466928629</v>
      </c>
      <c r="FD37" s="126">
        <f ca="1">MAX(FD36*(1+BE37)-(Dashboard!$C$11)/(1-Dashboard!$C$17)*((1+Dashboard!$C$12)^$CZ37),0)</f>
        <v>14352968.429466713</v>
      </c>
      <c r="FE37" s="126">
        <f ca="1">MAX(FE36*(1+BF37)-(Dashboard!$C$11)/(1-Dashboard!$C$17)*((1+Dashboard!$C$12)^$CZ37),0)</f>
        <v>12226349.206028037</v>
      </c>
      <c r="FF37" s="126">
        <f ca="1">MAX(FF36*(1+BG37)-(Dashboard!$C$11)/(1-Dashboard!$C$17)*((1+Dashboard!$C$12)^$CZ37),0)</f>
        <v>3115380.6981751248</v>
      </c>
      <c r="FG37" s="126">
        <f ca="1">MAX(FG36*(1+BH37)-(Dashboard!$C$11)/(1-Dashboard!$C$17)*((1+Dashboard!$C$12)^$CZ37),0)</f>
        <v>1544996.5351625332</v>
      </c>
      <c r="FH37" s="126">
        <f ca="1">MAX(FH36*(1+BI37)-(Dashboard!$C$11)/(1-Dashboard!$C$17)*((1+Dashboard!$C$12)^$CZ37),0)</f>
        <v>4105902.8234067047</v>
      </c>
      <c r="FI37" s="126">
        <f ca="1">MAX(FI36*(1+BJ37)-(Dashboard!$C$11)/(1-Dashboard!$C$17)*((1+Dashboard!$C$12)^$CZ37),0)</f>
        <v>11363143.620592263</v>
      </c>
      <c r="FJ37" s="126">
        <f ca="1">MAX(FJ36*(1+BK37)-(Dashboard!$C$11)/(1-Dashboard!$C$17)*((1+Dashboard!$C$12)^$CZ37),0)</f>
        <v>1941126.5798201738</v>
      </c>
      <c r="FK37" s="126">
        <f ca="1">MAX(FK36*(1+BL37)-(Dashboard!$C$11)/(1-Dashboard!$C$17)*((1+Dashboard!$C$12)^$CZ37),0)</f>
        <v>4063370.1092987321</v>
      </c>
      <c r="FL37" s="126">
        <f ca="1">MAX(FL36*(1+BM37)-(Dashboard!$C$11)/(1-Dashboard!$C$17)*((1+Dashboard!$C$12)^$CZ37),0)</f>
        <v>1291087.2983436759</v>
      </c>
      <c r="FM37" s="126">
        <f ca="1">MAX(FM36*(1+BN37)-(Dashboard!$C$11)/(1-Dashboard!$C$17)*((1+Dashboard!$C$12)^$CZ37),0)</f>
        <v>3972874.9304454145</v>
      </c>
      <c r="FN37" s="126">
        <f ca="1">MAX(FN36*(1+BO37)-(Dashboard!$C$11)/(1-Dashboard!$C$17)*((1+Dashboard!$C$12)^$CZ37),0)</f>
        <v>0</v>
      </c>
      <c r="FO37" s="126">
        <f ca="1">MAX(FO36*(1+BP37)-(Dashboard!$C$11)/(1-Dashboard!$C$17)*((1+Dashboard!$C$12)^$CZ37),0)</f>
        <v>4174629.9989033714</v>
      </c>
      <c r="FP37" s="126">
        <f ca="1">MAX(FP36*(1+BQ37)-(Dashboard!$C$11)/(1-Dashboard!$C$17)*((1+Dashboard!$C$12)^$CZ37),0)</f>
        <v>2071609.2071079984</v>
      </c>
      <c r="FQ37" s="126">
        <f ca="1">MAX(FQ36*(1+BR37)-(Dashboard!$C$11)/(1-Dashboard!$C$17)*((1+Dashboard!$C$12)^$CZ37),0)</f>
        <v>1839026.0550396347</v>
      </c>
      <c r="FR37" s="126">
        <f ca="1">MAX(FR36*(1+BS37)-(Dashboard!$C$11)/(1-Dashboard!$C$17)*((1+Dashboard!$C$12)^$CZ37),0)</f>
        <v>8989221.1504325178</v>
      </c>
      <c r="FS37" s="126">
        <f ca="1">MAX(FS36*(1+BT37)-(Dashboard!$C$11)/(1-Dashboard!$C$17)*((1+Dashboard!$C$12)^$CZ37),0)</f>
        <v>8705748.2966914419</v>
      </c>
      <c r="FT37" s="126">
        <f ca="1">MAX(FT36*(1+BU37)-(Dashboard!$C$11)/(1-Dashboard!$C$17)*((1+Dashboard!$C$12)^$CZ37),0)</f>
        <v>108075.97274785454</v>
      </c>
      <c r="FU37" s="126">
        <f ca="1">MAX(FU36*(1+BV37)-(Dashboard!$C$11)/(1-Dashboard!$C$17)*((1+Dashboard!$C$12)^$CZ37),0)</f>
        <v>2199758.1811685152</v>
      </c>
      <c r="FV37" s="126">
        <f ca="1">MAX(FV36*(1+BW37)-(Dashboard!$C$11)/(1-Dashboard!$C$17)*((1+Dashboard!$C$12)^$CZ37),0)</f>
        <v>4268622.8108892646</v>
      </c>
      <c r="FW37" s="126">
        <f ca="1">MAX(FW36*(1+BX37)-(Dashboard!$C$11)/(1-Dashboard!$C$17)*((1+Dashboard!$C$12)^$CZ37),0)</f>
        <v>2037838.4736119038</v>
      </c>
      <c r="FX37" s="126">
        <f ca="1">MAX(FX36*(1+BY37)-(Dashboard!$C$11)/(1-Dashboard!$C$17)*((1+Dashboard!$C$12)^$CZ37),0)</f>
        <v>0</v>
      </c>
      <c r="FY37" s="126">
        <f ca="1">MAX(FY36*(1+BZ37)-(Dashboard!$C$11)/(1-Dashboard!$C$17)*((1+Dashboard!$C$12)^$CZ37),0)</f>
        <v>340819.37431966793</v>
      </c>
      <c r="FZ37" s="126">
        <f ca="1">MAX(FZ36*(1+CA37)-(Dashboard!$C$11)/(1-Dashboard!$C$17)*((1+Dashboard!$C$12)^$CZ37),0)</f>
        <v>13784635.639634896</v>
      </c>
      <c r="GA37" s="126">
        <f ca="1">MAX(GA36*(1+CB37)-(Dashboard!$C$11)/(1-Dashboard!$C$17)*((1+Dashboard!$C$12)^$CZ37),0)</f>
        <v>9109218.4772751685</v>
      </c>
      <c r="GB37" s="126">
        <f ca="1">MAX(GB36*(1+CC37)-(Dashboard!$C$11)/(1-Dashboard!$C$17)*((1+Dashboard!$C$12)^$CZ37),0)</f>
        <v>3253164.4183722888</v>
      </c>
      <c r="GC37" s="126">
        <f ca="1">MAX(GC36*(1+CD37)-(Dashboard!$C$11)/(1-Dashboard!$C$17)*((1+Dashboard!$C$12)^$CZ37),0)</f>
        <v>6388658.0405163625</v>
      </c>
      <c r="GD37" s="126">
        <f ca="1">MAX(GD36*(1+CE37)-(Dashboard!$C$11)/(1-Dashboard!$C$17)*((1+Dashboard!$C$12)^$CZ37),0)</f>
        <v>34472896.902437434</v>
      </c>
      <c r="GE37" s="126">
        <f ca="1">MAX(GE36*(1+CF37)-(Dashboard!$C$11)/(1-Dashboard!$C$17)*((1+Dashboard!$C$12)^$CZ37),0)</f>
        <v>4571966.1083241059</v>
      </c>
      <c r="GF37" s="126">
        <f ca="1">MAX(GF36*(1+CG37)-(Dashboard!$C$11)/(1-Dashboard!$C$17)*((1+Dashboard!$C$12)^$CZ37),0)</f>
        <v>4405207.6339498628</v>
      </c>
      <c r="GG37" s="126">
        <f ca="1">MAX(GG36*(1+CH37)-(Dashboard!$C$11)/(1-Dashboard!$C$17)*((1+Dashboard!$C$12)^$CZ37),0)</f>
        <v>465292.45037349116</v>
      </c>
      <c r="GH37" s="126">
        <f ca="1">MAX(GH36*(1+CI37)-(Dashboard!$C$11)/(1-Dashboard!$C$17)*((1+Dashboard!$C$12)^$CZ37),0)</f>
        <v>1465410.1775698634</v>
      </c>
      <c r="GI37" s="126">
        <f ca="1">MAX(GI36*(1+CJ37)-(Dashboard!$C$11)/(1-Dashboard!$C$17)*((1+Dashboard!$C$12)^$CZ37),0)</f>
        <v>7138195.7769425306</v>
      </c>
      <c r="GJ37" s="126">
        <f ca="1">MAX(GJ36*(1+CK37)-(Dashboard!$C$11)/(1-Dashboard!$C$17)*((1+Dashboard!$C$12)^$CZ37),0)</f>
        <v>22282622.105075493</v>
      </c>
      <c r="GK37" s="126">
        <f ca="1">MAX(GK36*(1+CL37)-(Dashboard!$C$11)/(1-Dashboard!$C$17)*((1+Dashboard!$C$12)^$CZ37),0)</f>
        <v>3012539.1302338215</v>
      </c>
      <c r="GL37" s="126">
        <f ca="1">MAX(GL36*(1+CM37)-(Dashboard!$C$11)/(1-Dashboard!$C$17)*((1+Dashboard!$C$12)^$CZ37),0)</f>
        <v>9158183.780238241</v>
      </c>
      <c r="GM37" s="126">
        <f ca="1">MAX(GM36*(1+CN37)-(Dashboard!$C$11)/(1-Dashboard!$C$17)*((1+Dashboard!$C$12)^$CZ37),0)</f>
        <v>339164.94473326451</v>
      </c>
      <c r="GN37" s="126">
        <f ca="1">MAX(GN36*(1+CO37)-(Dashboard!$C$11)/(1-Dashboard!$C$17)*((1+Dashboard!$C$12)^$CZ37),0)</f>
        <v>0</v>
      </c>
      <c r="GO37" s="126">
        <f ca="1">MAX(GO36*(1+CP37)-(Dashboard!$C$11)/(1-Dashboard!$C$17)*((1+Dashboard!$C$12)^$CZ37),0)</f>
        <v>1660782.9774894223</v>
      </c>
      <c r="GP37" s="126">
        <f ca="1">MAX(GP36*(1+CQ37)-(Dashboard!$C$11)/(1-Dashboard!$C$17)*((1+Dashboard!$C$12)^$CZ37),0)</f>
        <v>6303607.8038690574</v>
      </c>
      <c r="GQ37" s="126">
        <f ca="1">MAX(GQ36*(1+CR37)-(Dashboard!$C$11)/(1-Dashboard!$C$17)*((1+Dashboard!$C$12)^$CZ37),0)</f>
        <v>0</v>
      </c>
      <c r="GR37" s="126">
        <f ca="1">MAX(GR36*(1+CS37)-(Dashboard!$C$11)/(1-Dashboard!$C$17)*((1+Dashboard!$C$12)^$CZ37),0)</f>
        <v>1676086.2633729356</v>
      </c>
      <c r="GS37" s="126">
        <f ca="1">MAX(GS36*(1+CT37)-(Dashboard!$C$11)/(1-Dashboard!$C$17)*((1+Dashboard!$C$12)^$CZ37),0)</f>
        <v>10589385.490838077</v>
      </c>
      <c r="GT37" s="126">
        <f ca="1">MAX(GT36*(1+CU37)-(Dashboard!$C$11)/(1-Dashboard!$C$17)*((1+Dashboard!$C$12)^$CZ37),0)</f>
        <v>20124472.929659259</v>
      </c>
      <c r="GU37" s="126">
        <f ca="1">MAX(GU36*(1+CV37)-(Dashboard!$C$11)/(1-Dashboard!$C$17)*((1+Dashboard!$C$12)^$CZ37),0)</f>
        <v>2773708.4776940835</v>
      </c>
      <c r="GV37" s="126">
        <f ca="1">MAX(GV36*(1+CW37)-(Dashboard!$C$11)/(1-Dashboard!$C$17)*((1+Dashboard!$C$12)^$CZ37),0)</f>
        <v>517501.50680497813</v>
      </c>
      <c r="GW37" s="115">
        <f t="shared" si="4"/>
        <v>86</v>
      </c>
      <c r="GX37" s="130">
        <f t="shared" ca="1" si="2"/>
        <v>91</v>
      </c>
      <c r="HC37" s="130">
        <f t="shared" si="7"/>
        <v>86</v>
      </c>
      <c r="HD37" s="137">
        <f t="shared" ca="1" si="6"/>
        <v>1343562.319837634</v>
      </c>
      <c r="HE37" s="137">
        <f t="shared" ca="1" si="6"/>
        <v>3739754.0364067871</v>
      </c>
      <c r="HF37" s="137">
        <f t="shared" ca="1" si="6"/>
        <v>9079219.1455645058</v>
      </c>
    </row>
    <row r="38" spans="1:214" ht="16">
      <c r="A38" s="145">
        <f t="shared" si="3"/>
        <v>87</v>
      </c>
      <c r="B38" s="119">
        <f ca="1">(Dashboard!$C$7*'Equity and Bond Returns'!N38)+(Dashboard!$C$8*'Equity and Bond Returns'!DL38)</f>
        <v>0.41159722231880541</v>
      </c>
      <c r="C38" s="119">
        <f ca="1">(Dashboard!$C$7*'Equity and Bond Returns'!O38)+(Dashboard!$C$8*'Equity and Bond Returns'!DM38)</f>
        <v>2.236818006609425E-2</v>
      </c>
      <c r="D38" s="119">
        <f ca="1">(Dashboard!$C$7*'Equity and Bond Returns'!P38)+(Dashboard!$C$8*'Equity and Bond Returns'!DN38)</f>
        <v>0.21895744275320056</v>
      </c>
      <c r="E38" s="119">
        <f ca="1">(Dashboard!$C$7*'Equity and Bond Returns'!Q38)+(Dashboard!$C$8*'Equity and Bond Returns'!DO38)</f>
        <v>8.9501019501817186E-2</v>
      </c>
      <c r="F38" s="119">
        <f ca="1">(Dashboard!$C$7*'Equity and Bond Returns'!R38)+(Dashboard!$C$8*'Equity and Bond Returns'!DP38)</f>
        <v>0.15452635886785804</v>
      </c>
      <c r="G38" s="119">
        <f ca="1">(Dashboard!$C$7*'Equity and Bond Returns'!S38)+(Dashboard!$C$8*'Equity and Bond Returns'!DQ38)</f>
        <v>-0.17177888894963689</v>
      </c>
      <c r="H38" s="119">
        <f ca="1">(Dashboard!$C$7*'Equity and Bond Returns'!T38)+(Dashboard!$C$8*'Equity and Bond Returns'!DR38)</f>
        <v>1.659323695776671E-2</v>
      </c>
      <c r="I38" s="119">
        <f ca="1">(Dashboard!$C$7*'Equity and Bond Returns'!U38)+(Dashboard!$C$8*'Equity and Bond Returns'!DS38)</f>
        <v>1.0568512208613094E-2</v>
      </c>
      <c r="J38" s="119">
        <f ca="1">(Dashboard!$C$7*'Equity and Bond Returns'!V38)+(Dashboard!$C$8*'Equity and Bond Returns'!DT38)</f>
        <v>-0.15342062669389514</v>
      </c>
      <c r="K38" s="119">
        <f ca="1">(Dashboard!$C$7*'Equity and Bond Returns'!W38)+(Dashboard!$C$8*'Equity and Bond Returns'!DU38)</f>
        <v>9.7000984961316233E-2</v>
      </c>
      <c r="L38" s="119">
        <f ca="1">(Dashboard!$C$7*'Equity and Bond Returns'!X38)+(Dashboard!$C$8*'Equity and Bond Returns'!DV38)</f>
        <v>-1.847768618296006E-2</v>
      </c>
      <c r="M38" s="119">
        <f ca="1">(Dashboard!$C$7*'Equity and Bond Returns'!Y38)+(Dashboard!$C$8*'Equity and Bond Returns'!DW38)</f>
        <v>-1.7217267314946928E-2</v>
      </c>
      <c r="N38" s="119">
        <f ca="1">(Dashboard!$C$7*'Equity and Bond Returns'!Z38)+(Dashboard!$C$8*'Equity and Bond Returns'!DX38)</f>
        <v>-0.14685846272269881</v>
      </c>
      <c r="O38" s="119">
        <f ca="1">(Dashboard!$C$7*'Equity and Bond Returns'!AA38)+(Dashboard!$C$8*'Equity and Bond Returns'!DY38)</f>
        <v>0.30208900092738361</v>
      </c>
      <c r="P38" s="119">
        <f ca="1">(Dashboard!$C$7*'Equity and Bond Returns'!AB38)+(Dashboard!$C$8*'Equity and Bond Returns'!DZ38)</f>
        <v>-6.2813243590021245E-2</v>
      </c>
      <c r="Q38" s="119">
        <f ca="1">(Dashboard!$C$7*'Equity and Bond Returns'!AC38)+(Dashboard!$C$8*'Equity and Bond Returns'!EA38)</f>
        <v>0.1977121090691594</v>
      </c>
      <c r="R38" s="119">
        <f ca="1">(Dashboard!$C$7*'Equity and Bond Returns'!AD38)+(Dashboard!$C$8*'Equity and Bond Returns'!EB38)</f>
        <v>0.13449520067050891</v>
      </c>
      <c r="S38" s="119">
        <f ca="1">(Dashboard!$C$7*'Equity and Bond Returns'!AE38)+(Dashboard!$C$8*'Equity and Bond Returns'!EC38)</f>
        <v>7.9064462056152279E-2</v>
      </c>
      <c r="T38" s="119">
        <f ca="1">(Dashboard!$C$7*'Equity and Bond Returns'!AF38)+(Dashboard!$C$8*'Equity and Bond Returns'!ED38)</f>
        <v>-0.29127237206051676</v>
      </c>
      <c r="U38" s="119">
        <f ca="1">(Dashboard!$C$7*'Equity and Bond Returns'!AG38)+(Dashboard!$C$8*'Equity and Bond Returns'!EE38)</f>
        <v>0.17170034141214438</v>
      </c>
      <c r="V38" s="119">
        <f ca="1">(Dashboard!$C$7*'Equity and Bond Returns'!AH38)+(Dashboard!$C$8*'Equity and Bond Returns'!EF38)</f>
        <v>0.13521082807514326</v>
      </c>
      <c r="W38" s="119">
        <f ca="1">(Dashboard!$C$7*'Equity and Bond Returns'!AI38)+(Dashboard!$C$8*'Equity and Bond Returns'!EG38)</f>
        <v>0.1350850327246782</v>
      </c>
      <c r="X38" s="119">
        <f ca="1">(Dashboard!$C$7*'Equity and Bond Returns'!AJ38)+(Dashboard!$C$8*'Equity and Bond Returns'!EH38)</f>
        <v>0.17999497760755079</v>
      </c>
      <c r="Y38" s="119">
        <f ca="1">(Dashboard!$C$7*'Equity and Bond Returns'!AK38)+(Dashboard!$C$8*'Equity and Bond Returns'!EI38)</f>
        <v>3.1230932617765592E-2</v>
      </c>
      <c r="Z38" s="119">
        <f ca="1">(Dashboard!$C$7*'Equity and Bond Returns'!AL38)+(Dashboard!$C$8*'Equity and Bond Returns'!EJ38)</f>
        <v>0.12258315532678359</v>
      </c>
      <c r="AA38" s="119">
        <f ca="1">(Dashboard!$C$7*'Equity and Bond Returns'!AM38)+(Dashboard!$C$8*'Equity and Bond Returns'!EK38)</f>
        <v>0.25184157003043073</v>
      </c>
      <c r="AB38" s="119">
        <f ca="1">(Dashboard!$C$7*'Equity and Bond Returns'!AN38)+(Dashboard!$C$8*'Equity and Bond Returns'!EL38)</f>
        <v>0.11471571772482311</v>
      </c>
      <c r="AC38" s="119">
        <f ca="1">(Dashboard!$C$7*'Equity and Bond Returns'!AO38)+(Dashboard!$C$8*'Equity and Bond Returns'!EM38)</f>
        <v>-0.1311873440704712</v>
      </c>
      <c r="AD38" s="119">
        <f ca="1">(Dashboard!$C$7*'Equity and Bond Returns'!AP38)+(Dashboard!$C$8*'Equity and Bond Returns'!EN38)</f>
        <v>0.15815045263254121</v>
      </c>
      <c r="AE38" s="119">
        <f ca="1">(Dashboard!$C$7*'Equity and Bond Returns'!AQ38)+(Dashboard!$C$8*'Equity and Bond Returns'!EO38)</f>
        <v>0.10562719983553728</v>
      </c>
      <c r="AF38" s="119">
        <f ca="1">(Dashboard!$C$7*'Equity and Bond Returns'!AR38)+(Dashboard!$C$8*'Equity and Bond Returns'!EP38)</f>
        <v>0.32046124202819937</v>
      </c>
      <c r="AG38" s="119">
        <f ca="1">(Dashboard!$C$7*'Equity and Bond Returns'!AS38)+(Dashboard!$C$8*'Equity and Bond Returns'!EQ38)</f>
        <v>0.13696473087570024</v>
      </c>
      <c r="AH38" s="119">
        <f ca="1">(Dashboard!$C$7*'Equity and Bond Returns'!AT38)+(Dashboard!$C$8*'Equity and Bond Returns'!ER38)</f>
        <v>-0.15904606243541028</v>
      </c>
      <c r="AI38" s="119">
        <f ca="1">(Dashboard!$C$7*'Equity and Bond Returns'!AU38)+(Dashboard!$C$8*'Equity and Bond Returns'!ES38)</f>
        <v>3.6678018175251181E-2</v>
      </c>
      <c r="AJ38" s="119">
        <f ca="1">(Dashboard!$C$7*'Equity and Bond Returns'!AV38)+(Dashboard!$C$8*'Equity and Bond Returns'!ET38)</f>
        <v>7.2322508377146794E-2</v>
      </c>
      <c r="AK38" s="119">
        <f ca="1">(Dashboard!$C$7*'Equity and Bond Returns'!AW38)+(Dashboard!$C$8*'Equity and Bond Returns'!EU38)</f>
        <v>0.14471221829010733</v>
      </c>
      <c r="AL38" s="119">
        <f ca="1">(Dashboard!$C$7*'Equity and Bond Returns'!AX38)+(Dashboard!$C$8*'Equity and Bond Returns'!EV38)</f>
        <v>-4.2415603320663943E-2</v>
      </c>
      <c r="AM38" s="119">
        <f ca="1">(Dashboard!$C$7*'Equity and Bond Returns'!AY38)+(Dashboard!$C$8*'Equity and Bond Returns'!EW38)</f>
        <v>-1.6181656399241608E-2</v>
      </c>
      <c r="AN38" s="119">
        <f ca="1">(Dashboard!$C$7*'Equity and Bond Returns'!AZ38)+(Dashboard!$C$8*'Equity and Bond Returns'!EX38)</f>
        <v>7.0601775554723675E-2</v>
      </c>
      <c r="AO38" s="119">
        <f ca="1">(Dashboard!$C$7*'Equity and Bond Returns'!BA38)+(Dashboard!$C$8*'Equity and Bond Returns'!EY38)</f>
        <v>0.11159012088192963</v>
      </c>
      <c r="AP38" s="119">
        <f ca="1">(Dashboard!$C$7*'Equity and Bond Returns'!BB38)+(Dashboard!$C$8*'Equity and Bond Returns'!EZ38)</f>
        <v>6.4227361790562418E-2</v>
      </c>
      <c r="AQ38" s="119">
        <f ca="1">(Dashboard!$C$7*'Equity and Bond Returns'!BC38)+(Dashboard!$C$8*'Equity and Bond Returns'!FA38)</f>
        <v>0.3303047441272482</v>
      </c>
      <c r="AR38" s="119">
        <f ca="1">(Dashboard!$C$7*'Equity and Bond Returns'!BD38)+(Dashboard!$C$8*'Equity and Bond Returns'!FB38)</f>
        <v>0.12373141423393887</v>
      </c>
      <c r="AS38" s="119">
        <f ca="1">(Dashboard!$C$7*'Equity and Bond Returns'!BE38)+(Dashboard!$C$8*'Equity and Bond Returns'!FC38)</f>
        <v>0.23723491760362037</v>
      </c>
      <c r="AT38" s="119">
        <f ca="1">(Dashboard!$C$7*'Equity and Bond Returns'!BF38)+(Dashboard!$C$8*'Equity and Bond Returns'!FD38)</f>
        <v>0.13811042868601617</v>
      </c>
      <c r="AU38" s="119">
        <f ca="1">(Dashboard!$C$7*'Equity and Bond Returns'!BG38)+(Dashboard!$C$8*'Equity and Bond Returns'!FE38)</f>
        <v>-0.11283594636233482</v>
      </c>
      <c r="AV38" s="119">
        <f ca="1">(Dashboard!$C$7*'Equity and Bond Returns'!BH38)+(Dashboard!$C$8*'Equity and Bond Returns'!FF38)</f>
        <v>-6.2383117379681982E-2</v>
      </c>
      <c r="AW38" s="119">
        <f ca="1">(Dashboard!$C$7*'Equity and Bond Returns'!BI38)+(Dashboard!$C$8*'Equity and Bond Returns'!FG38)</f>
        <v>0.27396413619437776</v>
      </c>
      <c r="AX38" s="119">
        <f ca="1">(Dashboard!$C$7*'Equity and Bond Returns'!BJ38)+(Dashboard!$C$8*'Equity and Bond Returns'!FH38)</f>
        <v>7.2405074037424216E-2</v>
      </c>
      <c r="AY38" s="119">
        <f ca="1">(Dashboard!$C$7*'Equity and Bond Returns'!BK38)+(Dashboard!$C$8*'Equity and Bond Returns'!FI38)</f>
        <v>-9.3291325629848099E-2</v>
      </c>
      <c r="AZ38" s="119">
        <f ca="1">(Dashboard!$C$7*'Equity and Bond Returns'!BL38)+(Dashboard!$C$8*'Equity and Bond Returns'!FJ38)</f>
        <v>0.16104969695353571</v>
      </c>
      <c r="BA38" s="119">
        <f ca="1">(Dashboard!$C$7*'Equity and Bond Returns'!BM38)+(Dashboard!$C$8*'Equity and Bond Returns'!FK38)</f>
        <v>0.1053603883905493</v>
      </c>
      <c r="BB38" s="119">
        <f ca="1">(Dashboard!$C$7*'Equity and Bond Returns'!BN38)+(Dashboard!$C$8*'Equity and Bond Returns'!FL38)</f>
        <v>0.12446709452847535</v>
      </c>
      <c r="BC38" s="119">
        <f ca="1">(Dashboard!$C$7*'Equity and Bond Returns'!BO38)+(Dashboard!$C$8*'Equity and Bond Returns'!FM38)</f>
        <v>-9.2837127413098908E-2</v>
      </c>
      <c r="BD38" s="119">
        <f ca="1">(Dashboard!$C$7*'Equity and Bond Returns'!BP38)+(Dashboard!$C$8*'Equity and Bond Returns'!FN38)</f>
        <v>7.1497429642253724E-2</v>
      </c>
      <c r="BE38" s="119">
        <f ca="1">(Dashboard!$C$7*'Equity and Bond Returns'!BQ38)+(Dashboard!$C$8*'Equity and Bond Returns'!FO38)</f>
        <v>8.7432088153045359E-2</v>
      </c>
      <c r="BF38" s="119">
        <f ca="1">(Dashboard!$C$7*'Equity and Bond Returns'!BR38)+(Dashboard!$C$8*'Equity and Bond Returns'!FP38)</f>
        <v>0.19059959513204211</v>
      </c>
      <c r="BG38" s="119">
        <f ca="1">(Dashboard!$C$7*'Equity and Bond Returns'!BS38)+(Dashboard!$C$8*'Equity and Bond Returns'!FQ38)</f>
        <v>0.17933415562197133</v>
      </c>
      <c r="BH38" s="119">
        <f ca="1">(Dashboard!$C$7*'Equity and Bond Returns'!BT38)+(Dashboard!$C$8*'Equity and Bond Returns'!FR38)</f>
        <v>0.24892611495006708</v>
      </c>
      <c r="BI38" s="119">
        <f ca="1">(Dashboard!$C$7*'Equity and Bond Returns'!BU38)+(Dashboard!$C$8*'Equity and Bond Returns'!FS38)</f>
        <v>-0.21906503246284487</v>
      </c>
      <c r="BJ38" s="119">
        <f ca="1">(Dashboard!$C$7*'Equity and Bond Returns'!BV38)+(Dashboard!$C$8*'Equity and Bond Returns'!FT38)</f>
        <v>1.4547466237755113E-2</v>
      </c>
      <c r="BK38" s="119">
        <f ca="1">(Dashboard!$C$7*'Equity and Bond Returns'!BW38)+(Dashboard!$C$8*'Equity and Bond Returns'!FU38)</f>
        <v>-5.2515480057676922E-2</v>
      </c>
      <c r="BL38" s="119">
        <f ca="1">(Dashboard!$C$7*'Equity and Bond Returns'!BX38)+(Dashboard!$C$8*'Equity and Bond Returns'!FV38)</f>
        <v>-0.10081806994758302</v>
      </c>
      <c r="BM38" s="119">
        <f ca="1">(Dashboard!$C$7*'Equity and Bond Returns'!BY38)+(Dashboard!$C$8*'Equity and Bond Returns'!FW38)</f>
        <v>0.17363462190725695</v>
      </c>
      <c r="BN38" s="119">
        <f ca="1">(Dashboard!$C$7*'Equity and Bond Returns'!BZ38)+(Dashboard!$C$8*'Equity and Bond Returns'!FX38)</f>
        <v>0.22348389184072084</v>
      </c>
      <c r="BO38" s="119">
        <f ca="1">(Dashboard!$C$7*'Equity and Bond Returns'!CA38)+(Dashboard!$C$8*'Equity and Bond Returns'!FY38)</f>
        <v>7.1529081942724421E-2</v>
      </c>
      <c r="BP38" s="119">
        <f ca="1">(Dashboard!$C$7*'Equity and Bond Returns'!CB38)+(Dashboard!$C$8*'Equity and Bond Returns'!FZ38)</f>
        <v>4.6109008724009748E-2</v>
      </c>
      <c r="BQ38" s="119">
        <f ca="1">(Dashboard!$C$7*'Equity and Bond Returns'!CC38)+(Dashboard!$C$8*'Equity and Bond Returns'!GA38)</f>
        <v>8.9821784083345277E-2</v>
      </c>
      <c r="BR38" s="119">
        <f ca="1">(Dashboard!$C$7*'Equity and Bond Returns'!CD38)+(Dashboard!$C$8*'Equity and Bond Returns'!GB38)</f>
        <v>7.1462924447499868E-2</v>
      </c>
      <c r="BS38" s="119">
        <f ca="1">(Dashboard!$C$7*'Equity and Bond Returns'!CE38)+(Dashboard!$C$8*'Equity and Bond Returns'!GC38)</f>
        <v>1.8411708539307115E-2</v>
      </c>
      <c r="BT38" s="119">
        <f ca="1">(Dashboard!$C$7*'Equity and Bond Returns'!CF38)+(Dashboard!$C$8*'Equity and Bond Returns'!GD38)</f>
        <v>-0.15873161708187222</v>
      </c>
      <c r="BU38" s="119">
        <f ca="1">(Dashboard!$C$7*'Equity and Bond Returns'!CG38)+(Dashboard!$C$8*'Equity and Bond Returns'!GE38)</f>
        <v>0.24490179107134857</v>
      </c>
      <c r="BV38" s="119">
        <f ca="1">(Dashboard!$C$7*'Equity and Bond Returns'!CH38)+(Dashboard!$C$8*'Equity and Bond Returns'!GF38)</f>
        <v>-5.3574603190242494E-2</v>
      </c>
      <c r="BW38" s="119">
        <f ca="1">(Dashboard!$C$7*'Equity and Bond Returns'!CI38)+(Dashboard!$C$8*'Equity and Bond Returns'!GG38)</f>
        <v>0.18858843584483062</v>
      </c>
      <c r="BX38" s="119">
        <f ca="1">(Dashboard!$C$7*'Equity and Bond Returns'!CJ38)+(Dashboard!$C$8*'Equity and Bond Returns'!GH38)</f>
        <v>2.3153004176840138E-2</v>
      </c>
      <c r="BY38" s="119">
        <f ca="1">(Dashboard!$C$7*'Equity and Bond Returns'!CK38)+(Dashboard!$C$8*'Equity and Bond Returns'!GI38)</f>
        <v>0.25940025066477562</v>
      </c>
      <c r="BZ38" s="119">
        <f ca="1">(Dashboard!$C$7*'Equity and Bond Returns'!CL38)+(Dashboard!$C$8*'Equity and Bond Returns'!GJ38)</f>
        <v>3.8302512794037666E-2</v>
      </c>
      <c r="CA38" s="119">
        <f ca="1">(Dashboard!$C$7*'Equity and Bond Returns'!CM38)+(Dashboard!$C$8*'Equity and Bond Returns'!GK38)</f>
        <v>0.14871287141725595</v>
      </c>
      <c r="CB38" s="119">
        <f ca="1">(Dashboard!$C$7*'Equity and Bond Returns'!CN38)+(Dashboard!$C$8*'Equity and Bond Returns'!GL38)</f>
        <v>0.16632647882105661</v>
      </c>
      <c r="CC38" s="119">
        <f ca="1">(Dashboard!$C$7*'Equity and Bond Returns'!CO38)+(Dashboard!$C$8*'Equity and Bond Returns'!GM38)</f>
        <v>-0.19536433608652248</v>
      </c>
      <c r="CD38" s="119">
        <f ca="1">(Dashboard!$C$7*'Equity and Bond Returns'!CP38)+(Dashboard!$C$8*'Equity and Bond Returns'!GN38)</f>
        <v>0.1201489031944161</v>
      </c>
      <c r="CE38" s="119">
        <f ca="1">(Dashboard!$C$7*'Equity and Bond Returns'!CQ38)+(Dashboard!$C$8*'Equity and Bond Returns'!GO38)</f>
        <v>0.19958493283701392</v>
      </c>
      <c r="CF38" s="119">
        <f ca="1">(Dashboard!$C$7*'Equity and Bond Returns'!CR38)+(Dashboard!$C$8*'Equity and Bond Returns'!GP38)</f>
        <v>0.3284676509458071</v>
      </c>
      <c r="CG38" s="119">
        <f ca="1">(Dashboard!$C$7*'Equity and Bond Returns'!CS38)+(Dashboard!$C$8*'Equity and Bond Returns'!GQ38)</f>
        <v>3.1395632949020633E-2</v>
      </c>
      <c r="CH38" s="119">
        <f ca="1">(Dashboard!$C$7*'Equity and Bond Returns'!CT38)+(Dashboard!$C$8*'Equity and Bond Returns'!GR38)</f>
        <v>0.11001238624338805</v>
      </c>
      <c r="CI38" s="119">
        <f ca="1">(Dashboard!$C$7*'Equity and Bond Returns'!CU38)+(Dashboard!$C$8*'Equity and Bond Returns'!GS38)</f>
        <v>-1.8602003950063825E-2</v>
      </c>
      <c r="CJ38" s="119">
        <f ca="1">(Dashboard!$C$7*'Equity and Bond Returns'!CV38)+(Dashboard!$C$8*'Equity and Bond Returns'!GT38)</f>
        <v>0.21838223375735955</v>
      </c>
      <c r="CK38" s="119">
        <f ca="1">(Dashboard!$C$7*'Equity and Bond Returns'!CW38)+(Dashboard!$C$8*'Equity and Bond Returns'!GU38)</f>
        <v>5.9870840223846103E-2</v>
      </c>
      <c r="CL38" s="119">
        <f ca="1">(Dashboard!$C$7*'Equity and Bond Returns'!CX38)+(Dashboard!$C$8*'Equity and Bond Returns'!GV38)</f>
        <v>0.15222853808167136</v>
      </c>
      <c r="CM38" s="119">
        <f ca="1">(Dashboard!$C$7*'Equity and Bond Returns'!CY38)+(Dashboard!$C$8*'Equity and Bond Returns'!GW38)</f>
        <v>-1.074047383815676E-2</v>
      </c>
      <c r="CN38" s="119">
        <f ca="1">(Dashboard!$C$7*'Equity and Bond Returns'!CZ38)+(Dashboard!$C$8*'Equity and Bond Returns'!GX38)</f>
        <v>8.3408378334506164E-2</v>
      </c>
      <c r="CO38" s="119">
        <f ca="1">(Dashboard!$C$7*'Equity and Bond Returns'!DA38)+(Dashboard!$C$8*'Equity and Bond Returns'!GY38)</f>
        <v>-0.17454882383172862</v>
      </c>
      <c r="CP38" s="119">
        <f ca="1">(Dashboard!$C$7*'Equity and Bond Returns'!DB38)+(Dashboard!$C$8*'Equity and Bond Returns'!GZ38)</f>
        <v>0.23655637381439729</v>
      </c>
      <c r="CQ38" s="119">
        <f ca="1">(Dashboard!$C$7*'Equity and Bond Returns'!DC38)+(Dashboard!$C$8*'Equity and Bond Returns'!HA38)</f>
        <v>-3.644889997725341E-2</v>
      </c>
      <c r="CR38" s="119">
        <f ca="1">(Dashboard!$C$7*'Equity and Bond Returns'!DD38)+(Dashboard!$C$8*'Equity and Bond Returns'!HB38)</f>
        <v>0.1006017041917146</v>
      </c>
      <c r="CS38" s="119">
        <f ca="1">(Dashboard!$C$7*'Equity and Bond Returns'!DE38)+(Dashboard!$C$8*'Equity and Bond Returns'!HC38)</f>
        <v>-3.0565891924390257E-2</v>
      </c>
      <c r="CT38" s="119">
        <f ca="1">(Dashboard!$C$7*'Equity and Bond Returns'!DF38)+(Dashboard!$C$8*'Equity and Bond Returns'!HD38)</f>
        <v>-0.1671536907236951</v>
      </c>
      <c r="CU38" s="119">
        <f ca="1">(Dashboard!$C$7*'Equity and Bond Returns'!DG38)+(Dashboard!$C$8*'Equity and Bond Returns'!HE38)</f>
        <v>-8.4473486140231105E-2</v>
      </c>
      <c r="CV38" s="119">
        <f ca="1">(Dashboard!$C$7*'Equity and Bond Returns'!DH38)+(Dashboard!$C$8*'Equity and Bond Returns'!HF38)</f>
        <v>-9.4478232536483853E-2</v>
      </c>
      <c r="CW38" s="119">
        <f ca="1">(Dashboard!$C$7*'Equity and Bond Returns'!DI38)+(Dashboard!$C$8*'Equity and Bond Returns'!HG38)</f>
        <v>-7.1143390931558165E-2</v>
      </c>
      <c r="CY38" s="147">
        <f t="shared" si="5"/>
        <v>87</v>
      </c>
      <c r="CZ38" s="147">
        <v>37</v>
      </c>
      <c r="DA38" s="126">
        <f ca="1">MAX(DA37*(1+B38)-(Dashboard!$C$11)/(1-Dashboard!$C$17)*((1+Dashboard!$C$12)^$CZ38),0)</f>
        <v>24830969.962934352</v>
      </c>
      <c r="DB38" s="126">
        <f ca="1">MAX(DB37*(1+C38)-(Dashboard!$C$11)/(1-Dashboard!$C$17)*((1+Dashboard!$C$12)^$CZ38),0)</f>
        <v>0</v>
      </c>
      <c r="DC38" s="126">
        <f ca="1">MAX(DC37*(1+D38)-(Dashboard!$C$11)/(1-Dashboard!$C$17)*((1+Dashboard!$C$12)^$CZ38),0)</f>
        <v>3676581.7311355849</v>
      </c>
      <c r="DD38" s="126">
        <f ca="1">MAX(DD37*(1+E38)-(Dashboard!$C$11)/(1-Dashboard!$C$17)*((1+Dashboard!$C$12)^$CZ38),0)</f>
        <v>217125.20938651348</v>
      </c>
      <c r="DE38" s="126">
        <f ca="1">MAX(DE37*(1+F38)-(Dashboard!$C$11)/(1-Dashboard!$C$17)*((1+Dashboard!$C$12)^$CZ38),0)</f>
        <v>5571538.4200952975</v>
      </c>
      <c r="DF38" s="126">
        <f ca="1">MAX(DF37*(1+G38)-(Dashboard!$C$11)/(1-Dashboard!$C$17)*((1+Dashboard!$C$12)^$CZ38),0)</f>
        <v>10718823.437826725</v>
      </c>
      <c r="DG38" s="126">
        <f ca="1">MAX(DG37*(1+H38)-(Dashboard!$C$11)/(1-Dashboard!$C$17)*((1+Dashboard!$C$12)^$CZ38),0)</f>
        <v>0</v>
      </c>
      <c r="DH38" s="126">
        <f ca="1">MAX(DH37*(1+I38)-(Dashboard!$C$11)/(1-Dashboard!$C$17)*((1+Dashboard!$C$12)^$CZ38),0)</f>
        <v>18053059.724998046</v>
      </c>
      <c r="DI38" s="126">
        <f ca="1">MAX(DI37*(1+J38)-(Dashboard!$C$11)/(1-Dashboard!$C$17)*((1+Dashboard!$C$12)^$CZ38),0)</f>
        <v>2808107.047362912</v>
      </c>
      <c r="DJ38" s="126">
        <f ca="1">MAX(DJ37*(1+K38)-(Dashboard!$C$11)/(1-Dashboard!$C$17)*((1+Dashboard!$C$12)^$CZ38),0)</f>
        <v>9125500.0242837481</v>
      </c>
      <c r="DK38" s="126">
        <f ca="1">MAX(DK37*(1+L38)-(Dashboard!$C$11)/(1-Dashboard!$C$17)*((1+Dashboard!$C$12)^$CZ38),0)</f>
        <v>11360354.783237623</v>
      </c>
      <c r="DL38" s="126">
        <f ca="1">MAX(DL37*(1+M38)-(Dashboard!$C$11)/(1-Dashboard!$C$17)*((1+Dashboard!$C$12)^$CZ38),0)</f>
        <v>627782.11954820831</v>
      </c>
      <c r="DM38" s="126">
        <f ca="1">MAX(DM37*(1+N38)-(Dashboard!$C$11)/(1-Dashboard!$C$17)*((1+Dashboard!$C$12)^$CZ38),0)</f>
        <v>9772564.0513263531</v>
      </c>
      <c r="DN38" s="126">
        <f ca="1">MAX(DN37*(1+O38)-(Dashboard!$C$11)/(1-Dashboard!$C$17)*((1+Dashboard!$C$12)^$CZ38),0)</f>
        <v>46524196.809236832</v>
      </c>
      <c r="DO38" s="126">
        <f ca="1">MAX(DO37*(1+P38)-(Dashboard!$C$11)/(1-Dashboard!$C$17)*((1+Dashboard!$C$12)^$CZ38),0)</f>
        <v>2802257.1622511395</v>
      </c>
      <c r="DP38" s="126">
        <f ca="1">MAX(DP37*(1+Q38)-(Dashboard!$C$11)/(1-Dashboard!$C$17)*((1+Dashboard!$C$12)^$CZ38),0)</f>
        <v>1259459.9959236479</v>
      </c>
      <c r="DQ38" s="126">
        <f ca="1">MAX(DQ37*(1+R38)-(Dashboard!$C$11)/(1-Dashboard!$C$17)*((1+Dashboard!$C$12)^$CZ38),0)</f>
        <v>6034896.7636264423</v>
      </c>
      <c r="DR38" s="126">
        <f ca="1">MAX(DR37*(1+S38)-(Dashboard!$C$11)/(1-Dashboard!$C$17)*((1+Dashboard!$C$12)^$CZ38),0)</f>
        <v>9852376.5183574278</v>
      </c>
      <c r="DS38" s="126">
        <f ca="1">MAX(DS37*(1+T38)-(Dashboard!$C$11)/(1-Dashboard!$C$17)*((1+Dashboard!$C$12)^$CZ38),0)</f>
        <v>4630.3012806541446</v>
      </c>
      <c r="DT38" s="126">
        <f ca="1">MAX(DT37*(1+U38)-(Dashboard!$C$11)/(1-Dashboard!$C$17)*((1+Dashboard!$C$12)^$CZ38),0)</f>
        <v>801144.54265323607</v>
      </c>
      <c r="DU38" s="126">
        <f ca="1">MAX(DU37*(1+V38)-(Dashboard!$C$11)/(1-Dashboard!$C$17)*((1+Dashboard!$C$12)^$CZ38),0)</f>
        <v>4919671.5375329424</v>
      </c>
      <c r="DV38" s="126">
        <f ca="1">MAX(DV37*(1+W38)-(Dashboard!$C$11)/(1-Dashboard!$C$17)*((1+Dashboard!$C$12)^$CZ38),0)</f>
        <v>29227083.555029407</v>
      </c>
      <c r="DW38" s="126">
        <f ca="1">MAX(DW37*(1+X38)-(Dashboard!$C$11)/(1-Dashboard!$C$17)*((1+Dashboard!$C$12)^$CZ38),0)</f>
        <v>3177360.2869757311</v>
      </c>
      <c r="DX38" s="126">
        <f ca="1">MAX(DX37*(1+Y38)-(Dashboard!$C$11)/(1-Dashboard!$C$17)*((1+Dashboard!$C$12)^$CZ38),0)</f>
        <v>1790830.6196613051</v>
      </c>
      <c r="DY38" s="126">
        <f ca="1">MAX(DY37*(1+Z38)-(Dashboard!$C$11)/(1-Dashboard!$C$17)*((1+Dashboard!$C$12)^$CZ38),0)</f>
        <v>11166757.434911465</v>
      </c>
      <c r="DZ38" s="126">
        <f ca="1">MAX(DZ37*(1+AA38)-(Dashboard!$C$11)/(1-Dashboard!$C$17)*((1+Dashboard!$C$12)^$CZ38),0)</f>
        <v>5613557.7230328247</v>
      </c>
      <c r="EA38" s="126">
        <f ca="1">MAX(EA37*(1+AB38)-(Dashboard!$C$11)/(1-Dashboard!$C$17)*((1+Dashboard!$C$12)^$CZ38),0)</f>
        <v>2315068.4717388772</v>
      </c>
      <c r="EB38" s="126">
        <f ca="1">MAX(EB37*(1+AC38)-(Dashboard!$C$11)/(1-Dashboard!$C$17)*((1+Dashboard!$C$12)^$CZ38),0)</f>
        <v>5017794.3383857794</v>
      </c>
      <c r="EC38" s="126">
        <f ca="1">MAX(EC37*(1+AD38)-(Dashboard!$C$11)/(1-Dashboard!$C$17)*((1+Dashboard!$C$12)^$CZ38),0)</f>
        <v>5588461.55254889</v>
      </c>
      <c r="ED38" s="126">
        <f ca="1">MAX(ED37*(1+AE38)-(Dashboard!$C$11)/(1-Dashboard!$C$17)*((1+Dashboard!$C$12)^$CZ38),0)</f>
        <v>3855136.0290536326</v>
      </c>
      <c r="EE38" s="126">
        <f ca="1">MAX(EE37*(1+AF38)-(Dashboard!$C$11)/(1-Dashboard!$C$17)*((1+Dashboard!$C$12)^$CZ38),0)</f>
        <v>18836704.535343371</v>
      </c>
      <c r="EF38" s="126">
        <f ca="1">MAX(EF37*(1+AG38)-(Dashboard!$C$11)/(1-Dashboard!$C$17)*((1+Dashboard!$C$12)^$CZ38),0)</f>
        <v>236760.69475652344</v>
      </c>
      <c r="EG38" s="126">
        <f ca="1">MAX(EG37*(1+AH38)-(Dashboard!$C$11)/(1-Dashboard!$C$17)*((1+Dashboard!$C$12)^$CZ38),0)</f>
        <v>6533616.897225623</v>
      </c>
      <c r="EH38" s="126">
        <f ca="1">MAX(EH37*(1+AI38)-(Dashboard!$C$11)/(1-Dashboard!$C$17)*((1+Dashboard!$C$12)^$CZ38),0)</f>
        <v>12959236.489163609</v>
      </c>
      <c r="EI38" s="126">
        <f ca="1">MAX(EI37*(1+AJ38)-(Dashboard!$C$11)/(1-Dashboard!$C$17)*((1+Dashboard!$C$12)^$CZ38),0)</f>
        <v>0</v>
      </c>
      <c r="EJ38" s="126">
        <f ca="1">MAX(EJ37*(1+AK38)-(Dashboard!$C$11)/(1-Dashboard!$C$17)*((1+Dashboard!$C$12)^$CZ38),0)</f>
        <v>4883803.5708703678</v>
      </c>
      <c r="EK38" s="126">
        <f ca="1">MAX(EK37*(1+AL38)-(Dashboard!$C$11)/(1-Dashboard!$C$17)*((1+Dashboard!$C$12)^$CZ38),0)</f>
        <v>4252777.6542495163</v>
      </c>
      <c r="EL38" s="126">
        <f ca="1">MAX(EL37*(1+AM38)-(Dashboard!$C$11)/(1-Dashboard!$C$17)*((1+Dashboard!$C$12)^$CZ38),0)</f>
        <v>1180363.2318777889</v>
      </c>
      <c r="EM38" s="126">
        <f ca="1">MAX(EM37*(1+AN38)-(Dashboard!$C$11)/(1-Dashboard!$C$17)*((1+Dashboard!$C$12)^$CZ38),0)</f>
        <v>14094380.240498502</v>
      </c>
      <c r="EN38" s="126">
        <f ca="1">MAX(EN37*(1+AO38)-(Dashboard!$C$11)/(1-Dashboard!$C$17)*((1+Dashboard!$C$12)^$CZ38),0)</f>
        <v>2820074.9896919108</v>
      </c>
      <c r="EO38" s="126">
        <f ca="1">MAX(EO37*(1+AP38)-(Dashboard!$C$11)/(1-Dashboard!$C$17)*((1+Dashboard!$C$12)^$CZ38),0)</f>
        <v>0</v>
      </c>
      <c r="EP38" s="126">
        <f ca="1">MAX(EP37*(1+AQ38)-(Dashboard!$C$11)/(1-Dashboard!$C$17)*((1+Dashboard!$C$12)^$CZ38),0)</f>
        <v>3450180.053549543</v>
      </c>
      <c r="EQ38" s="126">
        <f ca="1">MAX(EQ37*(1+AR38)-(Dashboard!$C$11)/(1-Dashboard!$C$17)*((1+Dashboard!$C$12)^$CZ38),0)</f>
        <v>3834183.8307698588</v>
      </c>
      <c r="ER38" s="126">
        <f ca="1">MAX(ER37*(1+AS38)-(Dashboard!$C$11)/(1-Dashboard!$C$17)*((1+Dashboard!$C$12)^$CZ38),0)</f>
        <v>0</v>
      </c>
      <c r="ES38" s="126">
        <f ca="1">MAX(ES37*(1+AT38)-(Dashboard!$C$11)/(1-Dashboard!$C$17)*((1+Dashboard!$C$12)^$CZ38),0)</f>
        <v>20472617.980899546</v>
      </c>
      <c r="ET38" s="126">
        <f ca="1">MAX(ET37*(1+AU38)-(Dashboard!$C$11)/(1-Dashboard!$C$17)*((1+Dashboard!$C$12)^$CZ38),0)</f>
        <v>5462896.9898779085</v>
      </c>
      <c r="EU38" s="126">
        <f ca="1">MAX(EU37*(1+AV38)-(Dashboard!$C$11)/(1-Dashboard!$C$17)*((1+Dashboard!$C$12)^$CZ38),0)</f>
        <v>3230776.231300354</v>
      </c>
      <c r="EV38" s="126">
        <f ca="1">MAX(EV37*(1+AW38)-(Dashboard!$C$11)/(1-Dashboard!$C$17)*((1+Dashboard!$C$12)^$CZ38),0)</f>
        <v>47178695.870527923</v>
      </c>
      <c r="EW38" s="126">
        <f ca="1">MAX(EW37*(1+AX38)-(Dashboard!$C$11)/(1-Dashboard!$C$17)*((1+Dashboard!$C$12)^$CZ38),0)</f>
        <v>1335715.9952179871</v>
      </c>
      <c r="EX38" s="126">
        <f ca="1">MAX(EX37*(1+AY38)-(Dashboard!$C$11)/(1-Dashboard!$C$17)*((1+Dashboard!$C$12)^$CZ38),0)</f>
        <v>3508131.050008568</v>
      </c>
      <c r="EY38" s="126">
        <f ca="1">MAX(EY37*(1+AZ38)-(Dashboard!$C$11)/(1-Dashboard!$C$17)*((1+Dashboard!$C$12)^$CZ38),0)</f>
        <v>15453241.234712146</v>
      </c>
      <c r="EZ38" s="126">
        <f ca="1">MAX(EZ37*(1+BA38)-(Dashboard!$C$11)/(1-Dashboard!$C$17)*((1+Dashboard!$C$12)^$CZ38),0)</f>
        <v>2668797.3063479667</v>
      </c>
      <c r="FA38" s="126">
        <f ca="1">MAX(FA37*(1+BB38)-(Dashboard!$C$11)/(1-Dashboard!$C$17)*((1+Dashboard!$C$12)^$CZ38),0)</f>
        <v>19312377.421098478</v>
      </c>
      <c r="FB38" s="126">
        <f ca="1">MAX(FB37*(1+BC38)-(Dashboard!$C$11)/(1-Dashboard!$C$17)*((1+Dashboard!$C$12)^$CZ38),0)</f>
        <v>832972.83818832319</v>
      </c>
      <c r="FC38" s="126">
        <f ca="1">MAX(FC37*(1+BD38)-(Dashboard!$C$11)/(1-Dashboard!$C$17)*((1+Dashboard!$C$12)^$CZ38),0)</f>
        <v>5622163.542346458</v>
      </c>
      <c r="FD38" s="126">
        <f ca="1">MAX(FD37*(1+BE38)-(Dashboard!$C$11)/(1-Dashboard!$C$17)*((1+Dashboard!$C$12)^$CZ38),0)</f>
        <v>15546308.130219216</v>
      </c>
      <c r="FE38" s="126">
        <f ca="1">MAX(FE37*(1+BF38)-(Dashboard!$C$11)/(1-Dashboard!$C$17)*((1+Dashboard!$C$12)^$CZ38),0)</f>
        <v>14495116.114409437</v>
      </c>
      <c r="FF38" s="126">
        <f ca="1">MAX(FF37*(1+BG38)-(Dashboard!$C$11)/(1-Dashboard!$C$17)*((1+Dashboard!$C$12)^$CZ38),0)</f>
        <v>3612504.564892842</v>
      </c>
      <c r="FG38" s="126">
        <f ca="1">MAX(FG37*(1+BH38)-(Dashboard!$C$11)/(1-Dashboard!$C$17)*((1+Dashboard!$C$12)^$CZ38),0)</f>
        <v>1868016.2200413505</v>
      </c>
      <c r="FH38" s="126">
        <f ca="1">MAX(FH37*(1+BI38)-(Dashboard!$C$11)/(1-Dashboard!$C$17)*((1+Dashboard!$C$12)^$CZ38),0)</f>
        <v>3144872.7878773217</v>
      </c>
      <c r="FI38" s="126">
        <f ca="1">MAX(FI37*(1+BJ38)-(Dashboard!$C$11)/(1-Dashboard!$C$17)*((1+Dashboard!$C$12)^$CZ38),0)</f>
        <v>11466878.268537086</v>
      </c>
      <c r="FJ38" s="126">
        <f ca="1">MAX(FJ37*(1+BK38)-(Dashboard!$C$11)/(1-Dashboard!$C$17)*((1+Dashboard!$C$12)^$CZ38),0)</f>
        <v>1777617.0853976943</v>
      </c>
      <c r="FK38" s="126">
        <f ca="1">MAX(FK37*(1+BL38)-(Dashboard!$C$11)/(1-Dashboard!$C$17)*((1+Dashboard!$C$12)^$CZ38),0)</f>
        <v>3592138.6771660275</v>
      </c>
      <c r="FL38" s="126">
        <f ca="1">MAX(FL37*(1+BM38)-(Dashboard!$C$11)/(1-Dashboard!$C$17)*((1+Dashboard!$C$12)^$CZ38),0)</f>
        <v>1453694.4530103353</v>
      </c>
      <c r="FM38" s="126">
        <f ca="1">MAX(FM37*(1+BN38)-(Dashboard!$C$11)/(1-Dashboard!$C$17)*((1+Dashboard!$C$12)^$CZ38),0)</f>
        <v>4799178.1814672826</v>
      </c>
      <c r="FN38" s="126">
        <f ca="1">MAX(FN37*(1+BO38)-(Dashboard!$C$11)/(1-Dashboard!$C$17)*((1+Dashboard!$C$12)^$CZ38),0)</f>
        <v>0</v>
      </c>
      <c r="FO38" s="126">
        <f ca="1">MAX(FO37*(1+BP38)-(Dashboard!$C$11)/(1-Dashboard!$C$17)*((1+Dashboard!$C$12)^$CZ38),0)</f>
        <v>4305547.7497118125</v>
      </c>
      <c r="FP38" s="126">
        <f ca="1">MAX(FP37*(1+BQ38)-(Dashboard!$C$11)/(1-Dashboard!$C$17)*((1+Dashboard!$C$12)^$CZ38),0)</f>
        <v>2196114.5417834162</v>
      </c>
      <c r="FQ38" s="126">
        <f ca="1">MAX(FQ37*(1+BR38)-(Dashboard!$C$11)/(1-Dashboard!$C$17)*((1+Dashboard!$C$12)^$CZ38),0)</f>
        <v>1908877.9348374091</v>
      </c>
      <c r="FR38" s="126">
        <f ca="1">MAX(FR37*(1+BS38)-(Dashboard!$C$11)/(1-Dashboard!$C$17)*((1+Dashboard!$C$12)^$CZ38),0)</f>
        <v>9093157.7700191494</v>
      </c>
      <c r="FS38" s="126">
        <f ca="1">MAX(FS37*(1+BT38)-(Dashboard!$C$11)/(1-Dashboard!$C$17)*((1+Dashboard!$C$12)^$CZ38),0)</f>
        <v>7262300.4914193479</v>
      </c>
      <c r="FT38" s="126">
        <f ca="1">MAX(FT37*(1+BU38)-(Dashboard!$C$11)/(1-Dashboard!$C$17)*((1+Dashboard!$C$12)^$CZ38),0)</f>
        <v>72973.671815075708</v>
      </c>
      <c r="FU38" s="126">
        <f ca="1">MAX(FU37*(1+BV38)-(Dashboard!$C$11)/(1-Dashboard!$C$17)*((1+Dashboard!$C$12)^$CZ38),0)</f>
        <v>2020336.7092674158</v>
      </c>
      <c r="FV38" s="126">
        <f ca="1">MAX(FV37*(1+BW38)-(Dashboard!$C$11)/(1-Dashboard!$C$17)*((1+Dashboard!$C$12)^$CZ38),0)</f>
        <v>5012065.4097759286</v>
      </c>
      <c r="FW38" s="126">
        <f ca="1">MAX(FW37*(1+BX38)-(Dashboard!$C$11)/(1-Dashboard!$C$17)*((1+Dashboard!$C$12)^$CZ38),0)</f>
        <v>2023450.2560726593</v>
      </c>
      <c r="FX38" s="126">
        <f ca="1">MAX(FX37*(1+BY38)-(Dashboard!$C$11)/(1-Dashboard!$C$17)*((1+Dashboard!$C$12)^$CZ38),0)</f>
        <v>0</v>
      </c>
      <c r="FY38" s="126">
        <f ca="1">MAX(FY37*(1+BZ38)-(Dashboard!$C$11)/(1-Dashboard!$C$17)*((1+Dashboard!$C$12)^$CZ38),0)</f>
        <v>292303.31253449625</v>
      </c>
      <c r="FZ38" s="126">
        <f ca="1">MAX(FZ37*(1+CA38)-(Dashboard!$C$11)/(1-Dashboard!$C$17)*((1+Dashboard!$C$12)^$CZ38),0)</f>
        <v>15773018.086815136</v>
      </c>
      <c r="GA38" s="126">
        <f ca="1">MAX(GA37*(1+CB38)-(Dashboard!$C$11)/(1-Dashboard!$C$17)*((1+Dashboard!$C$12)^$CZ38),0)</f>
        <v>10562752.411181547</v>
      </c>
      <c r="GB38" s="126">
        <f ca="1">MAX(GB37*(1+CC38)-(Dashboard!$C$11)/(1-Dashboard!$C$17)*((1+Dashboard!$C$12)^$CZ38),0)</f>
        <v>2556041.8113661818</v>
      </c>
      <c r="GC38" s="126">
        <f ca="1">MAX(GC37*(1+CD38)-(Dashboard!$C$11)/(1-Dashboard!$C$17)*((1+Dashboard!$C$12)^$CZ38),0)</f>
        <v>7094677.9967380837</v>
      </c>
      <c r="GD38" s="126">
        <f ca="1">MAX(GD37*(1+CE38)-(Dashboard!$C$11)/(1-Dashboard!$C$17)*((1+Dashboard!$C$12)^$CZ38),0)</f>
        <v>41291597.415177211</v>
      </c>
      <c r="GE38" s="126">
        <f ca="1">MAX(GE37*(1+CF38)-(Dashboard!$C$11)/(1-Dashboard!$C$17)*((1+Dashboard!$C$12)^$CZ38),0)</f>
        <v>6012138.7758986615</v>
      </c>
      <c r="GF38" s="126">
        <f ca="1">MAX(GF37*(1+CG38)-(Dashboard!$C$11)/(1-Dashboard!$C$17)*((1+Dashboard!$C$12)^$CZ38),0)</f>
        <v>4481941.6156590693</v>
      </c>
      <c r="GG38" s="126">
        <f ca="1">MAX(GG37*(1+CH38)-(Dashboard!$C$11)/(1-Dashboard!$C$17)*((1+Dashboard!$C$12)^$CZ38),0)</f>
        <v>454910.08290960547</v>
      </c>
      <c r="GH38" s="126">
        <f ca="1">MAX(GH37*(1+CI38)-(Dashboard!$C$11)/(1-Dashboard!$C$17)*((1+Dashboard!$C$12)^$CZ38),0)</f>
        <v>1376580.3114277385</v>
      </c>
      <c r="GI38" s="126">
        <f ca="1">MAX(GI37*(1+CJ38)-(Dashboard!$C$11)/(1-Dashboard!$C$17)*((1+Dashboard!$C$12)^$CZ38),0)</f>
        <v>8635480.6154780835</v>
      </c>
      <c r="GJ38" s="126">
        <f ca="1">MAX(GJ37*(1+CK38)-(Dashboard!$C$11)/(1-Dashboard!$C$17)*((1+Dashboard!$C$12)^$CZ38),0)</f>
        <v>23555131.112666305</v>
      </c>
      <c r="GK38" s="126">
        <f ca="1">MAX(GK37*(1+CL38)-(Dashboard!$C$11)/(1-Dashboard!$C$17)*((1+Dashboard!$C$12)^$CZ38),0)</f>
        <v>3409563.2577126389</v>
      </c>
      <c r="GL38" s="126">
        <f ca="1">MAX(GL37*(1+CM38)-(Dashboard!$C$11)/(1-Dashboard!$C$17)*((1+Dashboard!$C$12)^$CZ38),0)</f>
        <v>8998250.246711053</v>
      </c>
      <c r="GM38" s="126">
        <f ca="1">MAX(GM37*(1+CN38)-(Dashboard!$C$11)/(1-Dashboard!$C$17)*((1+Dashboard!$C$12)^$CZ38),0)</f>
        <v>305883.8425308718</v>
      </c>
      <c r="GN38" s="126">
        <f ca="1">MAX(GN37*(1+CO38)-(Dashboard!$C$11)/(1-Dashboard!$C$17)*((1+Dashboard!$C$12)^$CZ38),0)</f>
        <v>0</v>
      </c>
      <c r="GO38" s="126">
        <f ca="1">MAX(GO37*(1+CP38)-(Dashboard!$C$11)/(1-Dashboard!$C$17)*((1+Dashboard!$C$12)^$CZ38),0)</f>
        <v>1992081.4761064912</v>
      </c>
      <c r="GP38" s="126">
        <f ca="1">MAX(GP37*(1+CQ38)-(Dashboard!$C$11)/(1-Dashboard!$C$17)*((1+Dashboard!$C$12)^$CZ38),0)</f>
        <v>6012277.933299493</v>
      </c>
      <c r="GQ38" s="126">
        <f ca="1">MAX(GQ37*(1+CR38)-(Dashboard!$C$11)/(1-Dashboard!$C$17)*((1+Dashboard!$C$12)^$CZ38),0)</f>
        <v>0</v>
      </c>
      <c r="GR38" s="126">
        <f ca="1">MAX(GR37*(1+CS38)-(Dashboard!$C$11)/(1-Dashboard!$C$17)*((1+Dashboard!$C$12)^$CZ38),0)</f>
        <v>1563284.8915602167</v>
      </c>
      <c r="GS38" s="126">
        <f ca="1">MAX(GS37*(1+CT38)-(Dashboard!$C$11)/(1-Dashboard!$C$17)*((1+Dashboard!$C$12)^$CZ38),0)</f>
        <v>8757760.3233180381</v>
      </c>
      <c r="GT38" s="126">
        <f ca="1">MAX(GT37*(1+CU38)-(Dashboard!$C$11)/(1-Dashboard!$C$17)*((1+Dashboard!$C$12)^$CZ38),0)</f>
        <v>18362918.244325723</v>
      </c>
      <c r="GU38" s="126">
        <f ca="1">MAX(GU37*(1+CV38)-(Dashboard!$C$11)/(1-Dashboard!$C$17)*((1+Dashboard!$C$12)^$CZ38),0)</f>
        <v>2450083.1029195781</v>
      </c>
      <c r="GV38" s="126">
        <f ca="1">MAX(GV37*(1+CW38)-(Dashboard!$C$11)/(1-Dashboard!$C$17)*((1+Dashboard!$C$12)^$CZ38),0)</f>
        <v>419114.39456817444</v>
      </c>
      <c r="GW38" s="115">
        <f t="shared" si="4"/>
        <v>87</v>
      </c>
      <c r="GX38" s="130">
        <f t="shared" ca="1" si="2"/>
        <v>91</v>
      </c>
      <c r="HC38" s="130">
        <f t="shared" si="7"/>
        <v>87</v>
      </c>
      <c r="HD38" s="137">
        <f t="shared" ca="1" si="6"/>
        <v>1395858.8468233878</v>
      </c>
      <c r="HE38" s="137">
        <f t="shared" ca="1" si="6"/>
        <v>3644543.1480142134</v>
      </c>
      <c r="HF38" s="137">
        <f t="shared" ca="1" si="6"/>
        <v>9069430.8891921248</v>
      </c>
    </row>
    <row r="39" spans="1:214" ht="16">
      <c r="A39" s="145">
        <f t="shared" si="3"/>
        <v>88</v>
      </c>
      <c r="B39" s="119">
        <f ca="1">(Dashboard!$C$7*'Equity and Bond Returns'!N39)+(Dashboard!$C$8*'Equity and Bond Returns'!DL39)</f>
        <v>0.15184476935411914</v>
      </c>
      <c r="C39" s="119">
        <f ca="1">(Dashboard!$C$7*'Equity and Bond Returns'!O39)+(Dashboard!$C$8*'Equity and Bond Returns'!DM39)</f>
        <v>0.25141780821488569</v>
      </c>
      <c r="D39" s="119">
        <f ca="1">(Dashboard!$C$7*'Equity and Bond Returns'!P39)+(Dashboard!$C$8*'Equity and Bond Returns'!DN39)</f>
        <v>3.5245607618734978E-2</v>
      </c>
      <c r="E39" s="119">
        <f ca="1">(Dashboard!$C$7*'Equity and Bond Returns'!Q39)+(Dashboard!$C$8*'Equity and Bond Returns'!DO39)</f>
        <v>0.32763622190973007</v>
      </c>
      <c r="F39" s="119">
        <f ca="1">(Dashboard!$C$7*'Equity and Bond Returns'!R39)+(Dashboard!$C$8*'Equity and Bond Returns'!DP39)</f>
        <v>-2.4561483688944195E-2</v>
      </c>
      <c r="G39" s="119">
        <f ca="1">(Dashboard!$C$7*'Equity and Bond Returns'!S39)+(Dashboard!$C$8*'Equity and Bond Returns'!DQ39)</f>
        <v>0.19903074486558475</v>
      </c>
      <c r="H39" s="119">
        <f ca="1">(Dashboard!$C$7*'Equity and Bond Returns'!T39)+(Dashboard!$C$8*'Equity and Bond Returns'!DR39)</f>
        <v>0.31199390437387908</v>
      </c>
      <c r="I39" s="119">
        <f ca="1">(Dashboard!$C$7*'Equity and Bond Returns'!U39)+(Dashboard!$C$8*'Equity and Bond Returns'!DS39)</f>
        <v>0.26863830428506025</v>
      </c>
      <c r="J39" s="119">
        <f ca="1">(Dashboard!$C$7*'Equity and Bond Returns'!V39)+(Dashboard!$C$8*'Equity and Bond Returns'!DT39)</f>
        <v>0.2977243974335852</v>
      </c>
      <c r="K39" s="119">
        <f ca="1">(Dashboard!$C$7*'Equity and Bond Returns'!W39)+(Dashboard!$C$8*'Equity and Bond Returns'!DU39)</f>
        <v>-0.14833011540522312</v>
      </c>
      <c r="L39" s="119">
        <f ca="1">(Dashboard!$C$7*'Equity and Bond Returns'!X39)+(Dashboard!$C$8*'Equity and Bond Returns'!DV39)</f>
        <v>-0.37942990275090138</v>
      </c>
      <c r="M39" s="119">
        <f ca="1">(Dashboard!$C$7*'Equity and Bond Returns'!Y39)+(Dashboard!$C$8*'Equity and Bond Returns'!DW39)</f>
        <v>0.20884262863389877</v>
      </c>
      <c r="N39" s="119">
        <f ca="1">(Dashboard!$C$7*'Equity and Bond Returns'!Z39)+(Dashboard!$C$8*'Equity and Bond Returns'!DX39)</f>
        <v>-0.10081998051307969</v>
      </c>
      <c r="O39" s="119">
        <f ca="1">(Dashboard!$C$7*'Equity and Bond Returns'!AA39)+(Dashboard!$C$8*'Equity and Bond Returns'!DY39)</f>
        <v>0.2367550494913489</v>
      </c>
      <c r="P39" s="119">
        <f ca="1">(Dashboard!$C$7*'Equity and Bond Returns'!AB39)+(Dashboard!$C$8*'Equity and Bond Returns'!DZ39)</f>
        <v>-3.6731670015260925E-2</v>
      </c>
      <c r="Q39" s="119">
        <f ca="1">(Dashboard!$C$7*'Equity and Bond Returns'!AC39)+(Dashboard!$C$8*'Equity and Bond Returns'!EA39)</f>
        <v>0.14259791496902843</v>
      </c>
      <c r="R39" s="119">
        <f ca="1">(Dashboard!$C$7*'Equity and Bond Returns'!AD39)+(Dashboard!$C$8*'Equity and Bond Returns'!EB39)</f>
        <v>-0.11298701234403928</v>
      </c>
      <c r="S39" s="119">
        <f ca="1">(Dashboard!$C$7*'Equity and Bond Returns'!AE39)+(Dashboard!$C$8*'Equity and Bond Returns'!EC39)</f>
        <v>-0.14374279235964837</v>
      </c>
      <c r="T39" s="119">
        <f ca="1">(Dashboard!$C$7*'Equity and Bond Returns'!AF39)+(Dashboard!$C$8*'Equity and Bond Returns'!ED39)</f>
        <v>0.13501909771501427</v>
      </c>
      <c r="U39" s="119">
        <f ca="1">(Dashboard!$C$7*'Equity and Bond Returns'!AG39)+(Dashboard!$C$8*'Equity and Bond Returns'!EE39)</f>
        <v>6.4547043637732893E-2</v>
      </c>
      <c r="V39" s="119">
        <f ca="1">(Dashboard!$C$7*'Equity and Bond Returns'!AH39)+(Dashboard!$C$8*'Equity and Bond Returns'!EF39)</f>
        <v>-0.20363172662272844</v>
      </c>
      <c r="W39" s="119">
        <f ca="1">(Dashboard!$C$7*'Equity and Bond Returns'!AI39)+(Dashboard!$C$8*'Equity and Bond Returns'!EG39)</f>
        <v>0.28460287058330125</v>
      </c>
      <c r="X39" s="119">
        <f ca="1">(Dashboard!$C$7*'Equity and Bond Returns'!AJ39)+(Dashboard!$C$8*'Equity and Bond Returns'!EH39)</f>
        <v>7.9446982009588815E-2</v>
      </c>
      <c r="Y39" s="119">
        <f ca="1">(Dashboard!$C$7*'Equity and Bond Returns'!AK39)+(Dashboard!$C$8*'Equity and Bond Returns'!EI39)</f>
        <v>-8.5621255269787699E-2</v>
      </c>
      <c r="Z39" s="119">
        <f ca="1">(Dashboard!$C$7*'Equity and Bond Returns'!AL39)+(Dashboard!$C$8*'Equity and Bond Returns'!EJ39)</f>
        <v>7.0147343040911872E-2</v>
      </c>
      <c r="AA39" s="119">
        <f ca="1">(Dashboard!$C$7*'Equity and Bond Returns'!AM39)+(Dashboard!$C$8*'Equity and Bond Returns'!EK39)</f>
        <v>-4.4806022777166374E-2</v>
      </c>
      <c r="AB39" s="119">
        <f ca="1">(Dashboard!$C$7*'Equity and Bond Returns'!AN39)+(Dashboard!$C$8*'Equity and Bond Returns'!EL39)</f>
        <v>0.1326375286355303</v>
      </c>
      <c r="AC39" s="119">
        <f ca="1">(Dashboard!$C$7*'Equity and Bond Returns'!AO39)+(Dashboard!$C$8*'Equity and Bond Returns'!EM39)</f>
        <v>0.11517031692187912</v>
      </c>
      <c r="AD39" s="119">
        <f ca="1">(Dashboard!$C$7*'Equity and Bond Returns'!AP39)+(Dashboard!$C$8*'Equity and Bond Returns'!EN39)</f>
        <v>0.24991386796533818</v>
      </c>
      <c r="AE39" s="119">
        <f ca="1">(Dashboard!$C$7*'Equity and Bond Returns'!AQ39)+(Dashboard!$C$8*'Equity and Bond Returns'!EO39)</f>
        <v>4.5509547279958096E-2</v>
      </c>
      <c r="AF39" s="119">
        <f ca="1">(Dashboard!$C$7*'Equity and Bond Returns'!AR39)+(Dashboard!$C$8*'Equity and Bond Returns'!EP39)</f>
        <v>9.7296325563000829E-2</v>
      </c>
      <c r="AG39" s="119">
        <f ca="1">(Dashboard!$C$7*'Equity and Bond Returns'!AS39)+(Dashboard!$C$8*'Equity and Bond Returns'!EQ39)</f>
        <v>-4.6716626858882976E-4</v>
      </c>
      <c r="AH39" s="119">
        <f ca="1">(Dashboard!$C$7*'Equity and Bond Returns'!AT39)+(Dashboard!$C$8*'Equity and Bond Returns'!ER39)</f>
        <v>9.5186732470512264E-2</v>
      </c>
      <c r="AI39" s="119">
        <f ca="1">(Dashboard!$C$7*'Equity and Bond Returns'!AU39)+(Dashboard!$C$8*'Equity and Bond Returns'!ES39)</f>
        <v>2.2828150884439284E-2</v>
      </c>
      <c r="AJ39" s="119">
        <f ca="1">(Dashboard!$C$7*'Equity and Bond Returns'!AV39)+(Dashboard!$C$8*'Equity and Bond Returns'!ET39)</f>
        <v>7.6306037050983294E-2</v>
      </c>
      <c r="AK39" s="119">
        <f ca="1">(Dashboard!$C$7*'Equity and Bond Returns'!AW39)+(Dashboard!$C$8*'Equity and Bond Returns'!EU39)</f>
        <v>0.29437881151977358</v>
      </c>
      <c r="AL39" s="119">
        <f ca="1">(Dashboard!$C$7*'Equity and Bond Returns'!AX39)+(Dashboard!$C$8*'Equity and Bond Returns'!EV39)</f>
        <v>-3.868626566398424E-2</v>
      </c>
      <c r="AM39" s="119">
        <f ca="1">(Dashboard!$C$7*'Equity and Bond Returns'!AY39)+(Dashboard!$C$8*'Equity and Bond Returns'!EW39)</f>
        <v>0.17579625489812351</v>
      </c>
      <c r="AN39" s="119">
        <f ca="1">(Dashboard!$C$7*'Equity and Bond Returns'!AZ39)+(Dashboard!$C$8*'Equity and Bond Returns'!EX39)</f>
        <v>0.15505673479947638</v>
      </c>
      <c r="AO39" s="119">
        <f ca="1">(Dashboard!$C$7*'Equity and Bond Returns'!BA39)+(Dashboard!$C$8*'Equity and Bond Returns'!EY39)</f>
        <v>-6.8834655546442247E-2</v>
      </c>
      <c r="AP39" s="119">
        <f ca="1">(Dashboard!$C$7*'Equity and Bond Returns'!BB39)+(Dashboard!$C$8*'Equity and Bond Returns'!EZ39)</f>
        <v>-1.4438877325401606E-2</v>
      </c>
      <c r="AQ39" s="119">
        <f ca="1">(Dashboard!$C$7*'Equity and Bond Returns'!BC39)+(Dashboard!$C$8*'Equity and Bond Returns'!FA39)</f>
        <v>0.13225536432817464</v>
      </c>
      <c r="AR39" s="119">
        <f ca="1">(Dashboard!$C$7*'Equity and Bond Returns'!BD39)+(Dashboard!$C$8*'Equity and Bond Returns'!FB39)</f>
        <v>1.9915247180662898E-2</v>
      </c>
      <c r="AS39" s="119">
        <f ca="1">(Dashboard!$C$7*'Equity and Bond Returns'!BE39)+(Dashboard!$C$8*'Equity and Bond Returns'!FC39)</f>
        <v>0.24988910556064198</v>
      </c>
      <c r="AT39" s="119">
        <f ca="1">(Dashboard!$C$7*'Equity and Bond Returns'!BF39)+(Dashboard!$C$8*'Equity and Bond Returns'!FD39)</f>
        <v>1.0697172108482932E-2</v>
      </c>
      <c r="AU39" s="119">
        <f ca="1">(Dashboard!$C$7*'Equity and Bond Returns'!BG39)+(Dashboard!$C$8*'Equity and Bond Returns'!FE39)</f>
        <v>-2.4386561619023823E-2</v>
      </c>
      <c r="AV39" s="119">
        <f ca="1">(Dashboard!$C$7*'Equity and Bond Returns'!BH39)+(Dashboard!$C$8*'Equity and Bond Returns'!FF39)</f>
        <v>0.1320627637652389</v>
      </c>
      <c r="AW39" s="119">
        <f ca="1">(Dashboard!$C$7*'Equity and Bond Returns'!BI39)+(Dashboard!$C$8*'Equity and Bond Returns'!FG39)</f>
        <v>0.17479336700635398</v>
      </c>
      <c r="AX39" s="119">
        <f ca="1">(Dashboard!$C$7*'Equity and Bond Returns'!BJ39)+(Dashboard!$C$8*'Equity and Bond Returns'!FH39)</f>
        <v>0.14800432599257018</v>
      </c>
      <c r="AY39" s="119">
        <f ca="1">(Dashboard!$C$7*'Equity and Bond Returns'!BK39)+(Dashboard!$C$8*'Equity and Bond Returns'!FI39)</f>
        <v>0.10029208248952201</v>
      </c>
      <c r="AZ39" s="119">
        <f ca="1">(Dashboard!$C$7*'Equity and Bond Returns'!BL39)+(Dashboard!$C$8*'Equity and Bond Returns'!FJ39)</f>
        <v>7.7919717620376389E-2</v>
      </c>
      <c r="BA39" s="119">
        <f ca="1">(Dashboard!$C$7*'Equity and Bond Returns'!BM39)+(Dashboard!$C$8*'Equity and Bond Returns'!FK39)</f>
        <v>-0.15116219642566076</v>
      </c>
      <c r="BB39" s="119">
        <f ca="1">(Dashboard!$C$7*'Equity and Bond Returns'!BN39)+(Dashboard!$C$8*'Equity and Bond Returns'!FL39)</f>
        <v>-0.16126058144304303</v>
      </c>
      <c r="BC39" s="119">
        <f ca="1">(Dashboard!$C$7*'Equity and Bond Returns'!BO39)+(Dashboard!$C$8*'Equity and Bond Returns'!FM39)</f>
        <v>0.12117066701371182</v>
      </c>
      <c r="BD39" s="119">
        <f ca="1">(Dashboard!$C$7*'Equity and Bond Returns'!BP39)+(Dashboard!$C$8*'Equity and Bond Returns'!FN39)</f>
        <v>-7.9504374281498119E-2</v>
      </c>
      <c r="BE39" s="119">
        <f ca="1">(Dashboard!$C$7*'Equity and Bond Returns'!BQ39)+(Dashboard!$C$8*'Equity and Bond Returns'!FO39)</f>
        <v>0.39494368806064845</v>
      </c>
      <c r="BF39" s="119">
        <f ca="1">(Dashboard!$C$7*'Equity and Bond Returns'!BR39)+(Dashboard!$C$8*'Equity and Bond Returns'!FP39)</f>
        <v>7.6285052605489637E-2</v>
      </c>
      <c r="BG39" s="119">
        <f ca="1">(Dashboard!$C$7*'Equity and Bond Returns'!BS39)+(Dashboard!$C$8*'Equity and Bond Returns'!FQ39)</f>
        <v>0.10847144230808616</v>
      </c>
      <c r="BH39" s="119">
        <f ca="1">(Dashboard!$C$7*'Equity and Bond Returns'!BT39)+(Dashboard!$C$8*'Equity and Bond Returns'!FR39)</f>
        <v>-0.13331150902348013</v>
      </c>
      <c r="BI39" s="119">
        <f ca="1">(Dashboard!$C$7*'Equity and Bond Returns'!BU39)+(Dashboard!$C$8*'Equity and Bond Returns'!FS39)</f>
        <v>0.14599710999266863</v>
      </c>
      <c r="BJ39" s="119">
        <f ca="1">(Dashboard!$C$7*'Equity and Bond Returns'!BV39)+(Dashboard!$C$8*'Equity and Bond Returns'!FT39)</f>
        <v>-6.6789761915418244E-2</v>
      </c>
      <c r="BK39" s="119">
        <f ca="1">(Dashboard!$C$7*'Equity and Bond Returns'!BW39)+(Dashboard!$C$8*'Equity and Bond Returns'!FU39)</f>
        <v>0.34844699533801665</v>
      </c>
      <c r="BL39" s="119">
        <f ca="1">(Dashboard!$C$7*'Equity and Bond Returns'!BX39)+(Dashboard!$C$8*'Equity and Bond Returns'!FV39)</f>
        <v>-0.17825815378256021</v>
      </c>
      <c r="BM39" s="119">
        <f ca="1">(Dashboard!$C$7*'Equity and Bond Returns'!BY39)+(Dashboard!$C$8*'Equity and Bond Returns'!FW39)</f>
        <v>7.0862100471621461E-2</v>
      </c>
      <c r="BN39" s="119">
        <f ca="1">(Dashboard!$C$7*'Equity and Bond Returns'!BZ39)+(Dashboard!$C$8*'Equity and Bond Returns'!FX39)</f>
        <v>-0.21990729606813439</v>
      </c>
      <c r="BO39" s="119">
        <f ca="1">(Dashboard!$C$7*'Equity and Bond Returns'!CA39)+(Dashboard!$C$8*'Equity and Bond Returns'!FY39)</f>
        <v>0.36141500467281718</v>
      </c>
      <c r="BP39" s="119">
        <f ca="1">(Dashboard!$C$7*'Equity and Bond Returns'!CB39)+(Dashboard!$C$8*'Equity and Bond Returns'!FZ39)</f>
        <v>2.6943190633220863E-2</v>
      </c>
      <c r="BQ39" s="119">
        <f ca="1">(Dashboard!$C$7*'Equity and Bond Returns'!CC39)+(Dashboard!$C$8*'Equity and Bond Returns'!GA39)</f>
        <v>0.14712253210210263</v>
      </c>
      <c r="BR39" s="119">
        <f ca="1">(Dashboard!$C$7*'Equity and Bond Returns'!CD39)+(Dashboard!$C$8*'Equity and Bond Returns'!GB39)</f>
        <v>-0.14794619979771734</v>
      </c>
      <c r="BS39" s="119">
        <f ca="1">(Dashboard!$C$7*'Equity and Bond Returns'!CE39)+(Dashboard!$C$8*'Equity and Bond Returns'!GC39)</f>
        <v>-2.2365218096162761E-2</v>
      </c>
      <c r="BT39" s="119">
        <f ca="1">(Dashboard!$C$7*'Equity and Bond Returns'!CF39)+(Dashboard!$C$8*'Equity and Bond Returns'!GD39)</f>
        <v>0.12072746320726369</v>
      </c>
      <c r="BU39" s="119">
        <f ca="1">(Dashboard!$C$7*'Equity and Bond Returns'!CG39)+(Dashboard!$C$8*'Equity and Bond Returns'!GE39)</f>
        <v>9.6770219169554167E-2</v>
      </c>
      <c r="BV39" s="119">
        <f ca="1">(Dashboard!$C$7*'Equity and Bond Returns'!CH39)+(Dashboard!$C$8*'Equity and Bond Returns'!GF39)</f>
        <v>-0.12091518280463426</v>
      </c>
      <c r="BW39" s="119">
        <f ca="1">(Dashboard!$C$7*'Equity and Bond Returns'!CI39)+(Dashboard!$C$8*'Equity and Bond Returns'!GG39)</f>
        <v>-6.127161794668564E-2</v>
      </c>
      <c r="BX39" s="119">
        <f ca="1">(Dashboard!$C$7*'Equity and Bond Returns'!CJ39)+(Dashboard!$C$8*'Equity and Bond Returns'!GH39)</f>
        <v>0.17776006414938555</v>
      </c>
      <c r="BY39" s="119">
        <f ca="1">(Dashboard!$C$7*'Equity and Bond Returns'!CK39)+(Dashboard!$C$8*'Equity and Bond Returns'!GI39)</f>
        <v>-7.1830025049384669E-2</v>
      </c>
      <c r="BZ39" s="119">
        <f ca="1">(Dashboard!$C$7*'Equity and Bond Returns'!CL39)+(Dashboard!$C$8*'Equity and Bond Returns'!GJ39)</f>
        <v>0.1264950795272336</v>
      </c>
      <c r="CA39" s="119">
        <f ca="1">(Dashboard!$C$7*'Equity and Bond Returns'!CM39)+(Dashboard!$C$8*'Equity and Bond Returns'!GK39)</f>
        <v>0.15990238985647767</v>
      </c>
      <c r="CB39" s="119">
        <f ca="1">(Dashboard!$C$7*'Equity and Bond Returns'!CN39)+(Dashboard!$C$8*'Equity and Bond Returns'!GL39)</f>
        <v>6.4230566642431638E-3</v>
      </c>
      <c r="CC39" s="119">
        <f ca="1">(Dashboard!$C$7*'Equity and Bond Returns'!CO39)+(Dashboard!$C$8*'Equity and Bond Returns'!GM39)</f>
        <v>0.15281344358619303</v>
      </c>
      <c r="CD39" s="119">
        <f ca="1">(Dashboard!$C$7*'Equity and Bond Returns'!CP39)+(Dashboard!$C$8*'Equity and Bond Returns'!GN39)</f>
        <v>9.5570731725657304E-2</v>
      </c>
      <c r="CE39" s="119">
        <f ca="1">(Dashboard!$C$7*'Equity and Bond Returns'!CQ39)+(Dashboard!$C$8*'Equity and Bond Returns'!GO39)</f>
        <v>-0.12546051078406234</v>
      </c>
      <c r="CF39" s="119">
        <f ca="1">(Dashboard!$C$7*'Equity and Bond Returns'!CR39)+(Dashboard!$C$8*'Equity and Bond Returns'!GP39)</f>
        <v>-5.704225696058416E-2</v>
      </c>
      <c r="CG39" s="119">
        <f ca="1">(Dashboard!$C$7*'Equity and Bond Returns'!CS39)+(Dashboard!$C$8*'Equity and Bond Returns'!GQ39)</f>
        <v>-8.1858145392113002E-2</v>
      </c>
      <c r="CH39" s="119">
        <f ca="1">(Dashboard!$C$7*'Equity and Bond Returns'!CT39)+(Dashboard!$C$8*'Equity and Bond Returns'!GR39)</f>
        <v>0.15057286539517784</v>
      </c>
      <c r="CI39" s="119">
        <f ca="1">(Dashboard!$C$7*'Equity and Bond Returns'!CU39)+(Dashboard!$C$8*'Equity and Bond Returns'!GS39)</f>
        <v>5.5831536461953352E-2</v>
      </c>
      <c r="CJ39" s="119">
        <f ca="1">(Dashboard!$C$7*'Equity and Bond Returns'!CV39)+(Dashboard!$C$8*'Equity and Bond Returns'!GT39)</f>
        <v>5.6567374947091964E-2</v>
      </c>
      <c r="CK39" s="119">
        <f ca="1">(Dashboard!$C$7*'Equity and Bond Returns'!CW39)+(Dashboard!$C$8*'Equity and Bond Returns'!GU39)</f>
        <v>2.9849541540130392E-2</v>
      </c>
      <c r="CL39" s="119">
        <f ca="1">(Dashboard!$C$7*'Equity and Bond Returns'!CX39)+(Dashboard!$C$8*'Equity and Bond Returns'!GV39)</f>
        <v>0.20415517392722601</v>
      </c>
      <c r="CM39" s="119">
        <f ca="1">(Dashboard!$C$7*'Equity and Bond Returns'!CY39)+(Dashboard!$C$8*'Equity and Bond Returns'!GW39)</f>
        <v>0.2290229267763047</v>
      </c>
      <c r="CN39" s="119">
        <f ca="1">(Dashboard!$C$7*'Equity and Bond Returns'!CZ39)+(Dashboard!$C$8*'Equity and Bond Returns'!GX39)</f>
        <v>7.730827414168491E-2</v>
      </c>
      <c r="CO39" s="119">
        <f ca="1">(Dashboard!$C$7*'Equity and Bond Returns'!DA39)+(Dashboard!$C$8*'Equity and Bond Returns'!GY39)</f>
        <v>2.4455214184851928E-2</v>
      </c>
      <c r="CP39" s="119">
        <f ca="1">(Dashboard!$C$7*'Equity and Bond Returns'!DB39)+(Dashboard!$C$8*'Equity and Bond Returns'!GZ39)</f>
        <v>0.30958497510402833</v>
      </c>
      <c r="CQ39" s="119">
        <f ca="1">(Dashboard!$C$7*'Equity and Bond Returns'!DC39)+(Dashboard!$C$8*'Equity and Bond Returns'!HA39)</f>
        <v>0.16961615525706467</v>
      </c>
      <c r="CR39" s="119">
        <f ca="1">(Dashboard!$C$7*'Equity and Bond Returns'!DD39)+(Dashboard!$C$8*'Equity and Bond Returns'!HB39)</f>
        <v>0.19451220702416885</v>
      </c>
      <c r="CS39" s="119">
        <f ca="1">(Dashboard!$C$7*'Equity and Bond Returns'!DE39)+(Dashboard!$C$8*'Equity and Bond Returns'!HC39)</f>
        <v>0.34623854440121327</v>
      </c>
      <c r="CT39" s="119">
        <f ca="1">(Dashboard!$C$7*'Equity and Bond Returns'!DF39)+(Dashboard!$C$8*'Equity and Bond Returns'!HD39)</f>
        <v>8.5612475049318931E-2</v>
      </c>
      <c r="CU39" s="119">
        <f ca="1">(Dashboard!$C$7*'Equity and Bond Returns'!DG39)+(Dashboard!$C$8*'Equity and Bond Returns'!HE39)</f>
        <v>0.2930131616880941</v>
      </c>
      <c r="CV39" s="119">
        <f ca="1">(Dashboard!$C$7*'Equity and Bond Returns'!DH39)+(Dashboard!$C$8*'Equity and Bond Returns'!HF39)</f>
        <v>0.25413425569128029</v>
      </c>
      <c r="CW39" s="119">
        <f ca="1">(Dashboard!$C$7*'Equity and Bond Returns'!DI39)+(Dashboard!$C$8*'Equity and Bond Returns'!HG39)</f>
        <v>0.15311833570338867</v>
      </c>
      <c r="CY39" s="147">
        <f t="shared" si="5"/>
        <v>88</v>
      </c>
      <c r="CZ39" s="147">
        <v>38</v>
      </c>
      <c r="DA39" s="126">
        <f ca="1">MAX(DA38*(1+B39)-(Dashboard!$C$11)/(1-Dashboard!$C$17)*((1+Dashboard!$C$12)^$CZ39),0)</f>
        <v>28538005.460557759</v>
      </c>
      <c r="DB39" s="126">
        <f ca="1">MAX(DB38*(1+C39)-(Dashboard!$C$11)/(1-Dashboard!$C$17)*((1+Dashboard!$C$12)^$CZ39),0)</f>
        <v>0</v>
      </c>
      <c r="DC39" s="126">
        <f ca="1">MAX(DC38*(1+D39)-(Dashboard!$C$11)/(1-Dashboard!$C$17)*((1+Dashboard!$C$12)^$CZ39),0)</f>
        <v>3742747.6789719774</v>
      </c>
      <c r="DD39" s="126">
        <f ca="1">MAX(DD38*(1+E39)-(Dashboard!$C$11)/(1-Dashboard!$C$17)*((1+Dashboard!$C$12)^$CZ39),0)</f>
        <v>224845.88343384798</v>
      </c>
      <c r="DE39" s="126">
        <f ca="1">MAX(DE38*(1+F39)-(Dashboard!$C$11)/(1-Dashboard!$C$17)*((1+Dashboard!$C$12)^$CZ39),0)</f>
        <v>5371275.7608303791</v>
      </c>
      <c r="DF39" s="126">
        <f ca="1">MAX(DF38*(1+G39)-(Dashboard!$C$11)/(1-Dashboard!$C$17)*((1+Dashboard!$C$12)^$CZ39),0)</f>
        <v>12788781.441502644</v>
      </c>
      <c r="DG39" s="126">
        <f ca="1">MAX(DG38*(1+H39)-(Dashboard!$C$11)/(1-Dashboard!$C$17)*((1+Dashboard!$C$12)^$CZ39),0)</f>
        <v>0</v>
      </c>
      <c r="DH39" s="126">
        <f ca="1">MAX(DH38*(1+I39)-(Dashboard!$C$11)/(1-Dashboard!$C$17)*((1+Dashboard!$C$12)^$CZ39),0)</f>
        <v>22839385.667441014</v>
      </c>
      <c r="DI39" s="126">
        <f ca="1">MAX(DI38*(1+J39)-(Dashboard!$C$11)/(1-Dashboard!$C$17)*((1+Dashboard!$C$12)^$CZ39),0)</f>
        <v>3580731.6167306174</v>
      </c>
      <c r="DJ39" s="126">
        <f ca="1">MAX(DJ38*(1+K39)-(Dashboard!$C$11)/(1-Dashboard!$C$17)*((1+Dashboard!$C$12)^$CZ39),0)</f>
        <v>7708496.1433139518</v>
      </c>
      <c r="DK39" s="126">
        <f ca="1">MAX(DK38*(1+L39)-(Dashboard!$C$11)/(1-Dashboard!$C$17)*((1+Dashboard!$C$12)^$CZ39),0)</f>
        <v>6986479.0633806121</v>
      </c>
      <c r="DL39" s="126">
        <f ca="1">MAX(DL38*(1+M39)-(Dashboard!$C$11)/(1-Dashboard!$C$17)*((1+Dashboard!$C$12)^$CZ39),0)</f>
        <v>695472.37836659467</v>
      </c>
      <c r="DM39" s="126">
        <f ca="1">MAX(DM38*(1+N39)-(Dashboard!$C$11)/(1-Dashboard!$C$17)*((1+Dashboard!$C$12)^$CZ39),0)</f>
        <v>8723876.9248713851</v>
      </c>
      <c r="DN39" s="126">
        <f ca="1">MAX(DN38*(1+O39)-(Dashboard!$C$11)/(1-Dashboard!$C$17)*((1+Dashboard!$C$12)^$CZ39),0)</f>
        <v>57475617.918115526</v>
      </c>
      <c r="DO39" s="126">
        <f ca="1">MAX(DO38*(1+P39)-(Dashboard!$C$11)/(1-Dashboard!$C$17)*((1+Dashboard!$C$12)^$CZ39),0)</f>
        <v>2635908.167632007</v>
      </c>
      <c r="DP39" s="126">
        <f ca="1">MAX(DP38*(1+Q39)-(Dashboard!$C$11)/(1-Dashboard!$C$17)*((1+Dashboard!$C$12)^$CZ39),0)</f>
        <v>1375638.9560918394</v>
      </c>
      <c r="DQ39" s="126">
        <f ca="1">MAX(DQ38*(1+R39)-(Dashboard!$C$11)/(1-Dashboard!$C$17)*((1+Dashboard!$C$12)^$CZ39),0)</f>
        <v>5289614.3992621563</v>
      </c>
      <c r="DR39" s="126">
        <f ca="1">MAX(DR38*(1+S39)-(Dashboard!$C$11)/(1-Dashboard!$C$17)*((1+Dashboard!$C$12)^$CZ39),0)</f>
        <v>8372750.9969926793</v>
      </c>
      <c r="DS39" s="126">
        <f ca="1">MAX(DS38*(1+T39)-(Dashboard!$C$11)/(1-Dashboard!$C$17)*((1+Dashboard!$C$12)^$CZ39),0)</f>
        <v>0</v>
      </c>
      <c r="DT39" s="126">
        <f ca="1">MAX(DT38*(1+U39)-(Dashboard!$C$11)/(1-Dashboard!$C$17)*((1+Dashboard!$C$12)^$CZ39),0)</f>
        <v>789438.64517058409</v>
      </c>
      <c r="DU39" s="126">
        <f ca="1">MAX(DU38*(1+V39)-(Dashboard!$C$11)/(1-Dashboard!$C$17)*((1+Dashboard!$C$12)^$CZ39),0)</f>
        <v>3854452.9186909939</v>
      </c>
      <c r="DV39" s="126">
        <f ca="1">MAX(DV38*(1+W39)-(Dashboard!$C$11)/(1-Dashboard!$C$17)*((1+Dashboard!$C$12)^$CZ39),0)</f>
        <v>37481778.024331354</v>
      </c>
      <c r="DW39" s="126">
        <f ca="1">MAX(DW38*(1+X39)-(Dashboard!$C$11)/(1-Dashboard!$C$17)*((1+Dashboard!$C$12)^$CZ39),0)</f>
        <v>3366374.5632956522</v>
      </c>
      <c r="DX39" s="126">
        <f ca="1">MAX(DX38*(1+Y39)-(Dashboard!$C$11)/(1-Dashboard!$C$17)*((1+Dashboard!$C$12)^$CZ39),0)</f>
        <v>1574080.0447929106</v>
      </c>
      <c r="DY39" s="126">
        <f ca="1">MAX(DY38*(1+Z39)-(Dashboard!$C$11)/(1-Dashboard!$C$17)*((1+Dashboard!$C$12)^$CZ39),0)</f>
        <v>11886658.390115431</v>
      </c>
      <c r="DZ39" s="126">
        <f ca="1">MAX(DZ38*(1+AA39)-(Dashboard!$C$11)/(1-Dashboard!$C$17)*((1+Dashboard!$C$12)^$CZ39),0)</f>
        <v>5298619.1185962558</v>
      </c>
      <c r="EA39" s="126">
        <f ca="1">MAX(EA38*(1+AB39)-(Dashboard!$C$11)/(1-Dashboard!$C$17)*((1+Dashboard!$C$12)^$CZ39),0)</f>
        <v>2558716.0232149339</v>
      </c>
      <c r="EB39" s="126">
        <f ca="1">MAX(EB38*(1+AC39)-(Dashboard!$C$11)/(1-Dashboard!$C$17)*((1+Dashboard!$C$12)^$CZ39),0)</f>
        <v>5532277.8933490589</v>
      </c>
      <c r="EC39" s="126">
        <f ca="1">MAX(EC38*(1+AD39)-(Dashboard!$C$11)/(1-Dashboard!$C$17)*((1+Dashboard!$C$12)^$CZ39),0)</f>
        <v>6921678.18588454</v>
      </c>
      <c r="ED39" s="126">
        <f ca="1">MAX(ED38*(1+AE39)-(Dashboard!$C$11)/(1-Dashboard!$C$17)*((1+Dashboard!$C$12)^$CZ39),0)</f>
        <v>3967164.1152010965</v>
      </c>
      <c r="EE39" s="126">
        <f ca="1">MAX(EE38*(1+AF39)-(Dashboard!$C$11)/(1-Dashboard!$C$17)*((1+Dashboard!$C$12)^$CZ39),0)</f>
        <v>20606029.263110772</v>
      </c>
      <c r="EF39" s="126">
        <f ca="1">MAX(EF38*(1+AG39)-(Dashboard!$C$11)/(1-Dashboard!$C$17)*((1+Dashboard!$C$12)^$CZ39),0)</f>
        <v>173232.67890878368</v>
      </c>
      <c r="EG39" s="126">
        <f ca="1">MAX(EG38*(1+AH39)-(Dashboard!$C$11)/(1-Dashboard!$C$17)*((1+Dashboard!$C$12)^$CZ39),0)</f>
        <v>7092113.1316492343</v>
      </c>
      <c r="EH39" s="126">
        <f ca="1">MAX(EH38*(1+AI39)-(Dashboard!$C$11)/(1-Dashboard!$C$17)*((1+Dashboard!$C$12)^$CZ39),0)</f>
        <v>13191654.485847944</v>
      </c>
      <c r="EI39" s="126">
        <f ca="1">MAX(EI38*(1+AJ39)-(Dashboard!$C$11)/(1-Dashboard!$C$17)*((1+Dashboard!$C$12)^$CZ39),0)</f>
        <v>0</v>
      </c>
      <c r="EJ39" s="126">
        <f ca="1">MAX(EJ38*(1+AK39)-(Dashboard!$C$11)/(1-Dashboard!$C$17)*((1+Dashboard!$C$12)^$CZ39),0)</f>
        <v>6258074.4525217908</v>
      </c>
      <c r="EK39" s="126">
        <f ca="1">MAX(EK38*(1+AL39)-(Dashboard!$C$11)/(1-Dashboard!$C$17)*((1+Dashboard!$C$12)^$CZ39),0)</f>
        <v>4024836.1588699417</v>
      </c>
      <c r="EL39" s="126">
        <f ca="1">MAX(EL38*(1+AM39)-(Dashboard!$C$11)/(1-Dashboard!$C$17)*((1+Dashboard!$C$12)^$CZ39),0)</f>
        <v>1324449.2582239278</v>
      </c>
      <c r="EM39" s="126">
        <f ca="1">MAX(EM38*(1+AN39)-(Dashboard!$C$11)/(1-Dashboard!$C$17)*((1+Dashboard!$C$12)^$CZ39),0)</f>
        <v>16216391.410375036</v>
      </c>
      <c r="EN39" s="126">
        <f ca="1">MAX(EN38*(1+AO39)-(Dashboard!$C$11)/(1-Dashboard!$C$17)*((1+Dashboard!$C$12)^$CZ39),0)</f>
        <v>2562538.689923909</v>
      </c>
      <c r="EO39" s="126">
        <f ca="1">MAX(EO38*(1+AP39)-(Dashboard!$C$11)/(1-Dashboard!$C$17)*((1+Dashboard!$C$12)^$CZ39),0)</f>
        <v>0</v>
      </c>
      <c r="EP39" s="126">
        <f ca="1">MAX(EP38*(1+AQ39)-(Dashboard!$C$11)/(1-Dashboard!$C$17)*((1+Dashboard!$C$12)^$CZ39),0)</f>
        <v>3843067.4642921165</v>
      </c>
      <c r="EQ39" s="126">
        <f ca="1">MAX(EQ38*(1+AR39)-(Dashboard!$C$11)/(1-Dashboard!$C$17)*((1+Dashboard!$C$12)^$CZ39),0)</f>
        <v>3847125.1402583197</v>
      </c>
      <c r="ER39" s="126">
        <f ca="1">MAX(ER38*(1+AS39)-(Dashboard!$C$11)/(1-Dashboard!$C$17)*((1+Dashboard!$C$12)^$CZ39),0)</f>
        <v>0</v>
      </c>
      <c r="ES39" s="126">
        <f ca="1">MAX(ES38*(1+AT39)-(Dashboard!$C$11)/(1-Dashboard!$C$17)*((1+Dashboard!$C$12)^$CZ39),0)</f>
        <v>20628199.689715032</v>
      </c>
      <c r="ET39" s="126">
        <f ca="1">MAX(ET38*(1+AU39)-(Dashboard!$C$11)/(1-Dashboard!$C$17)*((1+Dashboard!$C$12)^$CZ39),0)</f>
        <v>5266258.306578449</v>
      </c>
      <c r="EU39" s="126">
        <f ca="1">MAX(EU38*(1+AV39)-(Dashboard!$C$11)/(1-Dashboard!$C$17)*((1+Dashboard!$C$12)^$CZ39),0)</f>
        <v>3594024.0602754997</v>
      </c>
      <c r="EV39" s="126">
        <f ca="1">MAX(EV38*(1+AW39)-(Dashboard!$C$11)/(1-Dashboard!$C$17)*((1+Dashboard!$C$12)^$CZ39),0)</f>
        <v>55361801.563468844</v>
      </c>
      <c r="EW39" s="126">
        <f ca="1">MAX(EW38*(1+AX39)-(Dashboard!$C$11)/(1-Dashboard!$C$17)*((1+Dashboard!$C$12)^$CZ39),0)</f>
        <v>1469990.3315702984</v>
      </c>
      <c r="EX39" s="126">
        <f ca="1">MAX(EX38*(1+AY39)-(Dashboard!$C$11)/(1-Dashboard!$C$17)*((1+Dashboard!$C$12)^$CZ39),0)</f>
        <v>3796551.4094226584</v>
      </c>
      <c r="EY39" s="126">
        <f ca="1">MAX(EY38*(1+AZ39)-(Dashboard!$C$11)/(1-Dashboard!$C$17)*((1+Dashboard!$C$12)^$CZ39),0)</f>
        <v>16593936.018803051</v>
      </c>
      <c r="EZ39" s="126">
        <f ca="1">MAX(EZ38*(1+BA39)-(Dashboard!$C$11)/(1-Dashboard!$C$17)*((1+Dashboard!$C$12)^$CZ39),0)</f>
        <v>2201958.6344680991</v>
      </c>
      <c r="FA39" s="126">
        <f ca="1">MAX(FA38*(1+BB39)-(Dashboard!$C$11)/(1-Dashboard!$C$17)*((1+Dashboard!$C$12)^$CZ39),0)</f>
        <v>16134634.799887219</v>
      </c>
      <c r="FB39" s="126">
        <f ca="1">MAX(FB38*(1+BC39)-(Dashboard!$C$11)/(1-Dashboard!$C$17)*((1+Dashboard!$C$12)^$CZ39),0)</f>
        <v>870487.30335848499</v>
      </c>
      <c r="FC39" s="126">
        <f ca="1">MAX(FC38*(1+BD39)-(Dashboard!$C$11)/(1-Dashboard!$C$17)*((1+Dashboard!$C$12)^$CZ39),0)</f>
        <v>5111759.5385665298</v>
      </c>
      <c r="FD39" s="126">
        <f ca="1">MAX(FD38*(1+BE39)-(Dashboard!$C$11)/(1-Dashboard!$C$17)*((1+Dashboard!$C$12)^$CZ39),0)</f>
        <v>21622806.989657816</v>
      </c>
      <c r="FE39" s="126">
        <f ca="1">MAX(FE38*(1+BF39)-(Dashboard!$C$11)/(1-Dashboard!$C$17)*((1+Dashboard!$C$12)^$CZ39),0)</f>
        <v>15537459.40048242</v>
      </c>
      <c r="FF39" s="126">
        <f ca="1">MAX(FF38*(1+BG39)-(Dashboard!$C$11)/(1-Dashboard!$C$17)*((1+Dashboard!$C$12)^$CZ39),0)</f>
        <v>3940940.7361538918</v>
      </c>
      <c r="FG39" s="126">
        <f ca="1">MAX(FG38*(1+BH39)-(Dashboard!$C$11)/(1-Dashboard!$C$17)*((1+Dashboard!$C$12)^$CZ39),0)</f>
        <v>1555570.7496298789</v>
      </c>
      <c r="FH39" s="126">
        <f ca="1">MAX(FH38*(1+BI39)-(Dashboard!$C$11)/(1-Dashboard!$C$17)*((1+Dashboard!$C$12)^$CZ39),0)</f>
        <v>3540597.7169645755</v>
      </c>
      <c r="FI39" s="126">
        <f ca="1">MAX(FI38*(1+BJ39)-(Dashboard!$C$11)/(1-Dashboard!$C$17)*((1+Dashboard!$C$12)^$CZ39),0)</f>
        <v>10637590.789830988</v>
      </c>
      <c r="FJ39" s="126">
        <f ca="1">MAX(FJ38*(1+BK39)-(Dashboard!$C$11)/(1-Dashboard!$C$17)*((1+Dashboard!$C$12)^$CZ39),0)</f>
        <v>2333605.0084286216</v>
      </c>
      <c r="FK39" s="126">
        <f ca="1">MAX(FK38*(1+BL39)-(Dashboard!$C$11)/(1-Dashboard!$C$17)*((1+Dashboard!$C$12)^$CZ39),0)</f>
        <v>2888393.2592060613</v>
      </c>
      <c r="FL39" s="126">
        <f ca="1">MAX(FL38*(1+BM39)-(Dashboard!$C$11)/(1-Dashboard!$C$17)*((1+Dashboard!$C$12)^$CZ39),0)</f>
        <v>1493288.8861571706</v>
      </c>
      <c r="FM39" s="126">
        <f ca="1">MAX(FM38*(1+BN39)-(Dashboard!$C$11)/(1-Dashboard!$C$17)*((1+Dashboard!$C$12)^$CZ39),0)</f>
        <v>3680386.474994204</v>
      </c>
      <c r="FN39" s="126">
        <f ca="1">MAX(FN38*(1+BO39)-(Dashboard!$C$11)/(1-Dashboard!$C$17)*((1+Dashboard!$C$12)^$CZ39),0)</f>
        <v>0</v>
      </c>
      <c r="FO39" s="126">
        <f ca="1">MAX(FO38*(1+BP39)-(Dashboard!$C$11)/(1-Dashboard!$C$17)*((1+Dashboard!$C$12)^$CZ39),0)</f>
        <v>4358135.534275311</v>
      </c>
      <c r="FP39" s="126">
        <f ca="1">MAX(FP38*(1+BQ39)-(Dashboard!$C$11)/(1-Dashboard!$C$17)*((1+Dashboard!$C$12)^$CZ39),0)</f>
        <v>2455795.064719419</v>
      </c>
      <c r="FQ39" s="126">
        <f ca="1">MAX(FQ38*(1+BR39)-(Dashboard!$C$11)/(1-Dashboard!$C$17)*((1+Dashboard!$C$12)^$CZ39),0)</f>
        <v>1563049.2892630778</v>
      </c>
      <c r="FR39" s="126">
        <f ca="1">MAX(FR38*(1+BS39)-(Dashboard!$C$11)/(1-Dashboard!$C$17)*((1+Dashboard!$C$12)^$CZ39),0)</f>
        <v>8826369.9040724318</v>
      </c>
      <c r="FS39" s="126">
        <f ca="1">MAX(FS38*(1+BT39)-(Dashboard!$C$11)/(1-Dashboard!$C$17)*((1+Dashboard!$C$12)^$CZ39),0)</f>
        <v>8075642.1975598484</v>
      </c>
      <c r="FT39" s="126">
        <f ca="1">MAX(FT38*(1+BU39)-(Dashboard!$C$11)/(1-Dashboard!$C$17)*((1+Dashboard!$C$12)^$CZ39),0)</f>
        <v>16617.940792805821</v>
      </c>
      <c r="FU39" s="126">
        <f ca="1">MAX(FU38*(1+BV39)-(Dashboard!$C$11)/(1-Dashboard!$C$17)*((1+Dashboard!$C$12)^$CZ39),0)</f>
        <v>1712629.9175020114</v>
      </c>
      <c r="FV39" s="126">
        <f ca="1">MAX(FV38*(1+BW39)-(Dashboard!$C$11)/(1-Dashboard!$C$17)*((1+Dashboard!$C$12)^$CZ39),0)</f>
        <v>4641550.6436269172</v>
      </c>
      <c r="FW39" s="126">
        <f ca="1">MAX(FW38*(1+BX39)-(Dashboard!$C$11)/(1-Dashboard!$C$17)*((1+Dashboard!$C$12)^$CZ39),0)</f>
        <v>2319721.4941578037</v>
      </c>
      <c r="FX39" s="126">
        <f ca="1">MAX(FX38*(1+BY39)-(Dashboard!$C$11)/(1-Dashboard!$C$17)*((1+Dashboard!$C$12)^$CZ39),0)</f>
        <v>0</v>
      </c>
      <c r="FY39" s="126">
        <f ca="1">MAX(FY38*(1+BZ39)-(Dashboard!$C$11)/(1-Dashboard!$C$17)*((1+Dashboard!$C$12)^$CZ39),0)</f>
        <v>265860.83406219928</v>
      </c>
      <c r="FZ39" s="126">
        <f ca="1">MAX(FZ38*(1+CA39)-(Dashboard!$C$11)/(1-Dashboard!$C$17)*((1+Dashboard!$C$12)^$CZ39),0)</f>
        <v>18231743.964908902</v>
      </c>
      <c r="GA39" s="126">
        <f ca="1">MAX(GA38*(1+CB39)-(Dashboard!$C$11)/(1-Dashboard!$C$17)*((1+Dashboard!$C$12)^$CZ39),0)</f>
        <v>10567180.159211515</v>
      </c>
      <c r="GB39" s="126">
        <f ca="1">MAX(GB38*(1+CC39)-(Dashboard!$C$11)/(1-Dashboard!$C$17)*((1+Dashboard!$C$12)^$CZ39),0)</f>
        <v>2883221.9532739162</v>
      </c>
      <c r="GC39" s="126">
        <f ca="1">MAX(GC38*(1+CD39)-(Dashboard!$C$11)/(1-Dashboard!$C$17)*((1+Dashboard!$C$12)^$CZ39),0)</f>
        <v>7709304.1550068408</v>
      </c>
      <c r="GD39" s="126">
        <f ca="1">MAX(GD38*(1+CE39)-(Dashboard!$C$11)/(1-Dashboard!$C$17)*((1+Dashboard!$C$12)^$CZ39),0)</f>
        <v>36047715.103141792</v>
      </c>
      <c r="GE39" s="126">
        <f ca="1">MAX(GE38*(1+CF39)-(Dashboard!$C$11)/(1-Dashboard!$C$17)*((1+Dashboard!$C$12)^$CZ39),0)</f>
        <v>5605775.401723736</v>
      </c>
      <c r="GF39" s="126">
        <f ca="1">MAX(GF38*(1+CG39)-(Dashboard!$C$11)/(1-Dashboard!$C$17)*((1+Dashboard!$C$12)^$CZ39),0)</f>
        <v>4051640.7780080652</v>
      </c>
      <c r="GG39" s="126">
        <f ca="1">MAX(GG38*(1+CH39)-(Dashboard!$C$11)/(1-Dashboard!$C$17)*((1+Dashboard!$C$12)^$CZ39),0)</f>
        <v>459989.78835304081</v>
      </c>
      <c r="GH39" s="126">
        <f ca="1">MAX(GH38*(1+CI39)-(Dashboard!$C$11)/(1-Dashboard!$C$17)*((1+Dashboard!$C$12)^$CZ39),0)</f>
        <v>1390019.4960406015</v>
      </c>
      <c r="GI39" s="126">
        <f ca="1">MAX(GI38*(1+CJ39)-(Dashboard!$C$11)/(1-Dashboard!$C$17)*((1+Dashboard!$C$12)^$CZ39),0)</f>
        <v>9060549.6760647539</v>
      </c>
      <c r="GJ39" s="126">
        <f ca="1">MAX(GJ38*(1+CK39)-(Dashboard!$C$11)/(1-Dashboard!$C$17)*((1+Dashboard!$C$12)^$CZ39),0)</f>
        <v>24194823.568059631</v>
      </c>
      <c r="GK39" s="126">
        <f ca="1">MAX(GK38*(1+CL39)-(Dashboard!$C$11)/(1-Dashboard!$C$17)*((1+Dashboard!$C$12)^$CZ39),0)</f>
        <v>4042225.82836942</v>
      </c>
      <c r="GL39" s="126">
        <f ca="1">MAX(GL38*(1+CM39)-(Dashboard!$C$11)/(1-Dashboard!$C$17)*((1+Dashboard!$C$12)^$CZ39),0)</f>
        <v>10995638.444841001</v>
      </c>
      <c r="GM39" s="126">
        <f ca="1">MAX(GM38*(1+CN39)-(Dashboard!$C$11)/(1-Dashboard!$C$17)*((1+Dashboard!$C$12)^$CZ39),0)</f>
        <v>266113.78524733853</v>
      </c>
      <c r="GN39" s="126">
        <f ca="1">MAX(GN38*(1+CO39)-(Dashboard!$C$11)/(1-Dashboard!$C$17)*((1+Dashboard!$C$12)^$CZ39),0)</f>
        <v>0</v>
      </c>
      <c r="GO39" s="126">
        <f ca="1">MAX(GO38*(1+CP39)-(Dashboard!$C$11)/(1-Dashboard!$C$17)*((1+Dashboard!$C$12)^$CZ39),0)</f>
        <v>2545382.5610546931</v>
      </c>
      <c r="GP39" s="126">
        <f ca="1">MAX(GP38*(1+CQ39)-(Dashboard!$C$11)/(1-Dashboard!$C$17)*((1+Dashboard!$C$12)^$CZ39),0)</f>
        <v>6968639.9914452219</v>
      </c>
      <c r="GQ39" s="126">
        <f ca="1">MAX(GQ38*(1+CR39)-(Dashboard!$C$11)/(1-Dashboard!$C$17)*((1+Dashboard!$C$12)^$CZ39),0)</f>
        <v>0</v>
      </c>
      <c r="GR39" s="126">
        <f ca="1">MAX(GR38*(1+CS39)-(Dashboard!$C$11)/(1-Dashboard!$C$17)*((1+Dashboard!$C$12)^$CZ39),0)</f>
        <v>2041136.9676610127</v>
      </c>
      <c r="GS39" s="126">
        <f ca="1">MAX(GS38*(1+CT39)-(Dashboard!$C$11)/(1-Dashboard!$C$17)*((1+Dashboard!$C$12)^$CZ39),0)</f>
        <v>9444116.4512485974</v>
      </c>
      <c r="GT39" s="126">
        <f ca="1">MAX(GT38*(1+CU39)-(Dashboard!$C$11)/(1-Dashboard!$C$17)*((1+Dashboard!$C$12)^$CZ39),0)</f>
        <v>23680077.567678168</v>
      </c>
      <c r="GU39" s="126">
        <f ca="1">MAX(GU38*(1+CV39)-(Dashboard!$C$11)/(1-Dashboard!$C$17)*((1+Dashboard!$C$12)^$CZ39),0)</f>
        <v>3009315.7394244052</v>
      </c>
      <c r="GV39" s="126">
        <f ca="1">MAX(GV38*(1+CW39)-(Dashboard!$C$11)/(1-Dashboard!$C$17)*((1+Dashboard!$C$12)^$CZ39),0)</f>
        <v>419871.08389636484</v>
      </c>
      <c r="GW39" s="115">
        <f t="shared" si="4"/>
        <v>88</v>
      </c>
      <c r="GX39" s="130">
        <f t="shared" ca="1" si="2"/>
        <v>90</v>
      </c>
      <c r="HC39" s="130">
        <f t="shared" si="7"/>
        <v>88</v>
      </c>
      <c r="HD39" s="137">
        <f t="shared" ca="1" si="6"/>
        <v>1475814.9702170165</v>
      </c>
      <c r="HE39" s="137">
        <f t="shared" ca="1" si="6"/>
        <v>3845096.3022752181</v>
      </c>
      <c r="HF39" s="137">
        <f t="shared" ca="1" si="6"/>
        <v>8636095.4429017082</v>
      </c>
    </row>
    <row r="40" spans="1:214" ht="16">
      <c r="A40" s="145">
        <f t="shared" si="3"/>
        <v>89</v>
      </c>
      <c r="B40" s="119">
        <f ca="1">(Dashboard!$C$7*'Equity and Bond Returns'!N40)+(Dashboard!$C$8*'Equity and Bond Returns'!DL40)</f>
        <v>9.290089599392598E-2</v>
      </c>
      <c r="C40" s="119">
        <f ca="1">(Dashboard!$C$7*'Equity and Bond Returns'!O40)+(Dashboard!$C$8*'Equity and Bond Returns'!DM40)</f>
        <v>0.14709602159181101</v>
      </c>
      <c r="D40" s="119">
        <f ca="1">(Dashboard!$C$7*'Equity and Bond Returns'!P40)+(Dashboard!$C$8*'Equity and Bond Returns'!DN40)</f>
        <v>4.6066920097413921E-2</v>
      </c>
      <c r="E40" s="119">
        <f ca="1">(Dashboard!$C$7*'Equity and Bond Returns'!Q40)+(Dashboard!$C$8*'Equity and Bond Returns'!DO40)</f>
        <v>5.9529315500485486E-2</v>
      </c>
      <c r="F40" s="119">
        <f ca="1">(Dashboard!$C$7*'Equity and Bond Returns'!R40)+(Dashboard!$C$8*'Equity and Bond Returns'!DP40)</f>
        <v>0.16837254677088412</v>
      </c>
      <c r="G40" s="119">
        <f ca="1">(Dashboard!$C$7*'Equity and Bond Returns'!S40)+(Dashboard!$C$8*'Equity and Bond Returns'!DQ40)</f>
        <v>9.9594103790972555E-2</v>
      </c>
      <c r="H40" s="119">
        <f ca="1">(Dashboard!$C$7*'Equity and Bond Returns'!T40)+(Dashboard!$C$8*'Equity and Bond Returns'!DR40)</f>
        <v>0.11830898660436549</v>
      </c>
      <c r="I40" s="119">
        <f ca="1">(Dashboard!$C$7*'Equity and Bond Returns'!U40)+(Dashboard!$C$8*'Equity and Bond Returns'!DS40)</f>
        <v>0.35366203395815882</v>
      </c>
      <c r="J40" s="119">
        <f ca="1">(Dashboard!$C$7*'Equity and Bond Returns'!V40)+(Dashboard!$C$8*'Equity and Bond Returns'!DT40)</f>
        <v>0.27352043823633376</v>
      </c>
      <c r="K40" s="119">
        <f ca="1">(Dashboard!$C$7*'Equity and Bond Returns'!W40)+(Dashboard!$C$8*'Equity and Bond Returns'!DU40)</f>
        <v>0.10332826327306119</v>
      </c>
      <c r="L40" s="119">
        <f ca="1">(Dashboard!$C$7*'Equity and Bond Returns'!X40)+(Dashboard!$C$8*'Equity and Bond Returns'!DV40)</f>
        <v>0.18444158729516891</v>
      </c>
      <c r="M40" s="119">
        <f ca="1">(Dashboard!$C$7*'Equity and Bond Returns'!Y40)+(Dashboard!$C$8*'Equity and Bond Returns'!DW40)</f>
        <v>2.7604752102244515E-2</v>
      </c>
      <c r="N40" s="119">
        <f ca="1">(Dashboard!$C$7*'Equity and Bond Returns'!Z40)+(Dashboard!$C$8*'Equity and Bond Returns'!DX40)</f>
        <v>0.1493557886837083</v>
      </c>
      <c r="O40" s="119">
        <f ca="1">(Dashboard!$C$7*'Equity and Bond Returns'!AA40)+(Dashboard!$C$8*'Equity and Bond Returns'!DY40)</f>
        <v>0.10280977000694017</v>
      </c>
      <c r="P40" s="119">
        <f ca="1">(Dashboard!$C$7*'Equity and Bond Returns'!AB40)+(Dashboard!$C$8*'Equity and Bond Returns'!DZ40)</f>
        <v>2.5723137663908921E-2</v>
      </c>
      <c r="Q40" s="119">
        <f ca="1">(Dashboard!$C$7*'Equity and Bond Returns'!AC40)+(Dashboard!$C$8*'Equity and Bond Returns'!EA40)</f>
        <v>4.7712099864724543E-2</v>
      </c>
      <c r="R40" s="119">
        <f ca="1">(Dashboard!$C$7*'Equity and Bond Returns'!AD40)+(Dashboard!$C$8*'Equity and Bond Returns'!EB40)</f>
        <v>-0.27491263038805808</v>
      </c>
      <c r="S40" s="119">
        <f ca="1">(Dashboard!$C$7*'Equity and Bond Returns'!AE40)+(Dashboard!$C$8*'Equity and Bond Returns'!EC40)</f>
        <v>0.11756537169785712</v>
      </c>
      <c r="T40" s="119">
        <f ca="1">(Dashboard!$C$7*'Equity and Bond Returns'!AF40)+(Dashboard!$C$8*'Equity and Bond Returns'!ED40)</f>
        <v>0.12773301774249307</v>
      </c>
      <c r="U40" s="119">
        <f ca="1">(Dashboard!$C$7*'Equity and Bond Returns'!AG40)+(Dashboard!$C$8*'Equity and Bond Returns'!EE40)</f>
        <v>-9.1981264526889109E-2</v>
      </c>
      <c r="V40" s="119">
        <f ca="1">(Dashboard!$C$7*'Equity and Bond Returns'!AH40)+(Dashboard!$C$8*'Equity and Bond Returns'!EF40)</f>
        <v>-0.1779175497317611</v>
      </c>
      <c r="W40" s="119">
        <f ca="1">(Dashboard!$C$7*'Equity and Bond Returns'!AI40)+(Dashboard!$C$8*'Equity and Bond Returns'!EG40)</f>
        <v>0.22405274564571651</v>
      </c>
      <c r="X40" s="119">
        <f ca="1">(Dashboard!$C$7*'Equity and Bond Returns'!AJ40)+(Dashboard!$C$8*'Equity and Bond Returns'!EH40)</f>
        <v>0.27592600835501657</v>
      </c>
      <c r="Y40" s="119">
        <f ca="1">(Dashboard!$C$7*'Equity and Bond Returns'!AK40)+(Dashboard!$C$8*'Equity and Bond Returns'!EI40)</f>
        <v>0.28842376442155798</v>
      </c>
      <c r="Z40" s="119">
        <f ca="1">(Dashboard!$C$7*'Equity and Bond Returns'!AL40)+(Dashboard!$C$8*'Equity and Bond Returns'!EJ40)</f>
        <v>-1.8572047923776563E-2</v>
      </c>
      <c r="AA40" s="119">
        <f ca="1">(Dashboard!$C$7*'Equity and Bond Returns'!AM40)+(Dashboard!$C$8*'Equity and Bond Returns'!EK40)</f>
        <v>-7.6369737902601736E-2</v>
      </c>
      <c r="AB40" s="119">
        <f ca="1">(Dashboard!$C$7*'Equity and Bond Returns'!AN40)+(Dashboard!$C$8*'Equity and Bond Returns'!EL40)</f>
        <v>3.1461970003815329E-2</v>
      </c>
      <c r="AC40" s="119">
        <f ca="1">(Dashboard!$C$7*'Equity and Bond Returns'!AO40)+(Dashboard!$C$8*'Equity and Bond Returns'!EM40)</f>
        <v>-8.1583175905636768E-2</v>
      </c>
      <c r="AD40" s="119">
        <f ca="1">(Dashboard!$C$7*'Equity and Bond Returns'!AP40)+(Dashboard!$C$8*'Equity and Bond Returns'!EN40)</f>
        <v>0.10869710514455616</v>
      </c>
      <c r="AE40" s="119">
        <f ca="1">(Dashboard!$C$7*'Equity and Bond Returns'!AQ40)+(Dashboard!$C$8*'Equity and Bond Returns'!EO40)</f>
        <v>0.37036865545714143</v>
      </c>
      <c r="AF40" s="119">
        <f ca="1">(Dashboard!$C$7*'Equity and Bond Returns'!AR40)+(Dashboard!$C$8*'Equity and Bond Returns'!EP40)</f>
        <v>0.13226322162752083</v>
      </c>
      <c r="AG40" s="119">
        <f ca="1">(Dashboard!$C$7*'Equity and Bond Returns'!AS40)+(Dashboard!$C$8*'Equity and Bond Returns'!EQ40)</f>
        <v>0.1219668480126033</v>
      </c>
      <c r="AH40" s="119">
        <f ca="1">(Dashboard!$C$7*'Equity and Bond Returns'!AT40)+(Dashboard!$C$8*'Equity and Bond Returns'!ER40)</f>
        <v>-2.996204420286696E-2</v>
      </c>
      <c r="AI40" s="119">
        <f ca="1">(Dashboard!$C$7*'Equity and Bond Returns'!AU40)+(Dashboard!$C$8*'Equity and Bond Returns'!ES40)</f>
        <v>-8.4346681689517079E-3</v>
      </c>
      <c r="AJ40" s="119">
        <f ca="1">(Dashboard!$C$7*'Equity and Bond Returns'!AV40)+(Dashboard!$C$8*'Equity and Bond Returns'!ET40)</f>
        <v>-2.5607146254934147E-2</v>
      </c>
      <c r="AK40" s="119">
        <f ca="1">(Dashboard!$C$7*'Equity and Bond Returns'!AW40)+(Dashboard!$C$8*'Equity and Bond Returns'!EU40)</f>
        <v>7.324230144063941E-2</v>
      </c>
      <c r="AL40" s="119">
        <f ca="1">(Dashboard!$C$7*'Equity and Bond Returns'!AX40)+(Dashboard!$C$8*'Equity and Bond Returns'!EV40)</f>
        <v>-0.17032398633397774</v>
      </c>
      <c r="AM40" s="119">
        <f ca="1">(Dashboard!$C$7*'Equity and Bond Returns'!AY40)+(Dashboard!$C$8*'Equity and Bond Returns'!EW40)</f>
        <v>6.5310259070070542E-2</v>
      </c>
      <c r="AN40" s="119">
        <f ca="1">(Dashboard!$C$7*'Equity and Bond Returns'!AZ40)+(Dashboard!$C$8*'Equity and Bond Returns'!EX40)</f>
        <v>6.0383003931932099E-2</v>
      </c>
      <c r="AO40" s="119">
        <f ca="1">(Dashboard!$C$7*'Equity and Bond Returns'!BA40)+(Dashboard!$C$8*'Equity and Bond Returns'!EY40)</f>
        <v>0.12483331144917574</v>
      </c>
      <c r="AP40" s="119">
        <f ca="1">(Dashboard!$C$7*'Equity and Bond Returns'!BB40)+(Dashboard!$C$8*'Equity and Bond Returns'!EZ40)</f>
        <v>0.15888081658747275</v>
      </c>
      <c r="AQ40" s="119">
        <f ca="1">(Dashboard!$C$7*'Equity and Bond Returns'!BC40)+(Dashboard!$C$8*'Equity and Bond Returns'!FA40)</f>
        <v>0.23880010446712754</v>
      </c>
      <c r="AR40" s="119">
        <f ca="1">(Dashboard!$C$7*'Equity and Bond Returns'!BD40)+(Dashboard!$C$8*'Equity and Bond Returns'!FB40)</f>
        <v>-9.6850782900574944E-2</v>
      </c>
      <c r="AS40" s="119">
        <f ca="1">(Dashboard!$C$7*'Equity and Bond Returns'!BE40)+(Dashboard!$C$8*'Equity and Bond Returns'!FC40)</f>
        <v>0.21681153830527025</v>
      </c>
      <c r="AT40" s="119">
        <f ca="1">(Dashboard!$C$7*'Equity and Bond Returns'!BF40)+(Dashboard!$C$8*'Equity and Bond Returns'!FD40)</f>
        <v>0.39529441585065056</v>
      </c>
      <c r="AU40" s="119">
        <f ca="1">(Dashboard!$C$7*'Equity and Bond Returns'!BG40)+(Dashboard!$C$8*'Equity and Bond Returns'!FE40)</f>
        <v>3.3218408471336662E-2</v>
      </c>
      <c r="AV40" s="119">
        <f ca="1">(Dashboard!$C$7*'Equity and Bond Returns'!BH40)+(Dashboard!$C$8*'Equity and Bond Returns'!FF40)</f>
        <v>0.19253754871732265</v>
      </c>
      <c r="AW40" s="119">
        <f ca="1">(Dashboard!$C$7*'Equity and Bond Returns'!BI40)+(Dashboard!$C$8*'Equity and Bond Returns'!FG40)</f>
        <v>-0.15819643189972699</v>
      </c>
      <c r="AX40" s="119">
        <f ca="1">(Dashboard!$C$7*'Equity and Bond Returns'!BJ40)+(Dashboard!$C$8*'Equity and Bond Returns'!FH40)</f>
        <v>0.2123572498443847</v>
      </c>
      <c r="AY40" s="119">
        <f ca="1">(Dashboard!$C$7*'Equity and Bond Returns'!BK40)+(Dashboard!$C$8*'Equity and Bond Returns'!FI40)</f>
        <v>-9.7429577036439216E-2</v>
      </c>
      <c r="AZ40" s="119">
        <f ca="1">(Dashboard!$C$7*'Equity and Bond Returns'!BL40)+(Dashboard!$C$8*'Equity and Bond Returns'!FJ40)</f>
        <v>-8.8301628389408263E-2</v>
      </c>
      <c r="BA40" s="119">
        <f ca="1">(Dashboard!$C$7*'Equity and Bond Returns'!BM40)+(Dashboard!$C$8*'Equity and Bond Returns'!FK40)</f>
        <v>7.2686268284876704E-2</v>
      </c>
      <c r="BB40" s="119">
        <f ca="1">(Dashboard!$C$7*'Equity and Bond Returns'!BN40)+(Dashboard!$C$8*'Equity and Bond Returns'!FL40)</f>
        <v>0.27098912213577453</v>
      </c>
      <c r="BC40" s="119">
        <f ca="1">(Dashboard!$C$7*'Equity and Bond Returns'!BO40)+(Dashboard!$C$8*'Equity and Bond Returns'!FM40)</f>
        <v>-8.1913512096558574E-2</v>
      </c>
      <c r="BD40" s="119">
        <f ca="1">(Dashboard!$C$7*'Equity and Bond Returns'!BP40)+(Dashboard!$C$8*'Equity and Bond Returns'!FN40)</f>
        <v>-2.9867637068181976E-3</v>
      </c>
      <c r="BE40" s="119">
        <f ca="1">(Dashboard!$C$7*'Equity and Bond Returns'!BQ40)+(Dashboard!$C$8*'Equity and Bond Returns'!FO40)</f>
        <v>2.8973950421909079E-2</v>
      </c>
      <c r="BF40" s="119">
        <f ca="1">(Dashboard!$C$7*'Equity and Bond Returns'!BR40)+(Dashboard!$C$8*'Equity and Bond Returns'!FP40)</f>
        <v>5.8408130475565263E-2</v>
      </c>
      <c r="BG40" s="119">
        <f ca="1">(Dashboard!$C$7*'Equity and Bond Returns'!BS40)+(Dashboard!$C$8*'Equity and Bond Returns'!FQ40)</f>
        <v>4.3638416821036932E-3</v>
      </c>
      <c r="BH40" s="119">
        <f ca="1">(Dashboard!$C$7*'Equity and Bond Returns'!BT40)+(Dashboard!$C$8*'Equity and Bond Returns'!FR40)</f>
        <v>-0.12694351636068485</v>
      </c>
      <c r="BI40" s="119">
        <f ca="1">(Dashboard!$C$7*'Equity and Bond Returns'!BU40)+(Dashboard!$C$8*'Equity and Bond Returns'!FS40)</f>
        <v>0.13629273838277034</v>
      </c>
      <c r="BJ40" s="119">
        <f ca="1">(Dashboard!$C$7*'Equity and Bond Returns'!BV40)+(Dashboard!$C$8*'Equity and Bond Returns'!FT40)</f>
        <v>2.0449936390514012E-2</v>
      </c>
      <c r="BK40" s="119">
        <f ca="1">(Dashboard!$C$7*'Equity and Bond Returns'!BW40)+(Dashboard!$C$8*'Equity and Bond Returns'!FU40)</f>
        <v>0.17975665906451307</v>
      </c>
      <c r="BL40" s="119">
        <f ca="1">(Dashboard!$C$7*'Equity and Bond Returns'!BX40)+(Dashboard!$C$8*'Equity and Bond Returns'!FV40)</f>
        <v>9.0597662919579158E-2</v>
      </c>
      <c r="BM40" s="119">
        <f ca="1">(Dashboard!$C$7*'Equity and Bond Returns'!BY40)+(Dashboard!$C$8*'Equity and Bond Returns'!FW40)</f>
        <v>0.19361875135982826</v>
      </c>
      <c r="BN40" s="119">
        <f ca="1">(Dashboard!$C$7*'Equity and Bond Returns'!BZ40)+(Dashboard!$C$8*'Equity and Bond Returns'!FX40)</f>
        <v>-4.3489207111190489E-2</v>
      </c>
      <c r="BO40" s="119">
        <f ca="1">(Dashboard!$C$7*'Equity and Bond Returns'!CA40)+(Dashboard!$C$8*'Equity and Bond Returns'!FY40)</f>
        <v>2.4247836121334278E-2</v>
      </c>
      <c r="BP40" s="119">
        <f ca="1">(Dashboard!$C$7*'Equity and Bond Returns'!CB40)+(Dashboard!$C$8*'Equity and Bond Returns'!FZ40)</f>
        <v>-0.10967359110347547</v>
      </c>
      <c r="BQ40" s="119">
        <f ca="1">(Dashboard!$C$7*'Equity and Bond Returns'!CC40)+(Dashboard!$C$8*'Equity and Bond Returns'!GA40)</f>
        <v>-1.7578846701588945E-2</v>
      </c>
      <c r="BR40" s="119">
        <f ca="1">(Dashboard!$C$7*'Equity and Bond Returns'!CD40)+(Dashboard!$C$8*'Equity and Bond Returns'!GB40)</f>
        <v>0.17399348371399001</v>
      </c>
      <c r="BS40" s="119">
        <f ca="1">(Dashboard!$C$7*'Equity and Bond Returns'!CE40)+(Dashboard!$C$8*'Equity and Bond Returns'!GC40)</f>
        <v>0.25023417297802286</v>
      </c>
      <c r="BT40" s="119">
        <f ca="1">(Dashboard!$C$7*'Equity and Bond Returns'!CF40)+(Dashboard!$C$8*'Equity and Bond Returns'!GD40)</f>
        <v>0.10161368273553018</v>
      </c>
      <c r="BU40" s="119">
        <f ca="1">(Dashboard!$C$7*'Equity and Bond Returns'!CG40)+(Dashboard!$C$8*'Equity and Bond Returns'!GE40)</f>
        <v>0.1532909266893131</v>
      </c>
      <c r="BV40" s="119">
        <f ca="1">(Dashboard!$C$7*'Equity and Bond Returns'!CH40)+(Dashboard!$C$8*'Equity and Bond Returns'!GF40)</f>
        <v>-2.515598853449038E-2</v>
      </c>
      <c r="BW40" s="119">
        <f ca="1">(Dashboard!$C$7*'Equity and Bond Returns'!CI40)+(Dashboard!$C$8*'Equity and Bond Returns'!GG40)</f>
        <v>0.26141797126919364</v>
      </c>
      <c r="BX40" s="119">
        <f ca="1">(Dashboard!$C$7*'Equity and Bond Returns'!CJ40)+(Dashboard!$C$8*'Equity and Bond Returns'!GH40)</f>
        <v>-3.4782170774121435E-2</v>
      </c>
      <c r="BY40" s="119">
        <f ca="1">(Dashboard!$C$7*'Equity and Bond Returns'!CK40)+(Dashboard!$C$8*'Equity and Bond Returns'!GI40)</f>
        <v>8.5511373204864169E-2</v>
      </c>
      <c r="BZ40" s="119">
        <f ca="1">(Dashboard!$C$7*'Equity and Bond Returns'!CL40)+(Dashboard!$C$8*'Equity and Bond Returns'!GJ40)</f>
        <v>0.20411535962355049</v>
      </c>
      <c r="CA40" s="119">
        <f ca="1">(Dashboard!$C$7*'Equity and Bond Returns'!CM40)+(Dashboard!$C$8*'Equity and Bond Returns'!GK40)</f>
        <v>0.13905680173910112</v>
      </c>
      <c r="CB40" s="119">
        <f ca="1">(Dashboard!$C$7*'Equity and Bond Returns'!CN40)+(Dashboard!$C$8*'Equity and Bond Returns'!GL40)</f>
        <v>0.29511060089353186</v>
      </c>
      <c r="CC40" s="119">
        <f ca="1">(Dashboard!$C$7*'Equity and Bond Returns'!CO40)+(Dashboard!$C$8*'Equity and Bond Returns'!GM40)</f>
        <v>0.11371942023064675</v>
      </c>
      <c r="CD40" s="119">
        <f ca="1">(Dashboard!$C$7*'Equity and Bond Returns'!CP40)+(Dashboard!$C$8*'Equity and Bond Returns'!GN40)</f>
        <v>0.10672160403463414</v>
      </c>
      <c r="CE40" s="119">
        <f ca="1">(Dashboard!$C$7*'Equity and Bond Returns'!CQ40)+(Dashboard!$C$8*'Equity and Bond Returns'!GO40)</f>
        <v>0.20031406430239102</v>
      </c>
      <c r="CF40" s="119">
        <f ca="1">(Dashboard!$C$7*'Equity and Bond Returns'!CR40)+(Dashboard!$C$8*'Equity and Bond Returns'!GP40)</f>
        <v>-1.7958184476953711E-2</v>
      </c>
      <c r="CG40" s="119">
        <f ca="1">(Dashboard!$C$7*'Equity and Bond Returns'!CS40)+(Dashboard!$C$8*'Equity and Bond Returns'!GQ40)</f>
        <v>0.1142329208491636</v>
      </c>
      <c r="CH40" s="119">
        <f ca="1">(Dashboard!$C$7*'Equity and Bond Returns'!CT40)+(Dashboard!$C$8*'Equity and Bond Returns'!GR40)</f>
        <v>0.22016170550908731</v>
      </c>
      <c r="CI40" s="119">
        <f ca="1">(Dashboard!$C$7*'Equity and Bond Returns'!CU40)+(Dashboard!$C$8*'Equity and Bond Returns'!GS40)</f>
        <v>-7.9346457183888525E-2</v>
      </c>
      <c r="CJ40" s="119">
        <f ca="1">(Dashboard!$C$7*'Equity and Bond Returns'!CV40)+(Dashboard!$C$8*'Equity and Bond Returns'!GT40)</f>
        <v>0.20259827986850207</v>
      </c>
      <c r="CK40" s="119">
        <f ca="1">(Dashboard!$C$7*'Equity and Bond Returns'!CW40)+(Dashboard!$C$8*'Equity and Bond Returns'!GU40)</f>
        <v>0.16606873794470636</v>
      </c>
      <c r="CL40" s="119">
        <f ca="1">(Dashboard!$C$7*'Equity and Bond Returns'!CX40)+(Dashboard!$C$8*'Equity and Bond Returns'!GV40)</f>
        <v>0.25195073389903544</v>
      </c>
      <c r="CM40" s="119">
        <f ca="1">(Dashboard!$C$7*'Equity and Bond Returns'!CY40)+(Dashboard!$C$8*'Equity and Bond Returns'!GW40)</f>
        <v>-8.7637408162759972E-3</v>
      </c>
      <c r="CN40" s="119">
        <f ca="1">(Dashboard!$C$7*'Equity and Bond Returns'!CZ40)+(Dashboard!$C$8*'Equity and Bond Returns'!GX40)</f>
        <v>-0.11371181903499014</v>
      </c>
      <c r="CO40" s="119">
        <f ca="1">(Dashboard!$C$7*'Equity and Bond Returns'!DA40)+(Dashboard!$C$8*'Equity and Bond Returns'!GY40)</f>
        <v>-6.2834708486781618E-3</v>
      </c>
      <c r="CP40" s="119">
        <f ca="1">(Dashboard!$C$7*'Equity and Bond Returns'!DB40)+(Dashboard!$C$8*'Equity and Bond Returns'!GZ40)</f>
        <v>0.15229362210873262</v>
      </c>
      <c r="CQ40" s="119">
        <f ca="1">(Dashboard!$C$7*'Equity and Bond Returns'!DC40)+(Dashboard!$C$8*'Equity and Bond Returns'!HA40)</f>
        <v>3.9971289508004521E-2</v>
      </c>
      <c r="CR40" s="119">
        <f ca="1">(Dashboard!$C$7*'Equity and Bond Returns'!DD40)+(Dashboard!$C$8*'Equity and Bond Returns'!HB40)</f>
        <v>-1.1464413366338196E-2</v>
      </c>
      <c r="CS40" s="119">
        <f ca="1">(Dashboard!$C$7*'Equity and Bond Returns'!DE40)+(Dashboard!$C$8*'Equity and Bond Returns'!HC40)</f>
        <v>-0.22046880142844189</v>
      </c>
      <c r="CT40" s="119">
        <f ca="1">(Dashboard!$C$7*'Equity and Bond Returns'!DF40)+(Dashboard!$C$8*'Equity and Bond Returns'!HD40)</f>
        <v>0.1556919565414969</v>
      </c>
      <c r="CU40" s="119">
        <f ca="1">(Dashboard!$C$7*'Equity and Bond Returns'!DG40)+(Dashboard!$C$8*'Equity and Bond Returns'!HE40)</f>
        <v>0.41082720388608712</v>
      </c>
      <c r="CV40" s="119">
        <f ca="1">(Dashboard!$C$7*'Equity and Bond Returns'!DH40)+(Dashboard!$C$8*'Equity and Bond Returns'!HF40)</f>
        <v>0.23714201218043499</v>
      </c>
      <c r="CW40" s="119">
        <f ca="1">(Dashboard!$C$7*'Equity and Bond Returns'!DI40)+(Dashboard!$C$8*'Equity and Bond Returns'!HG40)</f>
        <v>0.23275774610481972</v>
      </c>
      <c r="CY40" s="147">
        <f t="shared" si="5"/>
        <v>89</v>
      </c>
      <c r="CZ40" s="147">
        <v>39</v>
      </c>
      <c r="DA40" s="126">
        <f ca="1">MAX(DA39*(1+B40)-(Dashboard!$C$11)/(1-Dashboard!$C$17)*((1+Dashboard!$C$12)^$CZ40),0)</f>
        <v>31123891.806208581</v>
      </c>
      <c r="DB40" s="126">
        <f ca="1">MAX(DB39*(1+C40)-(Dashboard!$C$11)/(1-Dashboard!$C$17)*((1+Dashboard!$C$12)^$CZ40),0)</f>
        <v>0</v>
      </c>
      <c r="DC40" s="126">
        <f ca="1">MAX(DC39*(1+D40)-(Dashboard!$C$11)/(1-Dashboard!$C$17)*((1+Dashboard!$C$12)^$CZ40),0)</f>
        <v>3849844.6057294169</v>
      </c>
      <c r="DD40" s="126">
        <f ca="1">MAX(DD39*(1+E40)-(Dashboard!$C$11)/(1-Dashboard!$C$17)*((1+Dashboard!$C$12)^$CZ40),0)</f>
        <v>172910.87345322236</v>
      </c>
      <c r="DE40" s="126">
        <f ca="1">MAX(DE39*(1+F40)-(Dashboard!$C$11)/(1-Dashboard!$C$17)*((1+Dashboard!$C$12)^$CZ40),0)</f>
        <v>6210331.2085755635</v>
      </c>
      <c r="DF40" s="126">
        <f ca="1">MAX(DF39*(1+G40)-(Dashboard!$C$11)/(1-Dashboard!$C$17)*((1+Dashboard!$C$12)^$CZ40),0)</f>
        <v>13997148.736233177</v>
      </c>
      <c r="DG40" s="126">
        <f ca="1">MAX(DG39*(1+H40)-(Dashboard!$C$11)/(1-Dashboard!$C$17)*((1+Dashboard!$C$12)^$CZ40),0)</f>
        <v>0</v>
      </c>
      <c r="DH40" s="126">
        <f ca="1">MAX(DH39*(1+I40)-(Dashboard!$C$11)/(1-Dashboard!$C$17)*((1+Dashboard!$C$12)^$CZ40),0)</f>
        <v>30851489.325428478</v>
      </c>
      <c r="DI40" s="126">
        <f ca="1">MAX(DI39*(1+J40)-(Dashboard!$C$11)/(1-Dashboard!$C$17)*((1+Dashboard!$C$12)^$CZ40),0)</f>
        <v>4494814.966230928</v>
      </c>
      <c r="DJ40" s="126">
        <f ca="1">MAX(DJ39*(1+K40)-(Dashboard!$C$11)/(1-Dashboard!$C$17)*((1+Dashboard!$C$12)^$CZ40),0)</f>
        <v>8439681.7307351287</v>
      </c>
      <c r="DK40" s="126">
        <f ca="1">MAX(DK39*(1+L40)-(Dashboard!$C$11)/(1-Dashboard!$C$17)*((1+Dashboard!$C$12)^$CZ40),0)</f>
        <v>8209756.4199204538</v>
      </c>
      <c r="DL40" s="126">
        <f ca="1">MAX(DL39*(1+M40)-(Dashboard!$C$11)/(1-Dashboard!$C$17)*((1+Dashboard!$C$12)^$CZ40),0)</f>
        <v>649350.78945081832</v>
      </c>
      <c r="DM40" s="126">
        <f ca="1">MAX(DM39*(1+N40)-(Dashboard!$C$11)/(1-Dashboard!$C$17)*((1+Dashboard!$C$12)^$CZ40),0)</f>
        <v>9961518.5118506104</v>
      </c>
      <c r="DN40" s="126">
        <f ca="1">MAX(DN39*(1+O40)-(Dashboard!$C$11)/(1-Dashboard!$C$17)*((1+Dashboard!$C$12)^$CZ40),0)</f>
        <v>63319353.045769207</v>
      </c>
      <c r="DO40" s="126">
        <f ca="1">MAX(DO39*(1+P40)-(Dashboard!$C$11)/(1-Dashboard!$C$17)*((1+Dashboard!$C$12)^$CZ40),0)</f>
        <v>2638392.0647828826</v>
      </c>
      <c r="DP40" s="126">
        <f ca="1">MAX(DP39*(1+Q40)-(Dashboard!$C$11)/(1-Dashboard!$C$17)*((1+Dashboard!$C$12)^$CZ40),0)</f>
        <v>1375953.6478281538</v>
      </c>
      <c r="DQ40" s="126">
        <f ca="1">MAX(DQ39*(1+R40)-(Dashboard!$C$11)/(1-Dashboard!$C$17)*((1+Dashboard!$C$12)^$CZ40),0)</f>
        <v>3770112.6595079051</v>
      </c>
      <c r="DR40" s="126">
        <f ca="1">MAX(DR39*(1+S40)-(Dashboard!$C$11)/(1-Dashboard!$C$17)*((1+Dashboard!$C$12)^$CZ40),0)</f>
        <v>9291776.6485731825</v>
      </c>
      <c r="DS40" s="126">
        <f ca="1">MAX(DS39*(1+T40)-(Dashboard!$C$11)/(1-Dashboard!$C$17)*((1+Dashboard!$C$12)^$CZ40),0)</f>
        <v>0</v>
      </c>
      <c r="DT40" s="126">
        <f ca="1">MAX(DT39*(1+U40)-(Dashboard!$C$11)/(1-Dashboard!$C$17)*((1+Dashboard!$C$12)^$CZ40),0)</f>
        <v>651505.14880685508</v>
      </c>
      <c r="DU40" s="126">
        <f ca="1">MAX(DU39*(1+V40)-(Dashboard!$C$11)/(1-Dashboard!$C$17)*((1+Dashboard!$C$12)^$CZ40),0)</f>
        <v>3103358.1683265129</v>
      </c>
      <c r="DV40" s="126">
        <f ca="1">MAX(DV39*(1+W40)-(Dashboard!$C$11)/(1-Dashboard!$C$17)*((1+Dashboard!$C$12)^$CZ40),0)</f>
        <v>45814353.370851524</v>
      </c>
      <c r="DW40" s="126">
        <f ca="1">MAX(DW39*(1+X40)-(Dashboard!$C$11)/(1-Dashboard!$C$17)*((1+Dashboard!$C$12)^$CZ40),0)</f>
        <v>4229924.927659139</v>
      </c>
      <c r="DX40" s="126">
        <f ca="1">MAX(DX39*(1+Y40)-(Dashboard!$C$11)/(1-Dashboard!$C$17)*((1+Dashboard!$C$12)^$CZ40),0)</f>
        <v>1962762.2052983916</v>
      </c>
      <c r="DY40" s="126">
        <f ca="1">MAX(DY39*(1+Z40)-(Dashboard!$C$11)/(1-Dashboard!$C$17)*((1+Dashboard!$C$12)^$CZ40),0)</f>
        <v>11600578.869326102</v>
      </c>
      <c r="DZ40" s="126">
        <f ca="1">MAX(DZ39*(1+AA40)-(Dashboard!$C$11)/(1-Dashboard!$C$17)*((1+Dashboard!$C$12)^$CZ40),0)</f>
        <v>4828645.0337488009</v>
      </c>
      <c r="EA40" s="126">
        <f ca="1">MAX(EA39*(1+AB40)-(Dashboard!$C$11)/(1-Dashboard!$C$17)*((1+Dashboard!$C$12)^$CZ40),0)</f>
        <v>2573898.3384710592</v>
      </c>
      <c r="EB40" s="126">
        <f ca="1">MAX(EB39*(1+AC40)-(Dashboard!$C$11)/(1-Dashboard!$C$17)*((1+Dashboard!$C$12)^$CZ40),0)</f>
        <v>5015617.1613025526</v>
      </c>
      <c r="EC40" s="126">
        <f ca="1">MAX(EC39*(1+AD40)-(Dashboard!$C$11)/(1-Dashboard!$C$17)*((1+Dashboard!$C$12)^$CZ40),0)</f>
        <v>7608724.6359178685</v>
      </c>
      <c r="ED40" s="126">
        <f ca="1">MAX(ED39*(1+AE40)-(Dashboard!$C$11)/(1-Dashboard!$C$17)*((1+Dashboard!$C$12)^$CZ40),0)</f>
        <v>5371157.4230114026</v>
      </c>
      <c r="EE40" s="126">
        <f ca="1">MAX(EE39*(1+AF40)-(Dashboard!$C$11)/(1-Dashboard!$C$17)*((1+Dashboard!$C$12)^$CZ40),0)</f>
        <v>23266129.146886226</v>
      </c>
      <c r="EF40" s="126">
        <f ca="1">MAX(EF39*(1+AG40)-(Dashboard!$C$11)/(1-Dashboard!$C$17)*((1+Dashboard!$C$12)^$CZ40),0)</f>
        <v>129041.39121352287</v>
      </c>
      <c r="EG40" s="126">
        <f ca="1">MAX(EG39*(1+AH40)-(Dashboard!$C$11)/(1-Dashboard!$C$17)*((1+Dashboard!$C$12)^$CZ40),0)</f>
        <v>6814298.9929924821</v>
      </c>
      <c r="EH40" s="126">
        <f ca="1">MAX(EH39*(1+AI40)-(Dashboard!$C$11)/(1-Dashboard!$C$17)*((1+Dashboard!$C$12)^$CZ40),0)</f>
        <v>13015067.326145809</v>
      </c>
      <c r="EI40" s="126">
        <f ca="1">MAX(EI39*(1+AJ40)-(Dashboard!$C$11)/(1-Dashboard!$C$17)*((1+Dashboard!$C$12)^$CZ40),0)</f>
        <v>0</v>
      </c>
      <c r="EJ40" s="126">
        <f ca="1">MAX(EJ39*(1+AK40)-(Dashboard!$C$11)/(1-Dashboard!$C$17)*((1+Dashboard!$C$12)^$CZ40),0)</f>
        <v>6651110.2964968113</v>
      </c>
      <c r="EK40" s="126">
        <f ca="1">MAX(EK39*(1+AL40)-(Dashboard!$C$11)/(1-Dashboard!$C$17)*((1+Dashboard!$C$12)^$CZ40),0)</f>
        <v>3273990.0884355339</v>
      </c>
      <c r="EL40" s="126">
        <f ca="1">MAX(EL39*(1+AM40)-(Dashboard!$C$11)/(1-Dashboard!$C$17)*((1+Dashboard!$C$12)^$CZ40),0)</f>
        <v>1345629.4508891506</v>
      </c>
      <c r="EM40" s="126">
        <f ca="1">MAX(EM39*(1+AN40)-(Dashboard!$C$11)/(1-Dashboard!$C$17)*((1+Dashboard!$C$12)^$CZ40),0)</f>
        <v>17130265.905154917</v>
      </c>
      <c r="EN40" s="126">
        <f ca="1">MAX(EN39*(1+AO40)-(Dashboard!$C$11)/(1-Dashboard!$C$17)*((1+Dashboard!$C$12)^$CZ40),0)</f>
        <v>2817108.9487891989</v>
      </c>
      <c r="EO40" s="126">
        <f ca="1">MAX(EO39*(1+AP40)-(Dashboard!$C$11)/(1-Dashboard!$C$17)*((1+Dashboard!$C$12)^$CZ40),0)</f>
        <v>0</v>
      </c>
      <c r="EP40" s="126">
        <f ca="1">MAX(EP39*(1+AQ40)-(Dashboard!$C$11)/(1-Dashboard!$C$17)*((1+Dashboard!$C$12)^$CZ40),0)</f>
        <v>4695472.4447247479</v>
      </c>
      <c r="EQ40" s="126">
        <f ca="1">MAX(EQ39*(1+AR40)-(Dashboard!$C$11)/(1-Dashboard!$C$17)*((1+Dashboard!$C$12)^$CZ40),0)</f>
        <v>3409208.1269932729</v>
      </c>
      <c r="ER40" s="126">
        <f ca="1">MAX(ER39*(1+AS40)-(Dashboard!$C$11)/(1-Dashboard!$C$17)*((1+Dashboard!$C$12)^$CZ40),0)</f>
        <v>0</v>
      </c>
      <c r="ES40" s="126">
        <f ca="1">MAX(ES39*(1+AT40)-(Dashboard!$C$11)/(1-Dashboard!$C$17)*((1+Dashboard!$C$12)^$CZ40),0)</f>
        <v>28717091.904596962</v>
      </c>
      <c r="ET40" s="126">
        <f ca="1">MAX(ET39*(1+AU40)-(Dashboard!$C$11)/(1-Dashboard!$C$17)*((1+Dashboard!$C$12)^$CZ40),0)</f>
        <v>5375875.0946073979</v>
      </c>
      <c r="EU40" s="126">
        <f ca="1">MAX(EU39*(1+AV40)-(Dashboard!$C$11)/(1-Dashboard!$C$17)*((1+Dashboard!$C$12)^$CZ40),0)</f>
        <v>4220688.711357479</v>
      </c>
      <c r="EV40" s="126">
        <f ca="1">MAX(EV39*(1+AW40)-(Dashboard!$C$11)/(1-Dashboard!$C$17)*((1+Dashboard!$C$12)^$CZ40),0)</f>
        <v>46538442.161072798</v>
      </c>
      <c r="EW40" s="126">
        <f ca="1">MAX(EW39*(1+AX40)-(Dashboard!$C$11)/(1-Dashboard!$C$17)*((1+Dashboard!$C$12)^$CZ40),0)</f>
        <v>1716833.5041658576</v>
      </c>
      <c r="EX40" s="126">
        <f ca="1">MAX(EX39*(1+AY40)-(Dashboard!$C$11)/(1-Dashboard!$C$17)*((1+Dashboard!$C$12)^$CZ40),0)</f>
        <v>3361335.0798909673</v>
      </c>
      <c r="EY40" s="126">
        <f ca="1">MAX(EY39*(1+AZ40)-(Dashboard!$C$11)/(1-Dashboard!$C$17)*((1+Dashboard!$C$12)^$CZ40),0)</f>
        <v>15063344.515438544</v>
      </c>
      <c r="EZ40" s="126">
        <f ca="1">MAX(EZ39*(1+BA40)-(Dashboard!$C$11)/(1-Dashboard!$C$17)*((1+Dashboard!$C$12)^$CZ40),0)</f>
        <v>2296690.8590107039</v>
      </c>
      <c r="FA40" s="126">
        <f ca="1">MAX(FA39*(1+BB40)-(Dashboard!$C$11)/(1-Dashboard!$C$17)*((1+Dashboard!$C$12)^$CZ40),0)</f>
        <v>20441625.388775431</v>
      </c>
      <c r="FB40" s="126">
        <f ca="1">MAX(FB39*(1+BC40)-(Dashboard!$C$11)/(1-Dashboard!$C$17)*((1+Dashboard!$C$12)^$CZ40),0)</f>
        <v>733862.69959038449</v>
      </c>
      <c r="FC40" s="126">
        <f ca="1">MAX(FC39*(1+BD40)-(Dashboard!$C$11)/(1-Dashboard!$C$17)*((1+Dashboard!$C$12)^$CZ40),0)</f>
        <v>5031171.9891842129</v>
      </c>
      <c r="FD40" s="126">
        <f ca="1">MAX(FD39*(1+BE40)-(Dashboard!$C$11)/(1-Dashboard!$C$17)*((1+Dashboard!$C$12)^$CZ40),0)</f>
        <v>22183985.195844125</v>
      </c>
      <c r="FE40" s="126">
        <f ca="1">MAX(FE39*(1+BF40)-(Dashboard!$C$11)/(1-Dashboard!$C$17)*((1+Dashboard!$C$12)^$CZ40),0)</f>
        <v>16379653.424890051</v>
      </c>
      <c r="FF40" s="126">
        <f ca="1">MAX(FF39*(1+BG40)-(Dashboard!$C$11)/(1-Dashboard!$C$17)*((1+Dashboard!$C$12)^$CZ40),0)</f>
        <v>3892818.4460904761</v>
      </c>
      <c r="FG40" s="126">
        <f ca="1">MAX(FG39*(1+BH40)-(Dashboard!$C$11)/(1-Dashboard!$C$17)*((1+Dashboard!$C$12)^$CZ40),0)</f>
        <v>1292781.1972094909</v>
      </c>
      <c r="FH40" s="126">
        <f ca="1">MAX(FH39*(1+BI40)-(Dashboard!$C$11)/(1-Dashboard!$C$17)*((1+Dashboard!$C$12)^$CZ40),0)</f>
        <v>3957835.543806918</v>
      </c>
      <c r="FI40" s="126">
        <f ca="1">MAX(FI39*(1+BJ40)-(Dashboard!$C$11)/(1-Dashboard!$C$17)*((1+Dashboard!$C$12)^$CZ40),0)</f>
        <v>10789808.913316805</v>
      </c>
      <c r="FJ40" s="126">
        <f ca="1">MAX(FJ39*(1+BK40)-(Dashboard!$C$11)/(1-Dashboard!$C$17)*((1+Dashboard!$C$12)^$CZ40),0)</f>
        <v>2687766.1168054207</v>
      </c>
      <c r="FK40" s="126">
        <f ca="1">MAX(FK39*(1+BL40)-(Dashboard!$C$11)/(1-Dashboard!$C$17)*((1+Dashboard!$C$12)^$CZ40),0)</f>
        <v>3084755.0065682521</v>
      </c>
      <c r="FL40" s="126">
        <f ca="1">MAX(FL39*(1+BM40)-(Dashboard!$C$11)/(1-Dashboard!$C$17)*((1+Dashboard!$C$12)^$CZ40),0)</f>
        <v>1717097.6841998859</v>
      </c>
      <c r="FM40" s="126">
        <f ca="1">MAX(FM39*(1+BN40)-(Dashboard!$C$11)/(1-Dashboard!$C$17)*((1+Dashboard!$C$12)^$CZ40),0)</f>
        <v>3455009.4538194123</v>
      </c>
      <c r="FN40" s="126">
        <f ca="1">MAX(FN39*(1+BO40)-(Dashboard!$C$11)/(1-Dashboard!$C$17)*((1+Dashboard!$C$12)^$CZ40),0)</f>
        <v>0</v>
      </c>
      <c r="FO40" s="126">
        <f ca="1">MAX(FO39*(1+BP40)-(Dashboard!$C$11)/(1-Dashboard!$C$17)*((1+Dashboard!$C$12)^$CZ40),0)</f>
        <v>3814843.2282011299</v>
      </c>
      <c r="FP40" s="126">
        <f ca="1">MAX(FP39*(1+BQ40)-(Dashboard!$C$11)/(1-Dashboard!$C$17)*((1+Dashboard!$C$12)^$CZ40),0)</f>
        <v>2347305.0882316534</v>
      </c>
      <c r="FQ40" s="126">
        <f ca="1">MAX(FQ39*(1+BR40)-(Dashboard!$C$11)/(1-Dashboard!$C$17)*((1+Dashboard!$C$12)^$CZ40),0)</f>
        <v>1769689.7488040922</v>
      </c>
      <c r="FR40" s="126">
        <f ca="1">MAX(FR39*(1+BS40)-(Dashboard!$C$11)/(1-Dashboard!$C$17)*((1+Dashboard!$C$12)^$CZ40),0)</f>
        <v>10969709.345901564</v>
      </c>
      <c r="FS40" s="126">
        <f ca="1">MAX(FS39*(1+BT40)-(Dashboard!$C$11)/(1-Dashboard!$C$17)*((1+Dashboard!$C$12)^$CZ40),0)</f>
        <v>8830918.0101938117</v>
      </c>
      <c r="FT40" s="126">
        <f ca="1">MAX(FT39*(1+BU40)-(Dashboard!$C$11)/(1-Dashboard!$C$17)*((1+Dashboard!$C$12)^$CZ40),0)</f>
        <v>0</v>
      </c>
      <c r="FU40" s="126">
        <f ca="1">MAX(FU39*(1+BV40)-(Dashboard!$C$11)/(1-Dashboard!$C$17)*((1+Dashboard!$C$12)^$CZ40),0)</f>
        <v>1604227.0874189609</v>
      </c>
      <c r="FV40" s="126">
        <f ca="1">MAX(FV39*(1+BW40)-(Dashboard!$C$11)/(1-Dashboard!$C$17)*((1+Dashboard!$C$12)^$CZ40),0)</f>
        <v>5789615.4649125421</v>
      </c>
      <c r="FW40" s="126">
        <f ca="1">MAX(FW39*(1+BX40)-(Dashboard!$C$11)/(1-Dashboard!$C$17)*((1+Dashboard!$C$12)^$CZ40),0)</f>
        <v>2173716.6134850625</v>
      </c>
      <c r="FX40" s="126">
        <f ca="1">MAX(FX39*(1+BY40)-(Dashboard!$C$11)/(1-Dashboard!$C$17)*((1+Dashboard!$C$12)^$CZ40),0)</f>
        <v>0</v>
      </c>
      <c r="FY40" s="126">
        <f ca="1">MAX(FY39*(1+BZ40)-(Dashboard!$C$11)/(1-Dashboard!$C$17)*((1+Dashboard!$C$12)^$CZ40),0)</f>
        <v>254807.18230207765</v>
      </c>
      <c r="FZ40" s="126">
        <f ca="1">MAX(FZ39*(1+CA40)-(Dashboard!$C$11)/(1-Dashboard!$C$17)*((1+Dashboard!$C$12)^$CZ40),0)</f>
        <v>20701672.039280746</v>
      </c>
      <c r="GA40" s="126">
        <f ca="1">MAX(GA39*(1+CB40)-(Dashboard!$C$11)/(1-Dashboard!$C$17)*((1+Dashboard!$C$12)^$CZ40),0)</f>
        <v>13620347.114232088</v>
      </c>
      <c r="GB40" s="126">
        <f ca="1">MAX(GB39*(1+CC40)-(Dashboard!$C$11)/(1-Dashboard!$C$17)*((1+Dashboard!$C$12)^$CZ40),0)</f>
        <v>3145780.3506819545</v>
      </c>
      <c r="GC40" s="126">
        <f ca="1">MAX(GC39*(1+CD40)-(Dashboard!$C$11)/(1-Dashboard!$C$17)*((1+Dashboard!$C$12)^$CZ40),0)</f>
        <v>8466733.528905496</v>
      </c>
      <c r="GD40" s="126">
        <f ca="1">MAX(GD39*(1+CE40)-(Dashboard!$C$11)/(1-Dashboard!$C$17)*((1+Dashboard!$C$12)^$CZ40),0)</f>
        <v>43203259.492752261</v>
      </c>
      <c r="GE40" s="126">
        <f ca="1">MAX(GE39*(1+CF40)-(Dashboard!$C$11)/(1-Dashboard!$C$17)*((1+Dashboard!$C$12)^$CZ40),0)</f>
        <v>5439785.9214086672</v>
      </c>
      <c r="GF40" s="126">
        <f ca="1">MAX(GF39*(1+CG40)-(Dashboard!$C$11)/(1-Dashboard!$C$17)*((1+Dashboard!$C$12)^$CZ40),0)</f>
        <v>4449151.6067969603</v>
      </c>
      <c r="GG40" s="126">
        <f ca="1">MAX(GG39*(1+CH40)-(Dashboard!$C$11)/(1-Dashboard!$C$17)*((1+Dashboard!$C$12)^$CZ40),0)</f>
        <v>495941.99315906584</v>
      </c>
      <c r="GH40" s="126">
        <f ca="1">MAX(GH39*(1+CI40)-(Dashboard!$C$11)/(1-Dashboard!$C$17)*((1+Dashboard!$C$12)^$CZ40),0)</f>
        <v>1214406.4420987009</v>
      </c>
      <c r="GI40" s="126">
        <f ca="1">MAX(GI39*(1+CJ40)-(Dashboard!$C$11)/(1-Dashboard!$C$17)*((1+Dashboard!$C$12)^$CZ40),0)</f>
        <v>10830881.523584042</v>
      </c>
      <c r="GJ40" s="126">
        <f ca="1">MAX(GJ39*(1+CK40)-(Dashboard!$C$11)/(1-Dashboard!$C$17)*((1+Dashboard!$C$12)^$CZ40),0)</f>
        <v>28147507.451287583</v>
      </c>
      <c r="GK40" s="126">
        <f ca="1">MAX(GK39*(1+CL40)-(Dashboard!$C$11)/(1-Dashboard!$C$17)*((1+Dashboard!$C$12)^$CZ40),0)</f>
        <v>4995347.6608981872</v>
      </c>
      <c r="GL40" s="126">
        <f ca="1">MAX(GL39*(1+CM40)-(Dashboard!$C$11)/(1-Dashboard!$C$17)*((1+Dashboard!$C$12)^$CZ40),0)</f>
        <v>10833955.587886391</v>
      </c>
      <c r="GM40" s="126">
        <f ca="1">MAX(GM39*(1+CN40)-(Dashboard!$C$11)/(1-Dashboard!$C$17)*((1+Dashboard!$C$12)^$CZ40),0)</f>
        <v>170533.57114203239</v>
      </c>
      <c r="GN40" s="126">
        <f ca="1">MAX(GN39*(1+CO40)-(Dashboard!$C$11)/(1-Dashboard!$C$17)*((1+Dashboard!$C$12)^$CZ40),0)</f>
        <v>0</v>
      </c>
      <c r="GO40" s="126">
        <f ca="1">MAX(GO39*(1+CP40)-(Dashboard!$C$11)/(1-Dashboard!$C$17)*((1+Dashboard!$C$12)^$CZ40),0)</f>
        <v>2867708.1594155701</v>
      </c>
      <c r="GP40" s="126">
        <f ca="1">MAX(GP39*(1+CQ40)-(Dashboard!$C$11)/(1-Dashboard!$C$17)*((1+Dashboard!$C$12)^$CZ40),0)</f>
        <v>7181865.5865057921</v>
      </c>
      <c r="GQ40" s="126">
        <f ca="1">MAX(GQ39*(1+CR40)-(Dashboard!$C$11)/(1-Dashboard!$C$17)*((1+Dashboard!$C$12)^$CZ40),0)</f>
        <v>0</v>
      </c>
      <c r="GR40" s="126">
        <f ca="1">MAX(GR39*(1+CS40)-(Dashboard!$C$11)/(1-Dashboard!$C$17)*((1+Dashboard!$C$12)^$CZ40),0)</f>
        <v>1525810.0153349601</v>
      </c>
      <c r="GS40" s="126">
        <f ca="1">MAX(GS39*(1+CT40)-(Dashboard!$C$11)/(1-Dashboard!$C$17)*((1+Dashboard!$C$12)^$CZ40),0)</f>
        <v>10849169.487834686</v>
      </c>
      <c r="GT40" s="126">
        <f ca="1">MAX(GT39*(1+CU40)-(Dashboard!$C$11)/(1-Dashboard!$C$17)*((1+Dashboard!$C$12)^$CZ40),0)</f>
        <v>33343177.6910985</v>
      </c>
      <c r="GU40" s="126">
        <f ca="1">MAX(GU39*(1+CV40)-(Dashboard!$C$11)/(1-Dashboard!$C$17)*((1+Dashboard!$C$12)^$CZ40),0)</f>
        <v>3657630.9976432179</v>
      </c>
      <c r="GV40" s="126">
        <f ca="1">MAX(GV39*(1+CW40)-(Dashboard!$C$11)/(1-Dashboard!$C$17)*((1+Dashboard!$C$12)^$CZ40),0)</f>
        <v>452279.39952412591</v>
      </c>
      <c r="GW40" s="115">
        <f t="shared" si="4"/>
        <v>89</v>
      </c>
      <c r="GX40" s="130">
        <f t="shared" ca="1" si="2"/>
        <v>89</v>
      </c>
      <c r="HC40" s="130">
        <f t="shared" si="7"/>
        <v>89</v>
      </c>
      <c r="HD40" s="137">
        <f t="shared" ca="1" si="6"/>
        <v>1413417.7397048553</v>
      </c>
      <c r="HE40" s="137">
        <f t="shared" ca="1" si="6"/>
        <v>3871331.5259099463</v>
      </c>
      <c r="HF40" s="137">
        <f t="shared" ca="1" si="6"/>
        <v>9794083.0460312534</v>
      </c>
    </row>
    <row r="41" spans="1:214" ht="16">
      <c r="A41" s="145">
        <f t="shared" si="3"/>
        <v>90</v>
      </c>
      <c r="B41" s="119">
        <f ca="1">(Dashboard!$C$7*'Equity and Bond Returns'!N41)+(Dashboard!$C$8*'Equity and Bond Returns'!DL41)</f>
        <v>-0.14860931217508574</v>
      </c>
      <c r="C41" s="119">
        <f ca="1">(Dashboard!$C$7*'Equity and Bond Returns'!O41)+(Dashboard!$C$8*'Equity and Bond Returns'!DM41)</f>
        <v>3.8523005456531631E-2</v>
      </c>
      <c r="D41" s="119">
        <f ca="1">(Dashboard!$C$7*'Equity and Bond Returns'!P41)+(Dashboard!$C$8*'Equity and Bond Returns'!DN41)</f>
        <v>0.19294242389570473</v>
      </c>
      <c r="E41" s="119">
        <f ca="1">(Dashboard!$C$7*'Equity and Bond Returns'!Q41)+(Dashboard!$C$8*'Equity and Bond Returns'!DO41)</f>
        <v>0.10401212116508977</v>
      </c>
      <c r="F41" s="119">
        <f ca="1">(Dashboard!$C$7*'Equity and Bond Returns'!R41)+(Dashboard!$C$8*'Equity and Bond Returns'!DP41)</f>
        <v>0.1084165945175537</v>
      </c>
      <c r="G41" s="119">
        <f ca="1">(Dashboard!$C$7*'Equity and Bond Returns'!S41)+(Dashboard!$C$8*'Equity and Bond Returns'!DQ41)</f>
        <v>0.16550611839071872</v>
      </c>
      <c r="H41" s="119">
        <f ca="1">(Dashboard!$C$7*'Equity and Bond Returns'!T41)+(Dashboard!$C$8*'Equity and Bond Returns'!DR41)</f>
        <v>0.25009342905190352</v>
      </c>
      <c r="I41" s="119">
        <f ca="1">(Dashboard!$C$7*'Equity and Bond Returns'!U41)+(Dashboard!$C$8*'Equity and Bond Returns'!DS41)</f>
        <v>0.12967497773450395</v>
      </c>
      <c r="J41" s="119">
        <f ca="1">(Dashboard!$C$7*'Equity and Bond Returns'!V41)+(Dashboard!$C$8*'Equity and Bond Returns'!DT41)</f>
        <v>0.15678941726433415</v>
      </c>
      <c r="K41" s="119">
        <f ca="1">(Dashboard!$C$7*'Equity and Bond Returns'!W41)+(Dashboard!$C$8*'Equity and Bond Returns'!DU41)</f>
        <v>7.0394504668766553E-2</v>
      </c>
      <c r="L41" s="119">
        <f ca="1">(Dashboard!$C$7*'Equity and Bond Returns'!X41)+(Dashboard!$C$8*'Equity and Bond Returns'!DV41)</f>
        <v>2.7607907938895768E-2</v>
      </c>
      <c r="M41" s="119">
        <f ca="1">(Dashboard!$C$7*'Equity and Bond Returns'!Y41)+(Dashboard!$C$8*'Equity and Bond Returns'!DW41)</f>
        <v>0.15410300816435504</v>
      </c>
      <c r="N41" s="119">
        <f ca="1">(Dashboard!$C$7*'Equity and Bond Returns'!Z41)+(Dashboard!$C$8*'Equity and Bond Returns'!DX41)</f>
        <v>1.0028762192418952E-3</v>
      </c>
      <c r="O41" s="119">
        <f ca="1">(Dashboard!$C$7*'Equity and Bond Returns'!AA41)+(Dashboard!$C$8*'Equity and Bond Returns'!DY41)</f>
        <v>0.21725878117048084</v>
      </c>
      <c r="P41" s="119">
        <f ca="1">(Dashboard!$C$7*'Equity and Bond Returns'!AB41)+(Dashboard!$C$8*'Equity and Bond Returns'!DZ41)</f>
        <v>0.27933131248039805</v>
      </c>
      <c r="Q41" s="119">
        <f ca="1">(Dashboard!$C$7*'Equity and Bond Returns'!AC41)+(Dashboard!$C$8*'Equity and Bond Returns'!EA41)</f>
        <v>7.5987299650249779E-2</v>
      </c>
      <c r="R41" s="119">
        <f ca="1">(Dashboard!$C$7*'Equity and Bond Returns'!AD41)+(Dashboard!$C$8*'Equity and Bond Returns'!EB41)</f>
        <v>0.14082053001581896</v>
      </c>
      <c r="S41" s="119">
        <f ca="1">(Dashboard!$C$7*'Equity and Bond Returns'!AE41)+(Dashboard!$C$8*'Equity and Bond Returns'!EC41)</f>
        <v>-1.7623996600586105E-2</v>
      </c>
      <c r="T41" s="119">
        <f ca="1">(Dashboard!$C$7*'Equity and Bond Returns'!AF41)+(Dashboard!$C$8*'Equity and Bond Returns'!ED41)</f>
        <v>7.7787037138990822E-2</v>
      </c>
      <c r="U41" s="119">
        <f ca="1">(Dashboard!$C$7*'Equity and Bond Returns'!AG41)+(Dashboard!$C$8*'Equity and Bond Returns'!EE41)</f>
        <v>0.17709148938402003</v>
      </c>
      <c r="V41" s="119">
        <f ca="1">(Dashboard!$C$7*'Equity and Bond Returns'!AH41)+(Dashboard!$C$8*'Equity and Bond Returns'!EF41)</f>
        <v>0.15061824180323308</v>
      </c>
      <c r="W41" s="119">
        <f ca="1">(Dashboard!$C$7*'Equity and Bond Returns'!AI41)+(Dashboard!$C$8*'Equity and Bond Returns'!EG41)</f>
        <v>4.0241911191164798E-2</v>
      </c>
      <c r="X41" s="119">
        <f ca="1">(Dashboard!$C$7*'Equity and Bond Returns'!AJ41)+(Dashboard!$C$8*'Equity and Bond Returns'!EH41)</f>
        <v>-9.6168487404361916E-2</v>
      </c>
      <c r="Y41" s="119">
        <f ca="1">(Dashboard!$C$7*'Equity and Bond Returns'!AK41)+(Dashboard!$C$8*'Equity and Bond Returns'!EI41)</f>
        <v>-3.8549503339750865E-2</v>
      </c>
      <c r="Z41" s="119">
        <f ca="1">(Dashboard!$C$7*'Equity and Bond Returns'!AL41)+(Dashboard!$C$8*'Equity and Bond Returns'!EJ41)</f>
        <v>9.5137087106407739E-2</v>
      </c>
      <c r="AA41" s="119">
        <f ca="1">(Dashboard!$C$7*'Equity and Bond Returns'!AM41)+(Dashboard!$C$8*'Equity and Bond Returns'!EK41)</f>
        <v>0.451613593570316</v>
      </c>
      <c r="AB41" s="119">
        <f ca="1">(Dashboard!$C$7*'Equity and Bond Returns'!AN41)+(Dashboard!$C$8*'Equity and Bond Returns'!EL41)</f>
        <v>0.19770139327974923</v>
      </c>
      <c r="AC41" s="119">
        <f ca="1">(Dashboard!$C$7*'Equity and Bond Returns'!AO41)+(Dashboard!$C$8*'Equity and Bond Returns'!EM41)</f>
        <v>0.15595388168298788</v>
      </c>
      <c r="AD41" s="119">
        <f ca="1">(Dashboard!$C$7*'Equity and Bond Returns'!AP41)+(Dashboard!$C$8*'Equity and Bond Returns'!EN41)</f>
        <v>0.12120993477416235</v>
      </c>
      <c r="AE41" s="119">
        <f ca="1">(Dashboard!$C$7*'Equity and Bond Returns'!AQ41)+(Dashboard!$C$8*'Equity and Bond Returns'!EO41)</f>
        <v>-8.1727503526287382E-3</v>
      </c>
      <c r="AF41" s="119">
        <f ca="1">(Dashboard!$C$7*'Equity and Bond Returns'!AR41)+(Dashboard!$C$8*'Equity and Bond Returns'!EP41)</f>
        <v>-3.0218574877927326E-3</v>
      </c>
      <c r="AG41" s="119">
        <f ca="1">(Dashboard!$C$7*'Equity and Bond Returns'!AS41)+(Dashboard!$C$8*'Equity and Bond Returns'!EQ41)</f>
        <v>0.35472229773737018</v>
      </c>
      <c r="AH41" s="119">
        <f ca="1">(Dashboard!$C$7*'Equity and Bond Returns'!AT41)+(Dashboard!$C$8*'Equity and Bond Returns'!ER41)</f>
        <v>0.16092440684047671</v>
      </c>
      <c r="AI41" s="119">
        <f ca="1">(Dashboard!$C$7*'Equity and Bond Returns'!AU41)+(Dashboard!$C$8*'Equity and Bond Returns'!ES41)</f>
        <v>9.4509305832555332E-2</v>
      </c>
      <c r="AJ41" s="119">
        <f ca="1">(Dashboard!$C$7*'Equity and Bond Returns'!AV41)+(Dashboard!$C$8*'Equity and Bond Returns'!ET41)</f>
        <v>0.24138108308086328</v>
      </c>
      <c r="AK41" s="119">
        <f ca="1">(Dashboard!$C$7*'Equity and Bond Returns'!AW41)+(Dashboard!$C$8*'Equity and Bond Returns'!EU41)</f>
        <v>0.10940454222171551</v>
      </c>
      <c r="AL41" s="119">
        <f ca="1">(Dashboard!$C$7*'Equity and Bond Returns'!AX41)+(Dashboard!$C$8*'Equity and Bond Returns'!EV41)</f>
        <v>9.3567907890577687E-2</v>
      </c>
      <c r="AM41" s="119">
        <f ca="1">(Dashboard!$C$7*'Equity and Bond Returns'!AY41)+(Dashboard!$C$8*'Equity and Bond Returns'!EW41)</f>
        <v>0.33109188078720136</v>
      </c>
      <c r="AN41" s="119">
        <f ca="1">(Dashboard!$C$7*'Equity and Bond Returns'!AZ41)+(Dashboard!$C$8*'Equity and Bond Returns'!EX41)</f>
        <v>0.14724177440515859</v>
      </c>
      <c r="AO41" s="119">
        <f ca="1">(Dashboard!$C$7*'Equity and Bond Returns'!BA41)+(Dashboard!$C$8*'Equity and Bond Returns'!EY41)</f>
        <v>-0.10016818874364714</v>
      </c>
      <c r="AP41" s="119">
        <f ca="1">(Dashboard!$C$7*'Equity and Bond Returns'!BB41)+(Dashboard!$C$8*'Equity and Bond Returns'!EZ41)</f>
        <v>9.8413849536420434E-2</v>
      </c>
      <c r="AQ41" s="119">
        <f ca="1">(Dashboard!$C$7*'Equity and Bond Returns'!BC41)+(Dashboard!$C$8*'Equity and Bond Returns'!FA41)</f>
        <v>0.1838979018104018</v>
      </c>
      <c r="AR41" s="119">
        <f ca="1">(Dashboard!$C$7*'Equity and Bond Returns'!BD41)+(Dashboard!$C$8*'Equity and Bond Returns'!FB41)</f>
        <v>5.8804565269739983E-2</v>
      </c>
      <c r="AS41" s="119">
        <f ca="1">(Dashboard!$C$7*'Equity and Bond Returns'!BE41)+(Dashboard!$C$8*'Equity and Bond Returns'!FC41)</f>
        <v>0.21307534339497353</v>
      </c>
      <c r="AT41" s="119">
        <f ca="1">(Dashboard!$C$7*'Equity and Bond Returns'!BF41)+(Dashboard!$C$8*'Equity and Bond Returns'!FD41)</f>
        <v>4.398062230807389E-2</v>
      </c>
      <c r="AU41" s="119">
        <f ca="1">(Dashboard!$C$7*'Equity and Bond Returns'!BG41)+(Dashboard!$C$8*'Equity and Bond Returns'!FE41)</f>
        <v>3.4338351624793373E-2</v>
      </c>
      <c r="AV41" s="119">
        <f ca="1">(Dashboard!$C$7*'Equity and Bond Returns'!BH41)+(Dashboard!$C$8*'Equity and Bond Returns'!FF41)</f>
        <v>4.1558768852752673E-3</v>
      </c>
      <c r="AW41" s="119">
        <f ca="1">(Dashboard!$C$7*'Equity and Bond Returns'!BI41)+(Dashboard!$C$8*'Equity and Bond Returns'!FG41)</f>
        <v>-5.9756869273855748E-2</v>
      </c>
      <c r="AX41" s="119">
        <f ca="1">(Dashboard!$C$7*'Equity and Bond Returns'!BJ41)+(Dashboard!$C$8*'Equity and Bond Returns'!FH41)</f>
        <v>-2.7512003023728783E-2</v>
      </c>
      <c r="AY41" s="119">
        <f ca="1">(Dashboard!$C$7*'Equity and Bond Returns'!BK41)+(Dashboard!$C$8*'Equity and Bond Returns'!FI41)</f>
        <v>0.14869738590240433</v>
      </c>
      <c r="AZ41" s="119">
        <f ca="1">(Dashboard!$C$7*'Equity and Bond Returns'!BL41)+(Dashboard!$C$8*'Equity and Bond Returns'!FJ41)</f>
        <v>-0.22773662582422877</v>
      </c>
      <c r="BA41" s="119">
        <f ca="1">(Dashboard!$C$7*'Equity and Bond Returns'!BM41)+(Dashboard!$C$8*'Equity and Bond Returns'!FK41)</f>
        <v>0.2003681038553215</v>
      </c>
      <c r="BB41" s="119">
        <f ca="1">(Dashboard!$C$7*'Equity and Bond Returns'!BN41)+(Dashboard!$C$8*'Equity and Bond Returns'!FL41)</f>
        <v>0.2857183878047157</v>
      </c>
      <c r="BC41" s="119">
        <f ca="1">(Dashboard!$C$7*'Equity and Bond Returns'!BO41)+(Dashboard!$C$8*'Equity and Bond Returns'!FM41)</f>
        <v>0.19588289886374605</v>
      </c>
      <c r="BD41" s="119">
        <f ca="1">(Dashboard!$C$7*'Equity and Bond Returns'!BP41)+(Dashboard!$C$8*'Equity and Bond Returns'!FN41)</f>
        <v>2.2474701686449647E-2</v>
      </c>
      <c r="BE41" s="119">
        <f ca="1">(Dashboard!$C$7*'Equity and Bond Returns'!BQ41)+(Dashboard!$C$8*'Equity and Bond Returns'!FO41)</f>
        <v>7.4058362579060122E-2</v>
      </c>
      <c r="BF41" s="119">
        <f ca="1">(Dashboard!$C$7*'Equity and Bond Returns'!BR41)+(Dashboard!$C$8*'Equity and Bond Returns'!FP41)</f>
        <v>0.16181618708131693</v>
      </c>
      <c r="BG41" s="119">
        <f ca="1">(Dashboard!$C$7*'Equity and Bond Returns'!BS41)+(Dashboard!$C$8*'Equity and Bond Returns'!FQ41)</f>
        <v>-5.6326490333518046E-2</v>
      </c>
      <c r="BH41" s="119">
        <f ca="1">(Dashboard!$C$7*'Equity and Bond Returns'!BT41)+(Dashboard!$C$8*'Equity and Bond Returns'!FR41)</f>
        <v>7.3175624590870944E-2</v>
      </c>
      <c r="BI41" s="119">
        <f ca="1">(Dashboard!$C$7*'Equity and Bond Returns'!BU41)+(Dashboard!$C$8*'Equity and Bond Returns'!FS41)</f>
        <v>0.12942023841100278</v>
      </c>
      <c r="BJ41" s="119">
        <f ca="1">(Dashboard!$C$7*'Equity and Bond Returns'!BV41)+(Dashboard!$C$8*'Equity and Bond Returns'!FT41)</f>
        <v>-2.2592567744750242E-2</v>
      </c>
      <c r="BK41" s="119">
        <f ca="1">(Dashboard!$C$7*'Equity and Bond Returns'!BW41)+(Dashboard!$C$8*'Equity and Bond Returns'!FU41)</f>
        <v>3.8979760901543287E-2</v>
      </c>
      <c r="BL41" s="119">
        <f ca="1">(Dashboard!$C$7*'Equity and Bond Returns'!BX41)+(Dashboard!$C$8*'Equity and Bond Returns'!FV41)</f>
        <v>0.1302344442697867</v>
      </c>
      <c r="BM41" s="119">
        <f ca="1">(Dashboard!$C$7*'Equity and Bond Returns'!BY41)+(Dashboard!$C$8*'Equity and Bond Returns'!FW41)</f>
        <v>0.22201667796562854</v>
      </c>
      <c r="BN41" s="119">
        <f ca="1">(Dashboard!$C$7*'Equity and Bond Returns'!BZ41)+(Dashboard!$C$8*'Equity and Bond Returns'!FX41)</f>
        <v>0.13002588958381092</v>
      </c>
      <c r="BO41" s="119">
        <f ca="1">(Dashboard!$C$7*'Equity and Bond Returns'!CA41)+(Dashboard!$C$8*'Equity and Bond Returns'!FY41)</f>
        <v>6.0648614576353739E-2</v>
      </c>
      <c r="BP41" s="119">
        <f ca="1">(Dashboard!$C$7*'Equity and Bond Returns'!CB41)+(Dashboard!$C$8*'Equity and Bond Returns'!FZ41)</f>
        <v>0.12536544811663247</v>
      </c>
      <c r="BQ41" s="119">
        <f ca="1">(Dashboard!$C$7*'Equity and Bond Returns'!CC41)+(Dashboard!$C$8*'Equity and Bond Returns'!GA41)</f>
        <v>-4.956143255896972E-2</v>
      </c>
      <c r="BR41" s="119">
        <f ca="1">(Dashboard!$C$7*'Equity and Bond Returns'!CD41)+(Dashboard!$C$8*'Equity and Bond Returns'!GB41)</f>
        <v>-0.20526104773259715</v>
      </c>
      <c r="BS41" s="119">
        <f ca="1">(Dashboard!$C$7*'Equity and Bond Returns'!CE41)+(Dashboard!$C$8*'Equity and Bond Returns'!GC41)</f>
        <v>0.15155672449344074</v>
      </c>
      <c r="BT41" s="119">
        <f ca="1">(Dashboard!$C$7*'Equity and Bond Returns'!CF41)+(Dashboard!$C$8*'Equity and Bond Returns'!GD41)</f>
        <v>0.25075054823232856</v>
      </c>
      <c r="BU41" s="119">
        <f ca="1">(Dashboard!$C$7*'Equity and Bond Returns'!CG41)+(Dashboard!$C$8*'Equity and Bond Returns'!GE41)</f>
        <v>6.3045167229785398E-2</v>
      </c>
      <c r="BV41" s="119">
        <f ca="1">(Dashboard!$C$7*'Equity and Bond Returns'!CH41)+(Dashboard!$C$8*'Equity and Bond Returns'!GF41)</f>
        <v>-6.6891655506178954E-2</v>
      </c>
      <c r="BW41" s="119">
        <f ca="1">(Dashboard!$C$7*'Equity and Bond Returns'!CI41)+(Dashboard!$C$8*'Equity and Bond Returns'!GG41)</f>
        <v>8.7210488136741343E-2</v>
      </c>
      <c r="BX41" s="119">
        <f ca="1">(Dashboard!$C$7*'Equity and Bond Returns'!CJ41)+(Dashboard!$C$8*'Equity and Bond Returns'!GH41)</f>
        <v>7.1740671358973607E-2</v>
      </c>
      <c r="BY41" s="119">
        <f ca="1">(Dashboard!$C$7*'Equity and Bond Returns'!CK41)+(Dashboard!$C$8*'Equity and Bond Returns'!GI41)</f>
        <v>0.17852494936182448</v>
      </c>
      <c r="BZ41" s="119">
        <f ca="1">(Dashboard!$C$7*'Equity and Bond Returns'!CL41)+(Dashboard!$C$8*'Equity and Bond Returns'!GJ41)</f>
        <v>0.20508149136437656</v>
      </c>
      <c r="CA41" s="119">
        <f ca="1">(Dashboard!$C$7*'Equity and Bond Returns'!CM41)+(Dashboard!$C$8*'Equity and Bond Returns'!GK41)</f>
        <v>1.3074581294002529E-2</v>
      </c>
      <c r="CB41" s="119">
        <f ca="1">(Dashboard!$C$7*'Equity and Bond Returns'!CN41)+(Dashboard!$C$8*'Equity and Bond Returns'!GL41)</f>
        <v>0.28293330486761697</v>
      </c>
      <c r="CC41" s="119">
        <f ca="1">(Dashboard!$C$7*'Equity and Bond Returns'!CO41)+(Dashboard!$C$8*'Equity and Bond Returns'!GM41)</f>
        <v>2.3136995879574112E-2</v>
      </c>
      <c r="CD41" s="119">
        <f ca="1">(Dashboard!$C$7*'Equity and Bond Returns'!CP41)+(Dashboard!$C$8*'Equity and Bond Returns'!GN41)</f>
        <v>2.005679716151483E-2</v>
      </c>
      <c r="CE41" s="119">
        <f ca="1">(Dashboard!$C$7*'Equity and Bond Returns'!CQ41)+(Dashboard!$C$8*'Equity and Bond Returns'!GO41)</f>
        <v>4.1605808098331108E-2</v>
      </c>
      <c r="CF41" s="119">
        <f ca="1">(Dashboard!$C$7*'Equity and Bond Returns'!CR41)+(Dashboard!$C$8*'Equity and Bond Returns'!GP41)</f>
        <v>-5.2719161241211919E-2</v>
      </c>
      <c r="CG41" s="119">
        <f ca="1">(Dashboard!$C$7*'Equity and Bond Returns'!CS41)+(Dashboard!$C$8*'Equity and Bond Returns'!GQ41)</f>
        <v>0.11781341402296583</v>
      </c>
      <c r="CH41" s="119">
        <f ca="1">(Dashboard!$C$7*'Equity and Bond Returns'!CT41)+(Dashboard!$C$8*'Equity and Bond Returns'!GR41)</f>
        <v>-0.34816164382861303</v>
      </c>
      <c r="CI41" s="119">
        <f ca="1">(Dashboard!$C$7*'Equity and Bond Returns'!CU41)+(Dashboard!$C$8*'Equity and Bond Returns'!GS41)</f>
        <v>0.12852624095438958</v>
      </c>
      <c r="CJ41" s="119">
        <f ca="1">(Dashboard!$C$7*'Equity and Bond Returns'!CV41)+(Dashboard!$C$8*'Equity and Bond Returns'!GT41)</f>
        <v>-0.15537532628623033</v>
      </c>
      <c r="CK41" s="119">
        <f ca="1">(Dashboard!$C$7*'Equity and Bond Returns'!CW41)+(Dashboard!$C$8*'Equity and Bond Returns'!GU41)</f>
        <v>1.1669334474372593E-2</v>
      </c>
      <c r="CL41" s="119">
        <f ca="1">(Dashboard!$C$7*'Equity and Bond Returns'!CX41)+(Dashboard!$C$8*'Equity and Bond Returns'!GV41)</f>
        <v>5.5489401803269563E-2</v>
      </c>
      <c r="CM41" s="119">
        <f ca="1">(Dashboard!$C$7*'Equity and Bond Returns'!CY41)+(Dashboard!$C$8*'Equity and Bond Returns'!GW41)</f>
        <v>-6.7838856611652093E-2</v>
      </c>
      <c r="CN41" s="119">
        <f ca="1">(Dashboard!$C$7*'Equity and Bond Returns'!CZ41)+(Dashboard!$C$8*'Equity and Bond Returns'!GX41)</f>
        <v>0.26500317820395802</v>
      </c>
      <c r="CO41" s="119">
        <f ca="1">(Dashboard!$C$7*'Equity and Bond Returns'!DA41)+(Dashboard!$C$8*'Equity and Bond Returns'!GY41)</f>
        <v>0.1050644953198117</v>
      </c>
      <c r="CP41" s="119">
        <f ca="1">(Dashboard!$C$7*'Equity and Bond Returns'!DB41)+(Dashboard!$C$8*'Equity and Bond Returns'!GZ41)</f>
        <v>8.0007239243378075E-2</v>
      </c>
      <c r="CQ41" s="119">
        <f ca="1">(Dashboard!$C$7*'Equity and Bond Returns'!DC41)+(Dashboard!$C$8*'Equity and Bond Returns'!HA41)</f>
        <v>5.2992105275697435E-3</v>
      </c>
      <c r="CR41" s="119">
        <f ca="1">(Dashboard!$C$7*'Equity and Bond Returns'!DD41)+(Dashboard!$C$8*'Equity and Bond Returns'!HB41)</f>
        <v>0.25277047472369812</v>
      </c>
      <c r="CS41" s="119">
        <f ca="1">(Dashboard!$C$7*'Equity and Bond Returns'!DE41)+(Dashboard!$C$8*'Equity and Bond Returns'!HC41)</f>
        <v>-0.28009988844726913</v>
      </c>
      <c r="CT41" s="119">
        <f ca="1">(Dashboard!$C$7*'Equity and Bond Returns'!DF41)+(Dashboard!$C$8*'Equity and Bond Returns'!HD41)</f>
        <v>0.19678677764113461</v>
      </c>
      <c r="CU41" s="119">
        <f ca="1">(Dashboard!$C$7*'Equity and Bond Returns'!DG41)+(Dashboard!$C$8*'Equity and Bond Returns'!HE41)</f>
        <v>0.12747555254133633</v>
      </c>
      <c r="CV41" s="119">
        <f ca="1">(Dashboard!$C$7*'Equity and Bond Returns'!DH41)+(Dashboard!$C$8*'Equity and Bond Returns'!HF41)</f>
        <v>-2.6598150993125243E-2</v>
      </c>
      <c r="CW41" s="119">
        <f ca="1">(Dashboard!$C$7*'Equity and Bond Returns'!DI41)+(Dashboard!$C$8*'Equity and Bond Returns'!HG41)</f>
        <v>-7.39987134940342E-3</v>
      </c>
      <c r="CY41" s="147">
        <f t="shared" si="5"/>
        <v>90</v>
      </c>
      <c r="CZ41" s="147">
        <v>40</v>
      </c>
      <c r="DA41" s="126">
        <f ca="1">MAX(DA40*(1+B41)-(Dashboard!$C$11)/(1-Dashboard!$C$17)*((1+Dashboard!$C$12)^$CZ41),0)</f>
        <v>26431312.123216156</v>
      </c>
      <c r="DB41" s="126">
        <f ca="1">MAX(DB40*(1+C41)-(Dashboard!$C$11)/(1-Dashboard!$C$17)*((1+Dashboard!$C$12)^$CZ41),0)</f>
        <v>0</v>
      </c>
      <c r="DC41" s="126">
        <f ca="1">MAX(DC40*(1+D41)-(Dashboard!$C$11)/(1-Dashboard!$C$17)*((1+Dashboard!$C$12)^$CZ41),0)</f>
        <v>4525363.4261206733</v>
      </c>
      <c r="DD41" s="126">
        <f ca="1">MAX(DD40*(1+E41)-(Dashboard!$C$11)/(1-Dashboard!$C$17)*((1+Dashboard!$C$12)^$CZ41),0)</f>
        <v>123616.17071361958</v>
      </c>
      <c r="DE41" s="126">
        <f ca="1">MAX(DE40*(1+F41)-(Dashboard!$C$11)/(1-Dashboard!$C$17)*((1+Dashboard!$C$12)^$CZ41),0)</f>
        <v>6816354.6395754283</v>
      </c>
      <c r="DF41" s="126">
        <f ca="1">MAX(DF40*(1+G41)-(Dashboard!$C$11)/(1-Dashboard!$C$17)*((1+Dashboard!$C$12)^$CZ41),0)</f>
        <v>16246482.962644702</v>
      </c>
      <c r="DG41" s="126">
        <f ca="1">MAX(DG40*(1+H41)-(Dashboard!$C$11)/(1-Dashboard!$C$17)*((1+Dashboard!$C$12)^$CZ41),0)</f>
        <v>0</v>
      </c>
      <c r="DH41" s="126">
        <f ca="1">MAX(DH40*(1+I41)-(Dashboard!$C$11)/(1-Dashboard!$C$17)*((1+Dashboard!$C$12)^$CZ41),0)</f>
        <v>34784875.987319715</v>
      </c>
      <c r="DI41" s="126">
        <f ca="1">MAX(DI40*(1+J41)-(Dashboard!$C$11)/(1-Dashboard!$C$17)*((1+Dashboard!$C$12)^$CZ41),0)</f>
        <v>5132274.856037301</v>
      </c>
      <c r="DJ41" s="126">
        <f ca="1">MAX(DJ40*(1+K41)-(Dashboard!$C$11)/(1-Dashboard!$C$17)*((1+Dashboard!$C$12)^$CZ41),0)</f>
        <v>8966509.4162722863</v>
      </c>
      <c r="DK41" s="126">
        <f ca="1">MAX(DK40*(1+L41)-(Dashboard!$C$11)/(1-Dashboard!$C$17)*((1+Dashboard!$C$12)^$CZ41),0)</f>
        <v>8369131.0899023954</v>
      </c>
      <c r="DL41" s="126">
        <f ca="1">MAX(DL40*(1+M41)-(Dashboard!$C$11)/(1-Dashboard!$C$17)*((1+Dashboard!$C$12)^$CZ41),0)</f>
        <v>682138.16999910725</v>
      </c>
      <c r="DM41" s="126">
        <f ca="1">MAX(DM40*(1+N41)-(Dashboard!$C$11)/(1-Dashboard!$C$17)*((1+Dashboard!$C$12)^$CZ41),0)</f>
        <v>9904229.1524137035</v>
      </c>
      <c r="DN41" s="126">
        <f ca="1">MAX(DN40*(1+O41)-(Dashboard!$C$11)/(1-Dashboard!$C$17)*((1+Dashboard!$C$12)^$CZ41),0)</f>
        <v>77008758.983536422</v>
      </c>
      <c r="DO41" s="126">
        <f ca="1">MAX(DO40*(1+P41)-(Dashboard!$C$11)/(1-Dashboard!$C$17)*((1+Dashboard!$C$12)^$CZ41),0)</f>
        <v>3308098.0536165717</v>
      </c>
      <c r="DP41" s="126">
        <f ca="1">MAX(DP40*(1+Q41)-(Dashboard!$C$11)/(1-Dashboard!$C$17)*((1+Dashboard!$C$12)^$CZ41),0)</f>
        <v>1413229.1205105451</v>
      </c>
      <c r="DQ41" s="126">
        <f ca="1">MAX(DQ40*(1+R41)-(Dashboard!$C$11)/(1-Dashboard!$C$17)*((1+Dashboard!$C$12)^$CZ41),0)</f>
        <v>4233742.3929791758</v>
      </c>
      <c r="DR41" s="126">
        <f ca="1">MAX(DR40*(1+S41)-(Dashboard!$C$11)/(1-Dashboard!$C$17)*((1+Dashboard!$C$12)^$CZ41),0)</f>
        <v>9060738.8790453412</v>
      </c>
      <c r="DS41" s="126">
        <f ca="1">MAX(DS40*(1+T41)-(Dashboard!$C$11)/(1-Dashboard!$C$17)*((1+Dashboard!$C$12)^$CZ41),0)</f>
        <v>0</v>
      </c>
      <c r="DT41" s="126">
        <f ca="1">MAX(DT40*(1+U41)-(Dashboard!$C$11)/(1-Dashboard!$C$17)*((1+Dashboard!$C$12)^$CZ41),0)</f>
        <v>699601.63649043778</v>
      </c>
      <c r="DU41" s="126">
        <f ca="1">MAX(DU40*(1+V41)-(Dashboard!$C$11)/(1-Dashboard!$C$17)*((1+Dashboard!$C$12)^$CZ41),0)</f>
        <v>3503500.9898655736</v>
      </c>
      <c r="DV41" s="126">
        <f ca="1">MAX(DV40*(1+W41)-(Dashboard!$C$11)/(1-Dashboard!$C$17)*((1+Dashboard!$C$12)^$CZ41),0)</f>
        <v>47590730.981021985</v>
      </c>
      <c r="DW41" s="126">
        <f ca="1">MAX(DW40*(1+X41)-(Dashboard!$C$11)/(1-Dashboard!$C$17)*((1+Dashboard!$C$12)^$CZ41),0)</f>
        <v>3755859.916072174</v>
      </c>
      <c r="DX41" s="126">
        <f ca="1">MAX(DX40*(1+Y41)-(Dashboard!$C$11)/(1-Dashboard!$C$17)*((1+Dashboard!$C$12)^$CZ41),0)</f>
        <v>1819819.1676501238</v>
      </c>
      <c r="DY41" s="126">
        <f ca="1">MAX(DY40*(1+Z41)-(Dashboard!$C$11)/(1-Dashboard!$C$17)*((1+Dashboard!$C$12)^$CZ41),0)</f>
        <v>12636944.62224195</v>
      </c>
      <c r="DZ41" s="126">
        <f ca="1">MAX(DZ40*(1+AA41)-(Dashboard!$C$11)/(1-Dashboard!$C$17)*((1+Dashboard!$C$12)^$CZ41),0)</f>
        <v>6942047.240055576</v>
      </c>
      <c r="EA41" s="126">
        <f ca="1">MAX(EA40*(1+AB41)-(Dashboard!$C$11)/(1-Dashboard!$C$17)*((1+Dashboard!$C$12)^$CZ41),0)</f>
        <v>3015482.0966872382</v>
      </c>
      <c r="EB41" s="126">
        <f ca="1">MAX(EB40*(1+AC41)-(Dashboard!$C$11)/(1-Dashboard!$C$17)*((1+Dashboard!$C$12)^$CZ41),0)</f>
        <v>5730542.5971835135</v>
      </c>
      <c r="EC41" s="126">
        <f ca="1">MAX(EC40*(1+AD41)-(Dashboard!$C$11)/(1-Dashboard!$C$17)*((1+Dashboard!$C$12)^$CZ41),0)</f>
        <v>8463698.123292055</v>
      </c>
      <c r="ED41" s="126">
        <f ca="1">MAX(ED40*(1+AE41)-(Dashboard!$C$11)/(1-Dashboard!$C$17)*((1+Dashboard!$C$12)^$CZ41),0)</f>
        <v>5259980.7648284798</v>
      </c>
      <c r="EE41" s="126">
        <f ca="1">MAX(EE40*(1+AF41)-(Dashboard!$C$11)/(1-Dashboard!$C$17)*((1+Dashboard!$C$12)^$CZ41),0)</f>
        <v>23128542.690851778</v>
      </c>
      <c r="EF41" s="126">
        <f ca="1">MAX(EF40*(1+AG41)-(Dashboard!$C$11)/(1-Dashboard!$C$17)*((1+Dashboard!$C$12)^$CZ41),0)</f>
        <v>107535.72054802974</v>
      </c>
      <c r="EG41" s="126">
        <f ca="1">MAX(EG40*(1+AH41)-(Dashboard!$C$11)/(1-Dashboard!$C$17)*((1+Dashboard!$C$12)^$CZ41),0)</f>
        <v>7843606.4870134741</v>
      </c>
      <c r="EH41" s="126">
        <f ca="1">MAX(EH40*(1+AI41)-(Dashboard!$C$11)/(1-Dashboard!$C$17)*((1+Dashboard!$C$12)^$CZ41),0)</f>
        <v>14177832.77504384</v>
      </c>
      <c r="EI41" s="126">
        <f ca="1">MAX(EI40*(1+AJ41)-(Dashboard!$C$11)/(1-Dashboard!$C$17)*((1+Dashboard!$C$12)^$CZ41),0)</f>
        <v>0</v>
      </c>
      <c r="EJ41" s="126">
        <f ca="1">MAX(EJ40*(1+AK41)-(Dashboard!$C$11)/(1-Dashboard!$C$17)*((1+Dashboard!$C$12)^$CZ41),0)</f>
        <v>7311492.4442912024</v>
      </c>
      <c r="EK41" s="126">
        <f ca="1">MAX(EK40*(1+AL41)-(Dashboard!$C$11)/(1-Dashboard!$C$17)*((1+Dashboard!$C$12)^$CZ41),0)</f>
        <v>3513050.962004954</v>
      </c>
      <c r="EL41" s="126">
        <f ca="1">MAX(EL40*(1+AM41)-(Dashboard!$C$11)/(1-Dashboard!$C$17)*((1+Dashboard!$C$12)^$CZ41),0)</f>
        <v>1723876.9071667078</v>
      </c>
      <c r="EM41" s="126">
        <f ca="1">MAX(EM40*(1+AN41)-(Dashboard!$C$11)/(1-Dashboard!$C$17)*((1+Dashboard!$C$12)^$CZ41),0)</f>
        <v>19585277.123602137</v>
      </c>
      <c r="EN41" s="126">
        <f ca="1">MAX(EN40*(1+AO41)-(Dashboard!$C$11)/(1-Dashboard!$C$17)*((1+Dashboard!$C$12)^$CZ41),0)</f>
        <v>2467644.718435484</v>
      </c>
      <c r="EO41" s="126">
        <f ca="1">MAX(EO40*(1+AP41)-(Dashboard!$C$11)/(1-Dashboard!$C$17)*((1+Dashboard!$C$12)^$CZ41),0)</f>
        <v>0</v>
      </c>
      <c r="EP41" s="126">
        <f ca="1">MAX(EP40*(1+AQ41)-(Dashboard!$C$11)/(1-Dashboard!$C$17)*((1+Dashboard!$C$12)^$CZ41),0)</f>
        <v>5491680.4458582057</v>
      </c>
      <c r="EQ41" s="126">
        <f ca="1">MAX(EQ40*(1+AR41)-(Dashboard!$C$11)/(1-Dashboard!$C$17)*((1+Dashboard!$C$12)^$CZ41),0)</f>
        <v>3542405.5993551961</v>
      </c>
      <c r="ER41" s="126">
        <f ca="1">MAX(ER40*(1+AS41)-(Dashboard!$C$11)/(1-Dashboard!$C$17)*((1+Dashboard!$C$12)^$CZ41),0)</f>
        <v>0</v>
      </c>
      <c r="ES41" s="126">
        <f ca="1">MAX(ES40*(1+AT41)-(Dashboard!$C$11)/(1-Dashboard!$C$17)*((1+Dashboard!$C$12)^$CZ41),0)</f>
        <v>29912807.947979309</v>
      </c>
      <c r="ET41" s="126">
        <f ca="1">MAX(ET40*(1+AU41)-(Dashboard!$C$11)/(1-Dashboard!$C$17)*((1+Dashboard!$C$12)^$CZ41),0)</f>
        <v>5493194.2544370145</v>
      </c>
      <c r="EU41" s="126">
        <f ca="1">MAX(EU40*(1+AV41)-(Dashboard!$C$11)/(1-Dashboard!$C$17)*((1+Dashboard!$C$12)^$CZ41),0)</f>
        <v>4170949.844552971</v>
      </c>
      <c r="EV41" s="126">
        <f ca="1">MAX(EV40*(1+AW41)-(Dashboard!$C$11)/(1-Dashboard!$C$17)*((1+Dashboard!$C$12)^$CZ41),0)</f>
        <v>43690171.027184695</v>
      </c>
      <c r="EW41" s="126">
        <f ca="1">MAX(EW40*(1+AX41)-(Dashboard!$C$11)/(1-Dashboard!$C$17)*((1+Dashboard!$C$12)^$CZ41),0)</f>
        <v>1602320.4461480267</v>
      </c>
      <c r="EX41" s="126">
        <f ca="1">MAX(EX40*(1+AY41)-(Dashboard!$C$11)/(1-Dashboard!$C$17)*((1+Dashboard!$C$12)^$CZ41),0)</f>
        <v>3793877.289952823</v>
      </c>
      <c r="EY41" s="126">
        <f ca="1">MAX(EY40*(1+AZ41)-(Dashboard!$C$11)/(1-Dashboard!$C$17)*((1+Dashboard!$C$12)^$CZ41),0)</f>
        <v>11565589.732404685</v>
      </c>
      <c r="EZ41" s="126">
        <f ca="1">MAX(EZ40*(1+BA41)-(Dashboard!$C$11)/(1-Dashboard!$C$17)*((1+Dashboard!$C$12)^$CZ41),0)</f>
        <v>2689594.9221125473</v>
      </c>
      <c r="FA41" s="126">
        <f ca="1">MAX(FA40*(1+BB41)-(Dashboard!$C$11)/(1-Dashboard!$C$17)*((1+Dashboard!$C$12)^$CZ41),0)</f>
        <v>26214894.109504309</v>
      </c>
      <c r="FB41" s="126">
        <f ca="1">MAX(FB40*(1+BC41)-(Dashboard!$C$11)/(1-Dashboard!$C$17)*((1+Dashboard!$C$12)^$CZ41),0)</f>
        <v>810334.32309414248</v>
      </c>
      <c r="FC41" s="126">
        <f ca="1">MAX(FC40*(1+BD41)-(Dashboard!$C$11)/(1-Dashboard!$C$17)*((1+Dashboard!$C$12)^$CZ41),0)</f>
        <v>5076966.5493143685</v>
      </c>
      <c r="FD41" s="126">
        <f ca="1">MAX(FD40*(1+BE41)-(Dashboard!$C$11)/(1-Dashboard!$C$17)*((1+Dashboard!$C$12)^$CZ41),0)</f>
        <v>23759615.28546647</v>
      </c>
      <c r="FE41" s="126">
        <f ca="1">MAX(FE40*(1+BF41)-(Dashboard!$C$11)/(1-Dashboard!$C$17)*((1+Dashboard!$C$12)^$CZ41),0)</f>
        <v>18962866.958359212</v>
      </c>
      <c r="FF41" s="126">
        <f ca="1">MAX(FF40*(1+BG41)-(Dashboard!$C$11)/(1-Dashboard!$C$17)*((1+Dashboard!$C$12)^$CZ41),0)</f>
        <v>3606270.1160566397</v>
      </c>
      <c r="FG41" s="126">
        <f ca="1">MAX(FG40*(1+BH41)-(Dashboard!$C$11)/(1-Dashboard!$C$17)*((1+Dashboard!$C$12)^$CZ41),0)</f>
        <v>1320101.7393146486</v>
      </c>
      <c r="FH41" s="126">
        <f ca="1">MAX(FH40*(1+BI41)-(Dashboard!$C$11)/(1-Dashboard!$C$17)*((1+Dashboard!$C$12)^$CZ41),0)</f>
        <v>4402780.0340179689</v>
      </c>
      <c r="FI41" s="126">
        <f ca="1">MAX(FI40*(1+BJ41)-(Dashboard!$C$11)/(1-Dashboard!$C$17)*((1+Dashboard!$C$12)^$CZ41),0)</f>
        <v>10478759.895029804</v>
      </c>
      <c r="FJ41" s="126">
        <f ca="1">MAX(FJ40*(1+BK41)-(Dashboard!$C$11)/(1-Dashboard!$C$17)*((1+Dashboard!$C$12)^$CZ41),0)</f>
        <v>2725255.0679377844</v>
      </c>
      <c r="FK41" s="126">
        <f ca="1">MAX(FK40*(1+BL41)-(Dashboard!$C$11)/(1-Dashboard!$C$17)*((1+Dashboard!$C$12)^$CZ41),0)</f>
        <v>3419216.8310971297</v>
      </c>
      <c r="FL41" s="126">
        <f ca="1">MAX(FL40*(1+BM41)-(Dashboard!$C$11)/(1-Dashboard!$C$17)*((1+Dashboard!$C$12)^$CZ41),0)</f>
        <v>2031042.4783284375</v>
      </c>
      <c r="FM41" s="126">
        <f ca="1">MAX(FM40*(1+BN41)-(Dashboard!$C$11)/(1-Dashboard!$C$17)*((1+Dashboard!$C$12)^$CZ41),0)</f>
        <v>3836970.6021127771</v>
      </c>
      <c r="FN41" s="126">
        <f ca="1">MAX(FN40*(1+BO41)-(Dashboard!$C$11)/(1-Dashboard!$C$17)*((1+Dashboard!$C$12)^$CZ41),0)</f>
        <v>0</v>
      </c>
      <c r="FO41" s="126">
        <f ca="1">MAX(FO40*(1+BP41)-(Dashboard!$C$11)/(1-Dashboard!$C$17)*((1+Dashboard!$C$12)^$CZ41),0)</f>
        <v>4225813.2295392836</v>
      </c>
      <c r="FP41" s="126">
        <f ca="1">MAX(FP40*(1+BQ41)-(Dashboard!$C$11)/(1-Dashboard!$C$17)*((1+Dashboard!$C$12)^$CZ41),0)</f>
        <v>2163689.7559459531</v>
      </c>
      <c r="FQ41" s="126">
        <f ca="1">MAX(FQ40*(1+BR41)-(Dashboard!$C$11)/(1-Dashboard!$C$17)*((1+Dashboard!$C$12)^$CZ41),0)</f>
        <v>1339161.8473429468</v>
      </c>
      <c r="FR41" s="126">
        <f ca="1">MAX(FR40*(1+BS41)-(Dashboard!$C$11)/(1-Dashboard!$C$17)*((1+Dashboard!$C$12)^$CZ41),0)</f>
        <v>12564963.033551509</v>
      </c>
      <c r="FS41" s="126">
        <f ca="1">MAX(FS40*(1+BT41)-(Dashboard!$C$11)/(1-Dashboard!$C$17)*((1+Dashboard!$C$12)^$CZ41),0)</f>
        <v>10977996.013184672</v>
      </c>
      <c r="FT41" s="126">
        <f ca="1">MAX(FT40*(1+BU41)-(Dashboard!$C$11)/(1-Dashboard!$C$17)*((1+Dashboard!$C$12)^$CZ41),0)</f>
        <v>0</v>
      </c>
      <c r="FU41" s="126">
        <f ca="1">MAX(FU40*(1+BV41)-(Dashboard!$C$11)/(1-Dashboard!$C$17)*((1+Dashboard!$C$12)^$CZ41),0)</f>
        <v>1429638.1522736701</v>
      </c>
      <c r="FV41" s="126">
        <f ca="1">MAX(FV40*(1+BW41)-(Dashboard!$C$11)/(1-Dashboard!$C$17)*((1+Dashboard!$C$12)^$CZ41),0)</f>
        <v>6227251.1262716101</v>
      </c>
      <c r="FW41" s="126">
        <f ca="1">MAX(FW40*(1+BX41)-(Dashboard!$C$11)/(1-Dashboard!$C$17)*((1+Dashboard!$C$12)^$CZ41),0)</f>
        <v>2262380.9732206548</v>
      </c>
      <c r="FX41" s="126">
        <f ca="1">MAX(FX40*(1+BY41)-(Dashboard!$C$11)/(1-Dashboard!$C$17)*((1+Dashboard!$C$12)^$CZ41),0)</f>
        <v>0</v>
      </c>
      <c r="FY41" s="126">
        <f ca="1">MAX(FY40*(1+BZ41)-(Dashboard!$C$11)/(1-Dashboard!$C$17)*((1+Dashboard!$C$12)^$CZ41),0)</f>
        <v>239783.88979896146</v>
      </c>
      <c r="FZ41" s="126">
        <f ca="1">MAX(FZ40*(1+CA41)-(Dashboard!$C$11)/(1-Dashboard!$C$17)*((1+Dashboard!$C$12)^$CZ41),0)</f>
        <v>20905058.203820121</v>
      </c>
      <c r="GA41" s="126">
        <f ca="1">MAX(GA40*(1+CB41)-(Dashboard!$C$11)/(1-Dashboard!$C$17)*((1+Dashboard!$C$12)^$CZ41),0)</f>
        <v>17406717.407245904</v>
      </c>
      <c r="GB41" s="126">
        <f ca="1">MAX(GB40*(1+CC41)-(Dashboard!$C$11)/(1-Dashboard!$C$17)*((1+Dashboard!$C$12)^$CZ41),0)</f>
        <v>3151284.7282337476</v>
      </c>
      <c r="GC41" s="126">
        <f ca="1">MAX(GC40*(1+CD41)-(Dashboard!$C$11)/(1-Dashboard!$C$17)*((1+Dashboard!$C$12)^$CZ41),0)</f>
        <v>8569269.55645537</v>
      </c>
      <c r="GD41" s="126">
        <f ca="1">MAX(GD40*(1+CE41)-(Dashboard!$C$11)/(1-Dashboard!$C$17)*((1+Dashboard!$C$12)^$CZ41),0)</f>
        <v>44933486.486970127</v>
      </c>
      <c r="GE41" s="126">
        <f ca="1">MAX(GE40*(1+CF41)-(Dashboard!$C$11)/(1-Dashboard!$C$17)*((1+Dashboard!$C$12)^$CZ41),0)</f>
        <v>5085725.4408402676</v>
      </c>
      <c r="GF41" s="126">
        <f ca="1">MAX(GF40*(1+CG41)-(Dashboard!$C$11)/(1-Dashboard!$C$17)*((1+Dashboard!$C$12)^$CZ41),0)</f>
        <v>4906041.8176394934</v>
      </c>
      <c r="GG41" s="126">
        <f ca="1">MAX(GG40*(1+CH41)-(Dashboard!$C$11)/(1-Dashboard!$C$17)*((1+Dashboard!$C$12)^$CZ41),0)</f>
        <v>255994.48411718587</v>
      </c>
      <c r="GH41" s="126">
        <f ca="1">MAX(GH40*(1+CI41)-(Dashboard!$C$11)/(1-Dashboard!$C$17)*((1+Dashboard!$C$12)^$CZ41),0)</f>
        <v>1303210.0076324609</v>
      </c>
      <c r="GI41" s="126">
        <f ca="1">MAX(GI40*(1+CJ41)-(Dashboard!$C$11)/(1-Dashboard!$C$17)*((1+Dashboard!$C$12)^$CZ41),0)</f>
        <v>9080750.2434296869</v>
      </c>
      <c r="GJ41" s="126">
        <f ca="1">MAX(GJ40*(1+CK41)-(Dashboard!$C$11)/(1-Dashboard!$C$17)*((1+Dashboard!$C$12)^$CZ41),0)</f>
        <v>28408690.600896571</v>
      </c>
      <c r="GK41" s="126">
        <f ca="1">MAX(GK40*(1+CL41)-(Dashboard!$C$11)/(1-Dashboard!$C$17)*((1+Dashboard!$C$12)^$CZ41),0)</f>
        <v>5205256.9849408083</v>
      </c>
      <c r="GL41" s="126">
        <f ca="1">MAX(GL40*(1+CM41)-(Dashboard!$C$11)/(1-Dashboard!$C$17)*((1+Dashboard!$C$12)^$CZ41),0)</f>
        <v>10031712.898762777</v>
      </c>
      <c r="GM41" s="126">
        <f ca="1">MAX(GM40*(1+CN41)-(Dashboard!$C$11)/(1-Dashboard!$C$17)*((1+Dashboard!$C$12)^$CZ41),0)</f>
        <v>148445.98002516088</v>
      </c>
      <c r="GN41" s="126">
        <f ca="1">MAX(GN40*(1+CO41)-(Dashboard!$C$11)/(1-Dashboard!$C$17)*((1+Dashboard!$C$12)^$CZ41),0)</f>
        <v>0</v>
      </c>
      <c r="GO41" s="126">
        <f ca="1">MAX(GO40*(1+CP41)-(Dashboard!$C$11)/(1-Dashboard!$C$17)*((1+Dashboard!$C$12)^$CZ41),0)</f>
        <v>3029866.0427461383</v>
      </c>
      <c r="GP41" s="126">
        <f ca="1">MAX(GP40*(1+CQ41)-(Dashboard!$C$11)/(1-Dashboard!$C$17)*((1+Dashboard!$C$12)^$CZ41),0)</f>
        <v>7152644.2747694133</v>
      </c>
      <c r="GQ41" s="126">
        <f ca="1">MAX(GQ40*(1+CR41)-(Dashboard!$C$11)/(1-Dashboard!$C$17)*((1+Dashboard!$C$12)^$CZ41),0)</f>
        <v>0</v>
      </c>
      <c r="GR41" s="126">
        <f ca="1">MAX(GR40*(1+CS41)-(Dashboard!$C$11)/(1-Dashboard!$C$17)*((1+Dashboard!$C$12)^$CZ41),0)</f>
        <v>1031151.2707879307</v>
      </c>
      <c r="GS41" s="126">
        <f ca="1">MAX(GS40*(1+CT41)-(Dashboard!$C$11)/(1-Dashboard!$C$17)*((1+Dashboard!$C$12)^$CZ41),0)</f>
        <v>12916863.061968211</v>
      </c>
      <c r="GT41" s="126">
        <f ca="1">MAX(GT40*(1+CU41)-(Dashboard!$C$11)/(1-Dashboard!$C$17)*((1+Dashboard!$C$12)^$CZ41),0)</f>
        <v>37526338.161295258</v>
      </c>
      <c r="GU41" s="126">
        <f ca="1">MAX(GU40*(1+CV41)-(Dashboard!$C$11)/(1-Dashboard!$C$17)*((1+Dashboard!$C$12)^$CZ41),0)</f>
        <v>3493065.2466307874</v>
      </c>
      <c r="GV41" s="126">
        <f ca="1">MAX(GV40*(1+CW41)-(Dashboard!$C$11)/(1-Dashboard!$C$17)*((1+Dashboard!$C$12)^$CZ41),0)</f>
        <v>381653.06069368107</v>
      </c>
      <c r="GW41" s="115">
        <f t="shared" si="4"/>
        <v>90</v>
      </c>
      <c r="GX41" s="130">
        <f t="shared" ca="1" si="2"/>
        <v>89</v>
      </c>
      <c r="HC41" s="130">
        <f t="shared" si="7"/>
        <v>90</v>
      </c>
      <c r="HD41" s="137">
        <f t="shared" ca="1" si="6"/>
        <v>1357678.6656348463</v>
      </c>
      <c r="HE41" s="137">
        <f t="shared" ca="1" si="6"/>
        <v>4198381.537046127</v>
      </c>
      <c r="HF41" s="137">
        <f t="shared" ca="1" si="6"/>
        <v>9698359.4251676984</v>
      </c>
    </row>
    <row r="42" spans="1:214" ht="16">
      <c r="A42" s="145">
        <f t="shared" si="3"/>
        <v>91</v>
      </c>
      <c r="B42" s="119">
        <f ca="1">(Dashboard!$C$7*'Equity and Bond Returns'!N42)+(Dashboard!$C$8*'Equity and Bond Returns'!DL42)</f>
        <v>5.0906878398859025E-2</v>
      </c>
      <c r="C42" s="119">
        <f ca="1">(Dashboard!$C$7*'Equity and Bond Returns'!O42)+(Dashboard!$C$8*'Equity and Bond Returns'!DM42)</f>
        <v>-4.3137082905355062E-2</v>
      </c>
      <c r="D42" s="119">
        <f ca="1">(Dashboard!$C$7*'Equity and Bond Returns'!P42)+(Dashboard!$C$8*'Equity and Bond Returns'!DN42)</f>
        <v>0.19801864463066735</v>
      </c>
      <c r="E42" s="119">
        <f ca="1">(Dashboard!$C$7*'Equity and Bond Returns'!Q42)+(Dashboard!$C$8*'Equity and Bond Returns'!DO42)</f>
        <v>-2.9270607984998649E-2</v>
      </c>
      <c r="F42" s="119">
        <f ca="1">(Dashboard!$C$7*'Equity and Bond Returns'!R42)+(Dashboard!$C$8*'Equity and Bond Returns'!DP42)</f>
        <v>-0.22749171669645696</v>
      </c>
      <c r="G42" s="119">
        <f ca="1">(Dashboard!$C$7*'Equity and Bond Returns'!S42)+(Dashboard!$C$8*'Equity and Bond Returns'!DQ42)</f>
        <v>-0.11639286635258844</v>
      </c>
      <c r="H42" s="119">
        <f ca="1">(Dashboard!$C$7*'Equity and Bond Returns'!T42)+(Dashboard!$C$8*'Equity and Bond Returns'!DR42)</f>
        <v>0.17212914526587872</v>
      </c>
      <c r="I42" s="119">
        <f ca="1">(Dashboard!$C$7*'Equity and Bond Returns'!U42)+(Dashboard!$C$8*'Equity and Bond Returns'!DS42)</f>
        <v>0.20517371621789779</v>
      </c>
      <c r="J42" s="119">
        <f ca="1">(Dashboard!$C$7*'Equity and Bond Returns'!V42)+(Dashboard!$C$8*'Equity and Bond Returns'!DT42)</f>
        <v>0.3010943270740018</v>
      </c>
      <c r="K42" s="119">
        <f ca="1">(Dashboard!$C$7*'Equity and Bond Returns'!W42)+(Dashboard!$C$8*'Equity and Bond Returns'!DU42)</f>
        <v>0.15104513468071867</v>
      </c>
      <c r="L42" s="119">
        <f ca="1">(Dashboard!$C$7*'Equity and Bond Returns'!X42)+(Dashboard!$C$8*'Equity and Bond Returns'!DV42)</f>
        <v>-3.0551024075432046E-3</v>
      </c>
      <c r="M42" s="119">
        <f ca="1">(Dashboard!$C$7*'Equity and Bond Returns'!Y42)+(Dashboard!$C$8*'Equity and Bond Returns'!DW42)</f>
        <v>0.16138056917325841</v>
      </c>
      <c r="N42" s="119">
        <f ca="1">(Dashboard!$C$7*'Equity and Bond Returns'!Z42)+(Dashboard!$C$8*'Equity and Bond Returns'!DX42)</f>
        <v>0.23627548570692944</v>
      </c>
      <c r="O42" s="119">
        <f ca="1">(Dashboard!$C$7*'Equity and Bond Returns'!AA42)+(Dashboard!$C$8*'Equity and Bond Returns'!DY42)</f>
        <v>0.20962778754837827</v>
      </c>
      <c r="P42" s="119">
        <f ca="1">(Dashboard!$C$7*'Equity and Bond Returns'!AB42)+(Dashboard!$C$8*'Equity and Bond Returns'!DZ42)</f>
        <v>0.19900346109044262</v>
      </c>
      <c r="Q42" s="119">
        <f ca="1">(Dashboard!$C$7*'Equity and Bond Returns'!AC42)+(Dashboard!$C$8*'Equity and Bond Returns'!EA42)</f>
        <v>3.3805064434946838E-2</v>
      </c>
      <c r="R42" s="119">
        <f ca="1">(Dashboard!$C$7*'Equity and Bond Returns'!AD42)+(Dashboard!$C$8*'Equity and Bond Returns'!EB42)</f>
        <v>-5.4282387642091222E-2</v>
      </c>
      <c r="S42" s="119">
        <f ca="1">(Dashboard!$C$7*'Equity and Bond Returns'!AE42)+(Dashboard!$C$8*'Equity and Bond Returns'!EC42)</f>
        <v>0.15790625407904657</v>
      </c>
      <c r="T42" s="119">
        <f ca="1">(Dashboard!$C$7*'Equity and Bond Returns'!AF42)+(Dashboard!$C$8*'Equity and Bond Returns'!ED42)</f>
        <v>-8.2289687073972287E-2</v>
      </c>
      <c r="U42" s="119">
        <f ca="1">(Dashboard!$C$7*'Equity and Bond Returns'!AG42)+(Dashboard!$C$8*'Equity and Bond Returns'!EE42)</f>
        <v>0.16696178600145797</v>
      </c>
      <c r="V42" s="119">
        <f ca="1">(Dashboard!$C$7*'Equity and Bond Returns'!AH42)+(Dashboard!$C$8*'Equity and Bond Returns'!EF42)</f>
        <v>0.29917245469147447</v>
      </c>
      <c r="W42" s="119">
        <f ca="1">(Dashboard!$C$7*'Equity and Bond Returns'!AI42)+(Dashboard!$C$8*'Equity and Bond Returns'!EG42)</f>
        <v>5.7860987424136659E-2</v>
      </c>
      <c r="X42" s="119">
        <f ca="1">(Dashboard!$C$7*'Equity and Bond Returns'!AJ42)+(Dashboard!$C$8*'Equity and Bond Returns'!EH42)</f>
        <v>-0.13201608034808396</v>
      </c>
      <c r="Y42" s="119">
        <f ca="1">(Dashboard!$C$7*'Equity and Bond Returns'!AK42)+(Dashboard!$C$8*'Equity and Bond Returns'!EI42)</f>
        <v>-6.6980056292253398E-2</v>
      </c>
      <c r="Z42" s="119">
        <f ca="1">(Dashboard!$C$7*'Equity and Bond Returns'!AL42)+(Dashboard!$C$8*'Equity and Bond Returns'!EJ42)</f>
        <v>0.34368410737484423</v>
      </c>
      <c r="AA42" s="119">
        <f ca="1">(Dashboard!$C$7*'Equity and Bond Returns'!AM42)+(Dashboard!$C$8*'Equity and Bond Returns'!EK42)</f>
        <v>0.22577682810154884</v>
      </c>
      <c r="AB42" s="119">
        <f ca="1">(Dashboard!$C$7*'Equity and Bond Returns'!AN42)+(Dashboard!$C$8*'Equity and Bond Returns'!EL42)</f>
        <v>0.136053324927353</v>
      </c>
      <c r="AC42" s="119">
        <f ca="1">(Dashboard!$C$7*'Equity and Bond Returns'!AO42)+(Dashboard!$C$8*'Equity and Bond Returns'!EM42)</f>
        <v>0.20254275638993663</v>
      </c>
      <c r="AD42" s="119">
        <f ca="1">(Dashboard!$C$7*'Equity and Bond Returns'!AP42)+(Dashboard!$C$8*'Equity and Bond Returns'!EN42)</f>
        <v>4.3981212829002109E-2</v>
      </c>
      <c r="AE42" s="119">
        <f ca="1">(Dashboard!$C$7*'Equity and Bond Returns'!AQ42)+(Dashboard!$C$8*'Equity and Bond Returns'!EO42)</f>
        <v>0.34403578148662345</v>
      </c>
      <c r="AF42" s="119">
        <f ca="1">(Dashboard!$C$7*'Equity and Bond Returns'!AR42)+(Dashboard!$C$8*'Equity and Bond Returns'!EP42)</f>
        <v>-0.18561881099003533</v>
      </c>
      <c r="AG42" s="119">
        <f ca="1">(Dashboard!$C$7*'Equity and Bond Returns'!AS42)+(Dashboard!$C$8*'Equity and Bond Returns'!EQ42)</f>
        <v>6.1749525523347185E-2</v>
      </c>
      <c r="AH42" s="119">
        <f ca="1">(Dashboard!$C$7*'Equity and Bond Returns'!AT42)+(Dashboard!$C$8*'Equity and Bond Returns'!ER42)</f>
        <v>7.8637283989760692E-2</v>
      </c>
      <c r="AI42" s="119">
        <f ca="1">(Dashboard!$C$7*'Equity and Bond Returns'!AU42)+(Dashboard!$C$8*'Equity and Bond Returns'!ES42)</f>
        <v>-4.5957799242903191E-2</v>
      </c>
      <c r="AJ42" s="119">
        <f ca="1">(Dashboard!$C$7*'Equity and Bond Returns'!AV42)+(Dashboard!$C$8*'Equity and Bond Returns'!ET42)</f>
        <v>0.27911078846818888</v>
      </c>
      <c r="AK42" s="119">
        <f ca="1">(Dashboard!$C$7*'Equity and Bond Returns'!AW42)+(Dashboard!$C$8*'Equity and Bond Returns'!EU42)</f>
        <v>7.0269343529098832E-2</v>
      </c>
      <c r="AL42" s="119">
        <f ca="1">(Dashboard!$C$7*'Equity and Bond Returns'!AX42)+(Dashboard!$C$8*'Equity and Bond Returns'!EV42)</f>
        <v>-7.0975124912644863E-2</v>
      </c>
      <c r="AM42" s="119">
        <f ca="1">(Dashboard!$C$7*'Equity and Bond Returns'!AY42)+(Dashboard!$C$8*'Equity and Bond Returns'!EW42)</f>
        <v>0.37027678703371691</v>
      </c>
      <c r="AN42" s="119">
        <f ca="1">(Dashboard!$C$7*'Equity and Bond Returns'!AZ42)+(Dashboard!$C$8*'Equity and Bond Returns'!EX42)</f>
        <v>-8.4477372834886155E-2</v>
      </c>
      <c r="AO42" s="119">
        <f ca="1">(Dashboard!$C$7*'Equity and Bond Returns'!BA42)+(Dashboard!$C$8*'Equity and Bond Returns'!EY42)</f>
        <v>5.870695418726873E-3</v>
      </c>
      <c r="AP42" s="119">
        <f ca="1">(Dashboard!$C$7*'Equity and Bond Returns'!BB42)+(Dashboard!$C$8*'Equity and Bond Returns'!EZ42)</f>
        <v>0.13280841476460417</v>
      </c>
      <c r="AQ42" s="119">
        <f ca="1">(Dashboard!$C$7*'Equity and Bond Returns'!BC42)+(Dashboard!$C$8*'Equity and Bond Returns'!FA42)</f>
        <v>0.10621646385196629</v>
      </c>
      <c r="AR42" s="119">
        <f ca="1">(Dashboard!$C$7*'Equity and Bond Returns'!BD42)+(Dashboard!$C$8*'Equity and Bond Returns'!FB42)</f>
        <v>0.16433776288386875</v>
      </c>
      <c r="AS42" s="119">
        <f ca="1">(Dashboard!$C$7*'Equity and Bond Returns'!BE42)+(Dashboard!$C$8*'Equity and Bond Returns'!FC42)</f>
        <v>0.1547097331327498</v>
      </c>
      <c r="AT42" s="119">
        <f ca="1">(Dashboard!$C$7*'Equity and Bond Returns'!BF42)+(Dashboard!$C$8*'Equity and Bond Returns'!FD42)</f>
        <v>0.14317427550255363</v>
      </c>
      <c r="AU42" s="119">
        <f ca="1">(Dashboard!$C$7*'Equity and Bond Returns'!BG42)+(Dashboard!$C$8*'Equity and Bond Returns'!FE42)</f>
        <v>0.15649222966322679</v>
      </c>
      <c r="AV42" s="119">
        <f ca="1">(Dashboard!$C$7*'Equity and Bond Returns'!BH42)+(Dashboard!$C$8*'Equity and Bond Returns'!FF42)</f>
        <v>0.15586261925941575</v>
      </c>
      <c r="AW42" s="119">
        <f ca="1">(Dashboard!$C$7*'Equity and Bond Returns'!BI42)+(Dashboard!$C$8*'Equity and Bond Returns'!FG42)</f>
        <v>-2.1001594540471697E-2</v>
      </c>
      <c r="AX42" s="119">
        <f ca="1">(Dashboard!$C$7*'Equity and Bond Returns'!BJ42)+(Dashboard!$C$8*'Equity and Bond Returns'!FH42)</f>
        <v>-2.4926746084607137E-2</v>
      </c>
      <c r="AY42" s="119">
        <f ca="1">(Dashboard!$C$7*'Equity and Bond Returns'!BK42)+(Dashboard!$C$8*'Equity and Bond Returns'!FI42)</f>
        <v>-9.3885898872313175E-2</v>
      </c>
      <c r="AZ42" s="119">
        <f ca="1">(Dashboard!$C$7*'Equity and Bond Returns'!BL42)+(Dashboard!$C$8*'Equity and Bond Returns'!FJ42)</f>
        <v>4.9791137030125464E-2</v>
      </c>
      <c r="BA42" s="119">
        <f ca="1">(Dashboard!$C$7*'Equity and Bond Returns'!BM42)+(Dashboard!$C$8*'Equity and Bond Returns'!FK42)</f>
        <v>-0.15637050057951454</v>
      </c>
      <c r="BB42" s="119">
        <f ca="1">(Dashboard!$C$7*'Equity and Bond Returns'!BN42)+(Dashboard!$C$8*'Equity and Bond Returns'!FL42)</f>
        <v>0.28161397286089618</v>
      </c>
      <c r="BC42" s="119">
        <f ca="1">(Dashboard!$C$7*'Equity and Bond Returns'!BO42)+(Dashboard!$C$8*'Equity and Bond Returns'!FM42)</f>
        <v>0.10545953316992654</v>
      </c>
      <c r="BD42" s="119">
        <f ca="1">(Dashboard!$C$7*'Equity and Bond Returns'!BP42)+(Dashboard!$C$8*'Equity and Bond Returns'!FN42)</f>
        <v>-5.3790773319703569E-2</v>
      </c>
      <c r="BE42" s="119">
        <f ca="1">(Dashboard!$C$7*'Equity and Bond Returns'!BQ42)+(Dashboard!$C$8*'Equity and Bond Returns'!FO42)</f>
        <v>2.7042552103996306E-2</v>
      </c>
      <c r="BF42" s="119">
        <f ca="1">(Dashboard!$C$7*'Equity and Bond Returns'!BR42)+(Dashboard!$C$8*'Equity and Bond Returns'!FP42)</f>
        <v>-5.46946190961776E-2</v>
      </c>
      <c r="BG42" s="119">
        <f ca="1">(Dashboard!$C$7*'Equity and Bond Returns'!BS42)+(Dashboard!$C$8*'Equity and Bond Returns'!FQ42)</f>
        <v>-7.5953950713053872E-2</v>
      </c>
      <c r="BH42" s="119">
        <f ca="1">(Dashboard!$C$7*'Equity and Bond Returns'!BT42)+(Dashboard!$C$8*'Equity and Bond Returns'!FR42)</f>
        <v>2.2507910746817347E-2</v>
      </c>
      <c r="BI42" s="119">
        <f ca="1">(Dashboard!$C$7*'Equity and Bond Returns'!BU42)+(Dashboard!$C$8*'Equity and Bond Returns'!FS42)</f>
        <v>0.15919312681414846</v>
      </c>
      <c r="BJ42" s="119">
        <f ca="1">(Dashboard!$C$7*'Equity and Bond Returns'!BV42)+(Dashboard!$C$8*'Equity and Bond Returns'!FT42)</f>
        <v>0.21693464424174683</v>
      </c>
      <c r="BK42" s="119">
        <f ca="1">(Dashboard!$C$7*'Equity and Bond Returns'!BW42)+(Dashboard!$C$8*'Equity and Bond Returns'!FU42)</f>
        <v>2.6502768638400464E-3</v>
      </c>
      <c r="BL42" s="119">
        <f ca="1">(Dashboard!$C$7*'Equity and Bond Returns'!BX42)+(Dashboard!$C$8*'Equity and Bond Returns'!FV42)</f>
        <v>0.10767317577970063</v>
      </c>
      <c r="BM42" s="119">
        <f ca="1">(Dashboard!$C$7*'Equity and Bond Returns'!BY42)+(Dashboard!$C$8*'Equity and Bond Returns'!FW42)</f>
        <v>-0.13179620818210969</v>
      </c>
      <c r="BN42" s="119">
        <f ca="1">(Dashboard!$C$7*'Equity and Bond Returns'!BZ42)+(Dashboard!$C$8*'Equity and Bond Returns'!FX42)</f>
        <v>0.16729212047186154</v>
      </c>
      <c r="BO42" s="119">
        <f ca="1">(Dashboard!$C$7*'Equity and Bond Returns'!CA42)+(Dashboard!$C$8*'Equity and Bond Returns'!FY42)</f>
        <v>-9.8991841883937726E-2</v>
      </c>
      <c r="BP42" s="119">
        <f ca="1">(Dashboard!$C$7*'Equity and Bond Returns'!CB42)+(Dashboard!$C$8*'Equity and Bond Returns'!FZ42)</f>
        <v>0.15488193761764685</v>
      </c>
      <c r="BQ42" s="119">
        <f ca="1">(Dashboard!$C$7*'Equity and Bond Returns'!CC42)+(Dashboard!$C$8*'Equity and Bond Returns'!GA42)</f>
        <v>-0.12476587383967461</v>
      </c>
      <c r="BR42" s="119">
        <f ca="1">(Dashboard!$C$7*'Equity and Bond Returns'!CD42)+(Dashboard!$C$8*'Equity and Bond Returns'!GB42)</f>
        <v>0.19183657520972192</v>
      </c>
      <c r="BS42" s="119">
        <f ca="1">(Dashboard!$C$7*'Equity and Bond Returns'!CE42)+(Dashboard!$C$8*'Equity and Bond Returns'!GC42)</f>
        <v>0.26495388942186132</v>
      </c>
      <c r="BT42" s="119">
        <f ca="1">(Dashboard!$C$7*'Equity and Bond Returns'!CF42)+(Dashboard!$C$8*'Equity and Bond Returns'!GD42)</f>
        <v>0.20948618512797626</v>
      </c>
      <c r="BU42" s="119">
        <f ca="1">(Dashboard!$C$7*'Equity and Bond Returns'!CG42)+(Dashboard!$C$8*'Equity and Bond Returns'!GE42)</f>
        <v>0.19381545638744474</v>
      </c>
      <c r="BV42" s="119">
        <f ca="1">(Dashboard!$C$7*'Equity and Bond Returns'!CH42)+(Dashboard!$C$8*'Equity and Bond Returns'!GF42)</f>
        <v>-2.1144264065641467E-2</v>
      </c>
      <c r="BW42" s="119">
        <f ca="1">(Dashboard!$C$7*'Equity and Bond Returns'!CI42)+(Dashboard!$C$8*'Equity and Bond Returns'!GG42)</f>
        <v>0.2512407994743957</v>
      </c>
      <c r="BX42" s="119">
        <f ca="1">(Dashboard!$C$7*'Equity and Bond Returns'!CJ42)+(Dashboard!$C$8*'Equity and Bond Returns'!GH42)</f>
        <v>0.18387045860942774</v>
      </c>
      <c r="BY42" s="119">
        <f ca="1">(Dashboard!$C$7*'Equity and Bond Returns'!CK42)+(Dashboard!$C$8*'Equity and Bond Returns'!GI42)</f>
        <v>-6.273743813300961E-2</v>
      </c>
      <c r="BZ42" s="119">
        <f ca="1">(Dashboard!$C$7*'Equity and Bond Returns'!CL42)+(Dashboard!$C$8*'Equity and Bond Returns'!GJ42)</f>
        <v>0.16806001402008322</v>
      </c>
      <c r="CA42" s="119">
        <f ca="1">(Dashboard!$C$7*'Equity and Bond Returns'!CM42)+(Dashboard!$C$8*'Equity and Bond Returns'!GK42)</f>
        <v>-5.1419925449032212E-3</v>
      </c>
      <c r="CB42" s="119">
        <f ca="1">(Dashboard!$C$7*'Equity and Bond Returns'!CN42)+(Dashboard!$C$8*'Equity and Bond Returns'!GL42)</f>
        <v>0.10065501946475483</v>
      </c>
      <c r="CC42" s="119">
        <f ca="1">(Dashboard!$C$7*'Equity and Bond Returns'!CO42)+(Dashboard!$C$8*'Equity and Bond Returns'!GM42)</f>
        <v>0.31923563096852436</v>
      </c>
      <c r="CD42" s="119">
        <f ca="1">(Dashboard!$C$7*'Equity and Bond Returns'!CP42)+(Dashboard!$C$8*'Equity and Bond Returns'!GN42)</f>
        <v>-0.10378655183073496</v>
      </c>
      <c r="CE42" s="119">
        <f ca="1">(Dashboard!$C$7*'Equity and Bond Returns'!CQ42)+(Dashboard!$C$8*'Equity and Bond Returns'!GO42)</f>
        <v>-6.894383854352934E-2</v>
      </c>
      <c r="CF42" s="119">
        <f ca="1">(Dashboard!$C$7*'Equity and Bond Returns'!CR42)+(Dashboard!$C$8*'Equity and Bond Returns'!GP42)</f>
        <v>-0.12849059753922626</v>
      </c>
      <c r="CG42" s="119">
        <f ca="1">(Dashboard!$C$7*'Equity and Bond Returns'!CS42)+(Dashboard!$C$8*'Equity and Bond Returns'!GQ42)</f>
        <v>-9.5136647401484198E-2</v>
      </c>
      <c r="CH42" s="119">
        <f ca="1">(Dashboard!$C$7*'Equity and Bond Returns'!CT42)+(Dashboard!$C$8*'Equity and Bond Returns'!GR42)</f>
        <v>4.8156840415892327E-4</v>
      </c>
      <c r="CI42" s="119">
        <f ca="1">(Dashboard!$C$7*'Equity and Bond Returns'!CU42)+(Dashboard!$C$8*'Equity and Bond Returns'!GS42)</f>
        <v>-5.6204825061527228E-2</v>
      </c>
      <c r="CJ42" s="119">
        <f ca="1">(Dashboard!$C$7*'Equity and Bond Returns'!CV42)+(Dashboard!$C$8*'Equity and Bond Returns'!GT42)</f>
        <v>0.11251100533280479</v>
      </c>
      <c r="CK42" s="119">
        <f ca="1">(Dashboard!$C$7*'Equity and Bond Returns'!CW42)+(Dashboard!$C$8*'Equity and Bond Returns'!GU42)</f>
        <v>8.7667779055669789E-3</v>
      </c>
      <c r="CL42" s="119">
        <f ca="1">(Dashboard!$C$7*'Equity and Bond Returns'!CX42)+(Dashboard!$C$8*'Equity and Bond Returns'!GV42)</f>
        <v>0.25810313327813161</v>
      </c>
      <c r="CM42" s="119">
        <f ca="1">(Dashboard!$C$7*'Equity and Bond Returns'!CY42)+(Dashboard!$C$8*'Equity and Bond Returns'!GW42)</f>
        <v>0.12469090543643757</v>
      </c>
      <c r="CN42" s="119">
        <f ca="1">(Dashboard!$C$7*'Equity and Bond Returns'!CZ42)+(Dashboard!$C$8*'Equity and Bond Returns'!GX42)</f>
        <v>0.18476619888208504</v>
      </c>
      <c r="CO42" s="119">
        <f ca="1">(Dashboard!$C$7*'Equity and Bond Returns'!DA42)+(Dashboard!$C$8*'Equity and Bond Returns'!GY42)</f>
        <v>7.181366439105491E-2</v>
      </c>
      <c r="CP42" s="119">
        <f ca="1">(Dashboard!$C$7*'Equity and Bond Returns'!DB42)+(Dashboard!$C$8*'Equity and Bond Returns'!GZ42)</f>
        <v>0.11429057757999174</v>
      </c>
      <c r="CQ42" s="119">
        <f ca="1">(Dashboard!$C$7*'Equity and Bond Returns'!DC42)+(Dashboard!$C$8*'Equity and Bond Returns'!HA42)</f>
        <v>0.50252039374779311</v>
      </c>
      <c r="CR42" s="119">
        <f ca="1">(Dashboard!$C$7*'Equity and Bond Returns'!DD42)+(Dashboard!$C$8*'Equity and Bond Returns'!HB42)</f>
        <v>0.29312200755269169</v>
      </c>
      <c r="CS42" s="119">
        <f ca="1">(Dashboard!$C$7*'Equity and Bond Returns'!DE42)+(Dashboard!$C$8*'Equity and Bond Returns'!HC42)</f>
        <v>4.0158769589199235E-2</v>
      </c>
      <c r="CT42" s="119">
        <f ca="1">(Dashboard!$C$7*'Equity and Bond Returns'!DF42)+(Dashboard!$C$8*'Equity and Bond Returns'!HD42)</f>
        <v>9.9838096539917265E-2</v>
      </c>
      <c r="CU42" s="119">
        <f ca="1">(Dashboard!$C$7*'Equity and Bond Returns'!DG42)+(Dashboard!$C$8*'Equity and Bond Returns'!HE42)</f>
        <v>0.27642612929832083</v>
      </c>
      <c r="CV42" s="119">
        <f ca="1">(Dashboard!$C$7*'Equity and Bond Returns'!DH42)+(Dashboard!$C$8*'Equity and Bond Returns'!HF42)</f>
        <v>3.2821502554878777E-2</v>
      </c>
      <c r="CW42" s="119">
        <f ca="1">(Dashboard!$C$7*'Equity and Bond Returns'!DI42)+(Dashboard!$C$8*'Equity and Bond Returns'!HG42)</f>
        <v>-7.8341122917895606E-2</v>
      </c>
      <c r="CY42" s="147">
        <f t="shared" si="5"/>
        <v>91</v>
      </c>
      <c r="CZ42" s="147">
        <v>41</v>
      </c>
      <c r="DA42" s="126">
        <f ca="1">MAX(DA41*(1+B42)-(Dashboard!$C$11)/(1-Dashboard!$C$17)*((1+Dashboard!$C$12)^$CZ42),0)</f>
        <v>27707549.800051231</v>
      </c>
      <c r="DB42" s="126">
        <f ca="1">MAX(DB41*(1+C42)-(Dashboard!$C$11)/(1-Dashboard!$C$17)*((1+Dashboard!$C$12)^$CZ42),0)</f>
        <v>0</v>
      </c>
      <c r="DC42" s="126">
        <f ca="1">MAX(DC41*(1+D42)-(Dashboard!$C$11)/(1-Dashboard!$C$17)*((1+Dashboard!$C$12)^$CZ42),0)</f>
        <v>5352171.8428785019</v>
      </c>
      <c r="DD42" s="126">
        <f ca="1">MAX(DD41*(1+E42)-(Dashboard!$C$11)/(1-Dashboard!$C$17)*((1+Dashboard!$C$12)^$CZ42),0)</f>
        <v>50699.934896274252</v>
      </c>
      <c r="DE42" s="126">
        <f ca="1">MAX(DE41*(1+F42)-(Dashboard!$C$11)/(1-Dashboard!$C$17)*((1+Dashboard!$C$12)^$CZ42),0)</f>
        <v>5196392.5056627747</v>
      </c>
      <c r="DF42" s="126">
        <f ca="1">MAX(DF41*(1+G42)-(Dashboard!$C$11)/(1-Dashboard!$C$17)*((1+Dashboard!$C$12)^$CZ42),0)</f>
        <v>14286210.327130213</v>
      </c>
      <c r="DG42" s="126">
        <f ca="1">MAX(DG41*(1+H42)-(Dashboard!$C$11)/(1-Dashboard!$C$17)*((1+Dashboard!$C$12)^$CZ42),0)</f>
        <v>0</v>
      </c>
      <c r="DH42" s="126">
        <f ca="1">MAX(DH41*(1+I42)-(Dashboard!$C$11)/(1-Dashboard!$C$17)*((1+Dashboard!$C$12)^$CZ42),0)</f>
        <v>41852520.346473031</v>
      </c>
      <c r="DI42" s="126">
        <f ca="1">MAX(DI41*(1+J42)-(Dashboard!$C$11)/(1-Dashboard!$C$17)*((1+Dashboard!$C$12)^$CZ42),0)</f>
        <v>6608275.7848308915</v>
      </c>
      <c r="DJ42" s="126">
        <f ca="1">MAX(DJ41*(1+K42)-(Dashboard!$C$11)/(1-Dashboard!$C$17)*((1+Dashboard!$C$12)^$CZ42),0)</f>
        <v>10251559.123325286</v>
      </c>
      <c r="DK42" s="126">
        <f ca="1">MAX(DK41*(1+L42)-(Dashboard!$C$11)/(1-Dashboard!$C$17)*((1+Dashboard!$C$12)^$CZ42),0)</f>
        <v>8274264.6220168089</v>
      </c>
      <c r="DL42" s="126">
        <f ca="1">MAX(DL41*(1+M42)-(Dashboard!$C$11)/(1-Dashboard!$C$17)*((1+Dashboard!$C$12)^$CZ42),0)</f>
        <v>722924.10078458779</v>
      </c>
      <c r="DM42" s="126">
        <f ca="1">MAX(DM41*(1+N42)-(Dashboard!$C$11)/(1-Dashboard!$C$17)*((1+Dashboard!$C$12)^$CZ42),0)</f>
        <v>12175057.7906092</v>
      </c>
      <c r="DN42" s="126">
        <f ca="1">MAX(DN41*(1+O42)-(Dashboard!$C$11)/(1-Dashboard!$C$17)*((1+Dashboard!$C$12)^$CZ42),0)</f>
        <v>93082636.835757688</v>
      </c>
      <c r="DO42" s="126">
        <f ca="1">MAX(DO41*(1+P42)-(Dashboard!$C$11)/(1-Dashboard!$C$17)*((1+Dashboard!$C$12)^$CZ42),0)</f>
        <v>3897123.1005690456</v>
      </c>
      <c r="DP42" s="126">
        <f ca="1">MAX(DP41*(1+Q42)-(Dashboard!$C$11)/(1-Dashboard!$C$17)*((1+Dashboard!$C$12)^$CZ42),0)</f>
        <v>1391705.506646967</v>
      </c>
      <c r="DQ42" s="126">
        <f ca="1">MAX(DQ41*(1+R42)-(Dashboard!$C$11)/(1-Dashboard!$C$17)*((1+Dashboard!$C$12)^$CZ42),0)</f>
        <v>3934626.8318829453</v>
      </c>
      <c r="DR42" s="126">
        <f ca="1">MAX(DR41*(1+S42)-(Dashboard!$C$11)/(1-Dashboard!$C$17)*((1+Dashboard!$C$12)^$CZ42),0)</f>
        <v>10422188.29927999</v>
      </c>
      <c r="DS42" s="126">
        <f ca="1">MAX(DS41*(1+T42)-(Dashboard!$C$11)/(1-Dashboard!$C$17)*((1+Dashboard!$C$12)^$CZ42),0)</f>
        <v>0</v>
      </c>
      <c r="DT42" s="126">
        <f ca="1">MAX(DT41*(1+U42)-(Dashboard!$C$11)/(1-Dashboard!$C$17)*((1+Dashboard!$C$12)^$CZ42),0)</f>
        <v>747110.45986464375</v>
      </c>
      <c r="DU42" s="126">
        <f ca="1">MAX(DU41*(1+V42)-(Dashboard!$C$11)/(1-Dashboard!$C$17)*((1+Dashboard!$C$12)^$CZ42),0)</f>
        <v>4482354.0656738877</v>
      </c>
      <c r="DV42" s="126">
        <f ca="1">MAX(DV41*(1+W42)-(Dashboard!$C$11)/(1-Dashboard!$C$17)*((1+Dashboard!$C$12)^$CZ42),0)</f>
        <v>50275079.752476588</v>
      </c>
      <c r="DW42" s="126">
        <f ca="1">MAX(DW41*(1+X42)-(Dashboard!$C$11)/(1-Dashboard!$C$17)*((1+Dashboard!$C$12)^$CZ42),0)</f>
        <v>3190728.0962720616</v>
      </c>
      <c r="DX42" s="126">
        <f ca="1">MAX(DX41*(1+Y42)-(Dashboard!$C$11)/(1-Dashboard!$C$17)*((1+Dashboard!$C$12)^$CZ42),0)</f>
        <v>1628629.6620154167</v>
      </c>
      <c r="DY42" s="126">
        <f ca="1">MAX(DY41*(1+Z42)-(Dashboard!$C$11)/(1-Dashboard!$C$17)*((1+Dashboard!$C$12)^$CZ42),0)</f>
        <v>16910763.739338733</v>
      </c>
      <c r="DZ42" s="126">
        <f ca="1">MAX(DZ41*(1+AA42)-(Dashboard!$C$11)/(1-Dashboard!$C$17)*((1+Dashboard!$C$12)^$CZ42),0)</f>
        <v>8440102.7311026547</v>
      </c>
      <c r="EA42" s="126">
        <f ca="1">MAX(EA41*(1+AB42)-(Dashboard!$C$11)/(1-Dashboard!$C$17)*((1+Dashboard!$C$12)^$CZ42),0)</f>
        <v>3356450.5468566627</v>
      </c>
      <c r="EB42" s="126">
        <f ca="1">MAX(EB41*(1+AC42)-(Dashboard!$C$11)/(1-Dashboard!$C$17)*((1+Dashboard!$C$12)^$CZ42),0)</f>
        <v>6821924.5750832288</v>
      </c>
      <c r="EC42" s="126">
        <f ca="1">MAX(EC41*(1+AD42)-(Dashboard!$C$11)/(1-Dashboard!$C$17)*((1+Dashboard!$C$12)^$CZ42),0)</f>
        <v>8766643.9164292086</v>
      </c>
      <c r="ED42" s="126">
        <f ca="1">MAX(ED41*(1+AE42)-(Dashboard!$C$11)/(1-Dashboard!$C$17)*((1+Dashboard!$C$12)^$CZ42),0)</f>
        <v>7000304.4425170738</v>
      </c>
      <c r="EE42" s="126">
        <f ca="1">MAX(EE41*(1+AF42)-(Dashboard!$C$11)/(1-Dashboard!$C$17)*((1+Dashboard!$C$12)^$CZ42),0)</f>
        <v>18766152.181299821</v>
      </c>
      <c r="EF42" s="126">
        <f ca="1">MAX(EF41*(1+AG42)-(Dashboard!$C$11)/(1-Dashboard!$C$17)*((1+Dashboard!$C$12)^$CZ42),0)</f>
        <v>44878.084924901545</v>
      </c>
      <c r="EG42" s="126">
        <f ca="1">MAX(EG41*(1+AH42)-(Dashboard!$C$11)/(1-Dashboard!$C$17)*((1+Dashboard!$C$12)^$CZ42),0)</f>
        <v>8391108.4824929014</v>
      </c>
      <c r="EH42" s="126">
        <f ca="1">MAX(EH41*(1+AI42)-(Dashboard!$C$11)/(1-Dashboard!$C$17)*((1+Dashboard!$C$12)^$CZ42),0)</f>
        <v>13456952.867325142</v>
      </c>
      <c r="EI42" s="126">
        <f ca="1">MAX(EI41*(1+AJ42)-(Dashboard!$C$11)/(1-Dashboard!$C$17)*((1+Dashboard!$C$12)^$CZ42),0)</f>
        <v>0</v>
      </c>
      <c r="EJ42" s="126">
        <f ca="1">MAX(EJ41*(1+AK42)-(Dashboard!$C$11)/(1-Dashboard!$C$17)*((1+Dashboard!$C$12)^$CZ42),0)</f>
        <v>7755968.3032257315</v>
      </c>
      <c r="EK42" s="126">
        <f ca="1">MAX(EK41*(1+AL42)-(Dashboard!$C$11)/(1-Dashboard!$C$17)*((1+Dashboard!$C$12)^$CZ42),0)</f>
        <v>3194413.8158083851</v>
      </c>
      <c r="EL42" s="126">
        <f ca="1">MAX(EL41*(1+AM42)-(Dashboard!$C$11)/(1-Dashboard!$C$17)*((1+Dashboard!$C$12)^$CZ42),0)</f>
        <v>2292890.5942502376</v>
      </c>
      <c r="EM42" s="126">
        <f ca="1">MAX(EM41*(1+AN42)-(Dashboard!$C$11)/(1-Dashboard!$C$17)*((1+Dashboard!$C$12)^$CZ42),0)</f>
        <v>17861466.450613253</v>
      </c>
      <c r="EN42" s="126">
        <f ca="1">MAX(EN41*(1+AO42)-(Dashboard!$C$11)/(1-Dashboard!$C$17)*((1+Dashboard!$C$12)^$CZ42),0)</f>
        <v>2412833.5936352685</v>
      </c>
      <c r="EO42" s="126">
        <f ca="1">MAX(EO41*(1+AP42)-(Dashboard!$C$11)/(1-Dashboard!$C$17)*((1+Dashboard!$C$12)^$CZ42),0)</f>
        <v>0</v>
      </c>
      <c r="EP42" s="126">
        <f ca="1">MAX(EP41*(1+AQ42)-(Dashboard!$C$11)/(1-Dashboard!$C$17)*((1+Dashboard!$C$12)^$CZ42),0)</f>
        <v>6005689.408078474</v>
      </c>
      <c r="EQ42" s="126">
        <f ca="1">MAX(EQ41*(1+AR42)-(Dashboard!$C$11)/(1-Dashboard!$C$17)*((1+Dashboard!$C$12)^$CZ42),0)</f>
        <v>4055258.6954367389</v>
      </c>
      <c r="ER42" s="126">
        <f ca="1">MAX(ER41*(1+AS42)-(Dashboard!$C$11)/(1-Dashboard!$C$17)*((1+Dashboard!$C$12)^$CZ42),0)</f>
        <v>0</v>
      </c>
      <c r="ES42" s="126">
        <f ca="1">MAX(ES41*(1+AT42)-(Dashboard!$C$11)/(1-Dashboard!$C$17)*((1+Dashboard!$C$12)^$CZ42),0)</f>
        <v>34126254.638834491</v>
      </c>
      <c r="ET42" s="126">
        <f ca="1">MAX(ET41*(1+AU42)-(Dashboard!$C$11)/(1-Dashboard!$C$17)*((1+Dashboard!$C$12)^$CZ42),0)</f>
        <v>6283538.5559433093</v>
      </c>
      <c r="EU42" s="126">
        <f ca="1">MAX(EU41*(1+AV42)-(Dashboard!$C$11)/(1-Dashboard!$C$17)*((1+Dashboard!$C$12)^$CZ42),0)</f>
        <v>4751747.0967808701</v>
      </c>
      <c r="EV42" s="126">
        <f ca="1">MAX(EV41*(1+AW42)-(Dashboard!$C$11)/(1-Dashboard!$C$17)*((1+Dashboard!$C$12)^$CZ42),0)</f>
        <v>42703309.854524113</v>
      </c>
      <c r="EW42" s="126">
        <f ca="1">MAX(EW41*(1+AX42)-(Dashboard!$C$11)/(1-Dashboard!$C$17)*((1+Dashboard!$C$12)^$CZ42),0)</f>
        <v>1493081.8958969403</v>
      </c>
      <c r="EX42" s="126">
        <f ca="1">MAX(EX41*(1+AY42)-(Dashboard!$C$11)/(1-Dashboard!$C$17)*((1+Dashboard!$C$12)^$CZ42),0)</f>
        <v>3368387.7950305669</v>
      </c>
      <c r="EY42" s="126">
        <f ca="1">MAX(EY41*(1+AZ42)-(Dashboard!$C$11)/(1-Dashboard!$C$17)*((1+Dashboard!$C$12)^$CZ42),0)</f>
        <v>12072155.680261277</v>
      </c>
      <c r="EZ42" s="126">
        <f ca="1">MAX(EZ41*(1+BA42)-(Dashboard!$C$11)/(1-Dashboard!$C$17)*((1+Dashboard!$C$12)^$CZ42),0)</f>
        <v>2199723.702441908</v>
      </c>
      <c r="FA42" s="126">
        <f ca="1">MAX(FA41*(1+BB42)-(Dashboard!$C$11)/(1-Dashboard!$C$17)*((1+Dashboard!$C$12)^$CZ42),0)</f>
        <v>33528076.672465745</v>
      </c>
      <c r="FB42" s="126">
        <f ca="1">MAX(FB41*(1+BC42)-(Dashboard!$C$11)/(1-Dashboard!$C$17)*((1+Dashboard!$C$12)^$CZ42),0)</f>
        <v>826493.88717543893</v>
      </c>
      <c r="FC42" s="126">
        <f ca="1">MAX(FC41*(1+BD42)-(Dashboard!$C$11)/(1-Dashboard!$C$17)*((1+Dashboard!$C$12)^$CZ42),0)</f>
        <v>4734574.6771647017</v>
      </c>
      <c r="FD42" s="126">
        <f ca="1">MAX(FD41*(1+BE42)-(Dashboard!$C$11)/(1-Dashboard!$C$17)*((1+Dashboard!$C$12)^$CZ42),0)</f>
        <v>24332838.004450824</v>
      </c>
      <c r="FE42" s="126">
        <f ca="1">MAX(FE41*(1+BF42)-(Dashboard!$C$11)/(1-Dashboard!$C$17)*((1+Dashboard!$C$12)^$CZ42),0)</f>
        <v>17856402.257756483</v>
      </c>
      <c r="FF42" s="126">
        <f ca="1">MAX(FF41*(1+BG42)-(Dashboard!$C$11)/(1-Dashboard!$C$17)*((1+Dashboard!$C$12)^$CZ42),0)</f>
        <v>3263061.7380599347</v>
      </c>
      <c r="FG42" s="126">
        <f ca="1">MAX(FG41*(1+BH42)-(Dashboard!$C$11)/(1-Dashboard!$C$17)*((1+Dashboard!$C$12)^$CZ42),0)</f>
        <v>1280516.5560960807</v>
      </c>
      <c r="FH42" s="126">
        <f ca="1">MAX(FH41*(1+BI42)-(Dashboard!$C$11)/(1-Dashboard!$C$17)*((1+Dashboard!$C$12)^$CZ42),0)</f>
        <v>5034374.4389644125</v>
      </c>
      <c r="FI42" s="126">
        <f ca="1">MAX(FI41*(1+BJ42)-(Dashboard!$C$11)/(1-Dashboard!$C$17)*((1+Dashboard!$C$12)^$CZ42),0)</f>
        <v>12682668.029608998</v>
      </c>
      <c r="FJ42" s="126">
        <f ca="1">MAX(FJ41*(1+BK42)-(Dashboard!$C$11)/(1-Dashboard!$C$17)*((1+Dashboard!$C$12)^$CZ42),0)</f>
        <v>2663179.8330486231</v>
      </c>
      <c r="FK42" s="126">
        <f ca="1">MAX(FK41*(1+BL42)-(Dashboard!$C$11)/(1-Dashboard!$C$17)*((1+Dashboard!$C$12)^$CZ42),0)</f>
        <v>3718076.8506369819</v>
      </c>
      <c r="FL42" s="126">
        <f ca="1">MAX(FL41*(1+BM42)-(Dashboard!$C$11)/(1-Dashboard!$C$17)*((1+Dashboard!$C$12)^$CZ42),0)</f>
        <v>1694060.8656841745</v>
      </c>
      <c r="FM42" s="126">
        <f ca="1">MAX(FM41*(1+BN42)-(Dashboard!$C$11)/(1-Dashboard!$C$17)*((1+Dashboard!$C$12)^$CZ42),0)</f>
        <v>4409567.6349846395</v>
      </c>
      <c r="FN42" s="126">
        <f ca="1">MAX(FN41*(1+BO42)-(Dashboard!$C$11)/(1-Dashboard!$C$17)*((1+Dashboard!$C$12)^$CZ42),0)</f>
        <v>0</v>
      </c>
      <c r="FO42" s="126">
        <f ca="1">MAX(FO41*(1+BP42)-(Dashboard!$C$11)/(1-Dashboard!$C$17)*((1+Dashboard!$C$12)^$CZ42),0)</f>
        <v>4811017.4551968342</v>
      </c>
      <c r="FP42" s="126">
        <f ca="1">MAX(FP41*(1+BQ42)-(Dashboard!$C$11)/(1-Dashboard!$C$17)*((1+Dashboard!$C$12)^$CZ42),0)</f>
        <v>1824437.1974836236</v>
      </c>
      <c r="FQ42" s="126">
        <f ca="1">MAX(FQ41*(1+BR42)-(Dashboard!$C$11)/(1-Dashboard!$C$17)*((1+Dashboard!$C$12)^$CZ42),0)</f>
        <v>1526764.1544449618</v>
      </c>
      <c r="FR42" s="126">
        <f ca="1">MAX(FR41*(1+BS42)-(Dashboard!$C$11)/(1-Dashboard!$C$17)*((1+Dashboard!$C$12)^$CZ42),0)</f>
        <v>15824800.944389109</v>
      </c>
      <c r="FS42" s="126">
        <f ca="1">MAX(FS41*(1+BT42)-(Dashboard!$C$11)/(1-Dashboard!$C$17)*((1+Dashboard!$C$12)^$CZ42),0)</f>
        <v>13208436.602993082</v>
      </c>
      <c r="FT42" s="126">
        <f ca="1">MAX(FT41*(1+BU42)-(Dashboard!$C$11)/(1-Dashboard!$C$17)*((1+Dashboard!$C$12)^$CZ42),0)</f>
        <v>0</v>
      </c>
      <c r="FU42" s="126">
        <f ca="1">MAX(FU41*(1+BV42)-(Dashboard!$C$11)/(1-Dashboard!$C$17)*((1+Dashboard!$C$12)^$CZ42),0)</f>
        <v>1330111.5903198994</v>
      </c>
      <c r="FV42" s="126">
        <f ca="1">MAX(FV41*(1+BW42)-(Dashboard!$C$11)/(1-Dashboard!$C$17)*((1+Dashboard!$C$12)^$CZ42),0)</f>
        <v>7722492.7624201402</v>
      </c>
      <c r="FW42" s="126">
        <f ca="1">MAX(FW41*(1+BX42)-(Dashboard!$C$11)/(1-Dashboard!$C$17)*((1+Dashboard!$C$12)^$CZ42),0)</f>
        <v>2609068.0849722</v>
      </c>
      <c r="FX42" s="126">
        <f ca="1">MAX(FX41*(1+BY42)-(Dashboard!$C$11)/(1-Dashboard!$C$17)*((1+Dashboard!$C$12)^$CZ42),0)</f>
        <v>0</v>
      </c>
      <c r="FY42" s="126">
        <f ca="1">MAX(FY41*(1+BZ42)-(Dashboard!$C$11)/(1-Dashboard!$C$17)*((1+Dashboard!$C$12)^$CZ42),0)</f>
        <v>210784.05833658471</v>
      </c>
      <c r="FZ42" s="126">
        <f ca="1">MAX(FZ41*(1+CA42)-(Dashboard!$C$11)/(1-Dashboard!$C$17)*((1+Dashboard!$C$12)^$CZ42),0)</f>
        <v>20728266.635041531</v>
      </c>
      <c r="GA42" s="126">
        <f ca="1">MAX(GA41*(1+CB42)-(Dashboard!$C$11)/(1-Dashboard!$C$17)*((1+Dashboard!$C$12)^$CZ42),0)</f>
        <v>19089492.971345946</v>
      </c>
      <c r="GB42" s="126">
        <f ca="1">MAX(GB41*(1+CC42)-(Dashboard!$C$11)/(1-Dashboard!$C$17)*((1+Dashboard!$C$12)^$CZ42),0)</f>
        <v>4087989.1814691434</v>
      </c>
      <c r="GC42" s="126">
        <f ca="1">MAX(GC41*(1+CD42)-(Dashboard!$C$11)/(1-Dashboard!$C$17)*((1+Dashboard!$C$12)^$CZ42),0)</f>
        <v>7610596.7021389958</v>
      </c>
      <c r="GD42" s="126">
        <f ca="1">MAX(GD41*(1+CE42)-(Dashboard!$C$11)/(1-Dashboard!$C$17)*((1+Dashboard!$C$12)^$CZ42),0)</f>
        <v>41766301.534070812</v>
      </c>
      <c r="GE42" s="126">
        <f ca="1">MAX(GE41*(1+CF42)-(Dashboard!$C$11)/(1-Dashboard!$C$17)*((1+Dashboard!$C$12)^$CZ42),0)</f>
        <v>4362959.6246824767</v>
      </c>
      <c r="GF42" s="126">
        <f ca="1">MAX(GF41*(1+CG42)-(Dashboard!$C$11)/(1-Dashboard!$C$17)*((1+Dashboard!$C$12)^$CZ42),0)</f>
        <v>4369999.5317540085</v>
      </c>
      <c r="GG42" s="126">
        <f ca="1">MAX(GG41*(1+CH42)-(Dashboard!$C$11)/(1-Dashboard!$C$17)*((1+Dashboard!$C$12)^$CZ42),0)</f>
        <v>186819.84762859542</v>
      </c>
      <c r="GH42" s="126">
        <f ca="1">MAX(GH41*(1+CI42)-(Dashboard!$C$11)/(1-Dashboard!$C$17)*((1+Dashboard!$C$12)^$CZ42),0)</f>
        <v>1160665.4017912666</v>
      </c>
      <c r="GI42" s="126">
        <f ca="1">MAX(GI41*(1+CJ42)-(Dashboard!$C$11)/(1-Dashboard!$C$17)*((1+Dashboard!$C$12)^$CZ42),0)</f>
        <v>10033136.667150294</v>
      </c>
      <c r="GJ42" s="126">
        <f ca="1">MAX(GJ41*(1+CK42)-(Dashboard!$C$11)/(1-Dashboard!$C$17)*((1+Dashboard!$C$12)^$CZ42),0)</f>
        <v>28588445.366638817</v>
      </c>
      <c r="GK42" s="126">
        <f ca="1">MAX(GK41*(1+CL42)-(Dashboard!$C$11)/(1-Dashboard!$C$17)*((1+Dashboard!$C$12)^$CZ42),0)</f>
        <v>6479452.2069281312</v>
      </c>
      <c r="GL42" s="126">
        <f ca="1">MAX(GL41*(1+CM42)-(Dashboard!$C$11)/(1-Dashboard!$C$17)*((1+Dashboard!$C$12)^$CZ42),0)</f>
        <v>11213278.347844118</v>
      </c>
      <c r="GM42" s="126">
        <f ca="1">MAX(GM41*(1+CN42)-(Dashboard!$C$11)/(1-Dashboard!$C$17)*((1+Dashboard!$C$12)^$CZ42),0)</f>
        <v>106575.86414995549</v>
      </c>
      <c r="GN42" s="126">
        <f ca="1">MAX(GN41*(1+CO42)-(Dashboard!$C$11)/(1-Dashboard!$C$17)*((1+Dashboard!$C$12)^$CZ42),0)</f>
        <v>0</v>
      </c>
      <c r="GO42" s="126">
        <f ca="1">MAX(GO41*(1+CP42)-(Dashboard!$C$11)/(1-Dashboard!$C$17)*((1+Dashboard!$C$12)^$CZ42),0)</f>
        <v>3306853.2674178188</v>
      </c>
      <c r="GP42" s="126">
        <f ca="1">MAX(GP41*(1+CQ42)-(Dashboard!$C$11)/(1-Dashboard!$C$17)*((1+Dashboard!$C$12)^$CZ42),0)</f>
        <v>10677695.976720657</v>
      </c>
      <c r="GQ42" s="126">
        <f ca="1">MAX(GQ41*(1+CR42)-(Dashboard!$C$11)/(1-Dashboard!$C$17)*((1+Dashboard!$C$12)^$CZ42),0)</f>
        <v>0</v>
      </c>
      <c r="GR42" s="126">
        <f ca="1">MAX(GR41*(1+CS42)-(Dashboard!$C$11)/(1-Dashboard!$C$17)*((1+Dashboard!$C$12)^$CZ42),0)</f>
        <v>1003263.1217393328</v>
      </c>
      <c r="GS42" s="126">
        <f ca="1">MAX(GS41*(1+CT42)-(Dashboard!$C$11)/(1-Dashboard!$C$17)*((1+Dashboard!$C$12)^$CZ42),0)</f>
        <v>14137160.167998105</v>
      </c>
      <c r="GT42" s="126">
        <f ca="1">MAX(GT41*(1+CU42)-(Dashboard!$C$11)/(1-Dashboard!$C$17)*((1+Dashboard!$C$12)^$CZ42),0)</f>
        <v>47830300.650618188</v>
      </c>
      <c r="GU42" s="126">
        <f ca="1">MAX(GU41*(1+CV42)-(Dashboard!$C$11)/(1-Dashboard!$C$17)*((1+Dashboard!$C$12)^$CZ42),0)</f>
        <v>3538414.981203658</v>
      </c>
      <c r="GV42" s="126">
        <f ca="1">MAX(GV41*(1+CW42)-(Dashboard!$C$11)/(1-Dashboard!$C$17)*((1+Dashboard!$C$12)^$CZ42),0)</f>
        <v>282456.01601010602</v>
      </c>
      <c r="GW42" s="115">
        <f t="shared" si="4"/>
        <v>91</v>
      </c>
      <c r="GX42" s="130">
        <f t="shared" ca="1" si="2"/>
        <v>89</v>
      </c>
      <c r="HC42" s="130">
        <f t="shared" si="7"/>
        <v>91</v>
      </c>
      <c r="HD42" s="137">
        <f t="shared" ref="HD42:HF51" ca="1" si="8">PERCENTILE($CY42:$GV42,HD$1)</f>
        <v>1345510.0694016663</v>
      </c>
      <c r="HE42" s="137">
        <f t="shared" ca="1" si="8"/>
        <v>4389783.583369324</v>
      </c>
      <c r="HF42" s="137">
        <f t="shared" ca="1" si="8"/>
        <v>11079382.755063253</v>
      </c>
    </row>
    <row r="43" spans="1:214" ht="16">
      <c r="A43" s="145">
        <f t="shared" si="3"/>
        <v>92</v>
      </c>
      <c r="B43" s="119">
        <f ca="1">(Dashboard!$C$7*'Equity and Bond Returns'!N43)+(Dashboard!$C$8*'Equity and Bond Returns'!DL43)</f>
        <v>8.050444502835738E-2</v>
      </c>
      <c r="C43" s="119">
        <f ca="1">(Dashboard!$C$7*'Equity and Bond Returns'!O43)+(Dashboard!$C$8*'Equity and Bond Returns'!DM43)</f>
        <v>0.12020560075701497</v>
      </c>
      <c r="D43" s="119">
        <f ca="1">(Dashboard!$C$7*'Equity and Bond Returns'!P43)+(Dashboard!$C$8*'Equity and Bond Returns'!DN43)</f>
        <v>0.29339828060741796</v>
      </c>
      <c r="E43" s="119">
        <f ca="1">(Dashboard!$C$7*'Equity and Bond Returns'!Q43)+(Dashboard!$C$8*'Equity and Bond Returns'!DO43)</f>
        <v>0.11124435522112472</v>
      </c>
      <c r="F43" s="119">
        <f ca="1">(Dashboard!$C$7*'Equity and Bond Returns'!R43)+(Dashboard!$C$8*'Equity and Bond Returns'!DP43)</f>
        <v>0.19081254781109866</v>
      </c>
      <c r="G43" s="119">
        <f ca="1">(Dashboard!$C$7*'Equity and Bond Returns'!S43)+(Dashboard!$C$8*'Equity and Bond Returns'!DQ43)</f>
        <v>6.337541982173274E-2</v>
      </c>
      <c r="H43" s="119">
        <f ca="1">(Dashboard!$C$7*'Equity and Bond Returns'!T43)+(Dashboard!$C$8*'Equity and Bond Returns'!DR43)</f>
        <v>0.24640758139495145</v>
      </c>
      <c r="I43" s="119">
        <f ca="1">(Dashboard!$C$7*'Equity and Bond Returns'!U43)+(Dashboard!$C$8*'Equity and Bond Returns'!DS43)</f>
        <v>-0.11081709441374793</v>
      </c>
      <c r="J43" s="119">
        <f ca="1">(Dashboard!$C$7*'Equity and Bond Returns'!V43)+(Dashboard!$C$8*'Equity and Bond Returns'!DT43)</f>
        <v>-0.12695322847958612</v>
      </c>
      <c r="K43" s="119">
        <f ca="1">(Dashboard!$C$7*'Equity and Bond Returns'!W43)+(Dashboard!$C$8*'Equity and Bond Returns'!DU43)</f>
        <v>2.8777504644267642E-2</v>
      </c>
      <c r="L43" s="119">
        <f ca="1">(Dashboard!$C$7*'Equity and Bond Returns'!X43)+(Dashboard!$C$8*'Equity and Bond Returns'!DV43)</f>
        <v>-4.1612558524834253E-2</v>
      </c>
      <c r="M43" s="119">
        <f ca="1">(Dashboard!$C$7*'Equity and Bond Returns'!Y43)+(Dashboard!$C$8*'Equity and Bond Returns'!DW43)</f>
        <v>0.18219187053370814</v>
      </c>
      <c r="N43" s="119">
        <f ca="1">(Dashboard!$C$7*'Equity and Bond Returns'!Z43)+(Dashboard!$C$8*'Equity and Bond Returns'!DX43)</f>
        <v>5.3880989621099232E-2</v>
      </c>
      <c r="O43" s="119">
        <f ca="1">(Dashboard!$C$7*'Equity and Bond Returns'!AA43)+(Dashboard!$C$8*'Equity and Bond Returns'!DY43)</f>
        <v>2.2061413955769674E-2</v>
      </c>
      <c r="P43" s="119">
        <f ca="1">(Dashboard!$C$7*'Equity and Bond Returns'!AB43)+(Dashboard!$C$8*'Equity and Bond Returns'!DZ43)</f>
        <v>3.1695320361720097E-2</v>
      </c>
      <c r="Q43" s="119">
        <f ca="1">(Dashboard!$C$7*'Equity and Bond Returns'!AC43)+(Dashboard!$C$8*'Equity and Bond Returns'!EA43)</f>
        <v>-4.3075031867127855E-2</v>
      </c>
      <c r="R43" s="119">
        <f ca="1">(Dashboard!$C$7*'Equity and Bond Returns'!AD43)+(Dashboard!$C$8*'Equity and Bond Returns'!EB43)</f>
        <v>1.060241154984895E-2</v>
      </c>
      <c r="S43" s="119">
        <f ca="1">(Dashboard!$C$7*'Equity and Bond Returns'!AE43)+(Dashboard!$C$8*'Equity and Bond Returns'!EC43)</f>
        <v>0.17249344353795584</v>
      </c>
      <c r="T43" s="119">
        <f ca="1">(Dashboard!$C$7*'Equity and Bond Returns'!AF43)+(Dashboard!$C$8*'Equity and Bond Returns'!ED43)</f>
        <v>0.10514896272454766</v>
      </c>
      <c r="U43" s="119">
        <f ca="1">(Dashboard!$C$7*'Equity and Bond Returns'!AG43)+(Dashboard!$C$8*'Equity and Bond Returns'!EE43)</f>
        <v>0.18296505483180286</v>
      </c>
      <c r="V43" s="119">
        <f ca="1">(Dashboard!$C$7*'Equity and Bond Returns'!AH43)+(Dashboard!$C$8*'Equity and Bond Returns'!EF43)</f>
        <v>0.2776035192359449</v>
      </c>
      <c r="W43" s="119">
        <f ca="1">(Dashboard!$C$7*'Equity and Bond Returns'!AI43)+(Dashboard!$C$8*'Equity and Bond Returns'!EG43)</f>
        <v>0.15747370225640661</v>
      </c>
      <c r="X43" s="119">
        <f ca="1">(Dashboard!$C$7*'Equity and Bond Returns'!AJ43)+(Dashboard!$C$8*'Equity and Bond Returns'!EH43)</f>
        <v>0.15053982835768168</v>
      </c>
      <c r="Y43" s="119">
        <f ca="1">(Dashboard!$C$7*'Equity and Bond Returns'!AK43)+(Dashboard!$C$8*'Equity and Bond Returns'!EI43)</f>
        <v>9.446956873804821E-2</v>
      </c>
      <c r="Z43" s="119">
        <f ca="1">(Dashboard!$C$7*'Equity and Bond Returns'!AL43)+(Dashboard!$C$8*'Equity and Bond Returns'!EJ43)</f>
        <v>0.17392938849074002</v>
      </c>
      <c r="AA43" s="119">
        <f ca="1">(Dashboard!$C$7*'Equity and Bond Returns'!AM43)+(Dashboard!$C$8*'Equity and Bond Returns'!EK43)</f>
        <v>-0.17157624494789525</v>
      </c>
      <c r="AB43" s="119">
        <f ca="1">(Dashboard!$C$7*'Equity and Bond Returns'!AN43)+(Dashboard!$C$8*'Equity and Bond Returns'!EL43)</f>
        <v>-0.19215162450499979</v>
      </c>
      <c r="AC43" s="119">
        <f ca="1">(Dashboard!$C$7*'Equity and Bond Returns'!AO43)+(Dashboard!$C$8*'Equity and Bond Returns'!EM43)</f>
        <v>0.1708622350879494</v>
      </c>
      <c r="AD43" s="119">
        <f ca="1">(Dashboard!$C$7*'Equity and Bond Returns'!AP43)+(Dashboard!$C$8*'Equity and Bond Returns'!EN43)</f>
        <v>0.12022332574535909</v>
      </c>
      <c r="AE43" s="119">
        <f ca="1">(Dashboard!$C$7*'Equity and Bond Returns'!AQ43)+(Dashboard!$C$8*'Equity and Bond Returns'!EO43)</f>
        <v>-6.6889143209061058E-2</v>
      </c>
      <c r="AF43" s="119">
        <f ca="1">(Dashboard!$C$7*'Equity and Bond Returns'!AR43)+(Dashboard!$C$8*'Equity and Bond Returns'!EP43)</f>
        <v>0.11759891367490746</v>
      </c>
      <c r="AG43" s="119">
        <f ca="1">(Dashboard!$C$7*'Equity and Bond Returns'!AS43)+(Dashboard!$C$8*'Equity and Bond Returns'!EQ43)</f>
        <v>0.27176519077067607</v>
      </c>
      <c r="AH43" s="119">
        <f ca="1">(Dashboard!$C$7*'Equity and Bond Returns'!AT43)+(Dashboard!$C$8*'Equity and Bond Returns'!ER43)</f>
        <v>-0.10039841959649247</v>
      </c>
      <c r="AI43" s="119">
        <f ca="1">(Dashboard!$C$7*'Equity and Bond Returns'!AU43)+(Dashboard!$C$8*'Equity and Bond Returns'!ES43)</f>
        <v>0.11096439624090793</v>
      </c>
      <c r="AJ43" s="119">
        <f ca="1">(Dashboard!$C$7*'Equity and Bond Returns'!AV43)+(Dashboard!$C$8*'Equity and Bond Returns'!ET43)</f>
        <v>0.17947238150044692</v>
      </c>
      <c r="AK43" s="119">
        <f ca="1">(Dashboard!$C$7*'Equity and Bond Returns'!AW43)+(Dashboard!$C$8*'Equity and Bond Returns'!EU43)</f>
        <v>0.17611434327838454</v>
      </c>
      <c r="AL43" s="119">
        <f ca="1">(Dashboard!$C$7*'Equity and Bond Returns'!AX43)+(Dashboard!$C$8*'Equity and Bond Returns'!EV43)</f>
        <v>0.12947758136433607</v>
      </c>
      <c r="AM43" s="119">
        <f ca="1">(Dashboard!$C$7*'Equity and Bond Returns'!AY43)+(Dashboard!$C$8*'Equity and Bond Returns'!EW43)</f>
        <v>6.4404144157173104E-2</v>
      </c>
      <c r="AN43" s="119">
        <f ca="1">(Dashboard!$C$7*'Equity and Bond Returns'!AZ43)+(Dashboard!$C$8*'Equity and Bond Returns'!EX43)</f>
        <v>0.15709835560601734</v>
      </c>
      <c r="AO43" s="119">
        <f ca="1">(Dashboard!$C$7*'Equity and Bond Returns'!BA43)+(Dashboard!$C$8*'Equity and Bond Returns'!EY43)</f>
        <v>-8.1779796320394726E-2</v>
      </c>
      <c r="AP43" s="119">
        <f ca="1">(Dashboard!$C$7*'Equity and Bond Returns'!BB43)+(Dashboard!$C$8*'Equity and Bond Returns'!EZ43)</f>
        <v>-1.4622221803599691E-3</v>
      </c>
      <c r="AQ43" s="119">
        <f ca="1">(Dashboard!$C$7*'Equity and Bond Returns'!BC43)+(Dashboard!$C$8*'Equity and Bond Returns'!FA43)</f>
        <v>-8.2025473391783482E-2</v>
      </c>
      <c r="AR43" s="119">
        <f ca="1">(Dashboard!$C$7*'Equity and Bond Returns'!BD43)+(Dashboard!$C$8*'Equity and Bond Returns'!FB43)</f>
        <v>3.63777135502657E-2</v>
      </c>
      <c r="AS43" s="119">
        <f ca="1">(Dashboard!$C$7*'Equity and Bond Returns'!BE43)+(Dashboard!$C$8*'Equity and Bond Returns'!FC43)</f>
        <v>0.19035704942378623</v>
      </c>
      <c r="AT43" s="119">
        <f ca="1">(Dashboard!$C$7*'Equity and Bond Returns'!BF43)+(Dashboard!$C$8*'Equity and Bond Returns'!FD43)</f>
        <v>-9.9212808527015833E-2</v>
      </c>
      <c r="AU43" s="119">
        <f ca="1">(Dashboard!$C$7*'Equity and Bond Returns'!BG43)+(Dashboard!$C$8*'Equity and Bond Returns'!FE43)</f>
        <v>-3.8808083354538898E-2</v>
      </c>
      <c r="AV43" s="119">
        <f ca="1">(Dashboard!$C$7*'Equity and Bond Returns'!BH43)+(Dashboard!$C$8*'Equity and Bond Returns'!FF43)</f>
        <v>6.3863619458031123E-2</v>
      </c>
      <c r="AW43" s="119">
        <f ca="1">(Dashboard!$C$7*'Equity and Bond Returns'!BI43)+(Dashboard!$C$8*'Equity and Bond Returns'!FG43)</f>
        <v>6.2780086118754394E-2</v>
      </c>
      <c r="AX43" s="119">
        <f ca="1">(Dashboard!$C$7*'Equity and Bond Returns'!BJ43)+(Dashboard!$C$8*'Equity and Bond Returns'!FH43)</f>
        <v>0.38493533941689878</v>
      </c>
      <c r="AY43" s="119">
        <f ca="1">(Dashboard!$C$7*'Equity and Bond Returns'!BK43)+(Dashboard!$C$8*'Equity and Bond Returns'!FI43)</f>
        <v>0.27101038437187852</v>
      </c>
      <c r="AZ43" s="119">
        <f ca="1">(Dashboard!$C$7*'Equity and Bond Returns'!BL43)+(Dashboard!$C$8*'Equity and Bond Returns'!FJ43)</f>
        <v>0.17627230884670908</v>
      </c>
      <c r="BA43" s="119">
        <f ca="1">(Dashboard!$C$7*'Equity and Bond Returns'!BM43)+(Dashboard!$C$8*'Equity and Bond Returns'!FK43)</f>
        <v>1.1922812810241058E-2</v>
      </c>
      <c r="BB43" s="119">
        <f ca="1">(Dashboard!$C$7*'Equity and Bond Returns'!BN43)+(Dashboard!$C$8*'Equity and Bond Returns'!FL43)</f>
        <v>-3.6723763786875085E-2</v>
      </c>
      <c r="BC43" s="119">
        <f ca="1">(Dashboard!$C$7*'Equity and Bond Returns'!BO43)+(Dashboard!$C$8*'Equity and Bond Returns'!FM43)</f>
        <v>0.12564876626343718</v>
      </c>
      <c r="BD43" s="119">
        <f ca="1">(Dashboard!$C$7*'Equity and Bond Returns'!BP43)+(Dashboard!$C$8*'Equity and Bond Returns'!FN43)</f>
        <v>8.5715423816750597E-2</v>
      </c>
      <c r="BE43" s="119">
        <f ca="1">(Dashboard!$C$7*'Equity and Bond Returns'!BQ43)+(Dashboard!$C$8*'Equity and Bond Returns'!FO43)</f>
        <v>2.9470666466143484E-2</v>
      </c>
      <c r="BF43" s="119">
        <f ca="1">(Dashboard!$C$7*'Equity and Bond Returns'!BR43)+(Dashboard!$C$8*'Equity and Bond Returns'!FP43)</f>
        <v>8.7229592122688951E-2</v>
      </c>
      <c r="BG43" s="119">
        <f ca="1">(Dashboard!$C$7*'Equity and Bond Returns'!BS43)+(Dashboard!$C$8*'Equity and Bond Returns'!FQ43)</f>
        <v>0.12357155250896487</v>
      </c>
      <c r="BH43" s="119">
        <f ca="1">(Dashboard!$C$7*'Equity and Bond Returns'!BT43)+(Dashboard!$C$8*'Equity and Bond Returns'!FR43)</f>
        <v>1.518729831393879E-2</v>
      </c>
      <c r="BI43" s="119">
        <f ca="1">(Dashboard!$C$7*'Equity and Bond Returns'!BU43)+(Dashboard!$C$8*'Equity and Bond Returns'!FS43)</f>
        <v>0.13389838008218519</v>
      </c>
      <c r="BJ43" s="119">
        <f ca="1">(Dashboard!$C$7*'Equity and Bond Returns'!BV43)+(Dashboard!$C$8*'Equity and Bond Returns'!FT43)</f>
        <v>9.5009789731911626E-2</v>
      </c>
      <c r="BK43" s="119">
        <f ca="1">(Dashboard!$C$7*'Equity and Bond Returns'!BW43)+(Dashboard!$C$8*'Equity and Bond Returns'!FU43)</f>
        <v>-4.0218317457781073E-2</v>
      </c>
      <c r="BL43" s="119">
        <f ca="1">(Dashboard!$C$7*'Equity and Bond Returns'!BX43)+(Dashboard!$C$8*'Equity and Bond Returns'!FV43)</f>
        <v>0.32882338873961914</v>
      </c>
      <c r="BM43" s="119">
        <f ca="1">(Dashboard!$C$7*'Equity and Bond Returns'!BY43)+(Dashboard!$C$8*'Equity and Bond Returns'!FW43)</f>
        <v>-7.2584787356956976E-2</v>
      </c>
      <c r="BN43" s="119">
        <f ca="1">(Dashboard!$C$7*'Equity and Bond Returns'!BZ43)+(Dashboard!$C$8*'Equity and Bond Returns'!FX43)</f>
        <v>0.35462215498007305</v>
      </c>
      <c r="BO43" s="119">
        <f ca="1">(Dashboard!$C$7*'Equity and Bond Returns'!CA43)+(Dashboard!$C$8*'Equity and Bond Returns'!FY43)</f>
        <v>0.20846202916871415</v>
      </c>
      <c r="BP43" s="119">
        <f ca="1">(Dashboard!$C$7*'Equity and Bond Returns'!CB43)+(Dashboard!$C$8*'Equity and Bond Returns'!FZ43)</f>
        <v>4.3548064981703917E-2</v>
      </c>
      <c r="BQ43" s="119">
        <f ca="1">(Dashboard!$C$7*'Equity and Bond Returns'!CC43)+(Dashboard!$C$8*'Equity and Bond Returns'!GA43)</f>
        <v>0.17606803594519266</v>
      </c>
      <c r="BR43" s="119">
        <f ca="1">(Dashboard!$C$7*'Equity and Bond Returns'!CD43)+(Dashboard!$C$8*'Equity and Bond Returns'!GB43)</f>
        <v>0.23312455628007969</v>
      </c>
      <c r="BS43" s="119">
        <f ca="1">(Dashboard!$C$7*'Equity and Bond Returns'!CE43)+(Dashboard!$C$8*'Equity and Bond Returns'!GC43)</f>
        <v>-0.12779505481975584</v>
      </c>
      <c r="BT43" s="119">
        <f ca="1">(Dashboard!$C$7*'Equity and Bond Returns'!CF43)+(Dashboard!$C$8*'Equity and Bond Returns'!GD43)</f>
        <v>-0.10065163545213364</v>
      </c>
      <c r="BU43" s="119">
        <f ca="1">(Dashboard!$C$7*'Equity and Bond Returns'!CG43)+(Dashboard!$C$8*'Equity and Bond Returns'!GE43)</f>
        <v>0.12104339456198329</v>
      </c>
      <c r="BV43" s="119">
        <f ca="1">(Dashboard!$C$7*'Equity and Bond Returns'!CH43)+(Dashboard!$C$8*'Equity and Bond Returns'!GF43)</f>
        <v>0.11484808925056943</v>
      </c>
      <c r="BW43" s="119">
        <f ca="1">(Dashboard!$C$7*'Equity and Bond Returns'!CI43)+(Dashboard!$C$8*'Equity and Bond Returns'!GG43)</f>
        <v>0.10869602036557516</v>
      </c>
      <c r="BX43" s="119">
        <f ca="1">(Dashboard!$C$7*'Equity and Bond Returns'!CJ43)+(Dashboard!$C$8*'Equity and Bond Returns'!GH43)</f>
        <v>-3.871254326969744E-2</v>
      </c>
      <c r="BY43" s="119">
        <f ca="1">(Dashboard!$C$7*'Equity and Bond Returns'!CK43)+(Dashboard!$C$8*'Equity and Bond Returns'!GI43)</f>
        <v>0.28937206431877682</v>
      </c>
      <c r="BZ43" s="119">
        <f ca="1">(Dashboard!$C$7*'Equity and Bond Returns'!CL43)+(Dashboard!$C$8*'Equity and Bond Returns'!GJ43)</f>
        <v>4.091925171137397E-2</v>
      </c>
      <c r="CA43" s="119">
        <f ca="1">(Dashboard!$C$7*'Equity and Bond Returns'!CM43)+(Dashboard!$C$8*'Equity and Bond Returns'!GK43)</f>
        <v>0.22511897096119551</v>
      </c>
      <c r="CB43" s="119">
        <f ca="1">(Dashboard!$C$7*'Equity and Bond Returns'!CN43)+(Dashboard!$C$8*'Equity and Bond Returns'!GL43)</f>
        <v>0.18387444439654166</v>
      </c>
      <c r="CC43" s="119">
        <f ca="1">(Dashboard!$C$7*'Equity and Bond Returns'!CO43)+(Dashboard!$C$8*'Equity and Bond Returns'!GM43)</f>
        <v>-0.17168514890267719</v>
      </c>
      <c r="CD43" s="119">
        <f ca="1">(Dashboard!$C$7*'Equity and Bond Returns'!CP43)+(Dashboard!$C$8*'Equity and Bond Returns'!GN43)</f>
        <v>-7.0920616264796895E-3</v>
      </c>
      <c r="CE43" s="119">
        <f ca="1">(Dashboard!$C$7*'Equity and Bond Returns'!CQ43)+(Dashboard!$C$8*'Equity and Bond Returns'!GO43)</f>
        <v>0.29694836608173347</v>
      </c>
      <c r="CF43" s="119">
        <f ca="1">(Dashboard!$C$7*'Equity and Bond Returns'!CR43)+(Dashboard!$C$8*'Equity and Bond Returns'!GP43)</f>
        <v>4.4360478797960096E-2</v>
      </c>
      <c r="CG43" s="119">
        <f ca="1">(Dashboard!$C$7*'Equity and Bond Returns'!CS43)+(Dashboard!$C$8*'Equity and Bond Returns'!GQ43)</f>
        <v>0.11546081506171577</v>
      </c>
      <c r="CH43" s="119">
        <f ca="1">(Dashboard!$C$7*'Equity and Bond Returns'!CT43)+(Dashboard!$C$8*'Equity and Bond Returns'!GR43)</f>
        <v>5.6296659000403794E-2</v>
      </c>
      <c r="CI43" s="119">
        <f ca="1">(Dashboard!$C$7*'Equity and Bond Returns'!CU43)+(Dashboard!$C$8*'Equity and Bond Returns'!GS43)</f>
        <v>-7.4290374451407223E-2</v>
      </c>
      <c r="CJ43" s="119">
        <f ca="1">(Dashboard!$C$7*'Equity and Bond Returns'!CV43)+(Dashboard!$C$8*'Equity and Bond Returns'!GT43)</f>
        <v>4.0317064930705082E-2</v>
      </c>
      <c r="CK43" s="119">
        <f ca="1">(Dashboard!$C$7*'Equity and Bond Returns'!CW43)+(Dashboard!$C$8*'Equity and Bond Returns'!GU43)</f>
        <v>-2.7478776940621473E-2</v>
      </c>
      <c r="CL43" s="119">
        <f ca="1">(Dashboard!$C$7*'Equity and Bond Returns'!CX43)+(Dashboard!$C$8*'Equity and Bond Returns'!GV43)</f>
        <v>0.18973917592413619</v>
      </c>
      <c r="CM43" s="119">
        <f ca="1">(Dashboard!$C$7*'Equity and Bond Returns'!CY43)+(Dashboard!$C$8*'Equity and Bond Returns'!GW43)</f>
        <v>-9.2926751046919914E-2</v>
      </c>
      <c r="CN43" s="119">
        <f ca="1">(Dashboard!$C$7*'Equity and Bond Returns'!CZ43)+(Dashboard!$C$8*'Equity and Bond Returns'!GX43)</f>
        <v>0.14239154741767135</v>
      </c>
      <c r="CO43" s="119">
        <f ca="1">(Dashboard!$C$7*'Equity and Bond Returns'!DA43)+(Dashboard!$C$8*'Equity and Bond Returns'!GY43)</f>
        <v>0.15610645208545823</v>
      </c>
      <c r="CP43" s="119">
        <f ca="1">(Dashboard!$C$7*'Equity and Bond Returns'!DB43)+(Dashboard!$C$8*'Equity and Bond Returns'!GZ43)</f>
        <v>2.1119821895052016E-5</v>
      </c>
      <c r="CQ43" s="119">
        <f ca="1">(Dashboard!$C$7*'Equity and Bond Returns'!DC43)+(Dashboard!$C$8*'Equity and Bond Returns'!HA43)</f>
        <v>0.15633850314847017</v>
      </c>
      <c r="CR43" s="119">
        <f ca="1">(Dashboard!$C$7*'Equity and Bond Returns'!DD43)+(Dashboard!$C$8*'Equity and Bond Returns'!HB43)</f>
        <v>5.085874591641986E-2</v>
      </c>
      <c r="CS43" s="119">
        <f ca="1">(Dashboard!$C$7*'Equity and Bond Returns'!DE43)+(Dashboard!$C$8*'Equity and Bond Returns'!HC43)</f>
        <v>-0.10410073054304544</v>
      </c>
      <c r="CT43" s="119">
        <f ca="1">(Dashboard!$C$7*'Equity and Bond Returns'!DF43)+(Dashboard!$C$8*'Equity and Bond Returns'!HD43)</f>
        <v>-4.8184007663121621E-2</v>
      </c>
      <c r="CU43" s="119">
        <f ca="1">(Dashboard!$C$7*'Equity and Bond Returns'!DG43)+(Dashboard!$C$8*'Equity and Bond Returns'!HE43)</f>
        <v>0.10835446649813729</v>
      </c>
      <c r="CV43" s="119">
        <f ca="1">(Dashboard!$C$7*'Equity and Bond Returns'!DH43)+(Dashboard!$C$8*'Equity and Bond Returns'!HF43)</f>
        <v>-0.22687001920913588</v>
      </c>
      <c r="CW43" s="119">
        <f ca="1">(Dashboard!$C$7*'Equity and Bond Returns'!DI43)+(Dashboard!$C$8*'Equity and Bond Returns'!HG43)</f>
        <v>0.16562524714969151</v>
      </c>
      <c r="CY43" s="147">
        <f t="shared" si="5"/>
        <v>92</v>
      </c>
      <c r="CZ43" s="147">
        <v>42</v>
      </c>
      <c r="DA43" s="126">
        <f ca="1">MAX(DA42*(1+B43)-(Dashboard!$C$11)/(1-Dashboard!$C$17)*((1+Dashboard!$C$12)^$CZ43),0)</f>
        <v>29866753.866995838</v>
      </c>
      <c r="DB43" s="126">
        <f ca="1">MAX(DB42*(1+C43)-(Dashboard!$C$11)/(1-Dashboard!$C$17)*((1+Dashboard!$C$12)^$CZ43),0)</f>
        <v>0</v>
      </c>
      <c r="DC43" s="126">
        <f ca="1">MAX(DC42*(1+D43)-(Dashboard!$C$11)/(1-Dashboard!$C$17)*((1+Dashboard!$C$12)^$CZ43),0)</f>
        <v>6851113.0062903967</v>
      </c>
      <c r="DD43" s="126">
        <f ca="1">MAX(DD42*(1+E43)-(Dashboard!$C$11)/(1-Dashboard!$C$17)*((1+Dashboard!$C$12)^$CZ43),0)</f>
        <v>0</v>
      </c>
      <c r="DE43" s="126">
        <f ca="1">MAX(DE42*(1+F43)-(Dashboard!$C$11)/(1-Dashboard!$C$17)*((1+Dashboard!$C$12)^$CZ43),0)</f>
        <v>6116552.5462906938</v>
      </c>
      <c r="DF43" s="126">
        <f ca="1">MAX(DF42*(1+G43)-(Dashboard!$C$11)/(1-Dashboard!$C$17)*((1+Dashboard!$C$12)^$CZ43),0)</f>
        <v>15120228.051469568</v>
      </c>
      <c r="DG43" s="126">
        <f ca="1">MAX(DG42*(1+H43)-(Dashboard!$C$11)/(1-Dashboard!$C$17)*((1+Dashboard!$C$12)^$CZ43),0)</f>
        <v>0</v>
      </c>
      <c r="DH43" s="126">
        <f ca="1">MAX(DH42*(1+I43)-(Dashboard!$C$11)/(1-Dashboard!$C$17)*((1+Dashboard!$C$12)^$CZ43),0)</f>
        <v>37143168.794980533</v>
      </c>
      <c r="DI43" s="126">
        <f ca="1">MAX(DI42*(1+J43)-(Dashboard!$C$11)/(1-Dashboard!$C$17)*((1+Dashboard!$C$12)^$CZ43),0)</f>
        <v>5697956.9864590457</v>
      </c>
      <c r="DJ43" s="126">
        <f ca="1">MAX(DJ42*(1+K43)-(Dashboard!$C$11)/(1-Dashboard!$C$17)*((1+Dashboard!$C$12)^$CZ43),0)</f>
        <v>10475196.560803669</v>
      </c>
      <c r="DK43" s="126">
        <f ca="1">MAX(DK42*(1+L43)-(Dashboard!$C$11)/(1-Dashboard!$C$17)*((1+Dashboard!$C$12)^$CZ43),0)</f>
        <v>7858574.4483790752</v>
      </c>
      <c r="DL43" s="126">
        <f ca="1">MAX(DL42*(1+M43)-(Dashboard!$C$11)/(1-Dashboard!$C$17)*((1+Dashboard!$C$12)^$CZ43),0)</f>
        <v>783258.14215633716</v>
      </c>
      <c r="DM43" s="126">
        <f ca="1">MAX(DM42*(1+N43)-(Dashboard!$C$11)/(1-Dashboard!$C$17)*((1+Dashboard!$C$12)^$CZ43),0)</f>
        <v>12759685.100257203</v>
      </c>
      <c r="DN43" s="126">
        <f ca="1">MAX(DN42*(1+O43)-(Dashboard!$C$11)/(1-Dashboard!$C$17)*((1+Dashboard!$C$12)^$CZ43),0)</f>
        <v>95064794.566281825</v>
      </c>
      <c r="DO43" s="126">
        <f ca="1">MAX(DO42*(1+P43)-(Dashboard!$C$11)/(1-Dashboard!$C$17)*((1+Dashboard!$C$12)^$CZ43),0)</f>
        <v>3949266.8129265476</v>
      </c>
      <c r="DP43" s="126">
        <f ca="1">MAX(DP42*(1+Q43)-(Dashboard!$C$11)/(1-Dashboard!$C$17)*((1+Dashboard!$C$12)^$CZ43),0)</f>
        <v>1260380.894794398</v>
      </c>
      <c r="DQ43" s="126">
        <f ca="1">MAX(DQ42*(1+R43)-(Dashboard!$C$11)/(1-Dashboard!$C$17)*((1+Dashboard!$C$12)^$CZ43),0)</f>
        <v>3904966.5120455525</v>
      </c>
      <c r="DR43" s="126">
        <f ca="1">MAX(DR42*(1+S43)-(Dashboard!$C$11)/(1-Dashboard!$C$17)*((1+Dashboard!$C$12)^$CZ43),0)</f>
        <v>12148570.595419694</v>
      </c>
      <c r="DS43" s="126">
        <f ca="1">MAX(DS42*(1+T43)-(Dashboard!$C$11)/(1-Dashboard!$C$17)*((1+Dashboard!$C$12)^$CZ43),0)</f>
        <v>0</v>
      </c>
      <c r="DT43" s="126">
        <f ca="1">MAX(DT42*(1+U43)-(Dashboard!$C$11)/(1-Dashboard!$C$17)*((1+Dashboard!$C$12)^$CZ43),0)</f>
        <v>812428.71331509808</v>
      </c>
      <c r="DU43" s="126">
        <f ca="1">MAX(DU42*(1+V43)-(Dashboard!$C$11)/(1-Dashboard!$C$17)*((1+Dashboard!$C$12)^$CZ43),0)</f>
        <v>5655294.4759624116</v>
      </c>
      <c r="DV43" s="126">
        <f ca="1">MAX(DV42*(1+W43)-(Dashboard!$C$11)/(1-Dashboard!$C$17)*((1+Dashboard!$C$12)^$CZ43),0)</f>
        <v>58120705.839531086</v>
      </c>
      <c r="DW43" s="126">
        <f ca="1">MAX(DW42*(1+X43)-(Dashboard!$C$11)/(1-Dashboard!$C$17)*((1+Dashboard!$C$12)^$CZ43),0)</f>
        <v>3599682.9034167966</v>
      </c>
      <c r="DX43" s="126">
        <f ca="1">MAX(DX42*(1+Y43)-(Dashboard!$C$11)/(1-Dashboard!$C$17)*((1+Dashboard!$C$12)^$CZ43),0)</f>
        <v>1711108.7510159125</v>
      </c>
      <c r="DY43" s="126">
        <f ca="1">MAX(DY42*(1+Z43)-(Dashboard!$C$11)/(1-Dashboard!$C$17)*((1+Dashboard!$C$12)^$CZ43),0)</f>
        <v>19780665.682629205</v>
      </c>
      <c r="DZ43" s="126">
        <f ca="1">MAX(DZ42*(1+AA43)-(Dashboard!$C$11)/(1-Dashboard!$C$17)*((1+Dashboard!$C$12)^$CZ43),0)</f>
        <v>6920604.7447214928</v>
      </c>
      <c r="EA43" s="126">
        <f ca="1">MAX(EA42*(1+AB43)-(Dashboard!$C$11)/(1-Dashboard!$C$17)*((1+Dashboard!$C$12)^$CZ43),0)</f>
        <v>2640126.2689033663</v>
      </c>
      <c r="EB43" s="126">
        <f ca="1">MAX(EB42*(1+AC43)-(Dashboard!$C$11)/(1-Dashboard!$C$17)*((1+Dashboard!$C$12)^$CZ43),0)</f>
        <v>7916157.0027792649</v>
      </c>
      <c r="EC43" s="126">
        <f ca="1">MAX(EC42*(1+AD43)-(Dashboard!$C$11)/(1-Dashboard!$C$17)*((1+Dashboard!$C$12)^$CZ43),0)</f>
        <v>9749222.1508835535</v>
      </c>
      <c r="ED43" s="126">
        <f ca="1">MAX(ED42*(1+AE43)-(Dashboard!$C$11)/(1-Dashboard!$C$17)*((1+Dashboard!$C$12)^$CZ43),0)</f>
        <v>6460683.2233504299</v>
      </c>
      <c r="EE43" s="126">
        <f ca="1">MAX(EE42*(1+AF43)-(Dashboard!$C$11)/(1-Dashboard!$C$17)*((1+Dashboard!$C$12)^$CZ43),0)</f>
        <v>20901654.43887458</v>
      </c>
      <c r="EF43" s="126">
        <f ca="1">MAX(EF42*(1+AG43)-(Dashboard!$C$11)/(1-Dashboard!$C$17)*((1+Dashboard!$C$12)^$CZ43),0)</f>
        <v>0</v>
      </c>
      <c r="EG43" s="126">
        <f ca="1">MAX(EG42*(1+AH43)-(Dashboard!$C$11)/(1-Dashboard!$C$17)*((1+Dashboard!$C$12)^$CZ43),0)</f>
        <v>7477277.5993837984</v>
      </c>
      <c r="EH43" s="126">
        <f ca="1">MAX(EH42*(1+AI43)-(Dashboard!$C$11)/(1-Dashboard!$C$17)*((1+Dashboard!$C$12)^$CZ43),0)</f>
        <v>14878818.664686136</v>
      </c>
      <c r="EI43" s="126">
        <f ca="1">MAX(EI42*(1+AJ43)-(Dashboard!$C$11)/(1-Dashboard!$C$17)*((1+Dashboard!$C$12)^$CZ43),0)</f>
        <v>0</v>
      </c>
      <c r="EJ43" s="126">
        <f ca="1">MAX(EJ42*(1+AK43)-(Dashboard!$C$11)/(1-Dashboard!$C$17)*((1+Dashboard!$C$12)^$CZ43),0)</f>
        <v>9050528.7146322019</v>
      </c>
      <c r="EK43" s="126">
        <f ca="1">MAX(EK42*(1+AL43)-(Dashboard!$C$11)/(1-Dashboard!$C$17)*((1+Dashboard!$C$12)^$CZ43),0)</f>
        <v>3536641.937751981</v>
      </c>
      <c r="EL43" s="126">
        <f ca="1">MAX(EL42*(1+AM43)-(Dashboard!$C$11)/(1-Dashboard!$C$17)*((1+Dashboard!$C$12)^$CZ43),0)</f>
        <v>2369185.3978148624</v>
      </c>
      <c r="EM43" s="126">
        <f ca="1">MAX(EM42*(1+AN43)-(Dashboard!$C$11)/(1-Dashboard!$C$17)*((1+Dashboard!$C$12)^$CZ43),0)</f>
        <v>20596096.605912548</v>
      </c>
      <c r="EN43" s="126">
        <f ca="1">MAX(EN42*(1+AO43)-(Dashboard!$C$11)/(1-Dashboard!$C$17)*((1+Dashboard!$C$12)^$CZ43),0)</f>
        <v>2144135.7009886764</v>
      </c>
      <c r="EO43" s="126">
        <f ca="1">MAX(EO42*(1+AP43)-(Dashboard!$C$11)/(1-Dashboard!$C$17)*((1+Dashboard!$C$12)^$CZ43),0)</f>
        <v>0</v>
      </c>
      <c r="EP43" s="126">
        <f ca="1">MAX(EP42*(1+AQ43)-(Dashboard!$C$11)/(1-Dashboard!$C$17)*((1+Dashboard!$C$12)^$CZ43),0)</f>
        <v>5441693.0385327237</v>
      </c>
      <c r="EQ43" s="126">
        <f ca="1">MAX(EQ42*(1+AR43)-(Dashboard!$C$11)/(1-Dashboard!$C$17)*((1+Dashboard!$C$12)^$CZ43),0)</f>
        <v>4131402.8818274671</v>
      </c>
      <c r="ER43" s="126">
        <f ca="1">MAX(ER42*(1+AS43)-(Dashboard!$C$11)/(1-Dashboard!$C$17)*((1+Dashboard!$C$12)^$CZ43),0)</f>
        <v>0</v>
      </c>
      <c r="ES43" s="126">
        <f ca="1">MAX(ES42*(1+AT43)-(Dashboard!$C$11)/(1-Dashboard!$C$17)*((1+Dashboard!$C$12)^$CZ43),0)</f>
        <v>30669116.218803525</v>
      </c>
      <c r="ET43" s="126">
        <f ca="1">MAX(ET42*(1+AU43)-(Dashboard!$C$11)/(1-Dashboard!$C$17)*((1+Dashboard!$C$12)^$CZ43),0)</f>
        <v>5968309.6150987092</v>
      </c>
      <c r="EU43" s="126">
        <f ca="1">MAX(EU42*(1+AV43)-(Dashboard!$C$11)/(1-Dashboard!$C$17)*((1+Dashboard!$C$12)^$CZ43),0)</f>
        <v>4983834.0123263942</v>
      </c>
      <c r="EV43" s="126">
        <f ca="1">MAX(EV42*(1+AW43)-(Dashboard!$C$11)/(1-Dashboard!$C$17)*((1+Dashboard!$C$12)^$CZ43),0)</f>
        <v>45312850.471942894</v>
      </c>
      <c r="EW43" s="126">
        <f ca="1">MAX(EW42*(1+AX43)-(Dashboard!$C$11)/(1-Dashboard!$C$17)*((1+Dashboard!$C$12)^$CZ43),0)</f>
        <v>1996445.0294671622</v>
      </c>
      <c r="EX43" s="126">
        <f ca="1">MAX(EX42*(1+AY43)-(Dashboard!$C$11)/(1-Dashboard!$C$17)*((1+Dashboard!$C$12)^$CZ43),0)</f>
        <v>4209879.0132712517</v>
      </c>
      <c r="EY43" s="126">
        <f ca="1">MAX(EY42*(1+AZ43)-(Dashboard!$C$11)/(1-Dashboard!$C$17)*((1+Dashboard!$C$12)^$CZ43),0)</f>
        <v>14128765.581973752</v>
      </c>
      <c r="EZ43" s="126">
        <f ca="1">MAX(EZ42*(1+BA43)-(Dashboard!$C$11)/(1-Dashboard!$C$17)*((1+Dashboard!$C$12)^$CZ43),0)</f>
        <v>2154573.7435762798</v>
      </c>
      <c r="FA43" s="126">
        <f ca="1">MAX(FA42*(1+BB43)-(Dashboard!$C$11)/(1-Dashboard!$C$17)*((1+Dashboard!$C$12)^$CZ43),0)</f>
        <v>32225422.651713781</v>
      </c>
      <c r="FB43" s="126">
        <f ca="1">MAX(FB42*(1+BC43)-(Dashboard!$C$11)/(1-Dashboard!$C$17)*((1+Dashboard!$C$12)^$CZ43),0)</f>
        <v>858964.97161921149</v>
      </c>
      <c r="FC43" s="126">
        <f ca="1">MAX(FC42*(1+BD43)-(Dashboard!$C$11)/(1-Dashboard!$C$17)*((1+Dashboard!$C$12)^$CZ43),0)</f>
        <v>5069023.8994058352</v>
      </c>
      <c r="FD43" s="126">
        <f ca="1">MAX(FD42*(1+BE43)-(Dashboard!$C$11)/(1-Dashboard!$C$17)*((1+Dashboard!$C$12)^$CZ43),0)</f>
        <v>24978566.104650602</v>
      </c>
      <c r="FE43" s="126">
        <f ca="1">MAX(FE42*(1+BF43)-(Dashboard!$C$11)/(1-Dashboard!$C$17)*((1+Dashboard!$C$12)^$CZ43),0)</f>
        <v>19342632.090675145</v>
      </c>
      <c r="FF43" s="126">
        <f ca="1">MAX(FF42*(1+BG43)-(Dashboard!$C$11)/(1-Dashboard!$C$17)*((1+Dashboard!$C$12)^$CZ43),0)</f>
        <v>3594906.4901605085</v>
      </c>
      <c r="FG43" s="126">
        <f ca="1">MAX(FG42*(1+BH43)-(Dashboard!$C$11)/(1-Dashboard!$C$17)*((1+Dashboard!$C$12)^$CZ43),0)</f>
        <v>1228587.2902253557</v>
      </c>
      <c r="FH43" s="126">
        <f ca="1">MAX(FH42*(1+BI43)-(Dashboard!$C$11)/(1-Dashboard!$C$17)*((1+Dashboard!$C$12)^$CZ43),0)</f>
        <v>5637092.1682648137</v>
      </c>
      <c r="FI43" s="126">
        <f ca="1">MAX(FI42*(1+BJ43)-(Dashboard!$C$11)/(1-Dashboard!$C$17)*((1+Dashboard!$C$12)^$CZ43),0)</f>
        <v>13816268.799537692</v>
      </c>
      <c r="FJ43" s="126">
        <f ca="1">MAX(FJ42*(1+BK43)-(Dashboard!$C$11)/(1-Dashboard!$C$17)*((1+Dashboard!$C$12)^$CZ43),0)</f>
        <v>2484694.3682718198</v>
      </c>
      <c r="FK43" s="126">
        <f ca="1">MAX(FK42*(1+BL43)-(Dashboard!$C$11)/(1-Dashboard!$C$17)*((1+Dashboard!$C$12)^$CZ43),0)</f>
        <v>4869290.6274536708</v>
      </c>
      <c r="FL43" s="126">
        <f ca="1">MAX(FL42*(1+BM43)-(Dashboard!$C$11)/(1-Dashboard!$C$17)*((1+Dashboard!$C$12)^$CZ43),0)</f>
        <v>1499720.9651746526</v>
      </c>
      <c r="FM43" s="126">
        <f ca="1">MAX(FM42*(1+BN43)-(Dashboard!$C$11)/(1-Dashboard!$C$17)*((1+Dashboard!$C$12)^$CZ43),0)</f>
        <v>5901921.1594291823</v>
      </c>
      <c r="FN43" s="126">
        <f ca="1">MAX(FN42*(1+BO43)-(Dashboard!$C$11)/(1-Dashboard!$C$17)*((1+Dashboard!$C$12)^$CZ43),0)</f>
        <v>0</v>
      </c>
      <c r="FO43" s="126">
        <f ca="1">MAX(FO42*(1+BP43)-(Dashboard!$C$11)/(1-Dashboard!$C$17)*((1+Dashboard!$C$12)^$CZ43),0)</f>
        <v>4949151.1031597639</v>
      </c>
      <c r="FP43" s="126">
        <f ca="1">MAX(FP42*(1+BQ43)-(Dashboard!$C$11)/(1-Dashboard!$C$17)*((1+Dashboard!$C$12)^$CZ43),0)</f>
        <v>2074285.4187458232</v>
      </c>
      <c r="FQ43" s="126">
        <f ca="1">MAX(FQ42*(1+BR43)-(Dashboard!$C$11)/(1-Dashboard!$C$17)*((1+Dashboard!$C$12)^$CZ43),0)</f>
        <v>1811313.517690181</v>
      </c>
      <c r="FR43" s="126">
        <f ca="1">MAX(FR42*(1+BS43)-(Dashboard!$C$11)/(1-Dashboard!$C$17)*((1+Dashboard!$C$12)^$CZ43),0)</f>
        <v>13731092.787385084</v>
      </c>
      <c r="FS43" s="126">
        <f ca="1">MAX(FS42*(1+BT43)-(Dashboard!$C$11)/(1-Dashboard!$C$17)*((1+Dashboard!$C$12)^$CZ43),0)</f>
        <v>11807609.004331909</v>
      </c>
      <c r="FT43" s="126">
        <f ca="1">MAX(FT42*(1+BU43)-(Dashboard!$C$11)/(1-Dashboard!$C$17)*((1+Dashboard!$C$12)^$CZ43),0)</f>
        <v>0</v>
      </c>
      <c r="FU43" s="126">
        <f ca="1">MAX(FU42*(1+BV43)-(Dashboard!$C$11)/(1-Dashboard!$C$17)*((1+Dashboard!$C$12)^$CZ43),0)</f>
        <v>1411495.5121540823</v>
      </c>
      <c r="FV43" s="126">
        <f ca="1">MAX(FV42*(1+BW43)-(Dashboard!$C$11)/(1-Dashboard!$C$17)*((1+Dashboard!$C$12)^$CZ43),0)</f>
        <v>8490520.1401930712</v>
      </c>
      <c r="FW43" s="126">
        <f ca="1">MAX(FW42*(1+BX43)-(Dashboard!$C$11)/(1-Dashboard!$C$17)*((1+Dashboard!$C$12)^$CZ43),0)</f>
        <v>2436687.5710350336</v>
      </c>
      <c r="FX43" s="126">
        <f ca="1">MAX(FX42*(1+BY43)-(Dashboard!$C$11)/(1-Dashboard!$C$17)*((1+Dashboard!$C$12)^$CZ43),0)</f>
        <v>0</v>
      </c>
      <c r="FY43" s="126">
        <f ca="1">MAX(FY42*(1+BZ43)-(Dashboard!$C$11)/(1-Dashboard!$C$17)*((1+Dashboard!$C$12)^$CZ43),0)</f>
        <v>148032.33147231065</v>
      </c>
      <c r="FZ43" s="126">
        <f ca="1">MAX(FZ42*(1+CA43)-(Dashboard!$C$11)/(1-Dashboard!$C$17)*((1+Dashboard!$C$12)^$CZ43),0)</f>
        <v>25323215.836927272</v>
      </c>
      <c r="GA43" s="126">
        <f ca="1">MAX(GA42*(1+CB43)-(Dashboard!$C$11)/(1-Dashboard!$C$17)*((1+Dashboard!$C$12)^$CZ43),0)</f>
        <v>22528186.032459773</v>
      </c>
      <c r="GB43" s="126">
        <f ca="1">MAX(GB42*(1+CC43)-(Dashboard!$C$11)/(1-Dashboard!$C$17)*((1+Dashboard!$C$12)^$CZ43),0)</f>
        <v>3314765.2973319865</v>
      </c>
      <c r="GC43" s="126">
        <f ca="1">MAX(GC42*(1+CD43)-(Dashboard!$C$11)/(1-Dashboard!$C$17)*((1+Dashboard!$C$12)^$CZ43),0)</f>
        <v>7485245.0285090497</v>
      </c>
      <c r="GD43" s="126">
        <f ca="1">MAX(GD42*(1+CE43)-(Dashboard!$C$11)/(1-Dashboard!$C$17)*((1+Dashboard!$C$12)^$CZ43),0)</f>
        <v>54097359.679086037</v>
      </c>
      <c r="GE43" s="126">
        <f ca="1">MAX(GE42*(1+CF43)-(Dashboard!$C$11)/(1-Dashboard!$C$17)*((1+Dashboard!$C$12)^$CZ43),0)</f>
        <v>4485125.7498054663</v>
      </c>
      <c r="GF43" s="126">
        <f ca="1">MAX(GF42*(1+CG43)-(Dashboard!$C$11)/(1-Dashboard!$C$17)*((1+Dashboard!$C$12)^$CZ43),0)</f>
        <v>4803186.3867055494</v>
      </c>
      <c r="GG43" s="126">
        <f ca="1">MAX(GG42*(1+CH43)-(Dashboard!$C$11)/(1-Dashboard!$C$17)*((1+Dashboard!$C$12)^$CZ43),0)</f>
        <v>125960.32808095613</v>
      </c>
      <c r="GH43" s="126">
        <f ca="1">MAX(GH42*(1+CI43)-(Dashboard!$C$11)/(1-Dashboard!$C$17)*((1+Dashboard!$C$12)^$CZ43),0)</f>
        <v>1003062.2816753067</v>
      </c>
      <c r="GI43" s="126">
        <f ca="1">MAX(GI42*(1+CJ43)-(Dashboard!$C$11)/(1-Dashboard!$C$17)*((1+Dashboard!$C$12)^$CZ43),0)</f>
        <v>10366266.436814338</v>
      </c>
      <c r="GJ43" s="126">
        <f ca="1">MAX(GJ42*(1+CK43)-(Dashboard!$C$11)/(1-Dashboard!$C$17)*((1+Dashboard!$C$12)^$CZ43),0)</f>
        <v>27731493.000525709</v>
      </c>
      <c r="GK43" s="126">
        <f ca="1">MAX(GK42*(1+CL43)-(Dashboard!$C$11)/(1-Dashboard!$C$17)*((1+Dashboard!$C$12)^$CZ43),0)</f>
        <v>7637481.2763064075</v>
      </c>
      <c r="GL43" s="126">
        <f ca="1">MAX(GL42*(1+CM43)-(Dashboard!$C$11)/(1-Dashboard!$C$17)*((1+Dashboard!$C$12)^$CZ43),0)</f>
        <v>10099887.969590096</v>
      </c>
      <c r="GM43" s="126">
        <f ca="1">MAX(GM42*(1+CN43)-(Dashboard!$C$11)/(1-Dashboard!$C$17)*((1+Dashboard!$C$12)^$CZ43),0)</f>
        <v>50374.513559549479</v>
      </c>
      <c r="GN43" s="126">
        <f ca="1">MAX(GN42*(1+CO43)-(Dashboard!$C$11)/(1-Dashboard!$C$17)*((1+Dashboard!$C$12)^$CZ43),0)</f>
        <v>0</v>
      </c>
      <c r="GO43" s="126">
        <f ca="1">MAX(GO42*(1+CP43)-(Dashboard!$C$11)/(1-Dashboard!$C$17)*((1+Dashboard!$C$12)^$CZ43),0)</f>
        <v>3235546.2547657662</v>
      </c>
      <c r="GP43" s="126">
        <f ca="1">MAX(GP42*(1+CQ43)-(Dashboard!$C$11)/(1-Dashboard!$C$17)*((1+Dashboard!$C$12)^$CZ43),0)</f>
        <v>12275654.129991511</v>
      </c>
      <c r="GQ43" s="126">
        <f ca="1">MAX(GQ42*(1+CR43)-(Dashboard!$C$11)/(1-Dashboard!$C$17)*((1+Dashboard!$C$12)^$CZ43),0)</f>
        <v>0</v>
      </c>
      <c r="GR43" s="126">
        <f ca="1">MAX(GR42*(1+CS43)-(Dashboard!$C$11)/(1-Dashboard!$C$17)*((1+Dashboard!$C$12)^$CZ43),0)</f>
        <v>827445.84503527812</v>
      </c>
      <c r="GS43" s="126">
        <f ca="1">MAX(GS42*(1+CT43)-(Dashboard!$C$11)/(1-Dashboard!$C$17)*((1+Dashboard!$C$12)^$CZ43),0)</f>
        <v>13384598.281324413</v>
      </c>
      <c r="GT43" s="126">
        <f ca="1">MAX(GT42*(1+CU43)-(Dashboard!$C$11)/(1-Dashboard!$C$17)*((1+Dashboard!$C$12)^$CZ43),0)</f>
        <v>52941550.507257335</v>
      </c>
      <c r="GU43" s="126">
        <f ca="1">MAX(GU42*(1+CV43)-(Dashboard!$C$11)/(1-Dashboard!$C$17)*((1+Dashboard!$C$12)^$CZ43),0)</f>
        <v>2664277.8536439966</v>
      </c>
      <c r="GV43" s="126">
        <f ca="1">MAX(GV42*(1+CW43)-(Dashboard!$C$11)/(1-Dashboard!$C$17)*((1+Dashboard!$C$12)^$CZ43),0)</f>
        <v>257861.01066660337</v>
      </c>
      <c r="GW43" s="115">
        <f t="shared" si="4"/>
        <v>92</v>
      </c>
      <c r="GX43" s="130">
        <f t="shared" ca="1" si="2"/>
        <v>87</v>
      </c>
      <c r="HC43" s="130">
        <f t="shared" si="7"/>
        <v>92</v>
      </c>
      <c r="HD43" s="137">
        <f t="shared" ca="1" si="8"/>
        <v>1298159.5491343192</v>
      </c>
      <c r="HE43" s="137">
        <f t="shared" ca="1" si="8"/>
        <v>4909220.8653067173</v>
      </c>
      <c r="HF43" s="137">
        <f t="shared" ca="1" si="8"/>
        <v>12063330.197647747</v>
      </c>
    </row>
    <row r="44" spans="1:214" ht="16">
      <c r="A44" s="145">
        <f t="shared" si="3"/>
        <v>93</v>
      </c>
      <c r="B44" s="119">
        <f ca="1">(Dashboard!$C$7*'Equity and Bond Returns'!N44)+(Dashboard!$C$8*'Equity and Bond Returns'!DL44)</f>
        <v>-5.7646689154413747E-2</v>
      </c>
      <c r="C44" s="119">
        <f ca="1">(Dashboard!$C$7*'Equity and Bond Returns'!O44)+(Dashboard!$C$8*'Equity and Bond Returns'!DM44)</f>
        <v>0.38955682835139771</v>
      </c>
      <c r="D44" s="119">
        <f ca="1">(Dashboard!$C$7*'Equity and Bond Returns'!P44)+(Dashboard!$C$8*'Equity and Bond Returns'!DN44)</f>
        <v>0.12959618821287994</v>
      </c>
      <c r="E44" s="119">
        <f ca="1">(Dashboard!$C$7*'Equity and Bond Returns'!Q44)+(Dashboard!$C$8*'Equity and Bond Returns'!DO44)</f>
        <v>-0.11635196519422572</v>
      </c>
      <c r="F44" s="119">
        <f ca="1">(Dashboard!$C$7*'Equity and Bond Returns'!R44)+(Dashboard!$C$8*'Equity and Bond Returns'!DP44)</f>
        <v>0.11296952947110887</v>
      </c>
      <c r="G44" s="119">
        <f ca="1">(Dashboard!$C$7*'Equity and Bond Returns'!S44)+(Dashboard!$C$8*'Equity and Bond Returns'!DQ44)</f>
        <v>-0.19547786481956686</v>
      </c>
      <c r="H44" s="119">
        <f ca="1">(Dashboard!$C$7*'Equity and Bond Returns'!T44)+(Dashboard!$C$8*'Equity and Bond Returns'!DR44)</f>
        <v>-3.9317751367281183E-2</v>
      </c>
      <c r="I44" s="119">
        <f ca="1">(Dashboard!$C$7*'Equity and Bond Returns'!U44)+(Dashboard!$C$8*'Equity and Bond Returns'!DS44)</f>
        <v>-0.17669494550805573</v>
      </c>
      <c r="J44" s="119">
        <f ca="1">(Dashboard!$C$7*'Equity and Bond Returns'!V44)+(Dashboard!$C$8*'Equity and Bond Returns'!DT44)</f>
        <v>8.2799579610317101E-2</v>
      </c>
      <c r="K44" s="119">
        <f ca="1">(Dashboard!$C$7*'Equity and Bond Returns'!W44)+(Dashboard!$C$8*'Equity and Bond Returns'!DU44)</f>
        <v>-0.22135925354165473</v>
      </c>
      <c r="L44" s="119">
        <f ca="1">(Dashboard!$C$7*'Equity and Bond Returns'!X44)+(Dashboard!$C$8*'Equity and Bond Returns'!DV44)</f>
        <v>-2.6674526995428764E-2</v>
      </c>
      <c r="M44" s="119">
        <f ca="1">(Dashboard!$C$7*'Equity and Bond Returns'!Y44)+(Dashboard!$C$8*'Equity and Bond Returns'!DW44)</f>
        <v>0.21458507010020603</v>
      </c>
      <c r="N44" s="119">
        <f ca="1">(Dashboard!$C$7*'Equity and Bond Returns'!Z44)+(Dashboard!$C$8*'Equity and Bond Returns'!DX44)</f>
        <v>0.38175452368250612</v>
      </c>
      <c r="O44" s="119">
        <f ca="1">(Dashboard!$C$7*'Equity and Bond Returns'!AA44)+(Dashboard!$C$8*'Equity and Bond Returns'!DY44)</f>
        <v>0.35297962494104201</v>
      </c>
      <c r="P44" s="119">
        <f ca="1">(Dashboard!$C$7*'Equity and Bond Returns'!AB44)+(Dashboard!$C$8*'Equity and Bond Returns'!DZ44)</f>
        <v>8.3473036114406068E-2</v>
      </c>
      <c r="Q44" s="119">
        <f ca="1">(Dashboard!$C$7*'Equity and Bond Returns'!AC44)+(Dashboard!$C$8*'Equity and Bond Returns'!EA44)</f>
        <v>-0.28005831020617372</v>
      </c>
      <c r="R44" s="119">
        <f ca="1">(Dashboard!$C$7*'Equity and Bond Returns'!AD44)+(Dashboard!$C$8*'Equity and Bond Returns'!EB44)</f>
        <v>0.26083007923111218</v>
      </c>
      <c r="S44" s="119">
        <f ca="1">(Dashboard!$C$7*'Equity and Bond Returns'!AE44)+(Dashboard!$C$8*'Equity and Bond Returns'!EC44)</f>
        <v>4.6826269435084063E-2</v>
      </c>
      <c r="T44" s="119">
        <f ca="1">(Dashboard!$C$7*'Equity and Bond Returns'!AF44)+(Dashboard!$C$8*'Equity and Bond Returns'!ED44)</f>
        <v>0.13598872275150095</v>
      </c>
      <c r="U44" s="119">
        <f ca="1">(Dashboard!$C$7*'Equity and Bond Returns'!AG44)+(Dashboard!$C$8*'Equity and Bond Returns'!EE44)</f>
        <v>0.32318064201186747</v>
      </c>
      <c r="V44" s="119">
        <f ca="1">(Dashboard!$C$7*'Equity and Bond Returns'!AH44)+(Dashboard!$C$8*'Equity and Bond Returns'!EF44)</f>
        <v>-8.9266788670464059E-2</v>
      </c>
      <c r="W44" s="119">
        <f ca="1">(Dashboard!$C$7*'Equity and Bond Returns'!AI44)+(Dashboard!$C$8*'Equity and Bond Returns'!EG44)</f>
        <v>0.31664359839080203</v>
      </c>
      <c r="X44" s="119">
        <f ca="1">(Dashboard!$C$7*'Equity and Bond Returns'!AJ44)+(Dashboard!$C$8*'Equity and Bond Returns'!EH44)</f>
        <v>0.27725546973971765</v>
      </c>
      <c r="Y44" s="119">
        <f ca="1">(Dashboard!$C$7*'Equity and Bond Returns'!AK44)+(Dashboard!$C$8*'Equity and Bond Returns'!EI44)</f>
        <v>0.28341989769687309</v>
      </c>
      <c r="Z44" s="119">
        <f ca="1">(Dashboard!$C$7*'Equity and Bond Returns'!AL44)+(Dashboard!$C$8*'Equity and Bond Returns'!EJ44)</f>
        <v>-7.1489177240376969E-2</v>
      </c>
      <c r="AA44" s="119">
        <f ca="1">(Dashboard!$C$7*'Equity and Bond Returns'!AM44)+(Dashboard!$C$8*'Equity and Bond Returns'!EK44)</f>
        <v>3.2094401308447554E-2</v>
      </c>
      <c r="AB44" s="119">
        <f ca="1">(Dashboard!$C$7*'Equity and Bond Returns'!AN44)+(Dashboard!$C$8*'Equity and Bond Returns'!EL44)</f>
        <v>0.17356492783757466</v>
      </c>
      <c r="AC44" s="119">
        <f ca="1">(Dashboard!$C$7*'Equity and Bond Returns'!AO44)+(Dashboard!$C$8*'Equity and Bond Returns'!EM44)</f>
        <v>0.13881353805066632</v>
      </c>
      <c r="AD44" s="119">
        <f ca="1">(Dashboard!$C$7*'Equity and Bond Returns'!AP44)+(Dashboard!$C$8*'Equity and Bond Returns'!EN44)</f>
        <v>0.14361067790361548</v>
      </c>
      <c r="AE44" s="119">
        <f ca="1">(Dashboard!$C$7*'Equity and Bond Returns'!AQ44)+(Dashboard!$C$8*'Equity and Bond Returns'!EO44)</f>
        <v>0.17808566314317895</v>
      </c>
      <c r="AF44" s="119">
        <f ca="1">(Dashboard!$C$7*'Equity and Bond Returns'!AR44)+(Dashboard!$C$8*'Equity and Bond Returns'!EP44)</f>
        <v>-0.21675275916519807</v>
      </c>
      <c r="AG44" s="119">
        <f ca="1">(Dashboard!$C$7*'Equity and Bond Returns'!AS44)+(Dashboard!$C$8*'Equity and Bond Returns'!EQ44)</f>
        <v>-7.2159936193579161E-2</v>
      </c>
      <c r="AH44" s="119">
        <f ca="1">(Dashboard!$C$7*'Equity and Bond Returns'!AT44)+(Dashboard!$C$8*'Equity and Bond Returns'!ER44)</f>
        <v>0.27893092217004528</v>
      </c>
      <c r="AI44" s="119">
        <f ca="1">(Dashboard!$C$7*'Equity and Bond Returns'!AU44)+(Dashboard!$C$8*'Equity and Bond Returns'!ES44)</f>
        <v>0.30593902064527412</v>
      </c>
      <c r="AJ44" s="119">
        <f ca="1">(Dashboard!$C$7*'Equity and Bond Returns'!AV44)+(Dashboard!$C$8*'Equity and Bond Returns'!ET44)</f>
        <v>4.3866338043139101E-2</v>
      </c>
      <c r="AK44" s="119">
        <f ca="1">(Dashboard!$C$7*'Equity and Bond Returns'!AW44)+(Dashboard!$C$8*'Equity and Bond Returns'!EU44)</f>
        <v>2.2869675342679568E-2</v>
      </c>
      <c r="AL44" s="119">
        <f ca="1">(Dashboard!$C$7*'Equity and Bond Returns'!AX44)+(Dashboard!$C$8*'Equity and Bond Returns'!EV44)</f>
        <v>0.18967425509592664</v>
      </c>
      <c r="AM44" s="119">
        <f ca="1">(Dashboard!$C$7*'Equity and Bond Returns'!AY44)+(Dashboard!$C$8*'Equity and Bond Returns'!EW44)</f>
        <v>-1.7105628467162202E-2</v>
      </c>
      <c r="AN44" s="119">
        <f ca="1">(Dashboard!$C$7*'Equity and Bond Returns'!AZ44)+(Dashboard!$C$8*'Equity and Bond Returns'!EX44)</f>
        <v>0.39644034537771944</v>
      </c>
      <c r="AO44" s="119">
        <f ca="1">(Dashboard!$C$7*'Equity and Bond Returns'!BA44)+(Dashboard!$C$8*'Equity and Bond Returns'!EY44)</f>
        <v>-0.22227666927664208</v>
      </c>
      <c r="AP44" s="119">
        <f ca="1">(Dashboard!$C$7*'Equity and Bond Returns'!BB44)+(Dashboard!$C$8*'Equity and Bond Returns'!EZ44)</f>
        <v>4.2177539444317985E-2</v>
      </c>
      <c r="AQ44" s="119">
        <f ca="1">(Dashboard!$C$7*'Equity and Bond Returns'!BC44)+(Dashboard!$C$8*'Equity and Bond Returns'!FA44)</f>
        <v>-0.25533328272462774</v>
      </c>
      <c r="AR44" s="119">
        <f ca="1">(Dashboard!$C$7*'Equity and Bond Returns'!BD44)+(Dashboard!$C$8*'Equity and Bond Returns'!FB44)</f>
        <v>2.851608168020784E-2</v>
      </c>
      <c r="AS44" s="119">
        <f ca="1">(Dashboard!$C$7*'Equity and Bond Returns'!BE44)+(Dashboard!$C$8*'Equity and Bond Returns'!FC44)</f>
        <v>-4.6676684361297495E-2</v>
      </c>
      <c r="AT44" s="119">
        <f ca="1">(Dashboard!$C$7*'Equity and Bond Returns'!BF44)+(Dashboard!$C$8*'Equity and Bond Returns'!FD44)</f>
        <v>0.14117130544305803</v>
      </c>
      <c r="AU44" s="119">
        <f ca="1">(Dashboard!$C$7*'Equity and Bond Returns'!BG44)+(Dashboard!$C$8*'Equity and Bond Returns'!FE44)</f>
        <v>-6.9093604751600618E-2</v>
      </c>
      <c r="AV44" s="119">
        <f ca="1">(Dashboard!$C$7*'Equity and Bond Returns'!BH44)+(Dashboard!$C$8*'Equity and Bond Returns'!FF44)</f>
        <v>0.107396510793331</v>
      </c>
      <c r="AW44" s="119">
        <f ca="1">(Dashboard!$C$7*'Equity and Bond Returns'!BI44)+(Dashboard!$C$8*'Equity and Bond Returns'!FG44)</f>
        <v>0.17979650985008105</v>
      </c>
      <c r="AX44" s="119">
        <f ca="1">(Dashboard!$C$7*'Equity and Bond Returns'!BJ44)+(Dashboard!$C$8*'Equity and Bond Returns'!FH44)</f>
        <v>5.2650754503231055E-2</v>
      </c>
      <c r="AY44" s="119">
        <f ca="1">(Dashboard!$C$7*'Equity and Bond Returns'!BK44)+(Dashboard!$C$8*'Equity and Bond Returns'!FI44)</f>
        <v>9.3855345876767221E-2</v>
      </c>
      <c r="AZ44" s="119">
        <f ca="1">(Dashboard!$C$7*'Equity and Bond Returns'!BL44)+(Dashboard!$C$8*'Equity and Bond Returns'!FJ44)</f>
        <v>0.12639421099410719</v>
      </c>
      <c r="BA44" s="119">
        <f ca="1">(Dashboard!$C$7*'Equity and Bond Returns'!BM44)+(Dashboard!$C$8*'Equity and Bond Returns'!FK44)</f>
        <v>0.13466854938385267</v>
      </c>
      <c r="BB44" s="119">
        <f ca="1">(Dashboard!$C$7*'Equity and Bond Returns'!BN44)+(Dashboard!$C$8*'Equity and Bond Returns'!FL44)</f>
        <v>-4.2592247047896478E-2</v>
      </c>
      <c r="BC44" s="119">
        <f ca="1">(Dashboard!$C$7*'Equity and Bond Returns'!BO44)+(Dashboard!$C$8*'Equity and Bond Returns'!FM44)</f>
        <v>0.28800083347480937</v>
      </c>
      <c r="BD44" s="119">
        <f ca="1">(Dashboard!$C$7*'Equity and Bond Returns'!BP44)+(Dashboard!$C$8*'Equity and Bond Returns'!FN44)</f>
        <v>0.19904469116498441</v>
      </c>
      <c r="BE44" s="119">
        <f ca="1">(Dashboard!$C$7*'Equity and Bond Returns'!BQ44)+(Dashboard!$C$8*'Equity and Bond Returns'!FO44)</f>
        <v>0.13953213041617432</v>
      </c>
      <c r="BF44" s="119">
        <f ca="1">(Dashboard!$C$7*'Equity and Bond Returns'!BR44)+(Dashboard!$C$8*'Equity and Bond Returns'!FP44)</f>
        <v>0.11468778572450075</v>
      </c>
      <c r="BG44" s="119">
        <f ca="1">(Dashboard!$C$7*'Equity and Bond Returns'!BS44)+(Dashboard!$C$8*'Equity and Bond Returns'!FQ44)</f>
        <v>-0.15189579681167564</v>
      </c>
      <c r="BH44" s="119">
        <f ca="1">(Dashboard!$C$7*'Equity and Bond Returns'!BT44)+(Dashboard!$C$8*'Equity and Bond Returns'!FR44)</f>
        <v>0.16075388174606503</v>
      </c>
      <c r="BI44" s="119">
        <f ca="1">(Dashboard!$C$7*'Equity and Bond Returns'!BU44)+(Dashboard!$C$8*'Equity and Bond Returns'!FS44)</f>
        <v>-0.10005275883883984</v>
      </c>
      <c r="BJ44" s="119">
        <f ca="1">(Dashboard!$C$7*'Equity and Bond Returns'!BV44)+(Dashboard!$C$8*'Equity and Bond Returns'!FT44)</f>
        <v>0.1754484524126757</v>
      </c>
      <c r="BK44" s="119">
        <f ca="1">(Dashboard!$C$7*'Equity and Bond Returns'!BW44)+(Dashboard!$C$8*'Equity and Bond Returns'!FU44)</f>
        <v>-5.5368886901338205E-2</v>
      </c>
      <c r="BL44" s="119">
        <f ca="1">(Dashboard!$C$7*'Equity and Bond Returns'!BX44)+(Dashboard!$C$8*'Equity and Bond Returns'!FV44)</f>
        <v>0.22253819740332764</v>
      </c>
      <c r="BM44" s="119">
        <f ca="1">(Dashboard!$C$7*'Equity and Bond Returns'!BY44)+(Dashboard!$C$8*'Equity and Bond Returns'!FW44)</f>
        <v>-8.9981064513911607E-2</v>
      </c>
      <c r="BN44" s="119">
        <f ca="1">(Dashboard!$C$7*'Equity and Bond Returns'!BZ44)+(Dashboard!$C$8*'Equity and Bond Returns'!FX44)</f>
        <v>3.4497028761019469E-3</v>
      </c>
      <c r="BO44" s="119">
        <f ca="1">(Dashboard!$C$7*'Equity and Bond Returns'!CA44)+(Dashboard!$C$8*'Equity and Bond Returns'!FY44)</f>
        <v>0.23292748603692648</v>
      </c>
      <c r="BP44" s="119">
        <f ca="1">(Dashboard!$C$7*'Equity and Bond Returns'!CB44)+(Dashboard!$C$8*'Equity and Bond Returns'!FZ44)</f>
        <v>-0.10800766330247684</v>
      </c>
      <c r="BQ44" s="119">
        <f ca="1">(Dashboard!$C$7*'Equity and Bond Returns'!CC44)+(Dashboard!$C$8*'Equity and Bond Returns'!GA44)</f>
        <v>0.26086329051158663</v>
      </c>
      <c r="BR44" s="119">
        <f ca="1">(Dashboard!$C$7*'Equity and Bond Returns'!CD44)+(Dashboard!$C$8*'Equity and Bond Returns'!GB44)</f>
        <v>-5.9349664973159744E-2</v>
      </c>
      <c r="BS44" s="119">
        <f ca="1">(Dashboard!$C$7*'Equity and Bond Returns'!CE44)+(Dashboard!$C$8*'Equity and Bond Returns'!GC44)</f>
        <v>-8.3672340775524046E-2</v>
      </c>
      <c r="BT44" s="119">
        <f ca="1">(Dashboard!$C$7*'Equity and Bond Returns'!CF44)+(Dashboard!$C$8*'Equity and Bond Returns'!GD44)</f>
        <v>-1.5939798449521009E-2</v>
      </c>
      <c r="BU44" s="119">
        <f ca="1">(Dashboard!$C$7*'Equity and Bond Returns'!CG44)+(Dashboard!$C$8*'Equity and Bond Returns'!GE44)</f>
        <v>-7.71669771310112E-2</v>
      </c>
      <c r="BV44" s="119">
        <f ca="1">(Dashboard!$C$7*'Equity and Bond Returns'!CH44)+(Dashboard!$C$8*'Equity and Bond Returns'!GF44)</f>
        <v>0.10607629330641688</v>
      </c>
      <c r="BW44" s="119">
        <f ca="1">(Dashboard!$C$7*'Equity and Bond Returns'!CI44)+(Dashboard!$C$8*'Equity and Bond Returns'!GG44)</f>
        <v>-0.17010290291003738</v>
      </c>
      <c r="BX44" s="119">
        <f ca="1">(Dashboard!$C$7*'Equity and Bond Returns'!CJ44)+(Dashboard!$C$8*'Equity and Bond Returns'!GH44)</f>
        <v>-3.3189037298645259E-2</v>
      </c>
      <c r="BY44" s="119">
        <f ca="1">(Dashboard!$C$7*'Equity and Bond Returns'!CK44)+(Dashboard!$C$8*'Equity and Bond Returns'!GI44)</f>
        <v>3.5408641651572762E-3</v>
      </c>
      <c r="BZ44" s="119">
        <f ca="1">(Dashboard!$C$7*'Equity and Bond Returns'!CL44)+(Dashboard!$C$8*'Equity and Bond Returns'!GJ44)</f>
        <v>1.3088357402778325E-2</v>
      </c>
      <c r="CA44" s="119">
        <f ca="1">(Dashboard!$C$7*'Equity and Bond Returns'!CM44)+(Dashboard!$C$8*'Equity and Bond Returns'!GK44)</f>
        <v>3.5825994620470134E-2</v>
      </c>
      <c r="CB44" s="119">
        <f ca="1">(Dashboard!$C$7*'Equity and Bond Returns'!CN44)+(Dashboard!$C$8*'Equity and Bond Returns'!GL44)</f>
        <v>0.20955884377919534</v>
      </c>
      <c r="CC44" s="119">
        <f ca="1">(Dashboard!$C$7*'Equity and Bond Returns'!CO44)+(Dashboard!$C$8*'Equity and Bond Returns'!GM44)</f>
        <v>5.5053408805716471E-2</v>
      </c>
      <c r="CD44" s="119">
        <f ca="1">(Dashboard!$C$7*'Equity and Bond Returns'!CP44)+(Dashboard!$C$8*'Equity and Bond Returns'!GN44)</f>
        <v>0.18234612618394816</v>
      </c>
      <c r="CE44" s="119">
        <f ca="1">(Dashboard!$C$7*'Equity and Bond Returns'!CQ44)+(Dashboard!$C$8*'Equity and Bond Returns'!GO44)</f>
        <v>0.15783114870253842</v>
      </c>
      <c r="CF44" s="119">
        <f ca="1">(Dashboard!$C$7*'Equity and Bond Returns'!CR44)+(Dashboard!$C$8*'Equity and Bond Returns'!GP44)</f>
        <v>3.0397390639608793E-2</v>
      </c>
      <c r="CG44" s="119">
        <f ca="1">(Dashboard!$C$7*'Equity and Bond Returns'!CS44)+(Dashboard!$C$8*'Equity and Bond Returns'!GQ44)</f>
        <v>-8.2335345810447297E-2</v>
      </c>
      <c r="CH44" s="119">
        <f ca="1">(Dashboard!$C$7*'Equity and Bond Returns'!CT44)+(Dashboard!$C$8*'Equity and Bond Returns'!GR44)</f>
        <v>2.3498160481930357E-2</v>
      </c>
      <c r="CI44" s="119">
        <f ca="1">(Dashboard!$C$7*'Equity and Bond Returns'!CU44)+(Dashboard!$C$8*'Equity and Bond Returns'!GS44)</f>
        <v>0.19136092304873215</v>
      </c>
      <c r="CJ44" s="119">
        <f ca="1">(Dashboard!$C$7*'Equity and Bond Returns'!CV44)+(Dashboard!$C$8*'Equity and Bond Returns'!GT44)</f>
        <v>0.26684705173239626</v>
      </c>
      <c r="CK44" s="119">
        <f ca="1">(Dashboard!$C$7*'Equity and Bond Returns'!CW44)+(Dashboard!$C$8*'Equity and Bond Returns'!GU44)</f>
        <v>-0.10492918791157846</v>
      </c>
      <c r="CL44" s="119">
        <f ca="1">(Dashboard!$C$7*'Equity and Bond Returns'!CX44)+(Dashboard!$C$8*'Equity and Bond Returns'!GV44)</f>
        <v>0.39979691189970457</v>
      </c>
      <c r="CM44" s="119">
        <f ca="1">(Dashboard!$C$7*'Equity and Bond Returns'!CY44)+(Dashboard!$C$8*'Equity and Bond Returns'!GW44)</f>
        <v>7.525788355477582E-2</v>
      </c>
      <c r="CN44" s="119">
        <f ca="1">(Dashboard!$C$7*'Equity and Bond Returns'!CZ44)+(Dashboard!$C$8*'Equity and Bond Returns'!GX44)</f>
        <v>0.24705059108568722</v>
      </c>
      <c r="CO44" s="119">
        <f ca="1">(Dashboard!$C$7*'Equity and Bond Returns'!DA44)+(Dashboard!$C$8*'Equity and Bond Returns'!GY44)</f>
        <v>0.10075045631868282</v>
      </c>
      <c r="CP44" s="119">
        <f ca="1">(Dashboard!$C$7*'Equity and Bond Returns'!DB44)+(Dashboard!$C$8*'Equity and Bond Returns'!GZ44)</f>
        <v>0.1754256149672315</v>
      </c>
      <c r="CQ44" s="119">
        <f ca="1">(Dashboard!$C$7*'Equity and Bond Returns'!DC44)+(Dashboard!$C$8*'Equity and Bond Returns'!HA44)</f>
        <v>-5.5825334589931816E-2</v>
      </c>
      <c r="CR44" s="119">
        <f ca="1">(Dashboard!$C$7*'Equity and Bond Returns'!DD44)+(Dashboard!$C$8*'Equity and Bond Returns'!HB44)</f>
        <v>7.0143548521245297E-2</v>
      </c>
      <c r="CS44" s="119">
        <f ca="1">(Dashboard!$C$7*'Equity and Bond Returns'!DE44)+(Dashboard!$C$8*'Equity and Bond Returns'!HC44)</f>
        <v>0.23345569308610309</v>
      </c>
      <c r="CT44" s="119">
        <f ca="1">(Dashboard!$C$7*'Equity and Bond Returns'!DF44)+(Dashboard!$C$8*'Equity and Bond Returns'!HD44)</f>
        <v>3.6658066410206872E-2</v>
      </c>
      <c r="CU44" s="119">
        <f ca="1">(Dashboard!$C$7*'Equity and Bond Returns'!DG44)+(Dashboard!$C$8*'Equity and Bond Returns'!HE44)</f>
        <v>0.11903527208833424</v>
      </c>
      <c r="CV44" s="119">
        <f ca="1">(Dashboard!$C$7*'Equity and Bond Returns'!DH44)+(Dashboard!$C$8*'Equity and Bond Returns'!HF44)</f>
        <v>0.29881951837536352</v>
      </c>
      <c r="CW44" s="119">
        <f ca="1">(Dashboard!$C$7*'Equity and Bond Returns'!DI44)+(Dashboard!$C$8*'Equity and Bond Returns'!HG44)</f>
        <v>-1.9118817277714369E-2</v>
      </c>
      <c r="CY44" s="147">
        <f t="shared" si="5"/>
        <v>93</v>
      </c>
      <c r="CZ44" s="147">
        <v>43</v>
      </c>
      <c r="DA44" s="126">
        <f ca="1">MAX(DA43*(1+B44)-(Dashboard!$C$11)/(1-Dashboard!$C$17)*((1+Dashboard!$C$12)^$CZ44),0)</f>
        <v>28071516.232385527</v>
      </c>
      <c r="DB44" s="126">
        <f ca="1">MAX(DB43*(1+C44)-(Dashboard!$C$11)/(1-Dashboard!$C$17)*((1+Dashboard!$C$12)^$CZ44),0)</f>
        <v>0</v>
      </c>
      <c r="DC44" s="126">
        <f ca="1">MAX(DC43*(1+D44)-(Dashboard!$C$11)/(1-Dashboard!$C$17)*((1+Dashboard!$C$12)^$CZ44),0)</f>
        <v>7665472.9785331003</v>
      </c>
      <c r="DD44" s="126">
        <f ca="1">MAX(DD43*(1+E44)-(Dashboard!$C$11)/(1-Dashboard!$C$17)*((1+Dashboard!$C$12)^$CZ44),0)</f>
        <v>0</v>
      </c>
      <c r="DE44" s="126">
        <f ca="1">MAX(DE43*(1+F44)-(Dashboard!$C$11)/(1-Dashboard!$C$17)*((1+Dashboard!$C$12)^$CZ44),0)</f>
        <v>6734018.4510422498</v>
      </c>
      <c r="DF44" s="126">
        <f ca="1">MAX(DF43*(1+G44)-(Dashboard!$C$11)/(1-Dashboard!$C$17)*((1+Dashboard!$C$12)^$CZ44),0)</f>
        <v>12091039.997995161</v>
      </c>
      <c r="DG44" s="126">
        <f ca="1">MAX(DG43*(1+H44)-(Dashboard!$C$11)/(1-Dashboard!$C$17)*((1+Dashboard!$C$12)^$CZ44),0)</f>
        <v>0</v>
      </c>
      <c r="DH44" s="126">
        <f ca="1">MAX(DH43*(1+I44)-(Dashboard!$C$11)/(1-Dashboard!$C$17)*((1+Dashboard!$C$12)^$CZ44),0)</f>
        <v>30506640.450366717</v>
      </c>
      <c r="DI44" s="126">
        <f ca="1">MAX(DI43*(1+J44)-(Dashboard!$C$11)/(1-Dashboard!$C$17)*((1+Dashboard!$C$12)^$CZ44),0)</f>
        <v>6096227.2711873073</v>
      </c>
      <c r="DJ44" s="126">
        <f ca="1">MAX(DJ43*(1+K44)-(Dashboard!$C$11)/(1-Dashboard!$C$17)*((1+Dashboard!$C$12)^$CZ44),0)</f>
        <v>8082896.7110138424</v>
      </c>
      <c r="DK44" s="126">
        <f ca="1">MAX(DK43*(1+L44)-(Dashboard!$C$11)/(1-Dashboard!$C$17)*((1+Dashboard!$C$12)^$CZ44),0)</f>
        <v>7575432.5337219853</v>
      </c>
      <c r="DL44" s="126">
        <f ca="1">MAX(DL43*(1+M44)-(Dashboard!$C$11)/(1-Dashboard!$C$17)*((1+Dashboard!$C$12)^$CZ44),0)</f>
        <v>877815.48710929544</v>
      </c>
      <c r="DM44" s="126">
        <f ca="1">MAX(DM43*(1+N44)-(Dashboard!$C$11)/(1-Dashboard!$C$17)*((1+Dashboard!$C$12)^$CZ44),0)</f>
        <v>17557234.449656446</v>
      </c>
      <c r="DN44" s="126">
        <f ca="1">MAX(DN43*(1+O44)-(Dashboard!$C$11)/(1-Dashboard!$C$17)*((1+Dashboard!$C$12)^$CZ44),0)</f>
        <v>128547211.93899697</v>
      </c>
      <c r="DO44" s="126">
        <f ca="1">MAX(DO43*(1+P44)-(Dashboard!$C$11)/(1-Dashboard!$C$17)*((1+Dashboard!$C$12)^$CZ44),0)</f>
        <v>4205405.9458391741</v>
      </c>
      <c r="DP44" s="126">
        <f ca="1">MAX(DP43*(1+Q44)-(Dashboard!$C$11)/(1-Dashboard!$C$17)*((1+Dashboard!$C$12)^$CZ44),0)</f>
        <v>833882.59279391705</v>
      </c>
      <c r="DQ44" s="126">
        <f ca="1">MAX(DQ43*(1+R44)-(Dashboard!$C$11)/(1-Dashboard!$C$17)*((1+Dashboard!$C$12)^$CZ44),0)</f>
        <v>4849981.0783890169</v>
      </c>
      <c r="DR44" s="126">
        <f ca="1">MAX(DR43*(1+S44)-(Dashboard!$C$11)/(1-Dashboard!$C$17)*((1+Dashboard!$C$12)^$CZ44),0)</f>
        <v>12643924.67698374</v>
      </c>
      <c r="DS44" s="126">
        <f ca="1">MAX(DS43*(1+T44)-(Dashboard!$C$11)/(1-Dashboard!$C$17)*((1+Dashboard!$C$12)^$CZ44),0)</f>
        <v>0</v>
      </c>
      <c r="DT44" s="126">
        <f ca="1">MAX(DT43*(1+U44)-(Dashboard!$C$11)/(1-Dashboard!$C$17)*((1+Dashboard!$C$12)^$CZ44),0)</f>
        <v>1001471.7880849303</v>
      </c>
      <c r="DU44" s="126">
        <f ca="1">MAX(DU43*(1+V44)-(Dashboard!$C$11)/(1-Dashboard!$C$17)*((1+Dashboard!$C$12)^$CZ44),0)</f>
        <v>5076946.3407192156</v>
      </c>
      <c r="DV44" s="126">
        <f ca="1">MAX(DV43*(1+W44)-(Dashboard!$C$11)/(1-Dashboard!$C$17)*((1+Dashboard!$C$12)^$CZ44),0)</f>
        <v>76450737.119185299</v>
      </c>
      <c r="DW44" s="126">
        <f ca="1">MAX(DW43*(1+X44)-(Dashboard!$C$11)/(1-Dashboard!$C$17)*((1+Dashboard!$C$12)^$CZ44),0)</f>
        <v>4524196.5193294343</v>
      </c>
      <c r="DX44" s="126">
        <f ca="1">MAX(DX43*(1+Y44)-(Dashboard!$C$11)/(1-Dashboard!$C$17)*((1+Dashboard!$C$12)^$CZ44),0)</f>
        <v>2122552.8597888504</v>
      </c>
      <c r="DY44" s="126">
        <f ca="1">MAX(DY43*(1+Z44)-(Dashboard!$C$11)/(1-Dashboard!$C$17)*((1+Dashboard!$C$12)^$CZ44),0)</f>
        <v>18293044.009322867</v>
      </c>
      <c r="DZ44" s="126">
        <f ca="1">MAX(DZ43*(1+AA44)-(Dashboard!$C$11)/(1-Dashboard!$C$17)*((1+Dashboard!$C$12)^$CZ44),0)</f>
        <v>7069199.2523075156</v>
      </c>
      <c r="EA44" s="126">
        <f ca="1">MAX(EA43*(1+AB44)-(Dashboard!$C$11)/(1-Dashboard!$C$17)*((1+Dashboard!$C$12)^$CZ44),0)</f>
        <v>3024841.4358594478</v>
      </c>
      <c r="EB44" s="126">
        <f ca="1">MAX(EB43*(1+AC44)-(Dashboard!$C$11)/(1-Dashboard!$C$17)*((1+Dashboard!$C$12)^$CZ44),0)</f>
        <v>8941508.6057113968</v>
      </c>
      <c r="EC44" s="126">
        <f ca="1">MAX(EC43*(1+AD44)-(Dashboard!$C$11)/(1-Dashboard!$C$17)*((1+Dashboard!$C$12)^$CZ44),0)</f>
        <v>11075796.394616669</v>
      </c>
      <c r="ED44" s="126">
        <f ca="1">MAX(ED43*(1+AE44)-(Dashboard!$C$11)/(1-Dashboard!$C$17)*((1+Dashboard!$C$12)^$CZ44),0)</f>
        <v>7537720.1211505849</v>
      </c>
      <c r="EE44" s="126">
        <f ca="1">MAX(EE43*(1+AF44)-(Dashboard!$C$11)/(1-Dashboard!$C$17)*((1+Dashboard!$C$12)^$CZ44),0)</f>
        <v>16297645.009742789</v>
      </c>
      <c r="EF44" s="126">
        <f ca="1">MAX(EF43*(1+AG44)-(Dashboard!$C$11)/(1-Dashboard!$C$17)*((1+Dashboard!$C$12)^$CZ44),0)</f>
        <v>0</v>
      </c>
      <c r="EG44" s="126">
        <f ca="1">MAX(EG43*(1+AH44)-(Dashboard!$C$11)/(1-Dashboard!$C$17)*((1+Dashboard!$C$12)^$CZ44),0)</f>
        <v>9489403.3771131281</v>
      </c>
      <c r="EH44" s="126">
        <f ca="1">MAX(EH43*(1+AI44)-(Dashboard!$C$11)/(1-Dashboard!$C$17)*((1+Dashboard!$C$12)^$CZ44),0)</f>
        <v>19357311.71693062</v>
      </c>
      <c r="EI44" s="126">
        <f ca="1">MAX(EI43*(1+AJ44)-(Dashboard!$C$11)/(1-Dashboard!$C$17)*((1+Dashboard!$C$12)^$CZ44),0)</f>
        <v>0</v>
      </c>
      <c r="EJ44" s="126">
        <f ca="1">MAX(EJ43*(1+AK44)-(Dashboard!$C$11)/(1-Dashboard!$C$17)*((1+Dashboard!$C$12)^$CZ44),0)</f>
        <v>9183993.2096272241</v>
      </c>
      <c r="EK44" s="126">
        <f ca="1">MAX(EK43*(1+AL44)-(Dashboard!$C$11)/(1-Dashboard!$C$17)*((1+Dashboard!$C$12)^$CZ44),0)</f>
        <v>4133933.7044478864</v>
      </c>
      <c r="EL44" s="126">
        <f ca="1">MAX(EL43*(1+AM44)-(Dashboard!$C$11)/(1-Dashboard!$C$17)*((1+Dashboard!$C$12)^$CZ44),0)</f>
        <v>2255140.8342417991</v>
      </c>
      <c r="EM44" s="126">
        <f ca="1">MAX(EM43*(1+AN44)-(Dashboard!$C$11)/(1-Dashboard!$C$17)*((1+Dashboard!$C$12)^$CZ44),0)</f>
        <v>28687702.099405177</v>
      </c>
      <c r="EN44" s="126">
        <f ca="1">MAX(EN43*(1+AO44)-(Dashboard!$C$11)/(1-Dashboard!$C$17)*((1+Dashboard!$C$12)^$CZ44),0)</f>
        <v>1594026.2005075589</v>
      </c>
      <c r="EO44" s="126">
        <f ca="1">MAX(EO43*(1+AP44)-(Dashboard!$C$11)/(1-Dashboard!$C$17)*((1+Dashboard!$C$12)^$CZ44),0)</f>
        <v>0</v>
      </c>
      <c r="EP44" s="126">
        <f ca="1">MAX(EP43*(1+AQ44)-(Dashboard!$C$11)/(1-Dashboard!$C$17)*((1+Dashboard!$C$12)^$CZ44),0)</f>
        <v>3978729.5330361924</v>
      </c>
      <c r="EQ44" s="126">
        <f ca="1">MAX(EQ43*(1+AR44)-(Dashboard!$C$11)/(1-Dashboard!$C$17)*((1+Dashboard!$C$12)^$CZ44),0)</f>
        <v>4175696.1454712893</v>
      </c>
      <c r="ER44" s="126">
        <f ca="1">MAX(ER43*(1+AS44)-(Dashboard!$C$11)/(1-Dashboard!$C$17)*((1+Dashboard!$C$12)^$CZ44),0)</f>
        <v>0</v>
      </c>
      <c r="ES44" s="126">
        <f ca="1">MAX(ES43*(1+AT44)-(Dashboard!$C$11)/(1-Dashboard!$C$17)*((1+Dashboard!$C$12)^$CZ44),0)</f>
        <v>34925197.233808666</v>
      </c>
      <c r="ET44" s="126">
        <f ca="1">MAX(ET43*(1+AU44)-(Dashboard!$C$11)/(1-Dashboard!$C$17)*((1+Dashboard!$C$12)^$CZ44),0)</f>
        <v>5482419.4311296847</v>
      </c>
      <c r="EU44" s="126">
        <f ca="1">MAX(EU43*(1+AV44)-(Dashboard!$C$11)/(1-Dashboard!$C$17)*((1+Dashboard!$C$12)^$CZ44),0)</f>
        <v>5445562.2372351587</v>
      </c>
      <c r="EV44" s="126">
        <f ca="1">MAX(EV43*(1+AW44)-(Dashboard!$C$11)/(1-Dashboard!$C$17)*((1+Dashboard!$C$12)^$CZ44),0)</f>
        <v>53386424.679768607</v>
      </c>
      <c r="EW44" s="126">
        <f ca="1">MAX(EW43*(1+AX44)-(Dashboard!$C$11)/(1-Dashboard!$C$17)*((1+Dashboard!$C$12)^$CZ44),0)</f>
        <v>2028041.2082046173</v>
      </c>
      <c r="EX44" s="126">
        <f ca="1">MAX(EX43*(1+AY44)-(Dashboard!$C$11)/(1-Dashboard!$C$17)*((1+Dashboard!$C$12)^$CZ44),0)</f>
        <v>4531480.505772952</v>
      </c>
      <c r="EY44" s="126">
        <f ca="1">MAX(EY43*(1+AZ44)-(Dashboard!$C$11)/(1-Dashboard!$C$17)*((1+Dashboard!$C$12)^$CZ44),0)</f>
        <v>15841041.601639805</v>
      </c>
      <c r="EZ44" s="126">
        <f ca="1">MAX(EZ43*(1+BA44)-(Dashboard!$C$11)/(1-Dashboard!$C$17)*((1+Dashboard!$C$12)^$CZ44),0)</f>
        <v>2371208.9057760178</v>
      </c>
      <c r="FA44" s="126">
        <f ca="1">MAX(FA43*(1+BB44)-(Dashboard!$C$11)/(1-Dashboard!$C$17)*((1+Dashboard!$C$12)^$CZ44),0)</f>
        <v>30779351.330520894</v>
      </c>
      <c r="FB44" s="126">
        <f ca="1">MAX(FB43*(1+BC44)-(Dashboard!$C$11)/(1-Dashboard!$C$17)*((1+Dashboard!$C$12)^$CZ44),0)</f>
        <v>1032829.4409829939</v>
      </c>
      <c r="FC44" s="126">
        <f ca="1">MAX(FC43*(1+BD44)-(Dashboard!$C$11)/(1-Dashboard!$C$17)*((1+Dashboard!$C$12)^$CZ44),0)</f>
        <v>6004468.0375827774</v>
      </c>
      <c r="FD44" s="126">
        <f ca="1">MAX(FD43*(1+BE44)-(Dashboard!$C$11)/(1-Dashboard!$C$17)*((1+Dashboard!$C$12)^$CZ44),0)</f>
        <v>28390360.489585523</v>
      </c>
      <c r="FE44" s="126">
        <f ca="1">MAX(FE43*(1+BF44)-(Dashboard!$C$11)/(1-Dashboard!$C$17)*((1+Dashboard!$C$12)^$CZ44),0)</f>
        <v>21487477.576850131</v>
      </c>
      <c r="FF44" s="126">
        <f ca="1">MAX(FF43*(1+BG44)-(Dashboard!$C$11)/(1-Dashboard!$C$17)*((1+Dashboard!$C$12)^$CZ44),0)</f>
        <v>2975337.1459858972</v>
      </c>
      <c r="FG44" s="126">
        <f ca="1">MAX(FG43*(1+BH44)-(Dashboard!$C$11)/(1-Dashboard!$C$17)*((1+Dashboard!$C$12)^$CZ44),0)</f>
        <v>1352569.3078047445</v>
      </c>
      <c r="FH44" s="126">
        <f ca="1">MAX(FH43*(1+BI44)-(Dashboard!$C$11)/(1-Dashboard!$C$17)*((1+Dashboard!$C$12)^$CZ44),0)</f>
        <v>4999567.3866128847</v>
      </c>
      <c r="FI44" s="126">
        <f ca="1">MAX(FI43*(1+BJ44)-(Dashboard!$C$11)/(1-Dashboard!$C$17)*((1+Dashboard!$C$12)^$CZ44),0)</f>
        <v>16166793.6201459</v>
      </c>
      <c r="FJ44" s="126">
        <f ca="1">MAX(FJ43*(1+BK44)-(Dashboard!$C$11)/(1-Dashboard!$C$17)*((1+Dashboard!$C$12)^$CZ44),0)</f>
        <v>2273601.4484223686</v>
      </c>
      <c r="FK44" s="126">
        <f ca="1">MAX(FK43*(1+BL44)-(Dashboard!$C$11)/(1-Dashboard!$C$17)*((1+Dashboard!$C$12)^$CZ44),0)</f>
        <v>5879375.6279319115</v>
      </c>
      <c r="FL44" s="126">
        <f ca="1">MAX(FL43*(1+BM44)-(Dashboard!$C$11)/(1-Dashboard!$C$17)*((1+Dashboard!$C$12)^$CZ44),0)</f>
        <v>1291256.3178661899</v>
      </c>
      <c r="FM44" s="126">
        <f ca="1">MAX(FM43*(1+BN44)-(Dashboard!$C$11)/(1-Dashboard!$C$17)*((1+Dashboard!$C$12)^$CZ44),0)</f>
        <v>5848762.8754391763</v>
      </c>
      <c r="FN44" s="126">
        <f ca="1">MAX(FN43*(1+BO44)-(Dashboard!$C$11)/(1-Dashboard!$C$17)*((1+Dashboard!$C$12)^$CZ44),0)</f>
        <v>0</v>
      </c>
      <c r="FO44" s="126">
        <f ca="1">MAX(FO43*(1+BP44)-(Dashboard!$C$11)/(1-Dashboard!$C$17)*((1+Dashboard!$C$12)^$CZ44),0)</f>
        <v>4341086.6987883858</v>
      </c>
      <c r="FP44" s="126">
        <f ca="1">MAX(FP43*(1+BQ44)-(Dashboard!$C$11)/(1-Dashboard!$C$17)*((1+Dashboard!$C$12)^$CZ44),0)</f>
        <v>2541872.1801518467</v>
      </c>
      <c r="FQ44" s="126">
        <f ca="1">MAX(FQ43*(1+BR44)-(Dashboard!$C$11)/(1-Dashboard!$C$17)*((1+Dashboard!$C$12)^$CZ44),0)</f>
        <v>1630294.5088656968</v>
      </c>
      <c r="FR44" s="126">
        <f ca="1">MAX(FR43*(1+BS44)-(Dashboard!$C$11)/(1-Dashboard!$C$17)*((1+Dashboard!$C$12)^$CZ44),0)</f>
        <v>12508661.954070443</v>
      </c>
      <c r="FS44" s="126">
        <f ca="1">MAX(FS43*(1+BT44)-(Dashboard!$C$11)/(1-Dashboard!$C$17)*((1+Dashboard!$C$12)^$CZ44),0)</f>
        <v>11545879.938243894</v>
      </c>
      <c r="FT44" s="126">
        <f ca="1">MAX(FT43*(1+BU44)-(Dashboard!$C$11)/(1-Dashboard!$C$17)*((1+Dashboard!$C$12)^$CZ44),0)</f>
        <v>0</v>
      </c>
      <c r="FU44" s="126">
        <f ca="1">MAX(FU43*(1+BV44)-(Dashboard!$C$11)/(1-Dashboard!$C$17)*((1+Dashboard!$C$12)^$CZ44),0)</f>
        <v>1487703.5657138131</v>
      </c>
      <c r="FV44" s="126">
        <f ca="1">MAX(FV43*(1+BW44)-(Dashboard!$C$11)/(1-Dashboard!$C$17)*((1+Dashboard!$C$12)^$CZ44),0)</f>
        <v>6972739.8587418757</v>
      </c>
      <c r="FW44" s="126">
        <f ca="1">MAX(FW43*(1+BX44)-(Dashboard!$C$11)/(1-Dashboard!$C$17)*((1+Dashboard!$C$12)^$CZ44),0)</f>
        <v>2282298.09796659</v>
      </c>
      <c r="FX44" s="126">
        <f ca="1">MAX(FX43*(1+BY44)-(Dashboard!$C$11)/(1-Dashboard!$C$17)*((1+Dashboard!$C$12)^$CZ44),0)</f>
        <v>0</v>
      </c>
      <c r="FY44" s="126">
        <f ca="1">MAX(FY43*(1+BZ44)-(Dashboard!$C$11)/(1-Dashboard!$C$17)*((1+Dashboard!$C$12)^$CZ44),0)</f>
        <v>76451.673145570268</v>
      </c>
      <c r="FZ44" s="126">
        <f ca="1">MAX(FZ43*(1+CA44)-(Dashboard!$C$11)/(1-Dashboard!$C$17)*((1+Dashboard!$C$12)^$CZ44),0)</f>
        <v>26156927.072885819</v>
      </c>
      <c r="GA44" s="126">
        <f ca="1">MAX(GA43*(1+CB44)-(Dashboard!$C$11)/(1-Dashboard!$C$17)*((1+Dashboard!$C$12)^$CZ44),0)</f>
        <v>27175648.491476446</v>
      </c>
      <c r="GB44" s="126">
        <f ca="1">MAX(GB43*(1+CC44)-(Dashboard!$C$11)/(1-Dashboard!$C$17)*((1+Dashboard!$C$12)^$CZ44),0)</f>
        <v>3423736.26795279</v>
      </c>
      <c r="GC44" s="126">
        <f ca="1">MAX(GC43*(1+CD44)-(Dashboard!$C$11)/(1-Dashboard!$C$17)*((1+Dashboard!$C$12)^$CZ44),0)</f>
        <v>8776632.3046071157</v>
      </c>
      <c r="GD44" s="126">
        <f ca="1">MAX(GD43*(1+CE44)-(Dashboard!$C$11)/(1-Dashboard!$C$17)*((1+Dashboard!$C$12)^$CZ44),0)</f>
        <v>62562089.940622345</v>
      </c>
      <c r="GE44" s="126">
        <f ca="1">MAX(GE43*(1+CF44)-(Dashboard!$C$11)/(1-Dashboard!$C$17)*((1+Dashboard!$C$12)^$CZ44),0)</f>
        <v>4547943.7109018546</v>
      </c>
      <c r="GF44" s="126">
        <f ca="1">MAX(GF43*(1+CG44)-(Dashboard!$C$11)/(1-Dashboard!$C$17)*((1+Dashboard!$C$12)^$CZ44),0)</f>
        <v>4334196.2161758989</v>
      </c>
      <c r="GG44" s="126">
        <f ca="1">MAX(GG43*(1+CH44)-(Dashboard!$C$11)/(1-Dashboard!$C$17)*((1+Dashboard!$C$12)^$CZ44),0)</f>
        <v>55402.00569634253</v>
      </c>
      <c r="GH44" s="126">
        <f ca="1">MAX(GH43*(1+CI44)-(Dashboard!$C$11)/(1-Dashboard!$C$17)*((1+Dashboard!$C$12)^$CZ44),0)</f>
        <v>1121491.0473838442</v>
      </c>
      <c r="GI44" s="126">
        <f ca="1">MAX(GI43*(1+CJ44)-(Dashboard!$C$11)/(1-Dashboard!$C$17)*((1+Dashboard!$C$12)^$CZ44),0)</f>
        <v>13058955.91456252</v>
      </c>
      <c r="GJ44" s="126">
        <f ca="1">MAX(GJ43*(1+CK44)-(Dashboard!$C$11)/(1-Dashboard!$C$17)*((1+Dashboard!$C$12)^$CZ44),0)</f>
        <v>24748131.802016709</v>
      </c>
      <c r="GK44" s="126">
        <f ca="1">MAX(GK43*(1+CL44)-(Dashboard!$C$11)/(1-Dashboard!$C$17)*((1+Dashboard!$C$12)^$CZ44),0)</f>
        <v>10617404.546877306</v>
      </c>
      <c r="GL44" s="126">
        <f ca="1">MAX(GL43*(1+CM44)-(Dashboard!$C$11)/(1-Dashboard!$C$17)*((1+Dashboard!$C$12)^$CZ44),0)</f>
        <v>10786466.003933573</v>
      </c>
      <c r="GM44" s="126">
        <f ca="1">MAX(GM43*(1+CN44)-(Dashboard!$C$11)/(1-Dashboard!$C$17)*((1+Dashboard!$C$12)^$CZ44),0)</f>
        <v>0</v>
      </c>
      <c r="GN44" s="126">
        <f ca="1">MAX(GN43*(1+CO44)-(Dashboard!$C$11)/(1-Dashboard!$C$17)*((1+Dashboard!$C$12)^$CZ44),0)</f>
        <v>0</v>
      </c>
      <c r="GO44" s="126">
        <f ca="1">MAX(GO43*(1+CP44)-(Dashboard!$C$11)/(1-Dashboard!$C$17)*((1+Dashboard!$C$12)^$CZ44),0)</f>
        <v>3729625.7878747568</v>
      </c>
      <c r="GP44" s="126">
        <f ca="1">MAX(GP43*(1+CQ44)-(Dashboard!$C$11)/(1-Dashboard!$C$17)*((1+Dashboard!$C$12)^$CZ44),0)</f>
        <v>11516843.472486241</v>
      </c>
      <c r="GQ44" s="126">
        <f ca="1">MAX(GQ43*(1+CR44)-(Dashboard!$C$11)/(1-Dashboard!$C$17)*((1+Dashboard!$C$12)^$CZ44),0)</f>
        <v>0</v>
      </c>
      <c r="GR44" s="126">
        <f ca="1">MAX(GR43*(1+CS44)-(Dashboard!$C$11)/(1-Dashboard!$C$17)*((1+Dashboard!$C$12)^$CZ44),0)</f>
        <v>947099.62989098881</v>
      </c>
      <c r="GS44" s="126">
        <f ca="1">MAX(GS43*(1+CT44)-(Dashboard!$C$11)/(1-Dashboard!$C$17)*((1+Dashboard!$C$12)^$CZ44),0)</f>
        <v>13801733.615606928</v>
      </c>
      <c r="GT44" s="126">
        <f ca="1">MAX(GT43*(1+CU44)-(Dashboard!$C$11)/(1-Dashboard!$C$17)*((1+Dashboard!$C$12)^$CZ44),0)</f>
        <v>59169944.218278788</v>
      </c>
      <c r="GU44" s="126">
        <f ca="1">MAX(GU43*(1+CV44)-(Dashboard!$C$11)/(1-Dashboard!$C$17)*((1+Dashboard!$C$12)^$CZ44),0)</f>
        <v>3386897.9202998262</v>
      </c>
      <c r="GV44" s="126">
        <f ca="1">MAX(GV43*(1+CW44)-(Dashboard!$C$11)/(1-Dashboard!$C$17)*((1+Dashboard!$C$12)^$CZ44),0)</f>
        <v>179412.85473240531</v>
      </c>
      <c r="GW44" s="115">
        <f t="shared" si="4"/>
        <v>93</v>
      </c>
      <c r="GX44" s="130">
        <f ca="1">COUNTIF(DA44:GV44,"&gt;0")</f>
        <v>86</v>
      </c>
      <c r="HC44" s="130">
        <f t="shared" si="7"/>
        <v>93</v>
      </c>
      <c r="HD44" s="137">
        <f t="shared" ca="1" si="8"/>
        <v>1306584.5653508285</v>
      </c>
      <c r="HE44" s="137">
        <f t="shared" ca="1" si="8"/>
        <v>4698962.3946454357</v>
      </c>
      <c r="HF44" s="137">
        <f t="shared" ca="1" si="8"/>
        <v>11954749.983057344</v>
      </c>
    </row>
    <row r="45" spans="1:214" ht="16">
      <c r="A45" s="145">
        <f t="shared" si="3"/>
        <v>94</v>
      </c>
      <c r="B45" s="119">
        <f ca="1">(Dashboard!$C$7*'Equity and Bond Returns'!N45)+(Dashboard!$C$8*'Equity and Bond Returns'!DL45)</f>
        <v>0.2158149704818953</v>
      </c>
      <c r="C45" s="119">
        <f ca="1">(Dashboard!$C$7*'Equity and Bond Returns'!O45)+(Dashboard!$C$8*'Equity and Bond Returns'!DM45)</f>
        <v>0.2192153198222252</v>
      </c>
      <c r="D45" s="119">
        <f ca="1">(Dashboard!$C$7*'Equity and Bond Returns'!P45)+(Dashboard!$C$8*'Equity and Bond Returns'!DN45)</f>
        <v>4.8930322994531622E-2</v>
      </c>
      <c r="E45" s="119">
        <f ca="1">(Dashboard!$C$7*'Equity and Bond Returns'!Q45)+(Dashboard!$C$8*'Equity and Bond Returns'!DO45)</f>
        <v>6.3706548768653185E-2</v>
      </c>
      <c r="F45" s="119">
        <f ca="1">(Dashboard!$C$7*'Equity and Bond Returns'!R45)+(Dashboard!$C$8*'Equity and Bond Returns'!DP45)</f>
        <v>2.3285015170529347E-2</v>
      </c>
      <c r="G45" s="119">
        <f ca="1">(Dashboard!$C$7*'Equity and Bond Returns'!S45)+(Dashboard!$C$8*'Equity and Bond Returns'!DQ45)</f>
        <v>0.15330403121910888</v>
      </c>
      <c r="H45" s="119">
        <f ca="1">(Dashboard!$C$7*'Equity and Bond Returns'!T45)+(Dashboard!$C$8*'Equity and Bond Returns'!DR45)</f>
        <v>0.2874467102550281</v>
      </c>
      <c r="I45" s="119">
        <f ca="1">(Dashboard!$C$7*'Equity and Bond Returns'!U45)+(Dashboard!$C$8*'Equity and Bond Returns'!DS45)</f>
        <v>0.18713151268680689</v>
      </c>
      <c r="J45" s="119">
        <f ca="1">(Dashboard!$C$7*'Equity and Bond Returns'!V45)+(Dashboard!$C$8*'Equity and Bond Returns'!DT45)</f>
        <v>8.1801349274830584E-2</v>
      </c>
      <c r="K45" s="119">
        <f ca="1">(Dashboard!$C$7*'Equity and Bond Returns'!W45)+(Dashboard!$C$8*'Equity and Bond Returns'!DU45)</f>
        <v>6.8474972564646436E-2</v>
      </c>
      <c r="L45" s="119">
        <f ca="1">(Dashboard!$C$7*'Equity and Bond Returns'!X45)+(Dashboard!$C$8*'Equity and Bond Returns'!DV45)</f>
        <v>0.21760634667215678</v>
      </c>
      <c r="M45" s="119">
        <f ca="1">(Dashboard!$C$7*'Equity and Bond Returns'!Y45)+(Dashboard!$C$8*'Equity and Bond Returns'!DW45)</f>
        <v>0.13666449730902125</v>
      </c>
      <c r="N45" s="119">
        <f ca="1">(Dashboard!$C$7*'Equity and Bond Returns'!Z45)+(Dashboard!$C$8*'Equity and Bond Returns'!DX45)</f>
        <v>0.1154504860812285</v>
      </c>
      <c r="O45" s="119">
        <f ca="1">(Dashboard!$C$7*'Equity and Bond Returns'!AA45)+(Dashboard!$C$8*'Equity and Bond Returns'!DY45)</f>
        <v>-1.4788545879504747E-3</v>
      </c>
      <c r="P45" s="119">
        <f ca="1">(Dashboard!$C$7*'Equity and Bond Returns'!AB45)+(Dashboard!$C$8*'Equity and Bond Returns'!DZ45)</f>
        <v>-0.12428473804540215</v>
      </c>
      <c r="Q45" s="119">
        <f ca="1">(Dashboard!$C$7*'Equity and Bond Returns'!AC45)+(Dashboard!$C$8*'Equity and Bond Returns'!EA45)</f>
        <v>-7.2066157142503487E-2</v>
      </c>
      <c r="R45" s="119">
        <f ca="1">(Dashboard!$C$7*'Equity and Bond Returns'!AD45)+(Dashboard!$C$8*'Equity and Bond Returns'!EB45)</f>
        <v>0.20283053311485105</v>
      </c>
      <c r="S45" s="119">
        <f ca="1">(Dashboard!$C$7*'Equity and Bond Returns'!AE45)+(Dashboard!$C$8*'Equity and Bond Returns'!EC45)</f>
        <v>5.5618457840861134E-2</v>
      </c>
      <c r="T45" s="119">
        <f ca="1">(Dashboard!$C$7*'Equity and Bond Returns'!AF45)+(Dashboard!$C$8*'Equity and Bond Returns'!ED45)</f>
        <v>0.26926416742515441</v>
      </c>
      <c r="U45" s="119">
        <f ca="1">(Dashboard!$C$7*'Equity and Bond Returns'!AG45)+(Dashboard!$C$8*'Equity and Bond Returns'!EE45)</f>
        <v>7.9908453038633906E-2</v>
      </c>
      <c r="V45" s="119">
        <f ca="1">(Dashboard!$C$7*'Equity and Bond Returns'!AH45)+(Dashboard!$C$8*'Equity and Bond Returns'!EF45)</f>
        <v>0.11143685377691979</v>
      </c>
      <c r="W45" s="119">
        <f ca="1">(Dashboard!$C$7*'Equity and Bond Returns'!AI45)+(Dashboard!$C$8*'Equity and Bond Returns'!EG45)</f>
        <v>-9.6532165234740924E-2</v>
      </c>
      <c r="X45" s="119">
        <f ca="1">(Dashboard!$C$7*'Equity and Bond Returns'!AJ45)+(Dashboard!$C$8*'Equity and Bond Returns'!EH45)</f>
        <v>4.441402219241905E-2</v>
      </c>
      <c r="Y45" s="119">
        <f ca="1">(Dashboard!$C$7*'Equity and Bond Returns'!AK45)+(Dashboard!$C$8*'Equity and Bond Returns'!EI45)</f>
        <v>6.3148568713710093E-2</v>
      </c>
      <c r="Z45" s="119">
        <f ca="1">(Dashboard!$C$7*'Equity and Bond Returns'!AL45)+(Dashboard!$C$8*'Equity and Bond Returns'!EJ45)</f>
        <v>-1.000921425709439E-2</v>
      </c>
      <c r="AA45" s="119">
        <f ca="1">(Dashboard!$C$7*'Equity and Bond Returns'!AM45)+(Dashboard!$C$8*'Equity and Bond Returns'!EK45)</f>
        <v>0.31319999682904337</v>
      </c>
      <c r="AB45" s="119">
        <f ca="1">(Dashboard!$C$7*'Equity and Bond Returns'!AN45)+(Dashboard!$C$8*'Equity and Bond Returns'!EL45)</f>
        <v>0.24528459081430035</v>
      </c>
      <c r="AC45" s="119">
        <f ca="1">(Dashboard!$C$7*'Equity and Bond Returns'!AO45)+(Dashboard!$C$8*'Equity and Bond Returns'!EM45)</f>
        <v>0.36123825873435156</v>
      </c>
      <c r="AD45" s="119">
        <f ca="1">(Dashboard!$C$7*'Equity and Bond Returns'!AP45)+(Dashboard!$C$8*'Equity and Bond Returns'!EN45)</f>
        <v>0.1512240007234513</v>
      </c>
      <c r="AE45" s="119">
        <f ca="1">(Dashboard!$C$7*'Equity and Bond Returns'!AQ45)+(Dashboard!$C$8*'Equity and Bond Returns'!EO45)</f>
        <v>-9.9103024140221818E-2</v>
      </c>
      <c r="AF45" s="119">
        <f ca="1">(Dashboard!$C$7*'Equity and Bond Returns'!AR45)+(Dashboard!$C$8*'Equity and Bond Returns'!EP45)</f>
        <v>0.11100825548032013</v>
      </c>
      <c r="AG45" s="119">
        <f ca="1">(Dashboard!$C$7*'Equity and Bond Returns'!AS45)+(Dashboard!$C$8*'Equity and Bond Returns'!EQ45)</f>
        <v>0.22696431175542886</v>
      </c>
      <c r="AH45" s="119">
        <f ca="1">(Dashboard!$C$7*'Equity and Bond Returns'!AT45)+(Dashboard!$C$8*'Equity and Bond Returns'!ER45)</f>
        <v>0.28589028609128675</v>
      </c>
      <c r="AI45" s="119">
        <f ca="1">(Dashboard!$C$7*'Equity and Bond Returns'!AU45)+(Dashboard!$C$8*'Equity and Bond Returns'!ES45)</f>
        <v>-1.3678660735391892E-3</v>
      </c>
      <c r="AJ45" s="119">
        <f ca="1">(Dashboard!$C$7*'Equity and Bond Returns'!AV45)+(Dashboard!$C$8*'Equity and Bond Returns'!ET45)</f>
        <v>9.1228251189837978E-3</v>
      </c>
      <c r="AK45" s="119">
        <f ca="1">(Dashboard!$C$7*'Equity and Bond Returns'!AW45)+(Dashboard!$C$8*'Equity and Bond Returns'!EU45)</f>
        <v>0.29654451270906718</v>
      </c>
      <c r="AL45" s="119">
        <f ca="1">(Dashboard!$C$7*'Equity and Bond Returns'!AX45)+(Dashboard!$C$8*'Equity and Bond Returns'!EV45)</f>
        <v>-3.5711420852874862E-2</v>
      </c>
      <c r="AM45" s="119">
        <f ca="1">(Dashboard!$C$7*'Equity and Bond Returns'!AY45)+(Dashboard!$C$8*'Equity and Bond Returns'!EW45)</f>
        <v>0.10781221265839261</v>
      </c>
      <c r="AN45" s="119">
        <f ca="1">(Dashboard!$C$7*'Equity and Bond Returns'!AZ45)+(Dashboard!$C$8*'Equity and Bond Returns'!EX45)</f>
        <v>0.17397593462576214</v>
      </c>
      <c r="AO45" s="119">
        <f ca="1">(Dashboard!$C$7*'Equity and Bond Returns'!BA45)+(Dashboard!$C$8*'Equity and Bond Returns'!EY45)</f>
        <v>0.33083492363793648</v>
      </c>
      <c r="AP45" s="119">
        <f ca="1">(Dashboard!$C$7*'Equity and Bond Returns'!BB45)+(Dashboard!$C$8*'Equity and Bond Returns'!EZ45)</f>
        <v>0.21822834242832634</v>
      </c>
      <c r="AQ45" s="119">
        <f ca="1">(Dashboard!$C$7*'Equity and Bond Returns'!BC45)+(Dashboard!$C$8*'Equity and Bond Returns'!FA45)</f>
        <v>0.26000237052146979</v>
      </c>
      <c r="AR45" s="119">
        <f ca="1">(Dashboard!$C$7*'Equity and Bond Returns'!BD45)+(Dashboard!$C$8*'Equity and Bond Returns'!FB45)</f>
        <v>1.176184563357939E-2</v>
      </c>
      <c r="AS45" s="119">
        <f ca="1">(Dashboard!$C$7*'Equity and Bond Returns'!BE45)+(Dashboard!$C$8*'Equity and Bond Returns'!FC45)</f>
        <v>0.21704531644580899</v>
      </c>
      <c r="AT45" s="119">
        <f ca="1">(Dashboard!$C$7*'Equity and Bond Returns'!BF45)+(Dashboard!$C$8*'Equity and Bond Returns'!FD45)</f>
        <v>0.16612683677877482</v>
      </c>
      <c r="AU45" s="119">
        <f ca="1">(Dashboard!$C$7*'Equity and Bond Returns'!BG45)+(Dashboard!$C$8*'Equity and Bond Returns'!FE45)</f>
        <v>0.11637123009500699</v>
      </c>
      <c r="AV45" s="119">
        <f ca="1">(Dashboard!$C$7*'Equity and Bond Returns'!BH45)+(Dashboard!$C$8*'Equity and Bond Returns'!FF45)</f>
        <v>7.8798590394233078E-2</v>
      </c>
      <c r="AW45" s="119">
        <f ca="1">(Dashboard!$C$7*'Equity and Bond Returns'!BI45)+(Dashboard!$C$8*'Equity and Bond Returns'!FG45)</f>
        <v>-6.1540429826123726E-2</v>
      </c>
      <c r="AX45" s="119">
        <f ca="1">(Dashboard!$C$7*'Equity and Bond Returns'!BJ45)+(Dashboard!$C$8*'Equity and Bond Returns'!FH45)</f>
        <v>-5.6675760953651408E-3</v>
      </c>
      <c r="AY45" s="119">
        <f ca="1">(Dashboard!$C$7*'Equity and Bond Returns'!BK45)+(Dashboard!$C$8*'Equity and Bond Returns'!FI45)</f>
        <v>-0.10418689312631334</v>
      </c>
      <c r="AZ45" s="119">
        <f ca="1">(Dashboard!$C$7*'Equity and Bond Returns'!BL45)+(Dashboard!$C$8*'Equity and Bond Returns'!FJ45)</f>
        <v>0.12647380427109584</v>
      </c>
      <c r="BA45" s="119">
        <f ca="1">(Dashboard!$C$7*'Equity and Bond Returns'!BM45)+(Dashboard!$C$8*'Equity and Bond Returns'!FK45)</f>
        <v>0.10424297768302225</v>
      </c>
      <c r="BB45" s="119">
        <f ca="1">(Dashboard!$C$7*'Equity and Bond Returns'!BN45)+(Dashboard!$C$8*'Equity and Bond Returns'!FL45)</f>
        <v>4.8722607819404733E-2</v>
      </c>
      <c r="BC45" s="119">
        <f ca="1">(Dashboard!$C$7*'Equity and Bond Returns'!BO45)+(Dashboard!$C$8*'Equity and Bond Returns'!FM45)</f>
        <v>1.3572379249617451E-2</v>
      </c>
      <c r="BD45" s="119">
        <f ca="1">(Dashboard!$C$7*'Equity and Bond Returns'!BP45)+(Dashboard!$C$8*'Equity and Bond Returns'!FN45)</f>
        <v>0.27720562327029269</v>
      </c>
      <c r="BE45" s="119">
        <f ca="1">(Dashboard!$C$7*'Equity and Bond Returns'!BQ45)+(Dashboard!$C$8*'Equity and Bond Returns'!FO45)</f>
        <v>0.22900546718963316</v>
      </c>
      <c r="BF45" s="119">
        <f ca="1">(Dashboard!$C$7*'Equity and Bond Returns'!BR45)+(Dashboard!$C$8*'Equity and Bond Returns'!FP45)</f>
        <v>0.13779445909788349</v>
      </c>
      <c r="BG45" s="119">
        <f ca="1">(Dashboard!$C$7*'Equity and Bond Returns'!BS45)+(Dashboard!$C$8*'Equity and Bond Returns'!FQ45)</f>
        <v>-0.2291850555319096</v>
      </c>
      <c r="BH45" s="119">
        <f ca="1">(Dashboard!$C$7*'Equity and Bond Returns'!BT45)+(Dashboard!$C$8*'Equity and Bond Returns'!FR45)</f>
        <v>2.7641004538594926E-2</v>
      </c>
      <c r="BI45" s="119">
        <f ca="1">(Dashboard!$C$7*'Equity and Bond Returns'!BU45)+(Dashboard!$C$8*'Equity and Bond Returns'!FS45)</f>
        <v>0.21347317240795288</v>
      </c>
      <c r="BJ45" s="119">
        <f ca="1">(Dashboard!$C$7*'Equity and Bond Returns'!BV45)+(Dashboard!$C$8*'Equity and Bond Returns'!FT45)</f>
        <v>-3.1915636552378716E-2</v>
      </c>
      <c r="BK45" s="119">
        <f ca="1">(Dashboard!$C$7*'Equity and Bond Returns'!BW45)+(Dashboard!$C$8*'Equity and Bond Returns'!FU45)</f>
        <v>0.370755957188588</v>
      </c>
      <c r="BL45" s="119">
        <f ca="1">(Dashboard!$C$7*'Equity and Bond Returns'!BX45)+(Dashboard!$C$8*'Equity and Bond Returns'!FV45)</f>
        <v>0.11868018400905628</v>
      </c>
      <c r="BM45" s="119">
        <f ca="1">(Dashboard!$C$7*'Equity and Bond Returns'!BY45)+(Dashboard!$C$8*'Equity and Bond Returns'!FW45)</f>
        <v>7.4091399833231444E-2</v>
      </c>
      <c r="BN45" s="119">
        <f ca="1">(Dashboard!$C$7*'Equity and Bond Returns'!BZ45)+(Dashboard!$C$8*'Equity and Bond Returns'!FX45)</f>
        <v>7.6869284146128564E-2</v>
      </c>
      <c r="BO45" s="119">
        <f ca="1">(Dashboard!$C$7*'Equity and Bond Returns'!CA45)+(Dashboard!$C$8*'Equity and Bond Returns'!FY45)</f>
        <v>3.5799490230656414E-2</v>
      </c>
      <c r="BP45" s="119">
        <f ca="1">(Dashboard!$C$7*'Equity and Bond Returns'!CB45)+(Dashboard!$C$8*'Equity and Bond Returns'!FZ45)</f>
        <v>0.29940941848008867</v>
      </c>
      <c r="BQ45" s="119">
        <f ca="1">(Dashboard!$C$7*'Equity and Bond Returns'!CC45)+(Dashboard!$C$8*'Equity and Bond Returns'!GA45)</f>
        <v>0.13617400431658189</v>
      </c>
      <c r="BR45" s="119">
        <f ca="1">(Dashboard!$C$7*'Equity and Bond Returns'!CD45)+(Dashboard!$C$8*'Equity and Bond Returns'!GB45)</f>
        <v>0.12244603906584055</v>
      </c>
      <c r="BS45" s="119">
        <f ca="1">(Dashboard!$C$7*'Equity and Bond Returns'!CE45)+(Dashboard!$C$8*'Equity and Bond Returns'!GC45)</f>
        <v>0.15923439130020564</v>
      </c>
      <c r="BT45" s="119">
        <f ca="1">(Dashboard!$C$7*'Equity and Bond Returns'!CF45)+(Dashboard!$C$8*'Equity and Bond Returns'!GD45)</f>
        <v>-7.8739605551538111E-2</v>
      </c>
      <c r="BU45" s="119">
        <f ca="1">(Dashboard!$C$7*'Equity and Bond Returns'!CG45)+(Dashboard!$C$8*'Equity and Bond Returns'!GE45)</f>
        <v>-5.2764239047748199E-4</v>
      </c>
      <c r="BV45" s="119">
        <f ca="1">(Dashboard!$C$7*'Equity and Bond Returns'!CH45)+(Dashboard!$C$8*'Equity and Bond Returns'!GF45)</f>
        <v>0.12809346921064346</v>
      </c>
      <c r="BW45" s="119">
        <f ca="1">(Dashboard!$C$7*'Equity and Bond Returns'!CI45)+(Dashboard!$C$8*'Equity and Bond Returns'!GG45)</f>
        <v>0.19633444297545832</v>
      </c>
      <c r="BX45" s="119">
        <f ca="1">(Dashboard!$C$7*'Equity and Bond Returns'!CJ45)+(Dashboard!$C$8*'Equity and Bond Returns'!GH45)</f>
        <v>0.14662206737713276</v>
      </c>
      <c r="BY45" s="119">
        <f ca="1">(Dashboard!$C$7*'Equity and Bond Returns'!CK45)+(Dashboard!$C$8*'Equity and Bond Returns'!GI45)</f>
        <v>-1.6232114406478287E-2</v>
      </c>
      <c r="BZ45" s="119">
        <f ca="1">(Dashboard!$C$7*'Equity and Bond Returns'!CL45)+(Dashboard!$C$8*'Equity and Bond Returns'!GJ45)</f>
        <v>0.2079085986267909</v>
      </c>
      <c r="CA45" s="119">
        <f ca="1">(Dashboard!$C$7*'Equity and Bond Returns'!CM45)+(Dashboard!$C$8*'Equity and Bond Returns'!GK45)</f>
        <v>4.2916667867345382E-2</v>
      </c>
      <c r="CB45" s="119">
        <f ca="1">(Dashboard!$C$7*'Equity and Bond Returns'!CN45)+(Dashboard!$C$8*'Equity and Bond Returns'!GL45)</f>
        <v>0.20306652902541072</v>
      </c>
      <c r="CC45" s="119">
        <f ca="1">(Dashboard!$C$7*'Equity and Bond Returns'!CO45)+(Dashboard!$C$8*'Equity and Bond Returns'!GM45)</f>
        <v>0.11168988543607175</v>
      </c>
      <c r="CD45" s="119">
        <f ca="1">(Dashboard!$C$7*'Equity and Bond Returns'!CP45)+(Dashboard!$C$8*'Equity and Bond Returns'!GN45)</f>
        <v>4.6115602243539701E-2</v>
      </c>
      <c r="CE45" s="119">
        <f ca="1">(Dashboard!$C$7*'Equity and Bond Returns'!CQ45)+(Dashboard!$C$8*'Equity and Bond Returns'!GO45)</f>
        <v>0.11697067313392016</v>
      </c>
      <c r="CF45" s="119">
        <f ca="1">(Dashboard!$C$7*'Equity and Bond Returns'!CR45)+(Dashboard!$C$8*'Equity and Bond Returns'!GP45)</f>
        <v>-4.6554673971100156E-2</v>
      </c>
      <c r="CG45" s="119">
        <f ca="1">(Dashboard!$C$7*'Equity and Bond Returns'!CS45)+(Dashboard!$C$8*'Equity and Bond Returns'!GQ45)</f>
        <v>0.11660575511333268</v>
      </c>
      <c r="CH45" s="119">
        <f ca="1">(Dashboard!$C$7*'Equity and Bond Returns'!CT45)+(Dashboard!$C$8*'Equity and Bond Returns'!GR45)</f>
        <v>7.3618525541173319E-2</v>
      </c>
      <c r="CI45" s="119">
        <f ca="1">(Dashboard!$C$7*'Equity and Bond Returns'!CU45)+(Dashboard!$C$8*'Equity and Bond Returns'!GS45)</f>
        <v>0.16505688492167864</v>
      </c>
      <c r="CJ45" s="119">
        <f ca="1">(Dashboard!$C$7*'Equity and Bond Returns'!CV45)+(Dashboard!$C$8*'Equity and Bond Returns'!GT45)</f>
        <v>0.25170159785124191</v>
      </c>
      <c r="CK45" s="119">
        <f ca="1">(Dashboard!$C$7*'Equity and Bond Returns'!CW45)+(Dashboard!$C$8*'Equity and Bond Returns'!GU45)</f>
        <v>4.2363035964039369E-2</v>
      </c>
      <c r="CL45" s="119">
        <f ca="1">(Dashboard!$C$7*'Equity and Bond Returns'!CX45)+(Dashboard!$C$8*'Equity and Bond Returns'!GV45)</f>
        <v>-7.2519373901101331E-2</v>
      </c>
      <c r="CM45" s="119">
        <f ca="1">(Dashboard!$C$7*'Equity and Bond Returns'!CY45)+(Dashboard!$C$8*'Equity and Bond Returns'!GW45)</f>
        <v>0.10169071046749421</v>
      </c>
      <c r="CN45" s="119">
        <f ca="1">(Dashboard!$C$7*'Equity and Bond Returns'!CZ45)+(Dashboard!$C$8*'Equity and Bond Returns'!GX45)</f>
        <v>4.1091896560683482E-2</v>
      </c>
      <c r="CO45" s="119">
        <f ca="1">(Dashboard!$C$7*'Equity and Bond Returns'!DA45)+(Dashboard!$C$8*'Equity and Bond Returns'!GY45)</f>
        <v>-6.1133168472986998E-2</v>
      </c>
      <c r="CP45" s="119">
        <f ca="1">(Dashboard!$C$7*'Equity and Bond Returns'!DB45)+(Dashboard!$C$8*'Equity and Bond Returns'!GZ45)</f>
        <v>0.17446867325077986</v>
      </c>
      <c r="CQ45" s="119">
        <f ca="1">(Dashboard!$C$7*'Equity and Bond Returns'!DC45)+(Dashboard!$C$8*'Equity and Bond Returns'!HA45)</f>
        <v>0.11409823420309757</v>
      </c>
      <c r="CR45" s="119">
        <f ca="1">(Dashboard!$C$7*'Equity and Bond Returns'!DD45)+(Dashboard!$C$8*'Equity and Bond Returns'!HB45)</f>
        <v>-9.266485977272329E-2</v>
      </c>
      <c r="CS45" s="119">
        <f ca="1">(Dashboard!$C$7*'Equity and Bond Returns'!DE45)+(Dashboard!$C$8*'Equity and Bond Returns'!HC45)</f>
        <v>0.14392569622699752</v>
      </c>
      <c r="CT45" s="119">
        <f ca="1">(Dashboard!$C$7*'Equity and Bond Returns'!DF45)+(Dashboard!$C$8*'Equity and Bond Returns'!HD45)</f>
        <v>0.13438167727124986</v>
      </c>
      <c r="CU45" s="119">
        <f ca="1">(Dashboard!$C$7*'Equity and Bond Returns'!DG45)+(Dashboard!$C$8*'Equity and Bond Returns'!HE45)</f>
        <v>5.2870256813152057E-2</v>
      </c>
      <c r="CV45" s="119">
        <f ca="1">(Dashboard!$C$7*'Equity and Bond Returns'!DH45)+(Dashboard!$C$8*'Equity and Bond Returns'!HF45)</f>
        <v>0.24994483152157029</v>
      </c>
      <c r="CW45" s="119">
        <f ca="1">(Dashboard!$C$7*'Equity and Bond Returns'!DI45)+(Dashboard!$C$8*'Equity and Bond Returns'!HG45)</f>
        <v>0.34757196555756781</v>
      </c>
      <c r="CY45" s="147">
        <f t="shared" si="5"/>
        <v>94</v>
      </c>
      <c r="CZ45" s="147">
        <v>44</v>
      </c>
      <c r="DA45" s="126">
        <f ca="1">MAX(DA44*(1+B45)-(Dashboard!$C$11)/(1-Dashboard!$C$17)*((1+Dashboard!$C$12)^$CZ45),0)</f>
        <v>34054045.976319991</v>
      </c>
      <c r="DB45" s="126">
        <f ca="1">MAX(DB44*(1+C45)-(Dashboard!$C$11)/(1-Dashboard!$C$17)*((1+Dashboard!$C$12)^$CZ45),0)</f>
        <v>0</v>
      </c>
      <c r="DC45" s="126">
        <f ca="1">MAX(DC44*(1+D45)-(Dashboard!$C$11)/(1-Dashboard!$C$17)*((1+Dashboard!$C$12)^$CZ45),0)</f>
        <v>7964823.3441387173</v>
      </c>
      <c r="DD45" s="126">
        <f ca="1">MAX(DD44*(1+E45)-(Dashboard!$C$11)/(1-Dashboard!$C$17)*((1+Dashboard!$C$12)^$CZ45),0)</f>
        <v>0</v>
      </c>
      <c r="DE45" s="126">
        <f ca="1">MAX(DE44*(1+F45)-(Dashboard!$C$11)/(1-Dashboard!$C$17)*((1+Dashboard!$C$12)^$CZ45),0)</f>
        <v>6815096.4696935294</v>
      </c>
      <c r="DF45" s="126">
        <f ca="1">MAX(DF44*(1+G45)-(Dashboard!$C$11)/(1-Dashboard!$C$17)*((1+Dashboard!$C$12)^$CZ45),0)</f>
        <v>13868921.468179442</v>
      </c>
      <c r="DG45" s="126">
        <f ca="1">MAX(DG44*(1+H45)-(Dashboard!$C$11)/(1-Dashboard!$C$17)*((1+Dashboard!$C$12)^$CZ45),0)</f>
        <v>0</v>
      </c>
      <c r="DH45" s="126">
        <f ca="1">MAX(DH44*(1+I45)-(Dashboard!$C$11)/(1-Dashboard!$C$17)*((1+Dashboard!$C$12)^$CZ45),0)</f>
        <v>36139670.521696508</v>
      </c>
      <c r="DI45" s="126">
        <f ca="1">MAX(DI44*(1+J45)-(Dashboard!$C$11)/(1-Dashboard!$C$17)*((1+Dashboard!$C$12)^$CZ45),0)</f>
        <v>6519183.1843165848</v>
      </c>
      <c r="DJ45" s="126">
        <f ca="1">MAX(DJ44*(1+K45)-(Dashboard!$C$11)/(1-Dashboard!$C$17)*((1+Dashboard!$C$12)^$CZ45),0)</f>
        <v>8560649.1384035237</v>
      </c>
      <c r="DK45" s="126">
        <f ca="1">MAX(DK44*(1+L45)-(Dashboard!$C$11)/(1-Dashboard!$C$17)*((1+Dashboard!$C$12)^$CZ45),0)</f>
        <v>9148171.0287067629</v>
      </c>
      <c r="DL45" s="126">
        <f ca="1">MAX(DL44*(1+M45)-(Dashboard!$C$11)/(1-Dashboard!$C$17)*((1+Dashboard!$C$12)^$CZ45),0)</f>
        <v>922057.99624529795</v>
      </c>
      <c r="DM45" s="126">
        <f ca="1">MAX(DM44*(1+N45)-(Dashboard!$C$11)/(1-Dashboard!$C$17)*((1+Dashboard!$C$12)^$CZ45),0)</f>
        <v>19508501.997971509</v>
      </c>
      <c r="DN45" s="126">
        <f ca="1">MAX(DN44*(1+O45)-(Dashboard!$C$11)/(1-Dashboard!$C$17)*((1+Dashboard!$C$12)^$CZ45),0)</f>
        <v>128281385.60171288</v>
      </c>
      <c r="DO45" s="126">
        <f ca="1">MAX(DO44*(1+P45)-(Dashboard!$C$11)/(1-Dashboard!$C$17)*((1+Dashboard!$C$12)^$CZ45),0)</f>
        <v>3607014.4663461125</v>
      </c>
      <c r="DP45" s="126">
        <f ca="1">MAX(DP44*(1+Q45)-(Dashboard!$C$11)/(1-Dashboard!$C$17)*((1+Dashboard!$C$12)^$CZ45),0)</f>
        <v>698064.17568336939</v>
      </c>
      <c r="DQ45" s="126">
        <f ca="1">MAX(DQ44*(1+R45)-(Dashboard!$C$11)/(1-Dashboard!$C$17)*((1+Dashboard!$C$12)^$CZ45),0)</f>
        <v>5757981.6229757378</v>
      </c>
      <c r="DR45" s="126">
        <f ca="1">MAX(DR44*(1+S45)-(Dashboard!$C$11)/(1-Dashboard!$C$17)*((1+Dashboard!$C$12)^$CZ45),0)</f>
        <v>13271436.56543372</v>
      </c>
      <c r="DS45" s="126">
        <f ca="1">MAX(DS44*(1+T45)-(Dashboard!$C$11)/(1-Dashboard!$C$17)*((1+Dashboard!$C$12)^$CZ45),0)</f>
        <v>0</v>
      </c>
      <c r="DT45" s="126">
        <f ca="1">MAX(DT44*(1+U45)-(Dashboard!$C$11)/(1-Dashboard!$C$17)*((1+Dashboard!$C$12)^$CZ45),0)</f>
        <v>1005774.1462927687</v>
      </c>
      <c r="DU45" s="126">
        <f ca="1">MAX(DU44*(1+V45)-(Dashboard!$C$11)/(1-Dashboard!$C$17)*((1+Dashboard!$C$12)^$CZ45),0)</f>
        <v>5566981.5645833472</v>
      </c>
      <c r="DV45" s="126">
        <f ca="1">MAX(DV44*(1+W45)-(Dashboard!$C$11)/(1-Dashboard!$C$17)*((1+Dashboard!$C$12)^$CZ45),0)</f>
        <v>68995058.228138506</v>
      </c>
      <c r="DW45" s="126">
        <f ca="1">MAX(DW44*(1+X45)-(Dashboard!$C$11)/(1-Dashboard!$C$17)*((1+Dashboard!$C$12)^$CZ45),0)</f>
        <v>4649410.5808019331</v>
      </c>
      <c r="DX45" s="126">
        <f ca="1">MAX(DX44*(1+Y45)-(Dashboard!$C$11)/(1-Dashboard!$C$17)*((1+Dashboard!$C$12)^$CZ45),0)</f>
        <v>2180865.3317638454</v>
      </c>
      <c r="DY45" s="126">
        <f ca="1">MAX(DY44*(1+Z45)-(Dashboard!$C$11)/(1-Dashboard!$C$17)*((1+Dashboard!$C$12)^$CZ45),0)</f>
        <v>18034221.309279233</v>
      </c>
      <c r="DZ45" s="126">
        <f ca="1">MAX(DZ44*(1+AA45)-(Dashboard!$C$11)/(1-Dashboard!$C$17)*((1+Dashboard!$C$12)^$CZ45),0)</f>
        <v>9207548.7325742412</v>
      </c>
      <c r="EA45" s="126">
        <f ca="1">MAX(EA44*(1+AB45)-(Dashboard!$C$11)/(1-Dashboard!$C$17)*((1+Dashboard!$C$12)^$CZ45),0)</f>
        <v>3691064.7265925105</v>
      </c>
      <c r="EB45" s="126">
        <f ca="1">MAX(EB44*(1+AC45)-(Dashboard!$C$11)/(1-Dashboard!$C$17)*((1+Dashboard!$C$12)^$CZ45),0)</f>
        <v>12095799.901756937</v>
      </c>
      <c r="EC45" s="126">
        <f ca="1">MAX(EC44*(1+AD45)-(Dashboard!$C$11)/(1-Dashboard!$C$17)*((1+Dashboard!$C$12)^$CZ45),0)</f>
        <v>12674998.933469117</v>
      </c>
      <c r="ED45" s="126">
        <f ca="1">MAX(ED44*(1+AE45)-(Dashboard!$C$11)/(1-Dashboard!$C$17)*((1+Dashboard!$C$12)^$CZ45),0)</f>
        <v>6714985.5588821005</v>
      </c>
      <c r="EE45" s="126">
        <f ca="1">MAX(EE44*(1+AF45)-(Dashboard!$C$11)/(1-Dashboard!$C$17)*((1+Dashboard!$C$12)^$CZ45),0)</f>
        <v>18031094.447572019</v>
      </c>
      <c r="EF45" s="126">
        <f ca="1">MAX(EF44*(1+AG45)-(Dashboard!$C$11)/(1-Dashboard!$C$17)*((1+Dashboard!$C$12)^$CZ45),0)</f>
        <v>0</v>
      </c>
      <c r="EG45" s="126">
        <f ca="1">MAX(EG44*(1+AH45)-(Dashboard!$C$11)/(1-Dashboard!$C$17)*((1+Dashboard!$C$12)^$CZ45),0)</f>
        <v>12126607.920291761</v>
      </c>
      <c r="EH45" s="126">
        <f ca="1">MAX(EH44*(1+AI45)-(Dashboard!$C$11)/(1-Dashboard!$C$17)*((1+Dashboard!$C$12)^$CZ45),0)</f>
        <v>19255109.803818244</v>
      </c>
      <c r="EI45" s="126">
        <f ca="1">MAX(EI44*(1+AJ45)-(Dashboard!$C$11)/(1-Dashboard!$C$17)*((1+Dashboard!$C$12)^$CZ45),0)</f>
        <v>0</v>
      </c>
      <c r="EJ45" s="126">
        <f ca="1">MAX(EJ44*(1+AK45)-(Dashboard!$C$11)/(1-Dashboard!$C$17)*((1+Dashboard!$C$12)^$CZ45),0)</f>
        <v>11831732.297559647</v>
      </c>
      <c r="EK45" s="126">
        <f ca="1">MAX(EK44*(1+AL45)-(Dashboard!$C$11)/(1-Dashboard!$C$17)*((1+Dashboard!$C$12)^$CZ45),0)</f>
        <v>3910581.3550106012</v>
      </c>
      <c r="EL45" s="126">
        <f ca="1">MAX(EL44*(1+AM45)-(Dashboard!$C$11)/(1-Dashboard!$C$17)*((1+Dashboard!$C$12)^$CZ45),0)</f>
        <v>2422548.8542978382</v>
      </c>
      <c r="EM45" s="126">
        <f ca="1">MAX(EM44*(1+AN45)-(Dashboard!$C$11)/(1-Dashboard!$C$17)*((1+Dashboard!$C$12)^$CZ45),0)</f>
        <v>33602948.181274764</v>
      </c>
      <c r="EN45" s="126">
        <f ca="1">MAX(EN44*(1+AO45)-(Dashboard!$C$11)/(1-Dashboard!$C$17)*((1+Dashboard!$C$12)^$CZ45),0)</f>
        <v>2045662.033689484</v>
      </c>
      <c r="EO45" s="126">
        <f ca="1">MAX(EO44*(1+AP45)-(Dashboard!$C$11)/(1-Dashboard!$C$17)*((1+Dashboard!$C$12)^$CZ45),0)</f>
        <v>0</v>
      </c>
      <c r="EP45" s="126">
        <f ca="1">MAX(EP44*(1+AQ45)-(Dashboard!$C$11)/(1-Dashboard!$C$17)*((1+Dashboard!$C$12)^$CZ45),0)</f>
        <v>4937484.9401495196</v>
      </c>
      <c r="EQ45" s="126">
        <f ca="1">MAX(EQ44*(1+AR45)-(Dashboard!$C$11)/(1-Dashboard!$C$17)*((1+Dashboard!$C$12)^$CZ45),0)</f>
        <v>4149086.3358071921</v>
      </c>
      <c r="ER45" s="126">
        <f ca="1">MAX(ER44*(1+AS45)-(Dashboard!$C$11)/(1-Dashboard!$C$17)*((1+Dashboard!$C$12)^$CZ45),0)</f>
        <v>0</v>
      </c>
      <c r="ES45" s="126">
        <f ca="1">MAX(ES44*(1+AT45)-(Dashboard!$C$11)/(1-Dashboard!$C$17)*((1+Dashboard!$C$12)^$CZ45),0)</f>
        <v>40651486.070996255</v>
      </c>
      <c r="ET45" s="126">
        <f ca="1">MAX(ET44*(1+AU45)-(Dashboard!$C$11)/(1-Dashboard!$C$17)*((1+Dashboard!$C$12)^$CZ45),0)</f>
        <v>6044691.6210871516</v>
      </c>
      <c r="EU45" s="126">
        <f ca="1">MAX(EU44*(1+AV45)-(Dashboard!$C$11)/(1-Dashboard!$C$17)*((1+Dashboard!$C$12)^$CZ45),0)</f>
        <v>5798941.1622934919</v>
      </c>
      <c r="EV45" s="126">
        <f ca="1">MAX(EV44*(1+AW45)-(Dashboard!$C$11)/(1-Dashboard!$C$17)*((1+Dashboard!$C$12)^$CZ45),0)</f>
        <v>50025277.454955801</v>
      </c>
      <c r="EW45" s="126">
        <f ca="1">MAX(EW44*(1+AX45)-(Dashboard!$C$11)/(1-Dashboard!$C$17)*((1+Dashboard!$C$12)^$CZ45),0)</f>
        <v>1940823.4271927183</v>
      </c>
      <c r="EX45" s="126">
        <f ca="1">MAX(EX44*(1+AY45)-(Dashboard!$C$11)/(1-Dashboard!$C$17)*((1+Dashboard!$C$12)^$CZ45),0)</f>
        <v>3983635.92747415</v>
      </c>
      <c r="EY45" s="126">
        <f ca="1">MAX(EY44*(1+AZ45)-(Dashboard!$C$11)/(1-Dashboard!$C$17)*((1+Dashboard!$C$12)^$CZ45),0)</f>
        <v>17768794.693476021</v>
      </c>
      <c r="EZ45" s="126">
        <f ca="1">MAX(EZ44*(1+BA45)-(Dashboard!$C$11)/(1-Dashboard!$C$17)*((1+Dashboard!$C$12)^$CZ45),0)</f>
        <v>2542667.0796827478</v>
      </c>
      <c r="FA45" s="126">
        <f ca="1">MAX(FA44*(1+BB45)-(Dashboard!$C$11)/(1-Dashboard!$C$17)*((1+Dashboard!$C$12)^$CZ45),0)</f>
        <v>32203277.891193673</v>
      </c>
      <c r="FB45" s="126">
        <f ca="1">MAX(FB44*(1+BC45)-(Dashboard!$C$11)/(1-Dashboard!$C$17)*((1+Dashboard!$C$12)^$CZ45),0)</f>
        <v>971123.69071632251</v>
      </c>
      <c r="FC45" s="126">
        <f ca="1">MAX(FC44*(1+BD45)-(Dashboard!$C$11)/(1-Dashboard!$C$17)*((1+Dashboard!$C$12)^$CZ45),0)</f>
        <v>7593216.6392075988</v>
      </c>
      <c r="FD45" s="126">
        <f ca="1">MAX(FD44*(1+BE45)-(Dashboard!$C$11)/(1-Dashboard!$C$17)*((1+Dashboard!$C$12)^$CZ45),0)</f>
        <v>34816184.55404529</v>
      </c>
      <c r="FE45" s="126">
        <f ca="1">MAX(FE44*(1+BF45)-(Dashboard!$C$11)/(1-Dashboard!$C$17)*((1+Dashboard!$C$12)^$CZ45),0)</f>
        <v>24372609.223790232</v>
      </c>
      <c r="FF45" s="126">
        <f ca="1">MAX(FF44*(1+BG45)-(Dashboard!$C$11)/(1-Dashboard!$C$17)*((1+Dashboard!$C$12)^$CZ45),0)</f>
        <v>2217710.6338171028</v>
      </c>
      <c r="FG45" s="126">
        <f ca="1">MAX(FG44*(1+BH45)-(Dashboard!$C$11)/(1-Dashboard!$C$17)*((1+Dashboard!$C$12)^$CZ45),0)</f>
        <v>1314231.9790406765</v>
      </c>
      <c r="FH45" s="126">
        <f ca="1">MAX(FH44*(1+BI45)-(Dashboard!$C$11)/(1-Dashboard!$C$17)*((1+Dashboard!$C$12)^$CZ45),0)</f>
        <v>5991117.1941606123</v>
      </c>
      <c r="FI45" s="126">
        <f ca="1">MAX(FI44*(1+BJ45)-(Dashboard!$C$11)/(1-Dashboard!$C$17)*((1+Dashboard!$C$12)^$CZ45),0)</f>
        <v>15575096.407608144</v>
      </c>
      <c r="FJ45" s="126">
        <f ca="1">MAX(FJ44*(1+BK45)-(Dashboard!$C$11)/(1-Dashboard!$C$17)*((1+Dashboard!$C$12)^$CZ45),0)</f>
        <v>3040829.0265577007</v>
      </c>
      <c r="FK45" s="126">
        <f ca="1">MAX(FK44*(1+BL45)-(Dashboard!$C$11)/(1-Dashboard!$C$17)*((1+Dashboard!$C$12)^$CZ45),0)</f>
        <v>6501417.3061733693</v>
      </c>
      <c r="FL45" s="126">
        <f ca="1">MAX(FL44*(1+BM45)-(Dashboard!$C$11)/(1-Dashboard!$C$17)*((1+Dashboard!$C$12)^$CZ45),0)</f>
        <v>1311203.6028605371</v>
      </c>
      <c r="FM45" s="126">
        <f ca="1">MAX(FM44*(1+BN45)-(Dashboard!$C$11)/(1-Dashboard!$C$17)*((1+Dashboard!$C$12)^$CZ45),0)</f>
        <v>6222629.387674775</v>
      </c>
      <c r="FN45" s="126">
        <f ca="1">MAX(FN44*(1+BO45)-(Dashboard!$C$11)/(1-Dashboard!$C$17)*((1+Dashboard!$C$12)^$CZ45),0)</f>
        <v>0</v>
      </c>
      <c r="FO45" s="126">
        <f ca="1">MAX(FO44*(1+BP45)-(Dashboard!$C$11)/(1-Dashboard!$C$17)*((1+Dashboard!$C$12)^$CZ45),0)</f>
        <v>5565125.2397044012</v>
      </c>
      <c r="FP45" s="126">
        <f ca="1">MAX(FP44*(1+BQ45)-(Dashboard!$C$11)/(1-Dashboard!$C$17)*((1+Dashboard!$C$12)^$CZ45),0)</f>
        <v>2812285.3902441803</v>
      </c>
      <c r="FQ45" s="126">
        <f ca="1">MAX(FQ44*(1+BR45)-(Dashboard!$C$11)/(1-Dashboard!$C$17)*((1+Dashboard!$C$12)^$CZ45),0)</f>
        <v>1754193.9108472285</v>
      </c>
      <c r="FR45" s="126">
        <f ca="1">MAX(FR44*(1+BS45)-(Dashboard!$C$11)/(1-Dashboard!$C$17)*((1+Dashboard!$C$12)^$CZ45),0)</f>
        <v>14424747.423167028</v>
      </c>
      <c r="FS45" s="126">
        <f ca="1">MAX(FS44*(1+BT45)-(Dashboard!$C$11)/(1-Dashboard!$C$17)*((1+Dashboard!$C$12)^$CZ45),0)</f>
        <v>10561038.203021288</v>
      </c>
      <c r="FT45" s="126">
        <f ca="1">MAX(FT44*(1+BU45)-(Dashboard!$C$11)/(1-Dashboard!$C$17)*((1+Dashboard!$C$12)^$CZ45),0)</f>
        <v>0</v>
      </c>
      <c r="FU45" s="126">
        <f ca="1">MAX(FU44*(1+BV45)-(Dashboard!$C$11)/(1-Dashboard!$C$17)*((1+Dashboard!$C$12)^$CZ45),0)</f>
        <v>1602544.9734632769</v>
      </c>
      <c r="FV45" s="126">
        <f ca="1">MAX(FV44*(1+BW45)-(Dashboard!$C$11)/(1-Dashboard!$C$17)*((1+Dashboard!$C$12)^$CZ45),0)</f>
        <v>8266005.1517808745</v>
      </c>
      <c r="FW45" s="126">
        <f ca="1">MAX(FW44*(1+BX45)-(Dashboard!$C$11)/(1-Dashboard!$C$17)*((1+Dashboard!$C$12)^$CZ45),0)</f>
        <v>2541209.6603214862</v>
      </c>
      <c r="FX45" s="126">
        <f ca="1">MAX(FX44*(1+BY45)-(Dashboard!$C$11)/(1-Dashboard!$C$17)*((1+Dashboard!$C$12)^$CZ45),0)</f>
        <v>0</v>
      </c>
      <c r="FY45" s="126">
        <f ca="1">MAX(FY44*(1+BZ45)-(Dashboard!$C$11)/(1-Dashboard!$C$17)*((1+Dashboard!$C$12)^$CZ45),0)</f>
        <v>16622.930232076265</v>
      </c>
      <c r="FZ45" s="126">
        <f ca="1">MAX(FZ44*(1+CA45)-(Dashboard!$C$11)/(1-Dashboard!$C$17)*((1+Dashboard!$C$12)^$CZ45),0)</f>
        <v>27203771.52136337</v>
      </c>
      <c r="GA45" s="126">
        <f ca="1">MAX(GA44*(1+CB45)-(Dashboard!$C$11)/(1-Dashboard!$C$17)*((1+Dashboard!$C$12)^$CZ45),0)</f>
        <v>32618389.401515346</v>
      </c>
      <c r="GB45" s="126">
        <f ca="1">MAX(GB44*(1+CC45)-(Dashboard!$C$11)/(1-Dashboard!$C$17)*((1+Dashboard!$C$12)^$CZ45),0)</f>
        <v>3730409.2763438979</v>
      </c>
      <c r="GC45" s="126">
        <f ca="1">MAX(GC44*(1+CD45)-(Dashboard!$C$11)/(1-Dashboard!$C$17)*((1+Dashboard!$C$12)^$CZ45),0)</f>
        <v>9105648.2858643141</v>
      </c>
      <c r="GD45" s="126">
        <f ca="1">MAX(GD44*(1+CE45)-(Dashboard!$C$11)/(1-Dashboard!$C$17)*((1+Dashboard!$C$12)^$CZ45),0)</f>
        <v>69804296.010501936</v>
      </c>
      <c r="GE45" s="126">
        <f ca="1">MAX(GE44*(1+CF45)-(Dashboard!$C$11)/(1-Dashboard!$C$17)*((1+Dashboard!$C$12)^$CZ45),0)</f>
        <v>4260491.9710620409</v>
      </c>
      <c r="GF45" s="126">
        <f ca="1">MAX(GF44*(1+CG45)-(Dashboard!$C$11)/(1-Dashboard!$C$17)*((1+Dashboard!$C$12)^$CZ45),0)</f>
        <v>4763864.7356325751</v>
      </c>
      <c r="GG45" s="126">
        <f ca="1">MAX(GG44*(1+CH45)-(Dashboard!$C$11)/(1-Dashboard!$C$17)*((1+Dashboard!$C$12)^$CZ45),0)</f>
        <v>0</v>
      </c>
      <c r="GH45" s="126">
        <f ca="1">MAX(GH44*(1+CI45)-(Dashboard!$C$11)/(1-Dashboard!$C$17)*((1+Dashboard!$C$12)^$CZ45),0)</f>
        <v>1230877.1629927093</v>
      </c>
      <c r="GI45" s="126">
        <f ca="1">MAX(GI44*(1+CJ45)-(Dashboard!$C$11)/(1-Dashboard!$C$17)*((1+Dashboard!$C$12)^$CZ45),0)</f>
        <v>16270192.28138697</v>
      </c>
      <c r="GJ45" s="126">
        <f ca="1">MAX(GJ44*(1+CK45)-(Dashboard!$C$11)/(1-Dashboard!$C$17)*((1+Dashboard!$C$12)^$CZ45),0)</f>
        <v>25720814.096448466</v>
      </c>
      <c r="GK45" s="126">
        <f ca="1">MAX(GK44*(1+CL45)-(Dashboard!$C$11)/(1-Dashboard!$C$17)*((1+Dashboard!$C$12)^$CZ45),0)</f>
        <v>9771713.313543193</v>
      </c>
      <c r="GL45" s="126">
        <f ca="1">MAX(GL44*(1+CM45)-(Dashboard!$C$11)/(1-Dashboard!$C$17)*((1+Dashboard!$C$12)^$CZ45),0)</f>
        <v>11807625.692167187</v>
      </c>
      <c r="GM45" s="126">
        <f ca="1">MAX(GM44*(1+CN45)-(Dashboard!$C$11)/(1-Dashboard!$C$17)*((1+Dashboard!$C$12)^$CZ45),0)</f>
        <v>0</v>
      </c>
      <c r="GN45" s="126">
        <f ca="1">MAX(GN44*(1+CO45)-(Dashboard!$C$11)/(1-Dashboard!$C$17)*((1+Dashboard!$C$12)^$CZ45),0)</f>
        <v>0</v>
      </c>
      <c r="GO45" s="126">
        <f ca="1">MAX(GO44*(1+CP45)-(Dashboard!$C$11)/(1-Dashboard!$C$17)*((1+Dashboard!$C$12)^$CZ45),0)</f>
        <v>4304604.947667297</v>
      </c>
      <c r="GP45" s="126">
        <f ca="1">MAX(GP44*(1+CQ45)-(Dashboard!$C$11)/(1-Dashboard!$C$17)*((1+Dashboard!$C$12)^$CZ45),0)</f>
        <v>12755171.273150528</v>
      </c>
      <c r="GQ45" s="126">
        <f ca="1">MAX(GQ44*(1+CR45)-(Dashboard!$C$11)/(1-Dashboard!$C$17)*((1+Dashboard!$C$12)^$CZ45),0)</f>
        <v>0</v>
      </c>
      <c r="GR45" s="126">
        <f ca="1">MAX(GR44*(1+CS45)-(Dashboard!$C$11)/(1-Dashboard!$C$17)*((1+Dashboard!$C$12)^$CZ45),0)</f>
        <v>1007687.900379518</v>
      </c>
      <c r="GS45" s="126">
        <f ca="1">MAX(GS44*(1+CT45)-(Dashboard!$C$11)/(1-Dashboard!$C$17)*((1+Dashboard!$C$12)^$CZ45),0)</f>
        <v>15580710.024983315</v>
      </c>
      <c r="GT45" s="126">
        <f ca="1">MAX(GT44*(1+CU45)-(Dashboard!$C$11)/(1-Dashboard!$C$17)*((1+Dashboard!$C$12)^$CZ45),0)</f>
        <v>62222550.661579207</v>
      </c>
      <c r="GU45" s="126">
        <f ca="1">MAX(GU44*(1+CV45)-(Dashboard!$C$11)/(1-Dashboard!$C$17)*((1+Dashboard!$C$12)^$CZ45),0)</f>
        <v>4157711.84723006</v>
      </c>
      <c r="GV45" s="126">
        <f ca="1">MAX(GV44*(1+CW45)-(Dashboard!$C$11)/(1-Dashboard!$C$17)*((1+Dashboard!$C$12)^$CZ45),0)</f>
        <v>166048.03015817882</v>
      </c>
      <c r="GW45" s="115">
        <f t="shared" si="4"/>
        <v>94</v>
      </c>
      <c r="GX45" s="130">
        <f t="shared" ca="1" si="2"/>
        <v>85</v>
      </c>
      <c r="HC45" s="130">
        <f t="shared" si="7"/>
        <v>94</v>
      </c>
      <c r="HD45" s="137">
        <f t="shared" ca="1" si="8"/>
        <v>1311960.696905572</v>
      </c>
      <c r="HE45" s="137">
        <f t="shared" ca="1" si="8"/>
        <v>5566053.4021438742</v>
      </c>
      <c r="HF45" s="137">
        <f t="shared" ca="1" si="8"/>
        <v>13142370.242362922</v>
      </c>
    </row>
    <row r="46" spans="1:214" ht="16">
      <c r="A46" s="145">
        <f t="shared" si="3"/>
        <v>95</v>
      </c>
      <c r="B46" s="119">
        <f ca="1">(Dashboard!$C$7*'Equity and Bond Returns'!N46)+(Dashboard!$C$8*'Equity and Bond Returns'!DL46)</f>
        <v>-0.10103982083362878</v>
      </c>
      <c r="C46" s="119">
        <f ca="1">(Dashboard!$C$7*'Equity and Bond Returns'!O46)+(Dashboard!$C$8*'Equity and Bond Returns'!DM46)</f>
        <v>0.17853834302575669</v>
      </c>
      <c r="D46" s="119">
        <f ca="1">(Dashboard!$C$7*'Equity and Bond Returns'!P46)+(Dashboard!$C$8*'Equity and Bond Returns'!DN46)</f>
        <v>1.8335845017844674E-2</v>
      </c>
      <c r="E46" s="119">
        <f ca="1">(Dashboard!$C$7*'Equity and Bond Returns'!Q46)+(Dashboard!$C$8*'Equity and Bond Returns'!DO46)</f>
        <v>4.2978860969631119E-2</v>
      </c>
      <c r="F46" s="119">
        <f ca="1">(Dashboard!$C$7*'Equity and Bond Returns'!R46)+(Dashboard!$C$8*'Equity and Bond Returns'!DP46)</f>
        <v>0.33913901051905554</v>
      </c>
      <c r="G46" s="119">
        <f ca="1">(Dashboard!$C$7*'Equity and Bond Returns'!S46)+(Dashboard!$C$8*'Equity and Bond Returns'!DQ46)</f>
        <v>4.9151692332411352E-2</v>
      </c>
      <c r="H46" s="119">
        <f ca="1">(Dashboard!$C$7*'Equity and Bond Returns'!T46)+(Dashboard!$C$8*'Equity and Bond Returns'!DR46)</f>
        <v>7.4425020705897113E-2</v>
      </c>
      <c r="I46" s="119">
        <f ca="1">(Dashboard!$C$7*'Equity and Bond Returns'!U46)+(Dashboard!$C$8*'Equity and Bond Returns'!DS46)</f>
        <v>0.17865651168719263</v>
      </c>
      <c r="J46" s="119">
        <f ca="1">(Dashboard!$C$7*'Equity and Bond Returns'!V46)+(Dashboard!$C$8*'Equity and Bond Returns'!DT46)</f>
        <v>-0.14714879734283587</v>
      </c>
      <c r="K46" s="119">
        <f ca="1">(Dashboard!$C$7*'Equity and Bond Returns'!W46)+(Dashboard!$C$8*'Equity and Bond Returns'!DU46)</f>
        <v>3.9155943666295712E-2</v>
      </c>
      <c r="L46" s="119">
        <f ca="1">(Dashboard!$C$7*'Equity and Bond Returns'!X46)+(Dashboard!$C$8*'Equity and Bond Returns'!DV46)</f>
        <v>-0.27495761770533722</v>
      </c>
      <c r="M46" s="119">
        <f ca="1">(Dashboard!$C$7*'Equity and Bond Returns'!Y46)+(Dashboard!$C$8*'Equity and Bond Returns'!DW46)</f>
        <v>0.14820823766667823</v>
      </c>
      <c r="N46" s="119">
        <f ca="1">(Dashboard!$C$7*'Equity and Bond Returns'!Z46)+(Dashboard!$C$8*'Equity and Bond Returns'!DX46)</f>
        <v>0.19565445737385689</v>
      </c>
      <c r="O46" s="119">
        <f ca="1">(Dashboard!$C$7*'Equity and Bond Returns'!AA46)+(Dashboard!$C$8*'Equity and Bond Returns'!DY46)</f>
        <v>-2.2617969406729353E-3</v>
      </c>
      <c r="P46" s="119">
        <f ca="1">(Dashboard!$C$7*'Equity and Bond Returns'!AB46)+(Dashboard!$C$8*'Equity and Bond Returns'!DZ46)</f>
        <v>0.18406912835136338</v>
      </c>
      <c r="Q46" s="119">
        <f ca="1">(Dashboard!$C$7*'Equity and Bond Returns'!AC46)+(Dashboard!$C$8*'Equity and Bond Returns'!EA46)</f>
        <v>0.30872342219764481</v>
      </c>
      <c r="R46" s="119">
        <f ca="1">(Dashboard!$C$7*'Equity and Bond Returns'!AD46)+(Dashboard!$C$8*'Equity and Bond Returns'!EB46)</f>
        <v>0.16955714023262075</v>
      </c>
      <c r="S46" s="119">
        <f ca="1">(Dashboard!$C$7*'Equity and Bond Returns'!AE46)+(Dashboard!$C$8*'Equity and Bond Returns'!EC46)</f>
        <v>0.18488759366022819</v>
      </c>
      <c r="T46" s="119">
        <f ca="1">(Dashboard!$C$7*'Equity and Bond Returns'!AF46)+(Dashboard!$C$8*'Equity and Bond Returns'!ED46)</f>
        <v>0.14484166160052106</v>
      </c>
      <c r="U46" s="119">
        <f ca="1">(Dashboard!$C$7*'Equity and Bond Returns'!AG46)+(Dashboard!$C$8*'Equity and Bond Returns'!EE46)</f>
        <v>-8.4236576468223176E-2</v>
      </c>
      <c r="V46" s="119">
        <f ca="1">(Dashboard!$C$7*'Equity and Bond Returns'!AH46)+(Dashboard!$C$8*'Equity and Bond Returns'!EF46)</f>
        <v>-4.2368012013933372E-2</v>
      </c>
      <c r="W46" s="119">
        <f ca="1">(Dashboard!$C$7*'Equity and Bond Returns'!AI46)+(Dashboard!$C$8*'Equity and Bond Returns'!EG46)</f>
        <v>-7.9078580405599966E-3</v>
      </c>
      <c r="X46" s="119">
        <f ca="1">(Dashboard!$C$7*'Equity and Bond Returns'!AJ46)+(Dashboard!$C$8*'Equity and Bond Returns'!EH46)</f>
        <v>0.15726499708418176</v>
      </c>
      <c r="Y46" s="119">
        <f ca="1">(Dashboard!$C$7*'Equity and Bond Returns'!AK46)+(Dashboard!$C$8*'Equity and Bond Returns'!EI46)</f>
        <v>9.9720364252894114E-3</v>
      </c>
      <c r="Z46" s="119">
        <f ca="1">(Dashboard!$C$7*'Equity and Bond Returns'!AL46)+(Dashboard!$C$8*'Equity and Bond Returns'!EJ46)</f>
        <v>0.17786984023816449</v>
      </c>
      <c r="AA46" s="119">
        <f ca="1">(Dashboard!$C$7*'Equity and Bond Returns'!AM46)+(Dashboard!$C$8*'Equity and Bond Returns'!EK46)</f>
        <v>-7.7268058500081935E-2</v>
      </c>
      <c r="AB46" s="119">
        <f ca="1">(Dashboard!$C$7*'Equity and Bond Returns'!AN46)+(Dashboard!$C$8*'Equity and Bond Returns'!EL46)</f>
        <v>6.6841249654968168E-2</v>
      </c>
      <c r="AC46" s="119">
        <f ca="1">(Dashboard!$C$7*'Equity and Bond Returns'!AO46)+(Dashboard!$C$8*'Equity and Bond Returns'!EM46)</f>
        <v>-0.32364536014235268</v>
      </c>
      <c r="AD46" s="119">
        <f ca="1">(Dashboard!$C$7*'Equity and Bond Returns'!AP46)+(Dashboard!$C$8*'Equity and Bond Returns'!EN46)</f>
        <v>4.7406232317458809E-2</v>
      </c>
      <c r="AE46" s="119">
        <f ca="1">(Dashboard!$C$7*'Equity and Bond Returns'!AQ46)+(Dashboard!$C$8*'Equity and Bond Returns'!EO46)</f>
        <v>1.7472870333054197E-2</v>
      </c>
      <c r="AF46" s="119">
        <f ca="1">(Dashboard!$C$7*'Equity and Bond Returns'!AR46)+(Dashboard!$C$8*'Equity and Bond Returns'!EP46)</f>
        <v>0.24889459856241333</v>
      </c>
      <c r="AG46" s="119">
        <f ca="1">(Dashboard!$C$7*'Equity and Bond Returns'!AS46)+(Dashboard!$C$8*'Equity and Bond Returns'!EQ46)</f>
        <v>8.3662512719489518E-2</v>
      </c>
      <c r="AH46" s="119">
        <f ca="1">(Dashboard!$C$7*'Equity and Bond Returns'!AT46)+(Dashboard!$C$8*'Equity and Bond Returns'!ER46)</f>
        <v>0.20017454354888237</v>
      </c>
      <c r="AI46" s="119">
        <f ca="1">(Dashboard!$C$7*'Equity and Bond Returns'!AU46)+(Dashboard!$C$8*'Equity and Bond Returns'!ES46)</f>
        <v>0.10691883873105187</v>
      </c>
      <c r="AJ46" s="119">
        <f ca="1">(Dashboard!$C$7*'Equity and Bond Returns'!AV46)+(Dashboard!$C$8*'Equity and Bond Returns'!ET46)</f>
        <v>0.13363924824242598</v>
      </c>
      <c r="AK46" s="119">
        <f ca="1">(Dashboard!$C$7*'Equity and Bond Returns'!AW46)+(Dashboard!$C$8*'Equity and Bond Returns'!EU46)</f>
        <v>0.21351502502776257</v>
      </c>
      <c r="AL46" s="119">
        <f ca="1">(Dashboard!$C$7*'Equity and Bond Returns'!AX46)+(Dashboard!$C$8*'Equity and Bond Returns'!EV46)</f>
        <v>-4.6022494155223845E-2</v>
      </c>
      <c r="AM46" s="119">
        <f ca="1">(Dashboard!$C$7*'Equity and Bond Returns'!AY46)+(Dashboard!$C$8*'Equity and Bond Returns'!EW46)</f>
        <v>0.22222167704845239</v>
      </c>
      <c r="AN46" s="119">
        <f ca="1">(Dashboard!$C$7*'Equity and Bond Returns'!AZ46)+(Dashboard!$C$8*'Equity and Bond Returns'!EX46)</f>
        <v>0.11035144803174286</v>
      </c>
      <c r="AO46" s="119">
        <f ca="1">(Dashboard!$C$7*'Equity and Bond Returns'!BA46)+(Dashboard!$C$8*'Equity and Bond Returns'!EY46)</f>
        <v>0.22988603584854475</v>
      </c>
      <c r="AP46" s="119">
        <f ca="1">(Dashboard!$C$7*'Equity and Bond Returns'!BB46)+(Dashboard!$C$8*'Equity and Bond Returns'!EZ46)</f>
        <v>-9.9488264815395869E-2</v>
      </c>
      <c r="AQ46" s="119">
        <f ca="1">(Dashboard!$C$7*'Equity and Bond Returns'!BC46)+(Dashboard!$C$8*'Equity and Bond Returns'!FA46)</f>
        <v>0.10619052748206133</v>
      </c>
      <c r="AR46" s="119">
        <f ca="1">(Dashboard!$C$7*'Equity and Bond Returns'!BD46)+(Dashboard!$C$8*'Equity and Bond Returns'!FB46)</f>
        <v>0.24891530430027983</v>
      </c>
      <c r="AS46" s="119">
        <f ca="1">(Dashboard!$C$7*'Equity and Bond Returns'!BE46)+(Dashboard!$C$8*'Equity and Bond Returns'!FC46)</f>
        <v>0.19342492087776975</v>
      </c>
      <c r="AT46" s="119">
        <f ca="1">(Dashboard!$C$7*'Equity and Bond Returns'!BF46)+(Dashboard!$C$8*'Equity and Bond Returns'!FD46)</f>
        <v>0.1887025281470727</v>
      </c>
      <c r="AU46" s="119">
        <f ca="1">(Dashboard!$C$7*'Equity and Bond Returns'!BG46)+(Dashboard!$C$8*'Equity and Bond Returns'!FE46)</f>
        <v>0.23327901458238862</v>
      </c>
      <c r="AV46" s="119">
        <f ca="1">(Dashboard!$C$7*'Equity and Bond Returns'!BH46)+(Dashboard!$C$8*'Equity and Bond Returns'!FF46)</f>
        <v>-1.4514911668035285E-2</v>
      </c>
      <c r="AW46" s="119">
        <f ca="1">(Dashboard!$C$7*'Equity and Bond Returns'!BI46)+(Dashboard!$C$8*'Equity and Bond Returns'!FG46)</f>
        <v>-0.10170009164811845</v>
      </c>
      <c r="AX46" s="119">
        <f ca="1">(Dashboard!$C$7*'Equity and Bond Returns'!BJ46)+(Dashboard!$C$8*'Equity and Bond Returns'!FH46)</f>
        <v>0.13554902876540836</v>
      </c>
      <c r="AY46" s="119">
        <f ca="1">(Dashboard!$C$7*'Equity and Bond Returns'!BK46)+(Dashboard!$C$8*'Equity and Bond Returns'!FI46)</f>
        <v>-0.12073764125974121</v>
      </c>
      <c r="AZ46" s="119">
        <f ca="1">(Dashboard!$C$7*'Equity and Bond Returns'!BL46)+(Dashboard!$C$8*'Equity and Bond Returns'!FJ46)</f>
        <v>-0.13153669488040712</v>
      </c>
      <c r="BA46" s="119">
        <f ca="1">(Dashboard!$C$7*'Equity and Bond Returns'!BM46)+(Dashboard!$C$8*'Equity and Bond Returns'!FK46)</f>
        <v>-1.5200777739432361E-2</v>
      </c>
      <c r="BB46" s="119">
        <f ca="1">(Dashboard!$C$7*'Equity and Bond Returns'!BN46)+(Dashboard!$C$8*'Equity and Bond Returns'!FL46)</f>
        <v>-1.0741854112600291E-2</v>
      </c>
      <c r="BC46" s="119">
        <f ca="1">(Dashboard!$C$7*'Equity and Bond Returns'!BO46)+(Dashboard!$C$8*'Equity and Bond Returns'!FM46)</f>
        <v>4.456160112634136E-2</v>
      </c>
      <c r="BD46" s="119">
        <f ca="1">(Dashboard!$C$7*'Equity and Bond Returns'!BP46)+(Dashboard!$C$8*'Equity and Bond Returns'!FN46)</f>
        <v>5.3906864879423144E-2</v>
      </c>
      <c r="BE46" s="119">
        <f ca="1">(Dashboard!$C$7*'Equity and Bond Returns'!BQ46)+(Dashboard!$C$8*'Equity and Bond Returns'!FO46)</f>
        <v>0.29663623682364748</v>
      </c>
      <c r="BF46" s="119">
        <f ca="1">(Dashboard!$C$7*'Equity and Bond Returns'!BR46)+(Dashboard!$C$8*'Equity and Bond Returns'!FP46)</f>
        <v>-2.8203700843450481E-2</v>
      </c>
      <c r="BG46" s="119">
        <f ca="1">(Dashboard!$C$7*'Equity and Bond Returns'!BS46)+(Dashboard!$C$8*'Equity and Bond Returns'!FQ46)</f>
        <v>-0.19063579197925648</v>
      </c>
      <c r="BH46" s="119">
        <f ca="1">(Dashboard!$C$7*'Equity and Bond Returns'!BT46)+(Dashboard!$C$8*'Equity and Bond Returns'!FR46)</f>
        <v>0.26904815037019369</v>
      </c>
      <c r="BI46" s="119">
        <f ca="1">(Dashboard!$C$7*'Equity and Bond Returns'!BU46)+(Dashboard!$C$8*'Equity and Bond Returns'!FS46)</f>
        <v>-8.6377070380362353E-2</v>
      </c>
      <c r="BJ46" s="119">
        <f ca="1">(Dashboard!$C$7*'Equity and Bond Returns'!BV46)+(Dashboard!$C$8*'Equity and Bond Returns'!FT46)</f>
        <v>1.6246874819471933E-2</v>
      </c>
      <c r="BK46" s="119">
        <f ca="1">(Dashboard!$C$7*'Equity and Bond Returns'!BW46)+(Dashboard!$C$8*'Equity and Bond Returns'!FU46)</f>
        <v>2.0167411758204769E-3</v>
      </c>
      <c r="BL46" s="119">
        <f ca="1">(Dashboard!$C$7*'Equity and Bond Returns'!BX46)+(Dashboard!$C$8*'Equity and Bond Returns'!FV46)</f>
        <v>3.2324600373752448E-2</v>
      </c>
      <c r="BM46" s="119">
        <f ca="1">(Dashboard!$C$7*'Equity and Bond Returns'!BY46)+(Dashboard!$C$8*'Equity and Bond Returns'!FW46)</f>
        <v>0.14174463987278774</v>
      </c>
      <c r="BN46" s="119">
        <f ca="1">(Dashboard!$C$7*'Equity and Bond Returns'!BZ46)+(Dashboard!$C$8*'Equity and Bond Returns'!FX46)</f>
        <v>-5.8144509260427836E-2</v>
      </c>
      <c r="BO46" s="119">
        <f ca="1">(Dashboard!$C$7*'Equity and Bond Returns'!CA46)+(Dashboard!$C$8*'Equity and Bond Returns'!FY46)</f>
        <v>0.12051369059010206</v>
      </c>
      <c r="BP46" s="119">
        <f ca="1">(Dashboard!$C$7*'Equity and Bond Returns'!CB46)+(Dashboard!$C$8*'Equity and Bond Returns'!FZ46)</f>
        <v>0.13464112472467527</v>
      </c>
      <c r="BQ46" s="119">
        <f ca="1">(Dashboard!$C$7*'Equity and Bond Returns'!CC46)+(Dashboard!$C$8*'Equity and Bond Returns'!GA46)</f>
        <v>-0.10381353528158602</v>
      </c>
      <c r="BR46" s="119">
        <f ca="1">(Dashboard!$C$7*'Equity and Bond Returns'!CD46)+(Dashboard!$C$8*'Equity and Bond Returns'!GB46)</f>
        <v>-0.12242653093894447</v>
      </c>
      <c r="BS46" s="119">
        <f ca="1">(Dashboard!$C$7*'Equity and Bond Returns'!CE46)+(Dashboard!$C$8*'Equity and Bond Returns'!GC46)</f>
        <v>0.38762306337522334</v>
      </c>
      <c r="BT46" s="119">
        <f ca="1">(Dashboard!$C$7*'Equity and Bond Returns'!CF46)+(Dashboard!$C$8*'Equity and Bond Returns'!GD46)</f>
        <v>0.20697458986878131</v>
      </c>
      <c r="BU46" s="119">
        <f ca="1">(Dashboard!$C$7*'Equity and Bond Returns'!CG46)+(Dashboard!$C$8*'Equity and Bond Returns'!GE46)</f>
        <v>0.17719898293395903</v>
      </c>
      <c r="BV46" s="119">
        <f ca="1">(Dashboard!$C$7*'Equity and Bond Returns'!CH46)+(Dashboard!$C$8*'Equity and Bond Returns'!GF46)</f>
        <v>-0.17849413328846375</v>
      </c>
      <c r="BW46" s="119">
        <f ca="1">(Dashboard!$C$7*'Equity and Bond Returns'!CI46)+(Dashboard!$C$8*'Equity and Bond Returns'!GG46)</f>
        <v>0.19890481218456338</v>
      </c>
      <c r="BX46" s="119">
        <f ca="1">(Dashboard!$C$7*'Equity and Bond Returns'!CJ46)+(Dashboard!$C$8*'Equity and Bond Returns'!GH46)</f>
        <v>0.31066227502071636</v>
      </c>
      <c r="BY46" s="119">
        <f ca="1">(Dashboard!$C$7*'Equity and Bond Returns'!CK46)+(Dashboard!$C$8*'Equity and Bond Returns'!GI46)</f>
        <v>-5.1439378936858841E-2</v>
      </c>
      <c r="BZ46" s="119">
        <f ca="1">(Dashboard!$C$7*'Equity and Bond Returns'!CL46)+(Dashboard!$C$8*'Equity and Bond Returns'!GJ46)</f>
        <v>-1.0100545720069474E-2</v>
      </c>
      <c r="CA46" s="119">
        <f ca="1">(Dashboard!$C$7*'Equity and Bond Returns'!CM46)+(Dashboard!$C$8*'Equity and Bond Returns'!GK46)</f>
        <v>0.35762719721139952</v>
      </c>
      <c r="CB46" s="119">
        <f ca="1">(Dashboard!$C$7*'Equity and Bond Returns'!CN46)+(Dashboard!$C$8*'Equity and Bond Returns'!GL46)</f>
        <v>0.29432226421218749</v>
      </c>
      <c r="CC46" s="119">
        <f ca="1">(Dashboard!$C$7*'Equity and Bond Returns'!CO46)+(Dashboard!$C$8*'Equity and Bond Returns'!GM46)</f>
        <v>-6.0420470834767689E-3</v>
      </c>
      <c r="CD46" s="119">
        <f ca="1">(Dashboard!$C$7*'Equity and Bond Returns'!CP46)+(Dashboard!$C$8*'Equity and Bond Returns'!GN46)</f>
        <v>8.0645932984116694E-2</v>
      </c>
      <c r="CE46" s="119">
        <f ca="1">(Dashboard!$C$7*'Equity and Bond Returns'!CQ46)+(Dashboard!$C$8*'Equity and Bond Returns'!GO46)</f>
        <v>0.24224981790575434</v>
      </c>
      <c r="CF46" s="119">
        <f ca="1">(Dashboard!$C$7*'Equity and Bond Returns'!CR46)+(Dashboard!$C$8*'Equity and Bond Returns'!GP46)</f>
        <v>1.4529320644104645E-3</v>
      </c>
      <c r="CG46" s="119">
        <f ca="1">(Dashboard!$C$7*'Equity and Bond Returns'!CS46)+(Dashboard!$C$8*'Equity and Bond Returns'!GQ46)</f>
        <v>0.12249448418152739</v>
      </c>
      <c r="CH46" s="119">
        <f ca="1">(Dashboard!$C$7*'Equity and Bond Returns'!CT46)+(Dashboard!$C$8*'Equity and Bond Returns'!GR46)</f>
        <v>0.14442531083199742</v>
      </c>
      <c r="CI46" s="119">
        <f ca="1">(Dashboard!$C$7*'Equity and Bond Returns'!CU46)+(Dashboard!$C$8*'Equity and Bond Returns'!GS46)</f>
        <v>-5.493634628566E-2</v>
      </c>
      <c r="CJ46" s="119">
        <f ca="1">(Dashboard!$C$7*'Equity and Bond Returns'!CV46)+(Dashboard!$C$8*'Equity and Bond Returns'!GT46)</f>
        <v>0.22304510887242399</v>
      </c>
      <c r="CK46" s="119">
        <f ca="1">(Dashboard!$C$7*'Equity and Bond Returns'!CW46)+(Dashboard!$C$8*'Equity and Bond Returns'!GU46)</f>
        <v>0.19146192415423979</v>
      </c>
      <c r="CL46" s="119">
        <f ca="1">(Dashboard!$C$7*'Equity and Bond Returns'!CX46)+(Dashboard!$C$8*'Equity and Bond Returns'!GV46)</f>
        <v>4.3858538182702141E-2</v>
      </c>
      <c r="CM46" s="119">
        <f ca="1">(Dashboard!$C$7*'Equity and Bond Returns'!CY46)+(Dashboard!$C$8*'Equity and Bond Returns'!GW46)</f>
        <v>-0.21914123658872464</v>
      </c>
      <c r="CN46" s="119">
        <f ca="1">(Dashboard!$C$7*'Equity and Bond Returns'!CZ46)+(Dashboard!$C$8*'Equity and Bond Returns'!GX46)</f>
        <v>0.20728244068540286</v>
      </c>
      <c r="CO46" s="119">
        <f ca="1">(Dashboard!$C$7*'Equity and Bond Returns'!DA46)+(Dashboard!$C$8*'Equity and Bond Returns'!GY46)</f>
        <v>0.33606882496273882</v>
      </c>
      <c r="CP46" s="119">
        <f ca="1">(Dashboard!$C$7*'Equity and Bond Returns'!DB46)+(Dashboard!$C$8*'Equity and Bond Returns'!GZ46)</f>
        <v>-0.13430831865847434</v>
      </c>
      <c r="CQ46" s="119">
        <f ca="1">(Dashboard!$C$7*'Equity and Bond Returns'!DC46)+(Dashboard!$C$8*'Equity and Bond Returns'!HA46)</f>
        <v>0.11906648747394075</v>
      </c>
      <c r="CR46" s="119">
        <f ca="1">(Dashboard!$C$7*'Equity and Bond Returns'!DD46)+(Dashboard!$C$8*'Equity and Bond Returns'!HB46)</f>
        <v>0.32450286252731009</v>
      </c>
      <c r="CS46" s="119">
        <f ca="1">(Dashboard!$C$7*'Equity and Bond Returns'!DE46)+(Dashboard!$C$8*'Equity and Bond Returns'!HC46)</f>
        <v>-1.0229632464046954E-2</v>
      </c>
      <c r="CT46" s="119">
        <f ca="1">(Dashboard!$C$7*'Equity and Bond Returns'!DF46)+(Dashboard!$C$8*'Equity and Bond Returns'!HD46)</f>
        <v>-6.6076825736069197E-2</v>
      </c>
      <c r="CU46" s="119">
        <f ca="1">(Dashboard!$C$7*'Equity and Bond Returns'!DG46)+(Dashboard!$C$8*'Equity and Bond Returns'!HE46)</f>
        <v>0.18416762808531284</v>
      </c>
      <c r="CV46" s="119">
        <f ca="1">(Dashboard!$C$7*'Equity and Bond Returns'!DH46)+(Dashboard!$C$8*'Equity and Bond Returns'!HF46)</f>
        <v>-7.5398881532285841E-2</v>
      </c>
      <c r="CW46" s="119">
        <f ca="1">(Dashboard!$C$7*'Equity and Bond Returns'!DI46)+(Dashboard!$C$8*'Equity and Bond Returns'!HG46)</f>
        <v>5.9985611634191256E-2</v>
      </c>
      <c r="CY46" s="147">
        <f t="shared" si="5"/>
        <v>95</v>
      </c>
      <c r="CZ46" s="147">
        <v>45</v>
      </c>
      <c r="DA46" s="126">
        <f ca="1">MAX(DA45*(1+B46)-(Dashboard!$C$11)/(1-Dashboard!$C$17)*((1+Dashboard!$C$12)^$CZ46),0)</f>
        <v>30535235.857978407</v>
      </c>
      <c r="DB46" s="126">
        <f ca="1">MAX(DB45*(1+C46)-(Dashboard!$C$11)/(1-Dashboard!$C$17)*((1+Dashboard!$C$12)^$CZ46),0)</f>
        <v>0</v>
      </c>
      <c r="DC46" s="126">
        <f ca="1">MAX(DC45*(1+D46)-(Dashboard!$C$11)/(1-Dashboard!$C$17)*((1+Dashboard!$C$12)^$CZ46),0)</f>
        <v>8032869.6963372966</v>
      </c>
      <c r="DD46" s="126">
        <f ca="1">MAX(DD45*(1+E46)-(Dashboard!$C$11)/(1-Dashboard!$C$17)*((1+Dashboard!$C$12)^$CZ46),0)</f>
        <v>0</v>
      </c>
      <c r="DE46" s="126">
        <f ca="1">MAX(DE45*(1+F46)-(Dashboard!$C$11)/(1-Dashboard!$C$17)*((1+Dashboard!$C$12)^$CZ46),0)</f>
        <v>9048366.1287832428</v>
      </c>
      <c r="DF46" s="126">
        <f ca="1">MAX(DF45*(1+G46)-(Dashboard!$C$11)/(1-Dashboard!$C$17)*((1+Dashboard!$C$12)^$CZ46),0)</f>
        <v>14472607.014931714</v>
      </c>
      <c r="DG46" s="126">
        <f ca="1">MAX(DG45*(1+H46)-(Dashboard!$C$11)/(1-Dashboard!$C$17)*((1+Dashboard!$C$12)^$CZ46),0)</f>
        <v>0</v>
      </c>
      <c r="DH46" s="126">
        <f ca="1">MAX(DH45*(1+I46)-(Dashboard!$C$11)/(1-Dashboard!$C$17)*((1+Dashboard!$C$12)^$CZ46),0)</f>
        <v>42518262.576393209</v>
      </c>
      <c r="DI46" s="126">
        <f ca="1">MAX(DI45*(1+J46)-(Dashboard!$C$11)/(1-Dashboard!$C$17)*((1+Dashboard!$C$12)^$CZ46),0)</f>
        <v>5481897.8048527017</v>
      </c>
      <c r="DJ46" s="126">
        <f ca="1">MAX(DJ45*(1+K46)-(Dashboard!$C$11)/(1-Dashboard!$C$17)*((1+Dashboard!$C$12)^$CZ46),0)</f>
        <v>8817854.0195797179</v>
      </c>
      <c r="DK46" s="126">
        <f ca="1">MAX(DK45*(1+L46)-(Dashboard!$C$11)/(1-Dashboard!$C$17)*((1+Dashboard!$C$12)^$CZ46),0)</f>
        <v>6554816.3020585086</v>
      </c>
      <c r="DL46" s="126">
        <f ca="1">MAX(DL45*(1+M46)-(Dashboard!$C$11)/(1-Dashboard!$C$17)*((1+Dashboard!$C$12)^$CZ46),0)</f>
        <v>980719.17266122322</v>
      </c>
      <c r="DM46" s="126">
        <f ca="1">MAX(DM45*(1+N46)-(Dashboard!$C$11)/(1-Dashboard!$C$17)*((1+Dashboard!$C$12)^$CZ46),0)</f>
        <v>23247431.956327368</v>
      </c>
      <c r="DN46" s="126">
        <f ca="1">MAX(DN45*(1+O46)-(Dashboard!$C$11)/(1-Dashboard!$C$17)*((1+Dashboard!$C$12)^$CZ46),0)</f>
        <v>127913243.74197958</v>
      </c>
      <c r="DO46" s="126">
        <f ca="1">MAX(DO45*(1+P46)-(Dashboard!$C$11)/(1-Dashboard!$C$17)*((1+Dashboard!$C$12)^$CZ46),0)</f>
        <v>4192959.0608831402</v>
      </c>
      <c r="DP46" s="126">
        <f ca="1">MAX(DP45*(1+Q46)-(Dashboard!$C$11)/(1-Dashboard!$C$17)*((1+Dashboard!$C$12)^$CZ46),0)</f>
        <v>835577.52267985826</v>
      </c>
      <c r="DQ46" s="126">
        <f ca="1">MAX(DQ45*(1+R46)-(Dashboard!$C$11)/(1-Dashboard!$C$17)*((1+Dashboard!$C$12)^$CZ46),0)</f>
        <v>6656293.1062454293</v>
      </c>
      <c r="DR46" s="126">
        <f ca="1">MAX(DR45*(1+S46)-(Dashboard!$C$11)/(1-Dashboard!$C$17)*((1+Dashboard!$C$12)^$CZ46),0)</f>
        <v>15647165.122197064</v>
      </c>
      <c r="DS46" s="126">
        <f ca="1">MAX(DS45*(1+T46)-(Dashboard!$C$11)/(1-Dashboard!$C$17)*((1+Dashboard!$C$12)^$CZ46),0)</f>
        <v>0</v>
      </c>
      <c r="DT46" s="126">
        <f ca="1">MAX(DT45*(1+U46)-(Dashboard!$C$11)/(1-Dashboard!$C$17)*((1+Dashboard!$C$12)^$CZ46),0)</f>
        <v>843055.7612747571</v>
      </c>
      <c r="DU46" s="126">
        <f ca="1">MAX(DU45*(1+V46)-(Dashboard!$C$11)/(1-Dashboard!$C$17)*((1+Dashboard!$C$12)^$CZ46),0)</f>
        <v>5253124.208539675</v>
      </c>
      <c r="DV46" s="126">
        <f ca="1">MAX(DV45*(1+W46)-(Dashboard!$C$11)/(1-Dashboard!$C$17)*((1+Dashboard!$C$12)^$CZ46),0)</f>
        <v>68371459.687936157</v>
      </c>
      <c r="DW46" s="126">
        <f ca="1">MAX(DW45*(1+X46)-(Dashboard!$C$11)/(1-Dashboard!$C$17)*((1+Dashboard!$C$12)^$CZ46),0)</f>
        <v>5302604.7080008537</v>
      </c>
      <c r="DX46" s="126">
        <f ca="1">MAX(DX45*(1+Y46)-(Dashboard!$C$11)/(1-Dashboard!$C$17)*((1+Dashboard!$C$12)^$CZ46),0)</f>
        <v>2124617.5860567861</v>
      </c>
      <c r="DY46" s="126">
        <f ca="1">MAX(DY45*(1+Z46)-(Dashboard!$C$11)/(1-Dashboard!$C$17)*((1+Dashboard!$C$12)^$CZ46),0)</f>
        <v>21163969.958146375</v>
      </c>
      <c r="DZ46" s="126">
        <f ca="1">MAX(DZ45*(1+AA46)-(Dashboard!$C$11)/(1-Dashboard!$C$17)*((1+Dashboard!$C$12)^$CZ46),0)</f>
        <v>8418103.9042292815</v>
      </c>
      <c r="EA46" s="126">
        <f ca="1">MAX(EA45*(1+AB46)-(Dashboard!$C$11)/(1-Dashboard!$C$17)*((1+Dashboard!$C$12)^$CZ46),0)</f>
        <v>3859784.6912412685</v>
      </c>
      <c r="EB46" s="126">
        <f ca="1">MAX(EB45*(1+AC46)-(Dashboard!$C$11)/(1-Dashboard!$C$17)*((1+Dashboard!$C$12)^$CZ46),0)</f>
        <v>8103054.9721089201</v>
      </c>
      <c r="EC46" s="126">
        <f ca="1">MAX(EC45*(1+AD46)-(Dashboard!$C$11)/(1-Dashboard!$C$17)*((1+Dashboard!$C$12)^$CZ46),0)</f>
        <v>13197877.463298637</v>
      </c>
      <c r="ED46" s="126">
        <f ca="1">MAX(ED45*(1+AE46)-(Dashboard!$C$11)/(1-Dashboard!$C$17)*((1+Dashboard!$C$12)^$CZ46),0)</f>
        <v>6754320.2166067204</v>
      </c>
      <c r="EE46" s="126">
        <f ca="1">MAX(EE45*(1+AF46)-(Dashboard!$C$11)/(1-Dashboard!$C$17)*((1+Dashboard!$C$12)^$CZ46),0)</f>
        <v>22440941.047507361</v>
      </c>
      <c r="EF46" s="126">
        <f ca="1">MAX(EF45*(1+AG46)-(Dashboard!$C$11)/(1-Dashboard!$C$17)*((1+Dashboard!$C$12)^$CZ46),0)</f>
        <v>0</v>
      </c>
      <c r="EG46" s="126">
        <f ca="1">MAX(EG45*(1+AH46)-(Dashboard!$C$11)/(1-Dashboard!$C$17)*((1+Dashboard!$C$12)^$CZ46),0)</f>
        <v>14476050.711298367</v>
      </c>
      <c r="EH46" s="126">
        <f ca="1">MAX(EH45*(1+AI46)-(Dashboard!$C$11)/(1-Dashboard!$C$17)*((1+Dashboard!$C$12)^$CZ46),0)</f>
        <v>21235848.369447324</v>
      </c>
      <c r="EI46" s="126">
        <f ca="1">MAX(EI45*(1+AJ46)-(Dashboard!$C$11)/(1-Dashboard!$C$17)*((1+Dashboard!$C$12)^$CZ46),0)</f>
        <v>0</v>
      </c>
      <c r="EJ46" s="126">
        <f ca="1">MAX(EJ45*(1+AK46)-(Dashboard!$C$11)/(1-Dashboard!$C$17)*((1+Dashboard!$C$12)^$CZ46),0)</f>
        <v>14279989.500960823</v>
      </c>
      <c r="EK46" s="126">
        <f ca="1">MAX(EK45*(1+AL46)-(Dashboard!$C$11)/(1-Dashboard!$C$17)*((1+Dashboard!$C$12)^$CZ46),0)</f>
        <v>3652611.2332220394</v>
      </c>
      <c r="EL46" s="126">
        <f ca="1">MAX(EL45*(1+AM46)-(Dashboard!$C$11)/(1-Dashboard!$C$17)*((1+Dashboard!$C$12)^$CZ46),0)</f>
        <v>2882896.3091976517</v>
      </c>
      <c r="EM46" s="126">
        <f ca="1">MAX(EM45*(1+AN46)-(Dashboard!$C$11)/(1-Dashboard!$C$17)*((1+Dashboard!$C$12)^$CZ46),0)</f>
        <v>37233086.756980002</v>
      </c>
      <c r="EN46" s="126">
        <f ca="1">MAX(EN45*(1+AO46)-(Dashboard!$C$11)/(1-Dashboard!$C$17)*((1+Dashboard!$C$12)^$CZ46),0)</f>
        <v>2437935.7550661727</v>
      </c>
      <c r="EO46" s="126">
        <f ca="1">MAX(EO45*(1+AP46)-(Dashboard!$C$11)/(1-Dashboard!$C$17)*((1+Dashboard!$C$12)^$CZ46),0)</f>
        <v>0</v>
      </c>
      <c r="EP46" s="126">
        <f ca="1">MAX(EP45*(1+AQ46)-(Dashboard!$C$11)/(1-Dashboard!$C$17)*((1+Dashboard!$C$12)^$CZ46),0)</f>
        <v>5383803.6561446721</v>
      </c>
      <c r="EQ46" s="126">
        <f ca="1">MAX(EQ45*(1+AR46)-(Dashboard!$C$11)/(1-Dashboard!$C$17)*((1+Dashboard!$C$12)^$CZ46),0)</f>
        <v>5103862.0094187139</v>
      </c>
      <c r="ER46" s="126">
        <f ca="1">MAX(ER45*(1+AS46)-(Dashboard!$C$11)/(1-Dashboard!$C$17)*((1+Dashboard!$C$12)^$CZ46),0)</f>
        <v>0</v>
      </c>
      <c r="ES46" s="126">
        <f ca="1">MAX(ES45*(1+AT46)-(Dashboard!$C$11)/(1-Dashboard!$C$17)*((1+Dashboard!$C$12)^$CZ46),0)</f>
        <v>48244528.851294704</v>
      </c>
      <c r="ET46" s="126">
        <f ca="1">MAX(ET45*(1+AU46)-(Dashboard!$C$11)/(1-Dashboard!$C$17)*((1+Dashboard!$C$12)^$CZ46),0)</f>
        <v>7376795.9116747249</v>
      </c>
      <c r="EU46" s="126">
        <f ca="1">MAX(EU45*(1+AV46)-(Dashboard!$C$11)/(1-Dashboard!$C$17)*((1+Dashboard!$C$12)^$CZ46),0)</f>
        <v>5636774.6293206085</v>
      </c>
      <c r="EV46" s="126">
        <f ca="1">MAX(EV45*(1+AW46)-(Dashboard!$C$11)/(1-Dashboard!$C$17)*((1+Dashboard!$C$12)^$CZ46),0)</f>
        <v>44859706.738830186</v>
      </c>
      <c r="EW46" s="126">
        <f ca="1">MAX(EW45*(1+AX46)-(Dashboard!$C$11)/(1-Dashboard!$C$17)*((1+Dashboard!$C$12)^$CZ46),0)</f>
        <v>2125904.7435197835</v>
      </c>
      <c r="EX46" s="126">
        <f ca="1">MAX(EX45*(1+AY46)-(Dashboard!$C$11)/(1-Dashboard!$C$17)*((1+Dashboard!$C$12)^$CZ46),0)</f>
        <v>3424665.7077193009</v>
      </c>
      <c r="EY46" s="126">
        <f ca="1">MAX(EY45*(1+AZ46)-(Dashboard!$C$11)/(1-Dashboard!$C$17)*((1+Dashboard!$C$12)^$CZ46),0)</f>
        <v>15353550.753253611</v>
      </c>
      <c r="EZ46" s="126">
        <f ca="1">MAX(EZ45*(1+BA46)-(Dashboard!$C$11)/(1-Dashboard!$C$17)*((1+Dashboard!$C$12)^$CZ46),0)</f>
        <v>2426021.1483050599</v>
      </c>
      <c r="FA46" s="126">
        <f ca="1">MAX(FA45*(1+BB46)-(Dashboard!$C$11)/(1-Dashboard!$C$17)*((1+Dashboard!$C$12)^$CZ46),0)</f>
        <v>31779359.563904885</v>
      </c>
      <c r="FB46" s="126">
        <f ca="1">MAX(FB45*(1+BC46)-(Dashboard!$C$11)/(1-Dashboard!$C$17)*((1+Dashboard!$C$12)^$CZ46),0)</f>
        <v>936403.10303230491</v>
      </c>
      <c r="FC46" s="126">
        <f ca="1">MAX(FC45*(1+BD46)-(Dashboard!$C$11)/(1-Dashboard!$C$17)*((1+Dashboard!$C$12)^$CZ46),0)</f>
        <v>7924547.7283434914</v>
      </c>
      <c r="FD46" s="126">
        <f ca="1">MAX(FD45*(1+BE46)-(Dashboard!$C$11)/(1-Dashboard!$C$17)*((1+Dashboard!$C$12)^$CZ46),0)</f>
        <v>45065931.106480829</v>
      </c>
      <c r="FE46" s="126">
        <f ca="1">MAX(FE45*(1+BF46)-(Dashboard!$C$11)/(1-Dashboard!$C$17)*((1+Dashboard!$C$12)^$CZ46),0)</f>
        <v>23607216.030234072</v>
      </c>
      <c r="FF46" s="126">
        <f ca="1">MAX(FF45*(1+BG46)-(Dashboard!$C$11)/(1-Dashboard!$C$17)*((1+Dashboard!$C$12)^$CZ46),0)</f>
        <v>1716940.1965245015</v>
      </c>
      <c r="FG46" s="126">
        <f ca="1">MAX(FG45*(1+BH46)-(Dashboard!$C$11)/(1-Dashboard!$C$17)*((1+Dashboard!$C$12)^$CZ46),0)</f>
        <v>1589828.2479248708</v>
      </c>
      <c r="FH46" s="126">
        <f ca="1">MAX(FH45*(1+BI46)-(Dashboard!$C$11)/(1-Dashboard!$C$17)*((1+Dashboard!$C$12)^$CZ46),0)</f>
        <v>5395626.6283895429</v>
      </c>
      <c r="FI46" s="126">
        <f ca="1">MAX(FI45*(1+BJ46)-(Dashboard!$C$11)/(1-Dashboard!$C$17)*((1+Dashboard!$C$12)^$CZ46),0)</f>
        <v>15750147.635009702</v>
      </c>
      <c r="FJ46" s="126">
        <f ca="1">MAX(FJ45*(1+BK46)-(Dashboard!$C$11)/(1-Dashboard!$C$17)*((1+Dashboard!$C$12)^$CZ46),0)</f>
        <v>2968966.177430131</v>
      </c>
      <c r="FK46" s="126">
        <f ca="1">MAX(FK45*(1+BL46)-(Dashboard!$C$11)/(1-Dashboard!$C$17)*((1+Dashboard!$C$12)^$CZ46),0)</f>
        <v>6633577.6082243631</v>
      </c>
      <c r="FL46" s="126">
        <f ca="1">MAX(FL45*(1+BM46)-(Dashboard!$C$11)/(1-Dashboard!$C$17)*((1+Dashboard!$C$12)^$CZ46),0)</f>
        <v>1419064.2711138469</v>
      </c>
      <c r="FM46" s="126">
        <f ca="1">MAX(FM45*(1+BN46)-(Dashboard!$C$11)/(1-Dashboard!$C$17)*((1+Dashboard!$C$12)^$CZ46),0)</f>
        <v>5782822.2413848499</v>
      </c>
      <c r="FN46" s="126">
        <f ca="1">MAX(FN45*(1+BO46)-(Dashboard!$C$11)/(1-Dashboard!$C$17)*((1+Dashboard!$C$12)^$CZ46),0)</f>
        <v>0</v>
      </c>
      <c r="FO46" s="126">
        <f ca="1">MAX(FO45*(1+BP46)-(Dashboard!$C$11)/(1-Dashboard!$C$17)*((1+Dashboard!$C$12)^$CZ46),0)</f>
        <v>6236424.5469778208</v>
      </c>
      <c r="FP46" s="126">
        <f ca="1">MAX(FP45*(1+BQ46)-(Dashboard!$C$11)/(1-Dashboard!$C$17)*((1+Dashboard!$C$12)^$CZ46),0)</f>
        <v>2442336.6874281182</v>
      </c>
      <c r="FQ46" s="126">
        <f ca="1">MAX(FQ45*(1+BR46)-(Dashboard!$C$11)/(1-Dashboard!$C$17)*((1+Dashboard!$C$12)^$CZ46),0)</f>
        <v>1461438.6215139232</v>
      </c>
      <c r="FR46" s="126">
        <f ca="1">MAX(FR45*(1+BS46)-(Dashboard!$C$11)/(1-Dashboard!$C$17)*((1+Dashboard!$C$12)^$CZ46),0)</f>
        <v>19938116.793514833</v>
      </c>
      <c r="FS46" s="126">
        <f ca="1">MAX(FS45*(1+BT46)-(Dashboard!$C$11)/(1-Dashboard!$C$17)*((1+Dashboard!$C$12)^$CZ46),0)</f>
        <v>12668909.339446092</v>
      </c>
      <c r="FT46" s="126">
        <f ca="1">MAX(FT45*(1+BU46)-(Dashboard!$C$11)/(1-Dashboard!$C$17)*((1+Dashboard!$C$12)^$CZ46),0)</f>
        <v>0</v>
      </c>
      <c r="FU46" s="126">
        <f ca="1">MAX(FU45*(1+BV46)-(Dashboard!$C$11)/(1-Dashboard!$C$17)*((1+Dashboard!$C$12)^$CZ46),0)</f>
        <v>1238504.6831351062</v>
      </c>
      <c r="FV46" s="126">
        <f ca="1">MAX(FV45*(1+BW46)-(Dashboard!$C$11)/(1-Dashboard!$C$17)*((1+Dashboard!$C$12)^$CZ46),0)</f>
        <v>9832157.9397784229</v>
      </c>
      <c r="FW46" s="126">
        <f ca="1">MAX(FW45*(1+BX46)-(Dashboard!$C$11)/(1-Dashboard!$C$17)*((1+Dashboard!$C$12)^$CZ46),0)</f>
        <v>3252672.2204675223</v>
      </c>
      <c r="FX46" s="126">
        <f ca="1">MAX(FX45*(1+BY46)-(Dashboard!$C$11)/(1-Dashboard!$C$17)*((1+Dashboard!$C$12)^$CZ46),0)</f>
        <v>0</v>
      </c>
      <c r="FY46" s="126">
        <f ca="1">MAX(FY45*(1+BZ46)-(Dashboard!$C$11)/(1-Dashboard!$C$17)*((1+Dashboard!$C$12)^$CZ46),0)</f>
        <v>0</v>
      </c>
      <c r="FZ46" s="126">
        <f ca="1">MAX(FZ45*(1+CA46)-(Dashboard!$C$11)/(1-Dashboard!$C$17)*((1+Dashboard!$C$12)^$CZ46),0)</f>
        <v>36854584.669893786</v>
      </c>
      <c r="GA46" s="126">
        <f ca="1">MAX(GA45*(1+CB46)-(Dashboard!$C$11)/(1-Dashboard!$C$17)*((1+Dashboard!$C$12)^$CZ46),0)</f>
        <v>42140712.210890099</v>
      </c>
      <c r="GB46" s="126">
        <f ca="1">MAX(GB45*(1+CC46)-(Dashboard!$C$11)/(1-Dashboard!$C$17)*((1+Dashboard!$C$12)^$CZ46),0)</f>
        <v>3629874.5536215305</v>
      </c>
      <c r="GC46" s="126">
        <f ca="1">MAX(GC45*(1+CD46)-(Dashboard!$C$11)/(1-Dashboard!$C$17)*((1+Dashboard!$C$12)^$CZ46),0)</f>
        <v>9761986.3730690051</v>
      </c>
      <c r="GD46" s="126">
        <f ca="1">MAX(GD45*(1+CE46)-(Dashboard!$C$11)/(1-Dashboard!$C$17)*((1+Dashboard!$C$12)^$CZ46),0)</f>
        <v>86636378.593851358</v>
      </c>
      <c r="GE46" s="126">
        <f ca="1">MAX(GE45*(1+CF46)-(Dashboard!$C$11)/(1-Dashboard!$C$17)*((1+Dashboard!$C$12)^$CZ46),0)</f>
        <v>4188686.7622229019</v>
      </c>
      <c r="GF46" s="126">
        <f ca="1">MAX(GF45*(1+CG46)-(Dashboard!$C$11)/(1-Dashboard!$C$17)*((1+Dashboard!$C$12)^$CZ46),0)</f>
        <v>5269416.4749003965</v>
      </c>
      <c r="GG46" s="126">
        <f ca="1">MAX(GG45*(1+CH46)-(Dashboard!$C$11)/(1-Dashboard!$C$17)*((1+Dashboard!$C$12)^$CZ46),0)</f>
        <v>0</v>
      </c>
      <c r="GH46" s="126">
        <f ca="1">MAX(GH45*(1+CI46)-(Dashboard!$C$11)/(1-Dashboard!$C$17)*((1+Dashboard!$C$12)^$CZ46),0)</f>
        <v>1085261.8546973721</v>
      </c>
      <c r="GI46" s="126">
        <f ca="1">MAX(GI45*(1+CJ46)-(Dashboard!$C$11)/(1-Dashboard!$C$17)*((1+Dashboard!$C$12)^$CZ46),0)</f>
        <v>19821183.675930139</v>
      </c>
      <c r="GJ46" s="126">
        <f ca="1">MAX(GJ45*(1+CK46)-(Dashboard!$C$11)/(1-Dashboard!$C$17)*((1+Dashboard!$C$12)^$CZ46),0)</f>
        <v>30567375.239933923</v>
      </c>
      <c r="GK46" s="126">
        <f ca="1">MAX(GK45*(1+CL46)-(Dashboard!$C$11)/(1-Dashboard!$C$17)*((1+Dashboard!$C$12)^$CZ46),0)</f>
        <v>10122290.960781587</v>
      </c>
      <c r="GL46" s="126">
        <f ca="1">MAX(GL45*(1+CM46)-(Dashboard!$C$11)/(1-Dashboard!$C$17)*((1+Dashboard!$C$12)^$CZ46),0)</f>
        <v>9142092.5825748146</v>
      </c>
      <c r="GM46" s="126">
        <f ca="1">MAX(GM45*(1+CN46)-(Dashboard!$C$11)/(1-Dashboard!$C$17)*((1+Dashboard!$C$12)^$CZ46),0)</f>
        <v>0</v>
      </c>
      <c r="GN46" s="126">
        <f ca="1">MAX(GN45*(1+CO46)-(Dashboard!$C$11)/(1-Dashboard!$C$17)*((1+Dashboard!$C$12)^$CZ46),0)</f>
        <v>0</v>
      </c>
      <c r="GO46" s="126">
        <f ca="1">MAX(GO45*(1+CP46)-(Dashboard!$C$11)/(1-Dashboard!$C$17)*((1+Dashboard!$C$12)^$CZ46),0)</f>
        <v>3648465.2804230931</v>
      </c>
      <c r="GP46" s="126">
        <f ca="1">MAX(GP45*(1+CQ46)-(Dashboard!$C$11)/(1-Dashboard!$C$17)*((1+Dashboard!$C$12)^$CZ46),0)</f>
        <v>14195889.299539015</v>
      </c>
      <c r="GQ46" s="126">
        <f ca="1">MAX(GQ45*(1+CR46)-(Dashboard!$C$11)/(1-Dashboard!$C$17)*((1+Dashboard!$C$12)^$CZ46),0)</f>
        <v>0</v>
      </c>
      <c r="GR46" s="126">
        <f ca="1">MAX(GR45*(1+CS46)-(Dashboard!$C$11)/(1-Dashboard!$C$17)*((1+Dashboard!$C$12)^$CZ46),0)</f>
        <v>919384.20928610943</v>
      </c>
      <c r="GS46" s="126">
        <f ca="1">MAX(GS45*(1+CT46)-(Dashboard!$C$11)/(1-Dashboard!$C$17)*((1+Dashboard!$C$12)^$CZ46),0)</f>
        <v>14473190.749584207</v>
      </c>
      <c r="GT46" s="126">
        <f ca="1">MAX(GT45*(1+CU46)-(Dashboard!$C$11)/(1-Dashboard!$C$17)*((1+Dashboard!$C$12)^$CZ46),0)</f>
        <v>73603934.816106409</v>
      </c>
      <c r="GU46" s="126">
        <f ca="1">MAX(GU45*(1+CV46)-(Dashboard!$C$11)/(1-Dashboard!$C$17)*((1+Dashboard!$C$12)^$CZ46),0)</f>
        <v>3766229.6099813208</v>
      </c>
      <c r="GV46" s="126">
        <f ca="1">MAX(GV45*(1+CW46)-(Dashboard!$C$11)/(1-Dashboard!$C$17)*((1+Dashboard!$C$12)^$CZ46),0)</f>
        <v>98013.10857381094</v>
      </c>
      <c r="GW46" s="115">
        <f t="shared" si="4"/>
        <v>95</v>
      </c>
      <c r="GX46" s="130">
        <f ca="1">COUNTIF(DA46:GV46,"&gt;0")</f>
        <v>84</v>
      </c>
      <c r="HC46" s="130">
        <f t="shared" si="7"/>
        <v>95</v>
      </c>
      <c r="HD46" s="137">
        <f t="shared" ca="1" si="8"/>
        <v>1283644.5801297915</v>
      </c>
      <c r="HE46" s="137">
        <f t="shared" ca="1" si="8"/>
        <v>5389715.142267108</v>
      </c>
      <c r="HF46" s="137">
        <f t="shared" ca="1" si="8"/>
        <v>14473044.815921083</v>
      </c>
    </row>
    <row r="47" spans="1:214" ht="16">
      <c r="A47" s="145">
        <f t="shared" si="3"/>
        <v>96</v>
      </c>
      <c r="B47" s="119">
        <f ca="1">(Dashboard!$C$7*'Equity and Bond Returns'!N47)+(Dashboard!$C$8*'Equity and Bond Returns'!DL47)</f>
        <v>-8.8082734080689173E-2</v>
      </c>
      <c r="C47" s="119">
        <f ca="1">(Dashboard!$C$7*'Equity and Bond Returns'!O47)+(Dashboard!$C$8*'Equity and Bond Returns'!DM47)</f>
        <v>-4.296590468934039E-2</v>
      </c>
      <c r="D47" s="119">
        <f ca="1">(Dashboard!$C$7*'Equity and Bond Returns'!P47)+(Dashboard!$C$8*'Equity and Bond Returns'!DN47)</f>
        <v>0.13631182011460818</v>
      </c>
      <c r="E47" s="119">
        <f ca="1">(Dashboard!$C$7*'Equity and Bond Returns'!Q47)+(Dashboard!$C$8*'Equity and Bond Returns'!DO47)</f>
        <v>4.827777644792737E-2</v>
      </c>
      <c r="F47" s="119">
        <f ca="1">(Dashboard!$C$7*'Equity and Bond Returns'!R47)+(Dashboard!$C$8*'Equity and Bond Returns'!DP47)</f>
        <v>9.3623760824464178E-2</v>
      </c>
      <c r="G47" s="119">
        <f ca="1">(Dashboard!$C$7*'Equity and Bond Returns'!S47)+(Dashboard!$C$8*'Equity and Bond Returns'!DQ47)</f>
        <v>0.28140709502323008</v>
      </c>
      <c r="H47" s="119">
        <f ca="1">(Dashboard!$C$7*'Equity and Bond Returns'!T47)+(Dashboard!$C$8*'Equity and Bond Returns'!DR47)</f>
        <v>8.4641475889156798E-2</v>
      </c>
      <c r="I47" s="119">
        <f ca="1">(Dashboard!$C$7*'Equity and Bond Returns'!U47)+(Dashboard!$C$8*'Equity and Bond Returns'!DS47)</f>
        <v>-0.11195930743961675</v>
      </c>
      <c r="J47" s="119">
        <f ca="1">(Dashboard!$C$7*'Equity and Bond Returns'!V47)+(Dashboard!$C$8*'Equity and Bond Returns'!DT47)</f>
        <v>0.22625075892829996</v>
      </c>
      <c r="K47" s="119">
        <f ca="1">(Dashboard!$C$7*'Equity and Bond Returns'!W47)+(Dashboard!$C$8*'Equity and Bond Returns'!DU47)</f>
        <v>0.10903289087716324</v>
      </c>
      <c r="L47" s="119">
        <f ca="1">(Dashboard!$C$7*'Equity and Bond Returns'!X47)+(Dashboard!$C$8*'Equity and Bond Returns'!DV47)</f>
        <v>-4.4159127157165898E-2</v>
      </c>
      <c r="M47" s="119">
        <f ca="1">(Dashboard!$C$7*'Equity and Bond Returns'!Y47)+(Dashboard!$C$8*'Equity and Bond Returns'!DW47)</f>
        <v>0.1571617816625091</v>
      </c>
      <c r="N47" s="119">
        <f ca="1">(Dashboard!$C$7*'Equity and Bond Returns'!Z47)+(Dashboard!$C$8*'Equity and Bond Returns'!DX47)</f>
        <v>-0.16145681691153693</v>
      </c>
      <c r="O47" s="119">
        <f ca="1">(Dashboard!$C$7*'Equity and Bond Returns'!AA47)+(Dashboard!$C$8*'Equity and Bond Returns'!DY47)</f>
        <v>0.14954945059823974</v>
      </c>
      <c r="P47" s="119">
        <f ca="1">(Dashboard!$C$7*'Equity and Bond Returns'!AB47)+(Dashboard!$C$8*'Equity and Bond Returns'!DZ47)</f>
        <v>0.20171805143045166</v>
      </c>
      <c r="Q47" s="119">
        <f ca="1">(Dashboard!$C$7*'Equity and Bond Returns'!AC47)+(Dashboard!$C$8*'Equity and Bond Returns'!EA47)</f>
        <v>0.13884580289116047</v>
      </c>
      <c r="R47" s="119">
        <f ca="1">(Dashboard!$C$7*'Equity and Bond Returns'!AD47)+(Dashboard!$C$8*'Equity and Bond Returns'!EB47)</f>
        <v>-7.5848670673157856E-2</v>
      </c>
      <c r="S47" s="119">
        <f ca="1">(Dashboard!$C$7*'Equity and Bond Returns'!AE47)+(Dashboard!$C$8*'Equity and Bond Returns'!EC47)</f>
        <v>0.25896360802564267</v>
      </c>
      <c r="T47" s="119">
        <f ca="1">(Dashboard!$C$7*'Equity and Bond Returns'!AF47)+(Dashboard!$C$8*'Equity and Bond Returns'!ED47)</f>
        <v>4.2614915720586219E-2</v>
      </c>
      <c r="U47" s="119">
        <f ca="1">(Dashboard!$C$7*'Equity and Bond Returns'!AG47)+(Dashboard!$C$8*'Equity and Bond Returns'!EE47)</f>
        <v>0.15390814672550263</v>
      </c>
      <c r="V47" s="119">
        <f ca="1">(Dashboard!$C$7*'Equity and Bond Returns'!AH47)+(Dashboard!$C$8*'Equity and Bond Returns'!EF47)</f>
        <v>1.0595413112937085E-3</v>
      </c>
      <c r="W47" s="119">
        <f ca="1">(Dashboard!$C$7*'Equity and Bond Returns'!AI47)+(Dashboard!$C$8*'Equity and Bond Returns'!EG47)</f>
        <v>-7.4500743898203062E-2</v>
      </c>
      <c r="X47" s="119">
        <f ca="1">(Dashboard!$C$7*'Equity and Bond Returns'!AJ47)+(Dashboard!$C$8*'Equity and Bond Returns'!EH47)</f>
        <v>-3.789885042332336E-2</v>
      </c>
      <c r="Y47" s="119">
        <f ca="1">(Dashboard!$C$7*'Equity and Bond Returns'!AK47)+(Dashboard!$C$8*'Equity and Bond Returns'!EI47)</f>
        <v>0.21289212013432829</v>
      </c>
      <c r="Z47" s="119">
        <f ca="1">(Dashboard!$C$7*'Equity and Bond Returns'!AL47)+(Dashboard!$C$8*'Equity and Bond Returns'!EJ47)</f>
        <v>2.5886246871976729E-2</v>
      </c>
      <c r="AA47" s="119">
        <f ca="1">(Dashboard!$C$7*'Equity and Bond Returns'!AM47)+(Dashboard!$C$8*'Equity and Bond Returns'!EK47)</f>
        <v>-8.0452998597582648E-2</v>
      </c>
      <c r="AB47" s="119">
        <f ca="1">(Dashboard!$C$7*'Equity and Bond Returns'!AN47)+(Dashboard!$C$8*'Equity and Bond Returns'!EL47)</f>
        <v>0.2387487327518317</v>
      </c>
      <c r="AC47" s="119">
        <f ca="1">(Dashboard!$C$7*'Equity and Bond Returns'!AO47)+(Dashboard!$C$8*'Equity and Bond Returns'!EM47)</f>
        <v>0.27800528963604004</v>
      </c>
      <c r="AD47" s="119">
        <f ca="1">(Dashboard!$C$7*'Equity and Bond Returns'!AP47)+(Dashboard!$C$8*'Equity and Bond Returns'!EN47)</f>
        <v>0.10576612450785344</v>
      </c>
      <c r="AE47" s="119">
        <f ca="1">(Dashboard!$C$7*'Equity and Bond Returns'!AQ47)+(Dashboard!$C$8*'Equity and Bond Returns'!EO47)</f>
        <v>-8.6011172931670626E-2</v>
      </c>
      <c r="AF47" s="119">
        <f ca="1">(Dashboard!$C$7*'Equity and Bond Returns'!AR47)+(Dashboard!$C$8*'Equity and Bond Returns'!EP47)</f>
        <v>2.2089772621399509E-2</v>
      </c>
      <c r="AG47" s="119">
        <f ca="1">(Dashboard!$C$7*'Equity and Bond Returns'!AS47)+(Dashboard!$C$8*'Equity and Bond Returns'!EQ47)</f>
        <v>0.18148619298668281</v>
      </c>
      <c r="AH47" s="119">
        <f ca="1">(Dashboard!$C$7*'Equity and Bond Returns'!AT47)+(Dashboard!$C$8*'Equity and Bond Returns'!ER47)</f>
        <v>0.11742223027967699</v>
      </c>
      <c r="AI47" s="119">
        <f ca="1">(Dashboard!$C$7*'Equity and Bond Returns'!AU47)+(Dashboard!$C$8*'Equity and Bond Returns'!ES47)</f>
        <v>0.11308380894955627</v>
      </c>
      <c r="AJ47" s="119">
        <f ca="1">(Dashboard!$C$7*'Equity and Bond Returns'!AV47)+(Dashboard!$C$8*'Equity and Bond Returns'!ET47)</f>
        <v>0.16455487061371993</v>
      </c>
      <c r="AK47" s="119">
        <f ca="1">(Dashboard!$C$7*'Equity and Bond Returns'!AW47)+(Dashboard!$C$8*'Equity and Bond Returns'!EU47)</f>
        <v>0.32105792259537608</v>
      </c>
      <c r="AL47" s="119">
        <f ca="1">(Dashboard!$C$7*'Equity and Bond Returns'!AX47)+(Dashboard!$C$8*'Equity and Bond Returns'!EV47)</f>
        <v>9.5984030569224998E-3</v>
      </c>
      <c r="AM47" s="119">
        <f ca="1">(Dashboard!$C$7*'Equity and Bond Returns'!AY47)+(Dashboard!$C$8*'Equity and Bond Returns'!EW47)</f>
        <v>0.18996386079211589</v>
      </c>
      <c r="AN47" s="119">
        <f ca="1">(Dashboard!$C$7*'Equity and Bond Returns'!AZ47)+(Dashboard!$C$8*'Equity and Bond Returns'!EX47)</f>
        <v>0.33873110533121548</v>
      </c>
      <c r="AO47" s="119">
        <f ca="1">(Dashboard!$C$7*'Equity and Bond Returns'!BA47)+(Dashboard!$C$8*'Equity and Bond Returns'!EY47)</f>
        <v>0.27288308296406638</v>
      </c>
      <c r="AP47" s="119">
        <f ca="1">(Dashboard!$C$7*'Equity and Bond Returns'!BB47)+(Dashboard!$C$8*'Equity and Bond Returns'!EZ47)</f>
        <v>0.10827677772973408</v>
      </c>
      <c r="AQ47" s="119">
        <f ca="1">(Dashboard!$C$7*'Equity and Bond Returns'!BC47)+(Dashboard!$C$8*'Equity and Bond Returns'!FA47)</f>
        <v>-0.15730611533822619</v>
      </c>
      <c r="AR47" s="119">
        <f ca="1">(Dashboard!$C$7*'Equity and Bond Returns'!BD47)+(Dashboard!$C$8*'Equity and Bond Returns'!FB47)</f>
        <v>0.13797386582003565</v>
      </c>
      <c r="AS47" s="119">
        <f ca="1">(Dashboard!$C$7*'Equity and Bond Returns'!BE47)+(Dashboard!$C$8*'Equity and Bond Returns'!FC47)</f>
        <v>-5.2395735931575746E-2</v>
      </c>
      <c r="AT47" s="119">
        <f ca="1">(Dashboard!$C$7*'Equity and Bond Returns'!BF47)+(Dashboard!$C$8*'Equity and Bond Returns'!FD47)</f>
        <v>0.20819920913028314</v>
      </c>
      <c r="AU47" s="119">
        <f ca="1">(Dashboard!$C$7*'Equity and Bond Returns'!BG47)+(Dashboard!$C$8*'Equity and Bond Returns'!FE47)</f>
        <v>0.25111561186592074</v>
      </c>
      <c r="AV47" s="119">
        <f ca="1">(Dashboard!$C$7*'Equity and Bond Returns'!BH47)+(Dashboard!$C$8*'Equity and Bond Returns'!FF47)</f>
        <v>7.6296363864953365E-2</v>
      </c>
      <c r="AW47" s="119">
        <f ca="1">(Dashboard!$C$7*'Equity and Bond Returns'!BI47)+(Dashboard!$C$8*'Equity and Bond Returns'!FG47)</f>
        <v>6.7433034903901894E-4</v>
      </c>
      <c r="AX47" s="119">
        <f ca="1">(Dashboard!$C$7*'Equity and Bond Returns'!BJ47)+(Dashboard!$C$8*'Equity and Bond Returns'!FH47)</f>
        <v>-0.12756575889460886</v>
      </c>
      <c r="AY47" s="119">
        <f ca="1">(Dashboard!$C$7*'Equity and Bond Returns'!BK47)+(Dashboard!$C$8*'Equity and Bond Returns'!FI47)</f>
        <v>0.30085517681074009</v>
      </c>
      <c r="AZ47" s="119">
        <f ca="1">(Dashboard!$C$7*'Equity and Bond Returns'!BL47)+(Dashboard!$C$8*'Equity and Bond Returns'!FJ47)</f>
        <v>-8.0243260521063287E-2</v>
      </c>
      <c r="BA47" s="119">
        <f ca="1">(Dashboard!$C$7*'Equity and Bond Returns'!BM47)+(Dashboard!$C$8*'Equity and Bond Returns'!FK47)</f>
        <v>0.26868304376703056</v>
      </c>
      <c r="BB47" s="119">
        <f ca="1">(Dashboard!$C$7*'Equity and Bond Returns'!BN47)+(Dashboard!$C$8*'Equity and Bond Returns'!FL47)</f>
        <v>-9.5222755164631398E-3</v>
      </c>
      <c r="BC47" s="119">
        <f ca="1">(Dashboard!$C$7*'Equity and Bond Returns'!BO47)+(Dashboard!$C$8*'Equity and Bond Returns'!FM47)</f>
        <v>8.218330587798614E-2</v>
      </c>
      <c r="BD47" s="119">
        <f ca="1">(Dashboard!$C$7*'Equity and Bond Returns'!BP47)+(Dashboard!$C$8*'Equity and Bond Returns'!FN47)</f>
        <v>0.21942528744748599</v>
      </c>
      <c r="BE47" s="119">
        <f ca="1">(Dashboard!$C$7*'Equity and Bond Returns'!BQ47)+(Dashboard!$C$8*'Equity and Bond Returns'!FO47)</f>
        <v>0.14670443271827197</v>
      </c>
      <c r="BF47" s="119">
        <f ca="1">(Dashboard!$C$7*'Equity and Bond Returns'!BR47)+(Dashboard!$C$8*'Equity and Bond Returns'!FP47)</f>
        <v>-2.3317127152794923E-2</v>
      </c>
      <c r="BG47" s="119">
        <f ca="1">(Dashboard!$C$7*'Equity and Bond Returns'!BS47)+(Dashboard!$C$8*'Equity and Bond Returns'!FQ47)</f>
        <v>-3.402022729157287E-2</v>
      </c>
      <c r="BH47" s="119">
        <f ca="1">(Dashboard!$C$7*'Equity and Bond Returns'!BT47)+(Dashboard!$C$8*'Equity and Bond Returns'!FR47)</f>
        <v>0.17026444842285515</v>
      </c>
      <c r="BI47" s="119">
        <f ca="1">(Dashboard!$C$7*'Equity and Bond Returns'!BU47)+(Dashboard!$C$8*'Equity and Bond Returns'!FS47)</f>
        <v>-0.14080431145350358</v>
      </c>
      <c r="BJ47" s="119">
        <f ca="1">(Dashboard!$C$7*'Equity and Bond Returns'!BV47)+(Dashboard!$C$8*'Equity and Bond Returns'!FT47)</f>
        <v>0.11036553298938068</v>
      </c>
      <c r="BK47" s="119">
        <f ca="1">(Dashboard!$C$7*'Equity and Bond Returns'!BW47)+(Dashboard!$C$8*'Equity and Bond Returns'!FU47)</f>
        <v>0.11572972176358402</v>
      </c>
      <c r="BL47" s="119">
        <f ca="1">(Dashboard!$C$7*'Equity and Bond Returns'!BX47)+(Dashboard!$C$8*'Equity and Bond Returns'!FV47)</f>
        <v>0.20624805073707186</v>
      </c>
      <c r="BM47" s="119">
        <f ca="1">(Dashboard!$C$7*'Equity and Bond Returns'!BY47)+(Dashboard!$C$8*'Equity and Bond Returns'!FW47)</f>
        <v>5.0884121887912845E-2</v>
      </c>
      <c r="BN47" s="119">
        <f ca="1">(Dashboard!$C$7*'Equity and Bond Returns'!BZ47)+(Dashboard!$C$8*'Equity and Bond Returns'!FX47)</f>
        <v>0.15967058125688113</v>
      </c>
      <c r="BO47" s="119">
        <f ca="1">(Dashboard!$C$7*'Equity and Bond Returns'!CA47)+(Dashboard!$C$8*'Equity and Bond Returns'!FY47)</f>
        <v>6.5880739041655423E-2</v>
      </c>
      <c r="BP47" s="119">
        <f ca="1">(Dashboard!$C$7*'Equity and Bond Returns'!CB47)+(Dashboard!$C$8*'Equity and Bond Returns'!FZ47)</f>
        <v>0.12299003361230197</v>
      </c>
      <c r="BQ47" s="119">
        <f ca="1">(Dashboard!$C$7*'Equity and Bond Returns'!CC47)+(Dashboard!$C$8*'Equity and Bond Returns'!GA47)</f>
        <v>5.5861928156849483E-2</v>
      </c>
      <c r="BR47" s="119">
        <f ca="1">(Dashboard!$C$7*'Equity and Bond Returns'!CD47)+(Dashboard!$C$8*'Equity and Bond Returns'!GB47)</f>
        <v>-8.6663506273340421E-3</v>
      </c>
      <c r="BS47" s="119">
        <f ca="1">(Dashboard!$C$7*'Equity and Bond Returns'!CE47)+(Dashboard!$C$8*'Equity and Bond Returns'!GC47)</f>
        <v>9.9695460848378548E-2</v>
      </c>
      <c r="BT47" s="119">
        <f ca="1">(Dashboard!$C$7*'Equity and Bond Returns'!CF47)+(Dashboard!$C$8*'Equity and Bond Returns'!GD47)</f>
        <v>0.1738790192183251</v>
      </c>
      <c r="BU47" s="119">
        <f ca="1">(Dashboard!$C$7*'Equity and Bond Returns'!CG47)+(Dashboard!$C$8*'Equity and Bond Returns'!GE47)</f>
        <v>-0.21255067870662009</v>
      </c>
      <c r="BV47" s="119">
        <f ca="1">(Dashboard!$C$7*'Equity and Bond Returns'!CH47)+(Dashboard!$C$8*'Equity and Bond Returns'!GF47)</f>
        <v>8.6266411554500641E-2</v>
      </c>
      <c r="BW47" s="119">
        <f ca="1">(Dashboard!$C$7*'Equity and Bond Returns'!CI47)+(Dashboard!$C$8*'Equity and Bond Returns'!GG47)</f>
        <v>-0.15382657690392304</v>
      </c>
      <c r="BX47" s="119">
        <f ca="1">(Dashboard!$C$7*'Equity and Bond Returns'!CJ47)+(Dashboard!$C$8*'Equity and Bond Returns'!GH47)</f>
        <v>-0.18931290448046315</v>
      </c>
      <c r="BY47" s="119">
        <f ca="1">(Dashboard!$C$7*'Equity and Bond Returns'!CK47)+(Dashboard!$C$8*'Equity and Bond Returns'!GI47)</f>
        <v>0.21620088254496789</v>
      </c>
      <c r="BZ47" s="119">
        <f ca="1">(Dashboard!$C$7*'Equity and Bond Returns'!CL47)+(Dashboard!$C$8*'Equity and Bond Returns'!GJ47)</f>
        <v>0.27907540450000662</v>
      </c>
      <c r="CA47" s="119">
        <f ca="1">(Dashboard!$C$7*'Equity and Bond Returns'!CM47)+(Dashboard!$C$8*'Equity and Bond Returns'!GK47)</f>
        <v>0.28214635550543521</v>
      </c>
      <c r="CB47" s="119">
        <f ca="1">(Dashboard!$C$7*'Equity and Bond Returns'!CN47)+(Dashboard!$C$8*'Equity and Bond Returns'!GL47)</f>
        <v>-0.15432196360773598</v>
      </c>
      <c r="CC47" s="119">
        <f ca="1">(Dashboard!$C$7*'Equity and Bond Returns'!CO47)+(Dashboard!$C$8*'Equity and Bond Returns'!GM47)</f>
        <v>0.18330955430449467</v>
      </c>
      <c r="CD47" s="119">
        <f ca="1">(Dashboard!$C$7*'Equity and Bond Returns'!CP47)+(Dashboard!$C$8*'Equity and Bond Returns'!GN47)</f>
        <v>-2.1434973764760556E-2</v>
      </c>
      <c r="CE47" s="119">
        <f ca="1">(Dashboard!$C$7*'Equity and Bond Returns'!CQ47)+(Dashboard!$C$8*'Equity and Bond Returns'!GO47)</f>
        <v>6.7062331638756162E-2</v>
      </c>
      <c r="CF47" s="119">
        <f ca="1">(Dashboard!$C$7*'Equity and Bond Returns'!CR47)+(Dashboard!$C$8*'Equity and Bond Returns'!GP47)</f>
        <v>0.22241927003626039</v>
      </c>
      <c r="CG47" s="119">
        <f ca="1">(Dashboard!$C$7*'Equity and Bond Returns'!CS47)+(Dashboard!$C$8*'Equity and Bond Returns'!GQ47)</f>
        <v>-9.1146894053359406E-5</v>
      </c>
      <c r="CH47" s="119">
        <f ca="1">(Dashboard!$C$7*'Equity and Bond Returns'!CT47)+(Dashboard!$C$8*'Equity and Bond Returns'!GR47)</f>
        <v>7.0488332329749423E-2</v>
      </c>
      <c r="CI47" s="119">
        <f ca="1">(Dashboard!$C$7*'Equity and Bond Returns'!CU47)+(Dashboard!$C$8*'Equity and Bond Returns'!GS47)</f>
        <v>0.23267284090270274</v>
      </c>
      <c r="CJ47" s="119">
        <f ca="1">(Dashboard!$C$7*'Equity and Bond Returns'!CV47)+(Dashboard!$C$8*'Equity and Bond Returns'!GT47)</f>
        <v>0.23925935837170748</v>
      </c>
      <c r="CK47" s="119">
        <f ca="1">(Dashboard!$C$7*'Equity and Bond Returns'!CW47)+(Dashboard!$C$8*'Equity and Bond Returns'!GU47)</f>
        <v>-8.4290447732110141E-2</v>
      </c>
      <c r="CL47" s="119">
        <f ca="1">(Dashboard!$C$7*'Equity and Bond Returns'!CX47)+(Dashboard!$C$8*'Equity and Bond Returns'!GV47)</f>
        <v>2.0207737705385462E-3</v>
      </c>
      <c r="CM47" s="119">
        <f ca="1">(Dashboard!$C$7*'Equity and Bond Returns'!CY47)+(Dashboard!$C$8*'Equity and Bond Returns'!GW47)</f>
        <v>0.26817581017285064</v>
      </c>
      <c r="CN47" s="119">
        <f ca="1">(Dashboard!$C$7*'Equity and Bond Returns'!CZ47)+(Dashboard!$C$8*'Equity and Bond Returns'!GX47)</f>
        <v>0.12400608037499354</v>
      </c>
      <c r="CO47" s="119">
        <f ca="1">(Dashboard!$C$7*'Equity and Bond Returns'!DA47)+(Dashboard!$C$8*'Equity and Bond Returns'!GY47)</f>
        <v>-0.16393313519696309</v>
      </c>
      <c r="CP47" s="119">
        <f ca="1">(Dashboard!$C$7*'Equity and Bond Returns'!DB47)+(Dashboard!$C$8*'Equity and Bond Returns'!GZ47)</f>
        <v>0.19739490216782951</v>
      </c>
      <c r="CQ47" s="119">
        <f ca="1">(Dashboard!$C$7*'Equity and Bond Returns'!DC47)+(Dashboard!$C$8*'Equity and Bond Returns'!HA47)</f>
        <v>9.5459736929607214E-2</v>
      </c>
      <c r="CR47" s="119">
        <f ca="1">(Dashboard!$C$7*'Equity and Bond Returns'!DD47)+(Dashboard!$C$8*'Equity and Bond Returns'!HB47)</f>
        <v>0.19848912847042782</v>
      </c>
      <c r="CS47" s="119">
        <f ca="1">(Dashboard!$C$7*'Equity and Bond Returns'!DE47)+(Dashboard!$C$8*'Equity and Bond Returns'!HC47)</f>
        <v>7.9337218319377283E-3</v>
      </c>
      <c r="CT47" s="119">
        <f ca="1">(Dashboard!$C$7*'Equity and Bond Returns'!DF47)+(Dashboard!$C$8*'Equity and Bond Returns'!HD47)</f>
        <v>0.17075030241416375</v>
      </c>
      <c r="CU47" s="119">
        <f ca="1">(Dashboard!$C$7*'Equity and Bond Returns'!DG47)+(Dashboard!$C$8*'Equity and Bond Returns'!HE47)</f>
        <v>0.2185100975560906</v>
      </c>
      <c r="CV47" s="119">
        <f ca="1">(Dashboard!$C$7*'Equity and Bond Returns'!DH47)+(Dashboard!$C$8*'Equity and Bond Returns'!HF47)</f>
        <v>0.10356301525155145</v>
      </c>
      <c r="CW47" s="119">
        <f ca="1">(Dashboard!$C$7*'Equity and Bond Returns'!DI47)+(Dashboard!$C$8*'Equity and Bond Returns'!HG47)</f>
        <v>0.21654504869910332</v>
      </c>
      <c r="CY47" s="147">
        <f t="shared" si="5"/>
        <v>96</v>
      </c>
      <c r="CZ47" s="147">
        <v>46</v>
      </c>
      <c r="DA47" s="126">
        <f ca="1">MAX(DA46*(1+B47)-(Dashboard!$C$11)/(1-Dashboard!$C$17)*((1+Dashboard!$C$12)^$CZ47),0)</f>
        <v>27765273.521147892</v>
      </c>
      <c r="DB47" s="126">
        <f ca="1">MAX(DB46*(1+C47)-(Dashboard!$C$11)/(1-Dashboard!$C$17)*((1+Dashboard!$C$12)^$CZ47),0)</f>
        <v>0</v>
      </c>
      <c r="DC47" s="126">
        <f ca="1">MAX(DC46*(1+D47)-(Dashboard!$C$11)/(1-Dashboard!$C$17)*((1+Dashboard!$C$12)^$CZ47),0)</f>
        <v>9047509.5087274332</v>
      </c>
      <c r="DD47" s="126">
        <f ca="1">MAX(DD46*(1+E47)-(Dashboard!$C$11)/(1-Dashboard!$C$17)*((1+Dashboard!$C$12)^$CZ47),0)</f>
        <v>0</v>
      </c>
      <c r="DE47" s="126">
        <f ca="1">MAX(DE46*(1+F47)-(Dashboard!$C$11)/(1-Dashboard!$C$17)*((1+Dashboard!$C$12)^$CZ47),0)</f>
        <v>9815172.9184155464</v>
      </c>
      <c r="DF47" s="126">
        <f ca="1">MAX(DF46*(1+G47)-(Dashboard!$C$11)/(1-Dashboard!$C$17)*((1+Dashboard!$C$12)^$CZ47),0)</f>
        <v>18464966.035755392</v>
      </c>
      <c r="DG47" s="126">
        <f ca="1">MAX(DG46*(1+H47)-(Dashboard!$C$11)/(1-Dashboard!$C$17)*((1+Dashboard!$C$12)^$CZ47),0)</f>
        <v>0</v>
      </c>
      <c r="DH47" s="126">
        <f ca="1">MAX(DH46*(1+I47)-(Dashboard!$C$11)/(1-Dashboard!$C$17)*((1+Dashboard!$C$12)^$CZ47),0)</f>
        <v>37677612.068143368</v>
      </c>
      <c r="DI47" s="126">
        <f ca="1">MAX(DI46*(1+J47)-(Dashboard!$C$11)/(1-Dashboard!$C$17)*((1+Dashboard!$C$12)^$CZ47),0)</f>
        <v>6641846.0669069272</v>
      </c>
      <c r="DJ47" s="126">
        <f ca="1">MAX(DJ46*(1+K47)-(Dashboard!$C$11)/(1-Dashboard!$C$17)*((1+Dashboard!$C$12)^$CZ47),0)</f>
        <v>9698954.8580062259</v>
      </c>
      <c r="DK47" s="126">
        <f ca="1">MAX(DK46*(1+L47)-(Dashboard!$C$11)/(1-Dashboard!$C$17)*((1+Dashboard!$C$12)^$CZ47),0)</f>
        <v>6185026.0588229634</v>
      </c>
      <c r="DL47" s="126">
        <f ca="1">MAX(DL46*(1+M47)-(Dashboard!$C$11)/(1-Dashboard!$C$17)*((1+Dashboard!$C$12)^$CZ47),0)</f>
        <v>1054515.4684861624</v>
      </c>
      <c r="DM47" s="126">
        <f ca="1">MAX(DM46*(1+N47)-(Dashboard!$C$11)/(1-Dashboard!$C$17)*((1+Dashboard!$C$12)^$CZ47),0)</f>
        <v>19413640.314630128</v>
      </c>
      <c r="DN47" s="126">
        <f ca="1">MAX(DN46*(1+O47)-(Dashboard!$C$11)/(1-Dashboard!$C$17)*((1+Dashboard!$C$12)^$CZ47),0)</f>
        <v>146962263.7911703</v>
      </c>
      <c r="DO47" s="126">
        <f ca="1">MAX(DO46*(1+P47)-(Dashboard!$C$11)/(1-Dashboard!$C$17)*((1+Dashboard!$C$12)^$CZ47),0)</f>
        <v>4958419.3157110633</v>
      </c>
      <c r="DP47" s="126">
        <f ca="1">MAX(DP46*(1+Q47)-(Dashboard!$C$11)/(1-Dashboard!$C$17)*((1+Dashboard!$C$12)^$CZ47),0)</f>
        <v>871258.67803306947</v>
      </c>
      <c r="DQ47" s="126">
        <f ca="1">MAX(DQ46*(1+R47)-(Dashboard!$C$11)/(1-Dashboard!$C$17)*((1+Dashboard!$C$12)^$CZ47),0)</f>
        <v>6071086.845864729</v>
      </c>
      <c r="DR47" s="126">
        <f ca="1">MAX(DR46*(1+S47)-(Dashboard!$C$11)/(1-Dashboard!$C$17)*((1+Dashboard!$C$12)^$CZ47),0)</f>
        <v>19618876.180953134</v>
      </c>
      <c r="DS47" s="126">
        <f ca="1">MAX(DS46*(1+T47)-(Dashboard!$C$11)/(1-Dashboard!$C$17)*((1+Dashboard!$C$12)^$CZ47),0)</f>
        <v>0</v>
      </c>
      <c r="DT47" s="126">
        <f ca="1">MAX(DT46*(1+U47)-(Dashboard!$C$11)/(1-Dashboard!$C$17)*((1+Dashboard!$C$12)^$CZ47),0)</f>
        <v>892473.63441773201</v>
      </c>
      <c r="DU47" s="126">
        <f ca="1">MAX(DU46*(1+V47)-(Dashboard!$C$11)/(1-Dashboard!$C$17)*((1+Dashboard!$C$12)^$CZ47),0)</f>
        <v>5178354.8339908998</v>
      </c>
      <c r="DV47" s="126">
        <f ca="1">MAX(DV46*(1+W47)-(Dashboard!$C$11)/(1-Dashboard!$C$17)*((1+Dashboard!$C$12)^$CZ47),0)</f>
        <v>63197399.803117827</v>
      </c>
      <c r="DW47" s="126">
        <f ca="1">MAX(DW46*(1+X47)-(Dashboard!$C$11)/(1-Dashboard!$C$17)*((1+Dashboard!$C$12)^$CZ47),0)</f>
        <v>5021306.8086572392</v>
      </c>
      <c r="DX47" s="126">
        <f ca="1">MAX(DX46*(1+Y47)-(Dashboard!$C$11)/(1-Dashboard!$C$17)*((1+Dashboard!$C$12)^$CZ47),0)</f>
        <v>2496596.6517660134</v>
      </c>
      <c r="DY47" s="126">
        <f ca="1">MAX(DY46*(1+Z47)-(Dashboard!$C$11)/(1-Dashboard!$C$17)*((1+Dashboard!$C$12)^$CZ47),0)</f>
        <v>21631490.43261297</v>
      </c>
      <c r="DZ47" s="126">
        <f ca="1">MAX(DZ46*(1+AA47)-(Dashboard!$C$11)/(1-Dashboard!$C$17)*((1+Dashboard!$C$12)^$CZ47),0)</f>
        <v>7660506.925966938</v>
      </c>
      <c r="EA47" s="126">
        <f ca="1">MAX(EA46*(1+AB47)-(Dashboard!$C$11)/(1-Dashboard!$C$17)*((1+Dashboard!$C$12)^$CZ47),0)</f>
        <v>4700968.1183089605</v>
      </c>
      <c r="EB47" s="126">
        <f ca="1">MAX(EB46*(1+AC47)-(Dashboard!$C$11)/(1-Dashboard!$C$17)*((1+Dashboard!$C$12)^$CZ47),0)</f>
        <v>10275411.839905733</v>
      </c>
      <c r="EC47" s="126">
        <f ca="1">MAX(EC46*(1+AD47)-(Dashboard!$C$11)/(1-Dashboard!$C$17)*((1+Dashboard!$C$12)^$CZ47),0)</f>
        <v>14513430.537660193</v>
      </c>
      <c r="ED47" s="126">
        <f ca="1">MAX(ED46*(1+AE47)-(Dashboard!$C$11)/(1-Dashboard!$C$17)*((1+Dashboard!$C$12)^$CZ47),0)</f>
        <v>6093037.9357592007</v>
      </c>
      <c r="EE47" s="126">
        <f ca="1">MAX(EE46*(1+AF47)-(Dashboard!$C$11)/(1-Dashboard!$C$17)*((1+Dashboard!$C$12)^$CZ47),0)</f>
        <v>22856321.055995952</v>
      </c>
      <c r="EF47" s="126">
        <f ca="1">MAX(EF46*(1+AG47)-(Dashboard!$C$11)/(1-Dashboard!$C$17)*((1+Dashboard!$C$12)^$CZ47),0)</f>
        <v>0</v>
      </c>
      <c r="EG47" s="126">
        <f ca="1">MAX(EG46*(1+AH47)-(Dashboard!$C$11)/(1-Dashboard!$C$17)*((1+Dashboard!$C$12)^$CZ47),0)</f>
        <v>16095525.594799645</v>
      </c>
      <c r="EH47" s="126">
        <f ca="1">MAX(EH46*(1+AI47)-(Dashboard!$C$11)/(1-Dashboard!$C$17)*((1+Dashboard!$C$12)^$CZ47),0)</f>
        <v>23556943.712678574</v>
      </c>
      <c r="EI47" s="126">
        <f ca="1">MAX(EI46*(1+AJ47)-(Dashboard!$C$11)/(1-Dashboard!$C$17)*((1+Dashboard!$C$12)^$CZ47),0)</f>
        <v>0</v>
      </c>
      <c r="EJ47" s="126">
        <f ca="1">MAX(EJ46*(1+AK47)-(Dashboard!$C$11)/(1-Dashboard!$C$17)*((1+Dashboard!$C$12)^$CZ47),0)</f>
        <v>18784357.988162007</v>
      </c>
      <c r="EK47" s="126">
        <f ca="1">MAX(EK46*(1+AL47)-(Dashboard!$C$11)/(1-Dashboard!$C$17)*((1+Dashboard!$C$12)^$CZ47),0)</f>
        <v>3607335.1913876664</v>
      </c>
      <c r="EL47" s="126">
        <f ca="1">MAX(EL46*(1+AM47)-(Dashboard!$C$11)/(1-Dashboard!$C$17)*((1+Dashboard!$C$12)^$CZ47),0)</f>
        <v>3350207.1456950982</v>
      </c>
      <c r="EM47" s="126">
        <f ca="1">MAX(EM46*(1+AN47)-(Dashboard!$C$11)/(1-Dashboard!$C$17)*((1+Dashboard!$C$12)^$CZ47),0)</f>
        <v>49764756.112403795</v>
      </c>
      <c r="EN47" s="126">
        <f ca="1">MAX(EN46*(1+AO47)-(Dashboard!$C$11)/(1-Dashboard!$C$17)*((1+Dashboard!$C$12)^$CZ47),0)</f>
        <v>3022871.9033158785</v>
      </c>
      <c r="EO47" s="126">
        <f ca="1">MAX(EO46*(1+AP47)-(Dashboard!$C$11)/(1-Dashboard!$C$17)*((1+Dashboard!$C$12)^$CZ47),0)</f>
        <v>0</v>
      </c>
      <c r="EP47" s="126">
        <f ca="1">MAX(EP46*(1+AQ47)-(Dashboard!$C$11)/(1-Dashboard!$C$17)*((1+Dashboard!$C$12)^$CZ47),0)</f>
        <v>4456563.1405917341</v>
      </c>
      <c r="EQ47" s="126">
        <f ca="1">MAX(EQ46*(1+AR47)-(Dashboard!$C$11)/(1-Dashboard!$C$17)*((1+Dashboard!$C$12)^$CZ47),0)</f>
        <v>5727726.3048091484</v>
      </c>
      <c r="ER47" s="126">
        <f ca="1">MAX(ER46*(1+AS47)-(Dashboard!$C$11)/(1-Dashboard!$C$17)*((1+Dashboard!$C$12)^$CZ47),0)</f>
        <v>0</v>
      </c>
      <c r="ES47" s="126">
        <f ca="1">MAX(ES46*(1+AT47)-(Dashboard!$C$11)/(1-Dashboard!$C$17)*((1+Dashboard!$C$12)^$CZ47),0)</f>
        <v>58208666.326336302</v>
      </c>
      <c r="ET47" s="126">
        <f ca="1">MAX(ET46*(1+AU47)-(Dashboard!$C$11)/(1-Dashboard!$C$17)*((1+Dashboard!$C$12)^$CZ47),0)</f>
        <v>9148889.2539838646</v>
      </c>
      <c r="EU47" s="126">
        <f ca="1">MAX(EU46*(1+AV47)-(Dashboard!$C$11)/(1-Dashboard!$C$17)*((1+Dashboard!$C$12)^$CZ47),0)</f>
        <v>5986504.7608029116</v>
      </c>
      <c r="EV47" s="126">
        <f ca="1">MAX(EV46*(1+AW47)-(Dashboard!$C$11)/(1-Dashboard!$C$17)*((1+Dashboard!$C$12)^$CZ47),0)</f>
        <v>44809621.723872088</v>
      </c>
      <c r="EW47" s="126">
        <f ca="1">MAX(EW46*(1+AX47)-(Dashboard!$C$11)/(1-Dashboard!$C$17)*((1+Dashboard!$C$12)^$CZ47),0)</f>
        <v>1774376.8149139527</v>
      </c>
      <c r="EX47" s="126">
        <f ca="1">MAX(EX46*(1+AY47)-(Dashboard!$C$11)/(1-Dashboard!$C$17)*((1+Dashboard!$C$12)^$CZ47),0)</f>
        <v>4374658.8380717896</v>
      </c>
      <c r="EY47" s="126">
        <f ca="1">MAX(EY46*(1+AZ47)-(Dashboard!$C$11)/(1-Dashboard!$C$17)*((1+Dashboard!$C$12)^$CZ47),0)</f>
        <v>14041196.503575834</v>
      </c>
      <c r="EZ47" s="126">
        <f ca="1">MAX(EZ46*(1+BA47)-(Dashboard!$C$11)/(1-Dashboard!$C$17)*((1+Dashboard!$C$12)^$CZ47),0)</f>
        <v>2997516.6180137694</v>
      </c>
      <c r="FA47" s="126">
        <f ca="1">MAX(FA46*(1+BB47)-(Dashboard!$C$11)/(1-Dashboard!$C$17)*((1+Dashboard!$C$12)^$CZ47),0)</f>
        <v>31396412.469739556</v>
      </c>
      <c r="FB47" s="126">
        <f ca="1">MAX(FB46*(1+BC47)-(Dashboard!$C$11)/(1-Dashboard!$C$17)*((1+Dashboard!$C$12)^$CZ47),0)</f>
        <v>933024.52901282359</v>
      </c>
      <c r="FC47" s="126">
        <f ca="1">MAX(FC46*(1+BD47)-(Dashboard!$C$11)/(1-Dashboard!$C$17)*((1+Dashboard!$C$12)^$CZ47),0)</f>
        <v>9583058.6148655023</v>
      </c>
      <c r="FD47" s="126">
        <f ca="1">MAX(FD46*(1+BE47)-(Dashboard!$C$11)/(1-Dashboard!$C$17)*((1+Dashboard!$C$12)^$CZ47),0)</f>
        <v>51596967.687716745</v>
      </c>
      <c r="FE47" s="126">
        <f ca="1">MAX(FE46*(1+BF47)-(Dashboard!$C$11)/(1-Dashboard!$C$17)*((1+Dashboard!$C$12)^$CZ47),0)</f>
        <v>22976428.295672528</v>
      </c>
      <c r="FF47" s="126">
        <f ca="1">MAX(FF46*(1+BG47)-(Dashboard!$C$11)/(1-Dashboard!$C$17)*((1+Dashboard!$C$12)^$CZ47),0)</f>
        <v>1578194.2241316196</v>
      </c>
      <c r="FG47" s="126">
        <f ca="1">MAX(FG46*(1+BH47)-(Dashboard!$C$11)/(1-Dashboard!$C$17)*((1+Dashboard!$C$12)^$CZ47),0)</f>
        <v>1780184.2009837925</v>
      </c>
      <c r="FH47" s="126">
        <f ca="1">MAX(FH46*(1+BI47)-(Dashboard!$C$11)/(1-Dashboard!$C$17)*((1+Dashboard!$C$12)^$CZ47),0)</f>
        <v>4555563.859457884</v>
      </c>
      <c r="FI47" s="126">
        <f ca="1">MAX(FI46*(1+BJ47)-(Dashboard!$C$11)/(1-Dashboard!$C$17)*((1+Dashboard!$C$12)^$CZ47),0)</f>
        <v>17408085.796747901</v>
      </c>
      <c r="FJ47" s="126">
        <f ca="1">MAX(FJ46*(1+BK47)-(Dashboard!$C$11)/(1-Dashboard!$C$17)*((1+Dashboard!$C$12)^$CZ47),0)</f>
        <v>3232228.530408531</v>
      </c>
      <c r="FK47" s="126">
        <f ca="1">MAX(FK46*(1+BL47)-(Dashboard!$C$11)/(1-Dashboard!$C$17)*((1+Dashboard!$C$12)^$CZ47),0)</f>
        <v>7921404.7826726446</v>
      </c>
      <c r="FL47" s="126">
        <f ca="1">MAX(FL46*(1+BM47)-(Dashboard!$C$11)/(1-Dashboard!$C$17)*((1+Dashboard!$C$12)^$CZ47),0)</f>
        <v>1410936.8337909053</v>
      </c>
      <c r="FM47" s="126">
        <f ca="1">MAX(FM46*(1+BN47)-(Dashboard!$C$11)/(1-Dashboard!$C$17)*((1+Dashboard!$C$12)^$CZ47),0)</f>
        <v>6625833.5533109084</v>
      </c>
      <c r="FN47" s="126">
        <f ca="1">MAX(FN46*(1+BO47)-(Dashboard!$C$11)/(1-Dashboard!$C$17)*((1+Dashboard!$C$12)^$CZ47),0)</f>
        <v>0</v>
      </c>
      <c r="FO47" s="126">
        <f ca="1">MAX(FO46*(1+BP47)-(Dashboard!$C$11)/(1-Dashboard!$C$17)*((1+Dashboard!$C$12)^$CZ47),0)</f>
        <v>6923107.3349701278</v>
      </c>
      <c r="FP47" s="126">
        <f ca="1">MAX(FP46*(1+BQ47)-(Dashboard!$C$11)/(1-Dashboard!$C$17)*((1+Dashboard!$C$12)^$CZ47),0)</f>
        <v>2498435.0473349849</v>
      </c>
      <c r="FQ47" s="126">
        <f ca="1">MAX(FQ46*(1+BR47)-(Dashboard!$C$11)/(1-Dashboard!$C$17)*((1+Dashboard!$C$12)^$CZ47),0)</f>
        <v>1368438.0053384751</v>
      </c>
      <c r="FR47" s="126">
        <f ca="1">MAX(FR46*(1+BS47)-(Dashboard!$C$11)/(1-Dashboard!$C$17)*((1+Dashboard!$C$12)^$CZ47),0)</f>
        <v>21845521.259032011</v>
      </c>
      <c r="FS47" s="126">
        <f ca="1">MAX(FS46*(1+BT47)-(Dashboard!$C$11)/(1-Dashboard!$C$17)*((1+Dashboard!$C$12)^$CZ47),0)</f>
        <v>14791431.593293775</v>
      </c>
      <c r="FT47" s="126">
        <f ca="1">MAX(FT46*(1+BU47)-(Dashboard!$C$11)/(1-Dashboard!$C$17)*((1+Dashboard!$C$12)^$CZ47),0)</f>
        <v>0</v>
      </c>
      <c r="FU47" s="126">
        <f ca="1">MAX(FU46*(1+BV47)-(Dashboard!$C$11)/(1-Dashboard!$C$17)*((1+Dashboard!$C$12)^$CZ47),0)</f>
        <v>1265010.7611815352</v>
      </c>
      <c r="FV47" s="126">
        <f ca="1">MAX(FV46*(1+BW47)-(Dashboard!$C$11)/(1-Dashboard!$C$17)*((1+Dashboard!$C$12)^$CZ47),0)</f>
        <v>8239375.4636624986</v>
      </c>
      <c r="FW47" s="126">
        <f ca="1">MAX(FW46*(1+BX47)-(Dashboard!$C$11)/(1-Dashboard!$C$17)*((1+Dashboard!$C$12)^$CZ47),0)</f>
        <v>2556564.1184268175</v>
      </c>
      <c r="FX47" s="126">
        <f ca="1">MAX(FX46*(1+BY47)-(Dashboard!$C$11)/(1-Dashboard!$C$17)*((1+Dashboard!$C$12)^$CZ47),0)</f>
        <v>0</v>
      </c>
      <c r="FY47" s="126">
        <f ca="1">MAX(FY46*(1+BZ47)-(Dashboard!$C$11)/(1-Dashboard!$C$17)*((1+Dashboard!$C$12)^$CZ47),0)</f>
        <v>0</v>
      </c>
      <c r="FZ47" s="126">
        <f ca="1">MAX(FZ46*(1+CA47)-(Dashboard!$C$11)/(1-Dashboard!$C$17)*((1+Dashboard!$C$12)^$CZ47),0)</f>
        <v>47172636.141509719</v>
      </c>
      <c r="GA47" s="126">
        <f ca="1">MAX(GA46*(1+CB47)-(Dashboard!$C$11)/(1-Dashboard!$C$17)*((1+Dashboard!$C$12)^$CZ47),0)</f>
        <v>35557139.478015959</v>
      </c>
      <c r="GB47" s="126">
        <f ca="1">MAX(GB46*(1+CC47)-(Dashboard!$C$11)/(1-Dashboard!$C$17)*((1+Dashboard!$C$12)^$CZ47),0)</f>
        <v>4214929.9635660397</v>
      </c>
      <c r="GC47" s="126">
        <f ca="1">MAX(GC46*(1+CD47)-(Dashboard!$C$11)/(1-Dashboard!$C$17)*((1+Dashboard!$C$12)^$CZ47),0)</f>
        <v>9472403.1746092401</v>
      </c>
      <c r="GD47" s="126">
        <f ca="1">MAX(GD46*(1+CE47)-(Dashboard!$C$11)/(1-Dashboard!$C$17)*((1+Dashboard!$C$12)^$CZ47),0)</f>
        <v>92366080.870431975</v>
      </c>
      <c r="GE47" s="126">
        <f ca="1">MAX(GE46*(1+CF47)-(Dashboard!$C$11)/(1-Dashboard!$C$17)*((1+Dashboard!$C$12)^$CZ47),0)</f>
        <v>5039996.1376259867</v>
      </c>
      <c r="GF47" s="126">
        <f ca="1">MAX(GF46*(1+CG47)-(Dashboard!$C$11)/(1-Dashboard!$C$17)*((1+Dashboard!$C$12)^$CZ47),0)</f>
        <v>5188600.907294156</v>
      </c>
      <c r="GG47" s="126">
        <f ca="1">MAX(GG46*(1+CH47)-(Dashboard!$C$11)/(1-Dashboard!$C$17)*((1+Dashboard!$C$12)^$CZ47),0)</f>
        <v>0</v>
      </c>
      <c r="GH47" s="126">
        <f ca="1">MAX(GH46*(1+CI47)-(Dashboard!$C$11)/(1-Dashboard!$C$17)*((1+Dashboard!$C$12)^$CZ47),0)</f>
        <v>1257437.5368920653</v>
      </c>
      <c r="GI47" s="126">
        <f ca="1">MAX(GI46*(1+CJ47)-(Dashboard!$C$11)/(1-Dashboard!$C$17)*((1+Dashboard!$C$12)^$CZ47),0)</f>
        <v>24483252.087739866</v>
      </c>
      <c r="GJ47" s="126">
        <f ca="1">MAX(GJ46*(1+CK47)-(Dashboard!$C$11)/(1-Dashboard!$C$17)*((1+Dashboard!$C$12)^$CZ47),0)</f>
        <v>27910502.218303397</v>
      </c>
      <c r="GK47" s="126">
        <f ca="1">MAX(GK46*(1+CL47)-(Dashboard!$C$11)/(1-Dashboard!$C$17)*((1+Dashboard!$C$12)^$CZ47),0)</f>
        <v>10062410.544191811</v>
      </c>
      <c r="GL47" s="126">
        <f ca="1">MAX(GL46*(1+CM47)-(Dashboard!$C$11)/(1-Dashboard!$C$17)*((1+Dashboard!$C$12)^$CZ47),0)</f>
        <v>11513445.390920943</v>
      </c>
      <c r="GM47" s="126">
        <f ca="1">MAX(GM46*(1+CN47)-(Dashboard!$C$11)/(1-Dashboard!$C$17)*((1+Dashboard!$C$12)^$CZ47),0)</f>
        <v>0</v>
      </c>
      <c r="GN47" s="126">
        <f ca="1">MAX(GN46*(1+CO47)-(Dashboard!$C$11)/(1-Dashboard!$C$17)*((1+Dashboard!$C$12)^$CZ47),0)</f>
        <v>0</v>
      </c>
      <c r="GO47" s="126">
        <f ca="1">MAX(GO46*(1+CP47)-(Dashboard!$C$11)/(1-Dashboard!$C$17)*((1+Dashboard!$C$12)^$CZ47),0)</f>
        <v>4288318.4508538516</v>
      </c>
      <c r="GP47" s="126">
        <f ca="1">MAX(GP46*(1+CQ47)-(Dashboard!$C$11)/(1-Dashboard!$C$17)*((1+Dashboard!$C$12)^$CZ47),0)</f>
        <v>15470689.880893756</v>
      </c>
      <c r="GQ47" s="126">
        <f ca="1">MAX(GQ46*(1+CR47)-(Dashboard!$C$11)/(1-Dashboard!$C$17)*((1+Dashboard!$C$12)^$CZ47),0)</f>
        <v>0</v>
      </c>
      <c r="GR47" s="126">
        <f ca="1">MAX(GR46*(1+CS47)-(Dashboard!$C$11)/(1-Dashboard!$C$17)*((1+Dashboard!$C$12)^$CZ47),0)</f>
        <v>846343.07119818078</v>
      </c>
      <c r="GS47" s="126">
        <f ca="1">MAX(GS46*(1+CT47)-(Dashboard!$C$11)/(1-Dashboard!$C$17)*((1+Dashboard!$C$12)^$CZ47),0)</f>
        <v>16864157.170312509</v>
      </c>
      <c r="GT47" s="126">
        <f ca="1">MAX(GT46*(1+CU47)-(Dashboard!$C$11)/(1-Dashboard!$C$17)*((1+Dashboard!$C$12)^$CZ47),0)</f>
        <v>89606802.516624868</v>
      </c>
      <c r="GU47" s="126">
        <f ca="1">MAX(GU46*(1+CV47)-(Dashboard!$C$11)/(1-Dashboard!$C$17)*((1+Dashboard!$C$12)^$CZ47),0)</f>
        <v>4075936.4278595801</v>
      </c>
      <c r="GV47" s="126">
        <f ca="1">MAX(GV46*(1+CW47)-(Dashboard!$C$11)/(1-Dashboard!$C$17)*((1+Dashboard!$C$12)^$CZ47),0)</f>
        <v>38902.085281996682</v>
      </c>
      <c r="GW47" s="115">
        <f t="shared" si="4"/>
        <v>96</v>
      </c>
      <c r="GX47" s="130">
        <f ca="1">COUNTIF(DA47:GV47,"&gt;0")</f>
        <v>84</v>
      </c>
      <c r="HC47" s="130">
        <f t="shared" si="7"/>
        <v>96</v>
      </c>
      <c r="HD47" s="137">
        <f t="shared" ca="1" si="8"/>
        <v>1290867.5722207702</v>
      </c>
      <c r="HE47" s="137">
        <f t="shared" ca="1" si="8"/>
        <v>5458163.6060516518</v>
      </c>
      <c r="HF47" s="137">
        <f t="shared" ca="1" si="8"/>
        <v>16671999.276434293</v>
      </c>
    </row>
    <row r="48" spans="1:214" ht="16">
      <c r="A48" s="145">
        <f t="shared" si="3"/>
        <v>97</v>
      </c>
      <c r="B48" s="119">
        <f ca="1">(Dashboard!$C$7*'Equity and Bond Returns'!N48)+(Dashboard!$C$8*'Equity and Bond Returns'!DL48)</f>
        <v>-0.24309437446583884</v>
      </c>
      <c r="C48" s="119">
        <f ca="1">(Dashboard!$C$7*'Equity and Bond Returns'!O48)+(Dashboard!$C$8*'Equity and Bond Returns'!DM48)</f>
        <v>-0.1373537639444013</v>
      </c>
      <c r="D48" s="119">
        <f ca="1">(Dashboard!$C$7*'Equity and Bond Returns'!P48)+(Dashboard!$C$8*'Equity and Bond Returns'!DN48)</f>
        <v>0.10162086919237941</v>
      </c>
      <c r="E48" s="119">
        <f ca="1">(Dashboard!$C$7*'Equity and Bond Returns'!Q48)+(Dashboard!$C$8*'Equity and Bond Returns'!DO48)</f>
        <v>2.846664933277002E-2</v>
      </c>
      <c r="F48" s="119">
        <f ca="1">(Dashboard!$C$7*'Equity and Bond Returns'!R48)+(Dashboard!$C$8*'Equity and Bond Returns'!DP48)</f>
        <v>0.38698348979308833</v>
      </c>
      <c r="G48" s="119">
        <f ca="1">(Dashboard!$C$7*'Equity and Bond Returns'!S48)+(Dashboard!$C$8*'Equity and Bond Returns'!DQ48)</f>
        <v>-1.6063693228274847E-2</v>
      </c>
      <c r="H48" s="119">
        <f ca="1">(Dashboard!$C$7*'Equity and Bond Returns'!T48)+(Dashboard!$C$8*'Equity and Bond Returns'!DR48)</f>
        <v>0.17124609529337639</v>
      </c>
      <c r="I48" s="119">
        <f ca="1">(Dashboard!$C$7*'Equity and Bond Returns'!U48)+(Dashboard!$C$8*'Equity and Bond Returns'!DS48)</f>
        <v>6.7106426861710533E-2</v>
      </c>
      <c r="J48" s="119">
        <f ca="1">(Dashboard!$C$7*'Equity and Bond Returns'!V48)+(Dashboard!$C$8*'Equity and Bond Returns'!DT48)</f>
        <v>0.2002219987423908</v>
      </c>
      <c r="K48" s="119">
        <f ca="1">(Dashboard!$C$7*'Equity and Bond Returns'!W48)+(Dashboard!$C$8*'Equity and Bond Returns'!DU48)</f>
        <v>0.10143537280392673</v>
      </c>
      <c r="L48" s="119">
        <f ca="1">(Dashboard!$C$7*'Equity and Bond Returns'!X48)+(Dashboard!$C$8*'Equity and Bond Returns'!DV48)</f>
        <v>7.4295578763373657E-2</v>
      </c>
      <c r="M48" s="119">
        <f ca="1">(Dashboard!$C$7*'Equity and Bond Returns'!Y48)+(Dashboard!$C$8*'Equity and Bond Returns'!DW48)</f>
        <v>0.18745308642024675</v>
      </c>
      <c r="N48" s="119">
        <f ca="1">(Dashboard!$C$7*'Equity and Bond Returns'!Z48)+(Dashboard!$C$8*'Equity and Bond Returns'!DX48)</f>
        <v>9.9404887241734907E-2</v>
      </c>
      <c r="O48" s="119">
        <f ca="1">(Dashboard!$C$7*'Equity and Bond Returns'!AA48)+(Dashboard!$C$8*'Equity and Bond Returns'!DY48)</f>
        <v>2.2998733636055414E-2</v>
      </c>
      <c r="P48" s="119">
        <f ca="1">(Dashboard!$C$7*'Equity and Bond Returns'!AB48)+(Dashboard!$C$8*'Equity and Bond Returns'!DZ48)</f>
        <v>-3.605713734622111E-2</v>
      </c>
      <c r="Q48" s="119">
        <f ca="1">(Dashboard!$C$7*'Equity and Bond Returns'!AC48)+(Dashboard!$C$8*'Equity and Bond Returns'!EA48)</f>
        <v>-1.5530712579560898E-2</v>
      </c>
      <c r="R48" s="119">
        <f ca="1">(Dashboard!$C$7*'Equity and Bond Returns'!AD48)+(Dashboard!$C$8*'Equity and Bond Returns'!EB48)</f>
        <v>8.6998469832965525E-4</v>
      </c>
      <c r="S48" s="119">
        <f ca="1">(Dashboard!$C$7*'Equity and Bond Returns'!AE48)+(Dashboard!$C$8*'Equity and Bond Returns'!EC48)</f>
        <v>0.23224204229060796</v>
      </c>
      <c r="T48" s="119">
        <f ca="1">(Dashboard!$C$7*'Equity and Bond Returns'!AF48)+(Dashboard!$C$8*'Equity and Bond Returns'!ED48)</f>
        <v>0.20524285725207417</v>
      </c>
      <c r="U48" s="119">
        <f ca="1">(Dashboard!$C$7*'Equity and Bond Returns'!AG48)+(Dashboard!$C$8*'Equity and Bond Returns'!EE48)</f>
        <v>-0.29360862303759339</v>
      </c>
      <c r="V48" s="119">
        <f ca="1">(Dashboard!$C$7*'Equity and Bond Returns'!AH48)+(Dashboard!$C$8*'Equity and Bond Returns'!EF48)</f>
        <v>6.1361738808891959E-2</v>
      </c>
      <c r="W48" s="119">
        <f ca="1">(Dashboard!$C$7*'Equity and Bond Returns'!AI48)+(Dashboard!$C$8*'Equity and Bond Returns'!EG48)</f>
        <v>9.2266935915095397E-2</v>
      </c>
      <c r="X48" s="119">
        <f ca="1">(Dashboard!$C$7*'Equity and Bond Returns'!AJ48)+(Dashboard!$C$8*'Equity and Bond Returns'!EH48)</f>
        <v>0.10009928972832648</v>
      </c>
      <c r="Y48" s="119">
        <f ca="1">(Dashboard!$C$7*'Equity and Bond Returns'!AK48)+(Dashboard!$C$8*'Equity and Bond Returns'!EI48)</f>
        <v>3.9890849874762206E-2</v>
      </c>
      <c r="Z48" s="119">
        <f ca="1">(Dashboard!$C$7*'Equity and Bond Returns'!AL48)+(Dashboard!$C$8*'Equity and Bond Returns'!EJ48)</f>
        <v>9.1717605689983078E-2</v>
      </c>
      <c r="AA48" s="119">
        <f ca="1">(Dashboard!$C$7*'Equity and Bond Returns'!AM48)+(Dashboard!$C$8*'Equity and Bond Returns'!EK48)</f>
        <v>5.0147263640136601E-2</v>
      </c>
      <c r="AB48" s="119">
        <f ca="1">(Dashboard!$C$7*'Equity and Bond Returns'!AN48)+(Dashboard!$C$8*'Equity and Bond Returns'!EL48)</f>
        <v>-2.5242924263727665E-2</v>
      </c>
      <c r="AC48" s="119">
        <f ca="1">(Dashboard!$C$7*'Equity and Bond Returns'!AO48)+(Dashboard!$C$8*'Equity and Bond Returns'!EM48)</f>
        <v>7.6769778558459498E-2</v>
      </c>
      <c r="AD48" s="119">
        <f ca="1">(Dashboard!$C$7*'Equity and Bond Returns'!AP48)+(Dashboard!$C$8*'Equity and Bond Returns'!EN48)</f>
        <v>3.2869911463647809E-3</v>
      </c>
      <c r="AE48" s="119">
        <f ca="1">(Dashboard!$C$7*'Equity and Bond Returns'!AQ48)+(Dashboard!$C$8*'Equity and Bond Returns'!EO48)</f>
        <v>7.5824659349134627E-2</v>
      </c>
      <c r="AF48" s="119">
        <f ca="1">(Dashboard!$C$7*'Equity and Bond Returns'!AR48)+(Dashboard!$C$8*'Equity and Bond Returns'!EP48)</f>
        <v>9.1724569448042165E-4</v>
      </c>
      <c r="AG48" s="119">
        <f ca="1">(Dashboard!$C$7*'Equity and Bond Returns'!AS48)+(Dashboard!$C$8*'Equity and Bond Returns'!EQ48)</f>
        <v>0.14318242225549971</v>
      </c>
      <c r="AH48" s="119">
        <f ca="1">(Dashboard!$C$7*'Equity and Bond Returns'!AT48)+(Dashboard!$C$8*'Equity and Bond Returns'!ER48)</f>
        <v>0.38367782520651511</v>
      </c>
      <c r="AI48" s="119">
        <f ca="1">(Dashboard!$C$7*'Equity and Bond Returns'!AU48)+(Dashboard!$C$8*'Equity and Bond Returns'!ES48)</f>
        <v>-0.1994330218501042</v>
      </c>
      <c r="AJ48" s="119">
        <f ca="1">(Dashboard!$C$7*'Equity and Bond Returns'!AV48)+(Dashboard!$C$8*'Equity and Bond Returns'!ET48)</f>
        <v>-5.0545246904441878E-2</v>
      </c>
      <c r="AK48" s="119">
        <f ca="1">(Dashboard!$C$7*'Equity and Bond Returns'!AW48)+(Dashboard!$C$8*'Equity and Bond Returns'!EU48)</f>
        <v>4.5725845142073063E-3</v>
      </c>
      <c r="AL48" s="119">
        <f ca="1">(Dashboard!$C$7*'Equity and Bond Returns'!AX48)+(Dashboard!$C$8*'Equity and Bond Returns'!EV48)</f>
        <v>0.11021356225933615</v>
      </c>
      <c r="AM48" s="119">
        <f ca="1">(Dashboard!$C$7*'Equity and Bond Returns'!AY48)+(Dashboard!$C$8*'Equity and Bond Returns'!EW48)</f>
        <v>0.30592305820495574</v>
      </c>
      <c r="AN48" s="119">
        <f ca="1">(Dashboard!$C$7*'Equity and Bond Returns'!AZ48)+(Dashboard!$C$8*'Equity and Bond Returns'!EX48)</f>
        <v>-2.2001448495546048E-4</v>
      </c>
      <c r="AO48" s="119">
        <f ca="1">(Dashboard!$C$7*'Equity and Bond Returns'!BA48)+(Dashboard!$C$8*'Equity and Bond Returns'!EY48)</f>
        <v>4.7050267206220093E-3</v>
      </c>
      <c r="AP48" s="119">
        <f ca="1">(Dashboard!$C$7*'Equity and Bond Returns'!BB48)+(Dashboard!$C$8*'Equity and Bond Returns'!EZ48)</f>
        <v>-0.21225072903342587</v>
      </c>
      <c r="AQ48" s="119">
        <f ca="1">(Dashboard!$C$7*'Equity and Bond Returns'!BC48)+(Dashboard!$C$8*'Equity and Bond Returns'!FA48)</f>
        <v>3.094615948648902E-2</v>
      </c>
      <c r="AR48" s="119">
        <f ca="1">(Dashboard!$C$7*'Equity and Bond Returns'!BD48)+(Dashboard!$C$8*'Equity and Bond Returns'!FB48)</f>
        <v>0.21482580072484236</v>
      </c>
      <c r="AS48" s="119">
        <f ca="1">(Dashboard!$C$7*'Equity and Bond Returns'!BE48)+(Dashboard!$C$8*'Equity and Bond Returns'!FC48)</f>
        <v>0.17166290011090857</v>
      </c>
      <c r="AT48" s="119">
        <f ca="1">(Dashboard!$C$7*'Equity and Bond Returns'!BF48)+(Dashboard!$C$8*'Equity and Bond Returns'!FD48)</f>
        <v>-7.8495439578900136E-2</v>
      </c>
      <c r="AU48" s="119">
        <f ca="1">(Dashboard!$C$7*'Equity and Bond Returns'!BG48)+(Dashboard!$C$8*'Equity and Bond Returns'!FE48)</f>
        <v>8.7031218691240475E-2</v>
      </c>
      <c r="AV48" s="119">
        <f ca="1">(Dashboard!$C$7*'Equity and Bond Returns'!BH48)+(Dashboard!$C$8*'Equity and Bond Returns'!FF48)</f>
        <v>0.14716083726292439</v>
      </c>
      <c r="AW48" s="119">
        <f ca="1">(Dashboard!$C$7*'Equity and Bond Returns'!BI48)+(Dashboard!$C$8*'Equity and Bond Returns'!FG48)</f>
        <v>5.1900082638288061E-2</v>
      </c>
      <c r="AX48" s="119">
        <f ca="1">(Dashboard!$C$7*'Equity and Bond Returns'!BJ48)+(Dashboard!$C$8*'Equity and Bond Returns'!FH48)</f>
        <v>0.14031079627227935</v>
      </c>
      <c r="AY48" s="119">
        <f ca="1">(Dashboard!$C$7*'Equity and Bond Returns'!BK48)+(Dashboard!$C$8*'Equity and Bond Returns'!FI48)</f>
        <v>4.1836246920270131E-2</v>
      </c>
      <c r="AZ48" s="119">
        <f ca="1">(Dashboard!$C$7*'Equity and Bond Returns'!BL48)+(Dashboard!$C$8*'Equity and Bond Returns'!FJ48)</f>
        <v>0.10896794846910292</v>
      </c>
      <c r="BA48" s="119">
        <f ca="1">(Dashboard!$C$7*'Equity and Bond Returns'!BM48)+(Dashboard!$C$8*'Equity and Bond Returns'!FK48)</f>
        <v>0.17910246516897521</v>
      </c>
      <c r="BB48" s="119">
        <f ca="1">(Dashboard!$C$7*'Equity and Bond Returns'!BN48)+(Dashboard!$C$8*'Equity and Bond Returns'!FL48)</f>
        <v>0.25354299097755451</v>
      </c>
      <c r="BC48" s="119">
        <f ca="1">(Dashboard!$C$7*'Equity and Bond Returns'!BO48)+(Dashboard!$C$8*'Equity and Bond Returns'!FM48)</f>
        <v>8.5928336432829489E-2</v>
      </c>
      <c r="BD48" s="119">
        <f ca="1">(Dashboard!$C$7*'Equity and Bond Returns'!BP48)+(Dashboard!$C$8*'Equity and Bond Returns'!FN48)</f>
        <v>2.3720374923545583E-2</v>
      </c>
      <c r="BE48" s="119">
        <f ca="1">(Dashboard!$C$7*'Equity and Bond Returns'!BQ48)+(Dashboard!$C$8*'Equity and Bond Returns'!FO48)</f>
        <v>-2.3117561379004753E-2</v>
      </c>
      <c r="BF48" s="119">
        <f ca="1">(Dashboard!$C$7*'Equity and Bond Returns'!BR48)+(Dashboard!$C$8*'Equity and Bond Returns'!FP48)</f>
        <v>0.18014606865241842</v>
      </c>
      <c r="BG48" s="119">
        <f ca="1">(Dashboard!$C$7*'Equity and Bond Returns'!BS48)+(Dashboard!$C$8*'Equity and Bond Returns'!FQ48)</f>
        <v>0.29921284145428434</v>
      </c>
      <c r="BH48" s="119">
        <f ca="1">(Dashboard!$C$7*'Equity and Bond Returns'!BT48)+(Dashboard!$C$8*'Equity and Bond Returns'!FR48)</f>
        <v>6.1562007710464751E-2</v>
      </c>
      <c r="BI48" s="119">
        <f ca="1">(Dashboard!$C$7*'Equity and Bond Returns'!BU48)+(Dashboard!$C$8*'Equity and Bond Returns'!FS48)</f>
        <v>7.2000384964966427E-2</v>
      </c>
      <c r="BJ48" s="119">
        <f ca="1">(Dashboard!$C$7*'Equity and Bond Returns'!BV48)+(Dashboard!$C$8*'Equity and Bond Returns'!FT48)</f>
        <v>0.14101851106400637</v>
      </c>
      <c r="BK48" s="119">
        <f ca="1">(Dashboard!$C$7*'Equity and Bond Returns'!BW48)+(Dashboard!$C$8*'Equity and Bond Returns'!FU48)</f>
        <v>0.22062301853448438</v>
      </c>
      <c r="BL48" s="119">
        <f ca="1">(Dashboard!$C$7*'Equity and Bond Returns'!BX48)+(Dashboard!$C$8*'Equity and Bond Returns'!FV48)</f>
        <v>-0.28560532533539645</v>
      </c>
      <c r="BM48" s="119">
        <f ca="1">(Dashboard!$C$7*'Equity and Bond Returns'!BY48)+(Dashboard!$C$8*'Equity and Bond Returns'!FW48)</f>
        <v>-9.5571584692750136E-2</v>
      </c>
      <c r="BN48" s="119">
        <f ca="1">(Dashboard!$C$7*'Equity and Bond Returns'!BZ48)+(Dashboard!$C$8*'Equity and Bond Returns'!FX48)</f>
        <v>8.5364362647241995E-2</v>
      </c>
      <c r="BO48" s="119">
        <f ca="1">(Dashboard!$C$7*'Equity and Bond Returns'!CA48)+(Dashboard!$C$8*'Equity and Bond Returns'!FY48)</f>
        <v>0.10982245650294443</v>
      </c>
      <c r="BP48" s="119">
        <f ca="1">(Dashboard!$C$7*'Equity and Bond Returns'!CB48)+(Dashboard!$C$8*'Equity and Bond Returns'!FZ48)</f>
        <v>0.11072076331700118</v>
      </c>
      <c r="BQ48" s="119">
        <f ca="1">(Dashboard!$C$7*'Equity and Bond Returns'!CC48)+(Dashboard!$C$8*'Equity and Bond Returns'!GA48)</f>
        <v>0.20954793704511326</v>
      </c>
      <c r="BR48" s="119">
        <f ca="1">(Dashboard!$C$7*'Equity and Bond Returns'!CD48)+(Dashboard!$C$8*'Equity and Bond Returns'!GB48)</f>
        <v>-2.7085921334531578E-2</v>
      </c>
      <c r="BS48" s="119">
        <f ca="1">(Dashboard!$C$7*'Equity and Bond Returns'!CE48)+(Dashboard!$C$8*'Equity and Bond Returns'!GC48)</f>
        <v>0.31957364653052833</v>
      </c>
      <c r="BT48" s="119">
        <f ca="1">(Dashboard!$C$7*'Equity and Bond Returns'!CF48)+(Dashboard!$C$8*'Equity and Bond Returns'!GD48)</f>
        <v>0.14637225910841581</v>
      </c>
      <c r="BU48" s="119">
        <f ca="1">(Dashboard!$C$7*'Equity and Bond Returns'!CG48)+(Dashboard!$C$8*'Equity and Bond Returns'!GE48)</f>
        <v>8.4601303437284087E-2</v>
      </c>
      <c r="BV48" s="119">
        <f ca="1">(Dashboard!$C$7*'Equity and Bond Returns'!CH48)+(Dashboard!$C$8*'Equity and Bond Returns'!GF48)</f>
        <v>0.1346607609877537</v>
      </c>
      <c r="BW48" s="119">
        <f ca="1">(Dashboard!$C$7*'Equity and Bond Returns'!CI48)+(Dashboard!$C$8*'Equity and Bond Returns'!GG48)</f>
        <v>1.9139863354282628E-3</v>
      </c>
      <c r="BX48" s="119">
        <f ca="1">(Dashboard!$C$7*'Equity and Bond Returns'!CJ48)+(Dashboard!$C$8*'Equity and Bond Returns'!GH48)</f>
        <v>0.20684645778347846</v>
      </c>
      <c r="BY48" s="119">
        <f ca="1">(Dashboard!$C$7*'Equity and Bond Returns'!CK48)+(Dashboard!$C$8*'Equity and Bond Returns'!GI48)</f>
        <v>-0.14808005630308652</v>
      </c>
      <c r="BZ48" s="119">
        <f ca="1">(Dashboard!$C$7*'Equity and Bond Returns'!CL48)+(Dashboard!$C$8*'Equity and Bond Returns'!GJ48)</f>
        <v>0.12968367358158234</v>
      </c>
      <c r="CA48" s="119">
        <f ca="1">(Dashboard!$C$7*'Equity and Bond Returns'!CM48)+(Dashboard!$C$8*'Equity and Bond Returns'!GK48)</f>
        <v>0.24427440228927969</v>
      </c>
      <c r="CB48" s="119">
        <f ca="1">(Dashboard!$C$7*'Equity and Bond Returns'!CN48)+(Dashboard!$C$8*'Equity and Bond Returns'!GL48)</f>
        <v>0.18097856146273217</v>
      </c>
      <c r="CC48" s="119">
        <f ca="1">(Dashboard!$C$7*'Equity and Bond Returns'!CO48)+(Dashboard!$C$8*'Equity and Bond Returns'!GM48)</f>
        <v>0.18435795226253293</v>
      </c>
      <c r="CD48" s="119">
        <f ca="1">(Dashboard!$C$7*'Equity and Bond Returns'!CP48)+(Dashboard!$C$8*'Equity and Bond Returns'!GN48)</f>
        <v>1.2288076752238695E-2</v>
      </c>
      <c r="CE48" s="119">
        <f ca="1">(Dashboard!$C$7*'Equity and Bond Returns'!CQ48)+(Dashboard!$C$8*'Equity and Bond Returns'!GO48)</f>
        <v>-0.13109971640753848</v>
      </c>
      <c r="CF48" s="119">
        <f ca="1">(Dashboard!$C$7*'Equity and Bond Returns'!CR48)+(Dashboard!$C$8*'Equity and Bond Returns'!GP48)</f>
        <v>6.4939513464145282E-2</v>
      </c>
      <c r="CG48" s="119">
        <f ca="1">(Dashboard!$C$7*'Equity and Bond Returns'!CS48)+(Dashboard!$C$8*'Equity and Bond Returns'!GQ48)</f>
        <v>0.11924190452907245</v>
      </c>
      <c r="CH48" s="119">
        <f ca="1">(Dashboard!$C$7*'Equity and Bond Returns'!CT48)+(Dashboard!$C$8*'Equity and Bond Returns'!GR48)</f>
        <v>0.16981400921569464</v>
      </c>
      <c r="CI48" s="119">
        <f ca="1">(Dashboard!$C$7*'Equity and Bond Returns'!CU48)+(Dashboard!$C$8*'Equity and Bond Returns'!GS48)</f>
        <v>3.0978962518302205E-2</v>
      </c>
      <c r="CJ48" s="119">
        <f ca="1">(Dashboard!$C$7*'Equity and Bond Returns'!CV48)+(Dashboard!$C$8*'Equity and Bond Returns'!GT48)</f>
        <v>0.17419860911201335</v>
      </c>
      <c r="CK48" s="119">
        <f ca="1">(Dashboard!$C$7*'Equity and Bond Returns'!CW48)+(Dashboard!$C$8*'Equity and Bond Returns'!GU48)</f>
        <v>4.3472084824035945E-2</v>
      </c>
      <c r="CL48" s="119">
        <f ca="1">(Dashboard!$C$7*'Equity and Bond Returns'!CX48)+(Dashboard!$C$8*'Equity and Bond Returns'!GV48)</f>
        <v>-0.13195428496556702</v>
      </c>
      <c r="CM48" s="119">
        <f ca="1">(Dashboard!$C$7*'Equity and Bond Returns'!CY48)+(Dashboard!$C$8*'Equity and Bond Returns'!GW48)</f>
        <v>-0.16769551653688483</v>
      </c>
      <c r="CN48" s="119">
        <f ca="1">(Dashboard!$C$7*'Equity and Bond Returns'!CZ48)+(Dashboard!$C$8*'Equity and Bond Returns'!GX48)</f>
        <v>0.28482612641310967</v>
      </c>
      <c r="CO48" s="119">
        <f ca="1">(Dashboard!$C$7*'Equity and Bond Returns'!DA48)+(Dashboard!$C$8*'Equity and Bond Returns'!GY48)</f>
        <v>0.12661547921339991</v>
      </c>
      <c r="CP48" s="119">
        <f ca="1">(Dashboard!$C$7*'Equity and Bond Returns'!DB48)+(Dashboard!$C$8*'Equity and Bond Returns'!GZ48)</f>
        <v>-0.15240840282299062</v>
      </c>
      <c r="CQ48" s="119">
        <f ca="1">(Dashboard!$C$7*'Equity and Bond Returns'!DC48)+(Dashboard!$C$8*'Equity and Bond Returns'!HA48)</f>
        <v>0.315739752725399</v>
      </c>
      <c r="CR48" s="119">
        <f ca="1">(Dashboard!$C$7*'Equity and Bond Returns'!DD48)+(Dashboard!$C$8*'Equity and Bond Returns'!HB48)</f>
        <v>-0.25332192049577751</v>
      </c>
      <c r="CS48" s="119">
        <f ca="1">(Dashboard!$C$7*'Equity and Bond Returns'!DE48)+(Dashboard!$C$8*'Equity and Bond Returns'!HC48)</f>
        <v>0.11395202062902124</v>
      </c>
      <c r="CT48" s="119">
        <f ca="1">(Dashboard!$C$7*'Equity and Bond Returns'!DF48)+(Dashboard!$C$8*'Equity and Bond Returns'!HD48)</f>
        <v>0.14615384860097957</v>
      </c>
      <c r="CU48" s="119">
        <f ca="1">(Dashboard!$C$7*'Equity and Bond Returns'!DG48)+(Dashboard!$C$8*'Equity and Bond Returns'!HE48)</f>
        <v>0.35713409223678033</v>
      </c>
      <c r="CV48" s="119">
        <f ca="1">(Dashboard!$C$7*'Equity and Bond Returns'!DH48)+(Dashboard!$C$8*'Equity and Bond Returns'!HF48)</f>
        <v>8.9089332042003727E-2</v>
      </c>
      <c r="CW48" s="119">
        <f ca="1">(Dashboard!$C$7*'Equity and Bond Returns'!DI48)+(Dashboard!$C$8*'Equity and Bond Returns'!HG48)</f>
        <v>8.9317130764998989E-2</v>
      </c>
      <c r="CY48" s="147">
        <f t="shared" si="5"/>
        <v>97</v>
      </c>
      <c r="CZ48" s="147">
        <v>47</v>
      </c>
      <c r="DA48" s="126">
        <f ca="1">MAX(DA47*(1+B48)-(Dashboard!$C$11)/(1-Dashboard!$C$17)*((1+Dashboard!$C$12)^$CZ48),0)</f>
        <v>20932946.387690615</v>
      </c>
      <c r="DB48" s="126">
        <f ca="1">MAX(DB47*(1+C48)-(Dashboard!$C$11)/(1-Dashboard!$C$17)*((1+Dashboard!$C$12)^$CZ48),0)</f>
        <v>0</v>
      </c>
      <c r="DC48" s="126">
        <f ca="1">MAX(DC47*(1+D48)-(Dashboard!$C$11)/(1-Dashboard!$C$17)*((1+Dashboard!$C$12)^$CZ48),0)</f>
        <v>9884179.9540697187</v>
      </c>
      <c r="DD48" s="126">
        <f ca="1">MAX(DD47*(1+E48)-(Dashboard!$C$11)/(1-Dashboard!$C$17)*((1+Dashboard!$C$12)^$CZ48),0)</f>
        <v>0</v>
      </c>
      <c r="DE48" s="126">
        <f ca="1">MAX(DE47*(1+F48)-(Dashboard!$C$11)/(1-Dashboard!$C$17)*((1+Dashboard!$C$12)^$CZ48),0)</f>
        <v>13530737.452345693</v>
      </c>
      <c r="DF48" s="126">
        <f ca="1">MAX(DF47*(1+G48)-(Dashboard!$C$11)/(1-Dashboard!$C$17)*((1+Dashboard!$C$12)^$CZ48),0)</f>
        <v>18085605.150925592</v>
      </c>
      <c r="DG48" s="126">
        <f ca="1">MAX(DG47*(1+H48)-(Dashboard!$C$11)/(1-Dashboard!$C$17)*((1+Dashboard!$C$12)^$CZ48),0)</f>
        <v>0</v>
      </c>
      <c r="DH48" s="126">
        <f ca="1">MAX(DH47*(1+I48)-(Dashboard!$C$11)/(1-Dashboard!$C$17)*((1+Dashboard!$C$12)^$CZ48),0)</f>
        <v>40123276.651757218</v>
      </c>
      <c r="DI48" s="126">
        <f ca="1">MAX(DI47*(1+J48)-(Dashboard!$C$11)/(1-Dashboard!$C$17)*((1+Dashboard!$C$12)^$CZ48),0)</f>
        <v>7888944.4268014058</v>
      </c>
      <c r="DJ48" s="126">
        <f ca="1">MAX(DJ47*(1+K48)-(Dashboard!$C$11)/(1-Dashboard!$C$17)*((1+Dashboard!$C$12)^$CZ48),0)</f>
        <v>10600026.624875631</v>
      </c>
      <c r="DK48" s="126">
        <f ca="1">MAX(DK47*(1+L48)-(Dashboard!$C$11)/(1-Dashboard!$C$17)*((1+Dashboard!$C$12)^$CZ48),0)</f>
        <v>6561800.8145688502</v>
      </c>
      <c r="DL48" s="126">
        <f ca="1">MAX(DL47*(1+M48)-(Dashboard!$C$11)/(1-Dashboard!$C$17)*((1+Dashboard!$C$12)^$CZ48),0)</f>
        <v>1169442.3127708731</v>
      </c>
      <c r="DM48" s="126">
        <f ca="1">MAX(DM47*(1+N48)-(Dashboard!$C$11)/(1-Dashboard!$C$17)*((1+Dashboard!$C$12)^$CZ48),0)</f>
        <v>21260705.706096627</v>
      </c>
      <c r="DN48" s="126">
        <f ca="1">MAX(DN47*(1+O48)-(Dashboard!$C$11)/(1-Dashboard!$C$17)*((1+Dashboard!$C$12)^$CZ48),0)</f>
        <v>150259464.41569421</v>
      </c>
      <c r="DO48" s="126">
        <f ca="1">MAX(DO47*(1+P48)-(Dashboard!$C$11)/(1-Dashboard!$C$17)*((1+Dashboard!$C$12)^$CZ48),0)</f>
        <v>4696887.574463401</v>
      </c>
      <c r="DP48" s="126">
        <f ca="1">MAX(DP47*(1+Q48)-(Dashboard!$C$11)/(1-Dashboard!$C$17)*((1+Dashboard!$C$12)^$CZ48),0)</f>
        <v>774982.07496117672</v>
      </c>
      <c r="DQ48" s="126">
        <f ca="1">MAX(DQ47*(1+R48)-(Dashboard!$C$11)/(1-Dashboard!$C$17)*((1+Dashboard!$C$12)^$CZ48),0)</f>
        <v>5993623.2635619482</v>
      </c>
      <c r="DR48" s="126">
        <f ca="1">MAX(DR47*(1+S48)-(Dashboard!$C$11)/(1-Dashboard!$C$17)*((1+Dashboard!$C$12)^$CZ48),0)</f>
        <v>24092458.717703342</v>
      </c>
      <c r="DS48" s="126">
        <f ca="1">MAX(DS47*(1+T48)-(Dashboard!$C$11)/(1-Dashboard!$C$17)*((1+Dashboard!$C$12)^$CZ48),0)</f>
        <v>0</v>
      </c>
      <c r="DT48" s="126">
        <f ca="1">MAX(DT47*(1+U48)-(Dashboard!$C$11)/(1-Dashboard!$C$17)*((1+Dashboard!$C$12)^$CZ48),0)</f>
        <v>547690.34455807216</v>
      </c>
      <c r="DU48" s="126">
        <f ca="1">MAX(DU47*(1+V48)-(Dashboard!$C$11)/(1-Dashboard!$C$17)*((1+Dashboard!$C$12)^$CZ48),0)</f>
        <v>5413362.3558131</v>
      </c>
      <c r="DV48" s="126">
        <f ca="1">MAX(DV47*(1+W48)-(Dashboard!$C$11)/(1-Dashboard!$C$17)*((1+Dashboard!$C$12)^$CZ48),0)</f>
        <v>68945684.905791849</v>
      </c>
      <c r="DW48" s="126">
        <f ca="1">MAX(DW47*(1+X48)-(Dashboard!$C$11)/(1-Dashboard!$C$17)*((1+Dashboard!$C$12)^$CZ48),0)</f>
        <v>5441190.7187509248</v>
      </c>
      <c r="DX48" s="126">
        <f ca="1">MAX(DX47*(1+Y48)-(Dashboard!$C$11)/(1-Dashboard!$C$17)*((1+Dashboard!$C$12)^$CZ48),0)</f>
        <v>2513442.6790385316</v>
      </c>
      <c r="DY48" s="126">
        <f ca="1">MAX(DY47*(1+Z48)-(Dashboard!$C$11)/(1-Dashboard!$C$17)*((1+Dashboard!$C$12)^$CZ48),0)</f>
        <v>23532733.607637096</v>
      </c>
      <c r="DZ48" s="126">
        <f ca="1">MAX(DZ47*(1+AA48)-(Dashboard!$C$11)/(1-Dashboard!$C$17)*((1+Dashboard!$C$12)^$CZ48),0)</f>
        <v>7961915.0514395805</v>
      </c>
      <c r="EA48" s="126">
        <f ca="1">MAX(EA47*(1+AB48)-(Dashboard!$C$11)/(1-Dashboard!$C$17)*((1+Dashboard!$C$12)^$CZ48),0)</f>
        <v>4499556.6011713762</v>
      </c>
      <c r="EB48" s="126">
        <f ca="1">MAX(EB47*(1+AC48)-(Dashboard!$C$11)/(1-Dashboard!$C$17)*((1+Dashboard!$C$12)^$CZ48),0)</f>
        <v>10981507.596491357</v>
      </c>
      <c r="EC48" s="126">
        <f ca="1">MAX(EC47*(1+AD48)-(Dashboard!$C$11)/(1-Dashboard!$C$17)*((1+Dashboard!$C$12)^$CZ48),0)</f>
        <v>14478390.72037995</v>
      </c>
      <c r="ED48" s="126">
        <f ca="1">MAX(ED47*(1+AE48)-(Dashboard!$C$11)/(1-Dashboard!$C$17)*((1+Dashboard!$C$12)^$CZ48),0)</f>
        <v>6472295.1266785841</v>
      </c>
      <c r="EE48" s="126">
        <f ca="1">MAX(EE47*(1+AF48)-(Dashboard!$C$11)/(1-Dashboard!$C$17)*((1+Dashboard!$C$12)^$CZ48),0)</f>
        <v>22794540.583115313</v>
      </c>
      <c r="EF48" s="126">
        <f ca="1">MAX(EF47*(1+AG48)-(Dashboard!$C$11)/(1-Dashboard!$C$17)*((1+Dashboard!$C$12)^$CZ48),0)</f>
        <v>0</v>
      </c>
      <c r="EG48" s="126">
        <f ca="1">MAX(EG47*(1+AH48)-(Dashboard!$C$11)/(1-Dashboard!$C$17)*((1+Dashboard!$C$12)^$CZ48),0)</f>
        <v>22188276.515607264</v>
      </c>
      <c r="EH48" s="126">
        <f ca="1">MAX(EH47*(1+AI48)-(Dashboard!$C$11)/(1-Dashboard!$C$17)*((1+Dashboard!$C$12)^$CZ48),0)</f>
        <v>18776165.907545362</v>
      </c>
      <c r="EI48" s="126">
        <f ca="1">MAX(EI47*(1+AJ48)-(Dashboard!$C$11)/(1-Dashboard!$C$17)*((1+Dashboard!$C$12)^$CZ48),0)</f>
        <v>0</v>
      </c>
      <c r="EJ48" s="126">
        <f ca="1">MAX(EJ47*(1+AK48)-(Dashboard!$C$11)/(1-Dashboard!$C$17)*((1+Dashboard!$C$12)^$CZ48),0)</f>
        <v>18787505.717647091</v>
      </c>
      <c r="EK48" s="126">
        <f ca="1">MAX(EK47*(1+AL48)-(Dashboard!$C$11)/(1-Dashboard!$C$17)*((1+Dashboard!$C$12)^$CZ48),0)</f>
        <v>3922167.1181330518</v>
      </c>
      <c r="EL48" s="126">
        <f ca="1">MAX(EL47*(1+AM48)-(Dashboard!$C$11)/(1-Dashboard!$C$17)*((1+Dashboard!$C$12)^$CZ48),0)</f>
        <v>4292367.4263653252</v>
      </c>
      <c r="EM48" s="126">
        <f ca="1">MAX(EM47*(1+AN48)-(Dashboard!$C$11)/(1-Dashboard!$C$17)*((1+Dashboard!$C$12)^$CZ48),0)</f>
        <v>49671061.810257874</v>
      </c>
      <c r="EN48" s="126">
        <f ca="1">MAX(EN47*(1+AO48)-(Dashboard!$C$11)/(1-Dashboard!$C$17)*((1+Dashboard!$C$12)^$CZ48),0)</f>
        <v>2954349.261433084</v>
      </c>
      <c r="EO48" s="126">
        <f ca="1">MAX(EO47*(1+AP48)-(Dashboard!$C$11)/(1-Dashboard!$C$17)*((1+Dashboard!$C$12)^$CZ48),0)</f>
        <v>0</v>
      </c>
      <c r="EP48" s="126">
        <f ca="1">MAX(EP47*(1+AQ48)-(Dashboard!$C$11)/(1-Dashboard!$C$17)*((1+Dashboard!$C$12)^$CZ48),0)</f>
        <v>4511731.3193411808</v>
      </c>
      <c r="EQ48" s="126">
        <f ca="1">MAX(EQ47*(1+AR48)-(Dashboard!$C$11)/(1-Dashboard!$C$17)*((1+Dashboard!$C$12)^$CZ48),0)</f>
        <v>6875444.3596116025</v>
      </c>
      <c r="ER48" s="126">
        <f ca="1">MAX(ER47*(1+AS48)-(Dashboard!$C$11)/(1-Dashboard!$C$17)*((1+Dashboard!$C$12)^$CZ48),0)</f>
        <v>0</v>
      </c>
      <c r="ES48" s="126">
        <f ca="1">MAX(ES47*(1+AT48)-(Dashboard!$C$11)/(1-Dashboard!$C$17)*((1+Dashboard!$C$12)^$CZ48),0)</f>
        <v>53556806.140788093</v>
      </c>
      <c r="ET48" s="126">
        <f ca="1">MAX(ET47*(1+AU48)-(Dashboard!$C$11)/(1-Dashboard!$C$17)*((1+Dashboard!$C$12)^$CZ48),0)</f>
        <v>9862382.9004683606</v>
      </c>
      <c r="EU48" s="126">
        <f ca="1">MAX(EU47*(1+AV48)-(Dashboard!$C$11)/(1-Dashboard!$C$17)*((1+Dashboard!$C$12)^$CZ48),0)</f>
        <v>6784738.4787202375</v>
      </c>
      <c r="EV48" s="126">
        <f ca="1">MAX(EV47*(1+AW48)-(Dashboard!$C$11)/(1-Dashboard!$C$17)*((1+Dashboard!$C$12)^$CZ48),0)</f>
        <v>47052499.459370561</v>
      </c>
      <c r="EW48" s="126">
        <f ca="1">MAX(EW47*(1+AX48)-(Dashboard!$C$11)/(1-Dashboard!$C$17)*((1+Dashboard!$C$12)^$CZ48),0)</f>
        <v>1940595.7037406873</v>
      </c>
      <c r="EX48" s="126">
        <f ca="1">MAX(EX47*(1+AY48)-(Dashboard!$C$11)/(1-Dashboard!$C$17)*((1+Dashboard!$C$12)^$CZ48),0)</f>
        <v>4474932.8104523905</v>
      </c>
      <c r="EY48" s="126">
        <f ca="1">MAX(EY47*(1+AZ48)-(Dashboard!$C$11)/(1-Dashboard!$C$17)*((1+Dashboard!$C$12)^$CZ48),0)</f>
        <v>15488491.545661118</v>
      </c>
      <c r="EZ48" s="126">
        <f ca="1">MAX(EZ47*(1+BA48)-(Dashboard!$C$11)/(1-Dashboard!$C$17)*((1+Dashboard!$C$12)^$CZ48),0)</f>
        <v>3451633.8987240917</v>
      </c>
      <c r="FA48" s="126">
        <f ca="1">MAX(FA47*(1+BB48)-(Dashboard!$C$11)/(1-Dashboard!$C$17)*((1+Dashboard!$C$12)^$CZ48),0)</f>
        <v>39274007.4583214</v>
      </c>
      <c r="FB48" s="126">
        <f ca="1">MAX(FB47*(1+BC48)-(Dashboard!$C$11)/(1-Dashboard!$C$17)*((1+Dashboard!$C$12)^$CZ48),0)</f>
        <v>930452.43968100683</v>
      </c>
      <c r="FC48" s="126">
        <f ca="1">MAX(FC47*(1+BD48)-(Dashboard!$C$11)/(1-Dashboard!$C$17)*((1+Dashboard!$C$12)^$CZ48),0)</f>
        <v>9727627.0231635123</v>
      </c>
      <c r="FD48" s="126">
        <f ca="1">MAX(FD47*(1+BE48)-(Dashboard!$C$11)/(1-Dashboard!$C$17)*((1+Dashboard!$C$12)^$CZ48),0)</f>
        <v>50321426.285264514</v>
      </c>
      <c r="FE48" s="126">
        <f ca="1">MAX(FE47*(1+BF48)-(Dashboard!$C$11)/(1-Dashboard!$C$17)*((1+Dashboard!$C$12)^$CZ48),0)</f>
        <v>27032796.189851206</v>
      </c>
      <c r="FF48" s="126">
        <f ca="1">MAX(FF47*(1+BG48)-(Dashboard!$C$11)/(1-Dashboard!$C$17)*((1+Dashboard!$C$12)^$CZ48),0)</f>
        <v>1967664.8673398681</v>
      </c>
      <c r="FG48" s="126">
        <f ca="1">MAX(FG47*(1+BH48)-(Dashboard!$C$11)/(1-Dashboard!$C$17)*((1+Dashboard!$C$12)^$CZ48),0)</f>
        <v>1807030.5795298915</v>
      </c>
      <c r="FH48" s="126">
        <f ca="1">MAX(FH47*(1+BI48)-(Dashboard!$C$11)/(1-Dashboard!$C$17)*((1+Dashboard!$C$12)^$CZ48),0)</f>
        <v>4800820.8761104262</v>
      </c>
      <c r="FI48" s="126">
        <f ca="1">MAX(FI47*(1+BJ48)-(Dashboard!$C$11)/(1-Dashboard!$C$17)*((1+Dashboard!$C$12)^$CZ48),0)</f>
        <v>19780202.801318854</v>
      </c>
      <c r="FJ48" s="126">
        <f ca="1">MAX(FJ47*(1+BK48)-(Dashboard!$C$11)/(1-Dashboard!$C$17)*((1+Dashboard!$C$12)^$CZ48),0)</f>
        <v>3862587.2104196283</v>
      </c>
      <c r="FK48" s="126">
        <f ca="1">MAX(FK47*(1+BL48)-(Dashboard!$C$11)/(1-Dashboard!$C$17)*((1+Dashboard!$C$12)^$CZ48),0)</f>
        <v>5576264.0576431444</v>
      </c>
      <c r="FL48" s="126">
        <f ca="1">MAX(FL47*(1+BM48)-(Dashboard!$C$11)/(1-Dashboard!$C$17)*((1+Dashboard!$C$12)^$CZ48),0)</f>
        <v>1193346.029723224</v>
      </c>
      <c r="FM48" s="126">
        <f ca="1">MAX(FM47*(1+BN48)-(Dashboard!$C$11)/(1-Dashboard!$C$17)*((1+Dashboard!$C$12)^$CZ48),0)</f>
        <v>7108698.2766350918</v>
      </c>
      <c r="FN48" s="126">
        <f ca="1">MAX(FN47*(1+BO48)-(Dashboard!$C$11)/(1-Dashboard!$C$17)*((1+Dashboard!$C$12)^$CZ48),0)</f>
        <v>0</v>
      </c>
      <c r="FO48" s="126">
        <f ca="1">MAX(FO47*(1+BP48)-(Dashboard!$C$11)/(1-Dashboard!$C$17)*((1+Dashboard!$C$12)^$CZ48),0)</f>
        <v>7606893.7286626361</v>
      </c>
      <c r="FP48" s="126">
        <f ca="1">MAX(FP47*(1+BQ48)-(Dashboard!$C$11)/(1-Dashboard!$C$17)*((1+Dashboard!$C$12)^$CZ48),0)</f>
        <v>2939231.6223843275</v>
      </c>
      <c r="FQ48" s="126">
        <f ca="1">MAX(FQ47*(1+BR48)-(Dashboard!$C$11)/(1-Dashboard!$C$17)*((1+Dashboard!$C$12)^$CZ48),0)</f>
        <v>1248627.2662137807</v>
      </c>
      <c r="FR48" s="126">
        <f ca="1">MAX(FR47*(1+BS48)-(Dashboard!$C$11)/(1-Dashboard!$C$17)*((1+Dashboard!$C$12)^$CZ48),0)</f>
        <v>28744028.813180137</v>
      </c>
      <c r="FS48" s="126">
        <f ca="1">MAX(FS47*(1+BT48)-(Dashboard!$C$11)/(1-Dashboard!$C$17)*((1+Dashboard!$C$12)^$CZ48),0)</f>
        <v>16873741.516090866</v>
      </c>
      <c r="FT48" s="126">
        <f ca="1">MAX(FT47*(1+BU48)-(Dashboard!$C$11)/(1-Dashboard!$C$17)*((1+Dashboard!$C$12)^$CZ48),0)</f>
        <v>0</v>
      </c>
      <c r="FU48" s="126">
        <f ca="1">MAX(FU47*(1+BV48)-(Dashboard!$C$11)/(1-Dashboard!$C$17)*((1+Dashboard!$C$12)^$CZ48),0)</f>
        <v>1352612.7379790253</v>
      </c>
      <c r="FV48" s="126">
        <f ca="1">MAX(FV47*(1+BW48)-(Dashboard!$C$11)/(1-Dashboard!$C$17)*((1+Dashboard!$C$12)^$CZ48),0)</f>
        <v>8172400.1807514988</v>
      </c>
      <c r="FW48" s="126">
        <f ca="1">MAX(FW47*(1+BX48)-(Dashboard!$C$11)/(1-Dashboard!$C$17)*((1+Dashboard!$C$12)^$CZ48),0)</f>
        <v>3002635.015458833</v>
      </c>
      <c r="FX48" s="126">
        <f ca="1">MAX(FX47*(1+BY48)-(Dashboard!$C$11)/(1-Dashboard!$C$17)*((1+Dashboard!$C$12)^$CZ48),0)</f>
        <v>0</v>
      </c>
      <c r="FY48" s="126">
        <f ca="1">MAX(FY47*(1+BZ48)-(Dashboard!$C$11)/(1-Dashboard!$C$17)*((1+Dashboard!$C$12)^$CZ48),0)</f>
        <v>0</v>
      </c>
      <c r="FZ48" s="126">
        <f ca="1">MAX(FZ47*(1+CA48)-(Dashboard!$C$11)/(1-Dashboard!$C$17)*((1+Dashboard!$C$12)^$CZ48),0)</f>
        <v>58612958.304425769</v>
      </c>
      <c r="GA48" s="126">
        <f ca="1">MAX(GA47*(1+CB48)-(Dashboard!$C$11)/(1-Dashboard!$C$17)*((1+Dashboard!$C$12)^$CZ48),0)</f>
        <v>41909474.095516093</v>
      </c>
      <c r="GB48" s="126">
        <f ca="1">MAX(GB47*(1+CC48)-(Dashboard!$C$11)/(1-Dashboard!$C$17)*((1+Dashboard!$C$12)^$CZ48),0)</f>
        <v>4909240.4856181536</v>
      </c>
      <c r="GC48" s="126">
        <f ca="1">MAX(GC47*(1+CD48)-(Dashboard!$C$11)/(1-Dashboard!$C$17)*((1+Dashboard!$C$12)^$CZ48),0)</f>
        <v>9506055.4568860736</v>
      </c>
      <c r="GD48" s="126">
        <f ca="1">MAX(GD47*(1+CE48)-(Dashboard!$C$11)/(1-Dashboard!$C$17)*((1+Dashboard!$C$12)^$CZ48),0)</f>
        <v>80174168.527681664</v>
      </c>
      <c r="GE48" s="126">
        <f ca="1">MAX(GE47*(1+CF48)-(Dashboard!$C$11)/(1-Dashboard!$C$17)*((1+Dashboard!$C$12)^$CZ48),0)</f>
        <v>5284545.6997036766</v>
      </c>
      <c r="GF48" s="126">
        <f ca="1">MAX(GF47*(1+CG48)-(Dashboard!$C$11)/(1-Dashboard!$C$17)*((1+Dashboard!$C$12)^$CZ48),0)</f>
        <v>5724554.2263602717</v>
      </c>
      <c r="GG48" s="126">
        <f ca="1">MAX(GG47*(1+CH48)-(Dashboard!$C$11)/(1-Dashboard!$C$17)*((1+Dashboard!$C$12)^$CZ48),0)</f>
        <v>0</v>
      </c>
      <c r="GH48" s="126">
        <f ca="1">MAX(GH47*(1+CI48)-(Dashboard!$C$11)/(1-Dashboard!$C$17)*((1+Dashboard!$C$12)^$CZ48),0)</f>
        <v>1213646.3122556377</v>
      </c>
      <c r="GI48" s="126">
        <f ca="1">MAX(GI47*(1+CJ48)-(Dashboard!$C$11)/(1-Dashboard!$C$17)*((1+Dashboard!$C$12)^$CZ48),0)</f>
        <v>28665455.213002037</v>
      </c>
      <c r="GJ48" s="126">
        <f ca="1">MAX(GJ47*(1+CK48)-(Dashboard!$C$11)/(1-Dashboard!$C$17)*((1+Dashboard!$C$12)^$CZ48),0)</f>
        <v>29041084.603258014</v>
      </c>
      <c r="GK48" s="126">
        <f ca="1">MAX(GK47*(1+CL48)-(Dashboard!$C$11)/(1-Dashboard!$C$17)*((1+Dashboard!$C$12)^$CZ48),0)</f>
        <v>8651887.0208420847</v>
      </c>
      <c r="GL48" s="126">
        <f ca="1">MAX(GL47*(1+CM48)-(Dashboard!$C$11)/(1-Dashboard!$C$17)*((1+Dashboard!$C$12)^$CZ48),0)</f>
        <v>9499946.8840103261</v>
      </c>
      <c r="GM48" s="126">
        <f ca="1">MAX(GM47*(1+CN48)-(Dashboard!$C$11)/(1-Dashboard!$C$17)*((1+Dashboard!$C$12)^$CZ48),0)</f>
        <v>0</v>
      </c>
      <c r="GN48" s="126">
        <f ca="1">MAX(GN47*(1+CO48)-(Dashboard!$C$11)/(1-Dashboard!$C$17)*((1+Dashboard!$C$12)^$CZ48),0)</f>
        <v>0</v>
      </c>
      <c r="GO48" s="126">
        <f ca="1">MAX(GO47*(1+CP48)-(Dashboard!$C$11)/(1-Dashboard!$C$17)*((1+Dashboard!$C$12)^$CZ48),0)</f>
        <v>3551997.3500019414</v>
      </c>
      <c r="GP48" s="126">
        <f ca="1">MAX(GP47*(1+CQ48)-(Dashboard!$C$11)/(1-Dashboard!$C$17)*((1+Dashboard!$C$12)^$CZ48),0)</f>
        <v>20272656.343417574</v>
      </c>
      <c r="GQ48" s="126">
        <f ca="1">MAX(GQ47*(1+CR48)-(Dashboard!$C$11)/(1-Dashboard!$C$17)*((1+Dashboard!$C$12)^$CZ48),0)</f>
        <v>0</v>
      </c>
      <c r="GR48" s="126">
        <f ca="1">MAX(GR47*(1+CS48)-(Dashboard!$C$11)/(1-Dashboard!$C$17)*((1+Dashboard!$C$12)^$CZ48),0)</f>
        <v>860040.23934567196</v>
      </c>
      <c r="GS48" s="126">
        <f ca="1">MAX(GS47*(1+CT48)-(Dashboard!$C$11)/(1-Dashboard!$C$17)*((1+Dashboard!$C$12)^$CZ48),0)</f>
        <v>19246173.309204578</v>
      </c>
      <c r="GT48" s="126">
        <f ca="1">MAX(GT47*(1+CU48)-(Dashboard!$C$11)/(1-Dashboard!$C$17)*((1+Dashboard!$C$12)^$CZ48),0)</f>
        <v>121525701.25667922</v>
      </c>
      <c r="GU48" s="126">
        <f ca="1">MAX(GU47*(1+CV48)-(Dashboard!$C$11)/(1-Dashboard!$C$17)*((1+Dashboard!$C$12)^$CZ48),0)</f>
        <v>4356313.5467023468</v>
      </c>
      <c r="GV48" s="126">
        <f ca="1">MAX(GV47*(1+CW48)-(Dashboard!$C$11)/(1-Dashboard!$C$17)*((1+Dashboard!$C$12)^$CZ48),0)</f>
        <v>0</v>
      </c>
      <c r="GW48" s="115">
        <f t="shared" si="4"/>
        <v>97</v>
      </c>
      <c r="GX48" s="130">
        <f ca="1">COUNTIF(DA48:GV48,"&gt;0")</f>
        <v>83</v>
      </c>
      <c r="HC48" s="130">
        <f t="shared" si="7"/>
        <v>97</v>
      </c>
      <c r="HD48" s="137">
        <f t="shared" ca="1" si="8"/>
        <v>1222391.5507451734</v>
      </c>
      <c r="HE48" s="137">
        <f t="shared" ca="1" si="8"/>
        <v>5650409.142001708</v>
      </c>
      <c r="HF48" s="137">
        <f t="shared" ca="1" si="8"/>
        <v>18784670.765121657</v>
      </c>
    </row>
    <row r="49" spans="1:214" ht="16">
      <c r="A49" s="145">
        <f t="shared" si="3"/>
        <v>98</v>
      </c>
      <c r="B49" s="119">
        <f ca="1">(Dashboard!$C$7*'Equity and Bond Returns'!N49)+(Dashboard!$C$8*'Equity and Bond Returns'!DL49)</f>
        <v>0.21117179629487781</v>
      </c>
      <c r="C49" s="119">
        <f ca="1">(Dashboard!$C$7*'Equity and Bond Returns'!O49)+(Dashboard!$C$8*'Equity and Bond Returns'!DM49)</f>
        <v>5.7500684121729213E-2</v>
      </c>
      <c r="D49" s="119">
        <f ca="1">(Dashboard!$C$7*'Equity and Bond Returns'!P49)+(Dashboard!$C$8*'Equity and Bond Returns'!DN49)</f>
        <v>0.12559234561999322</v>
      </c>
      <c r="E49" s="119">
        <f ca="1">(Dashboard!$C$7*'Equity and Bond Returns'!Q49)+(Dashboard!$C$8*'Equity and Bond Returns'!DO49)</f>
        <v>-3.5786956849658769E-2</v>
      </c>
      <c r="F49" s="119">
        <f ca="1">(Dashboard!$C$7*'Equity and Bond Returns'!R49)+(Dashboard!$C$8*'Equity and Bond Returns'!DP49)</f>
        <v>-0.11401926615688181</v>
      </c>
      <c r="G49" s="119">
        <f ca="1">(Dashboard!$C$7*'Equity and Bond Returns'!S49)+(Dashboard!$C$8*'Equity and Bond Returns'!DQ49)</f>
        <v>-0.10359620572940725</v>
      </c>
      <c r="H49" s="119">
        <f ca="1">(Dashboard!$C$7*'Equity and Bond Returns'!T49)+(Dashboard!$C$8*'Equity and Bond Returns'!DR49)</f>
        <v>0.16224272314313831</v>
      </c>
      <c r="I49" s="119">
        <f ca="1">(Dashboard!$C$7*'Equity and Bond Returns'!U49)+(Dashboard!$C$8*'Equity and Bond Returns'!DS49)</f>
        <v>0.19416897995441768</v>
      </c>
      <c r="J49" s="119">
        <f ca="1">(Dashboard!$C$7*'Equity and Bond Returns'!V49)+(Dashboard!$C$8*'Equity and Bond Returns'!DT49)</f>
        <v>0.15752749571857061</v>
      </c>
      <c r="K49" s="119">
        <f ca="1">(Dashboard!$C$7*'Equity and Bond Returns'!W49)+(Dashboard!$C$8*'Equity and Bond Returns'!DU49)</f>
        <v>6.7973211899368113E-2</v>
      </c>
      <c r="L49" s="119">
        <f ca="1">(Dashboard!$C$7*'Equity and Bond Returns'!X49)+(Dashboard!$C$8*'Equity and Bond Returns'!DV49)</f>
        <v>6.3327849317017237E-2</v>
      </c>
      <c r="M49" s="119">
        <f ca="1">(Dashboard!$C$7*'Equity and Bond Returns'!Y49)+(Dashboard!$C$8*'Equity and Bond Returns'!DW49)</f>
        <v>0.11933044381922421</v>
      </c>
      <c r="N49" s="119">
        <f ca="1">(Dashboard!$C$7*'Equity and Bond Returns'!Z49)+(Dashboard!$C$8*'Equity and Bond Returns'!DX49)</f>
        <v>0.27565210134100315</v>
      </c>
      <c r="O49" s="119">
        <f ca="1">(Dashboard!$C$7*'Equity and Bond Returns'!AA49)+(Dashboard!$C$8*'Equity and Bond Returns'!DY49)</f>
        <v>0.10584543247790711</v>
      </c>
      <c r="P49" s="119">
        <f ca="1">(Dashboard!$C$7*'Equity and Bond Returns'!AB49)+(Dashboard!$C$8*'Equity and Bond Returns'!DZ49)</f>
        <v>3.9861452488370065E-2</v>
      </c>
      <c r="Q49" s="119">
        <f ca="1">(Dashboard!$C$7*'Equity and Bond Returns'!AC49)+(Dashboard!$C$8*'Equity and Bond Returns'!EA49)</f>
        <v>-9.7080939089108545E-2</v>
      </c>
      <c r="R49" s="119">
        <f ca="1">(Dashboard!$C$7*'Equity and Bond Returns'!AD49)+(Dashboard!$C$8*'Equity and Bond Returns'!EB49)</f>
        <v>0.22927684327832648</v>
      </c>
      <c r="S49" s="119">
        <f ca="1">(Dashboard!$C$7*'Equity and Bond Returns'!AE49)+(Dashboard!$C$8*'Equity and Bond Returns'!EC49)</f>
        <v>-0.3690563097815166</v>
      </c>
      <c r="T49" s="119">
        <f ca="1">(Dashboard!$C$7*'Equity and Bond Returns'!AF49)+(Dashboard!$C$8*'Equity and Bond Returns'!ED49)</f>
        <v>0.19156676000162015</v>
      </c>
      <c r="U49" s="119">
        <f ca="1">(Dashboard!$C$7*'Equity and Bond Returns'!AG49)+(Dashboard!$C$8*'Equity and Bond Returns'!EE49)</f>
        <v>-2.7728425099525486E-2</v>
      </c>
      <c r="V49" s="119">
        <f ca="1">(Dashboard!$C$7*'Equity and Bond Returns'!AH49)+(Dashboard!$C$8*'Equity and Bond Returns'!EF49)</f>
        <v>0.10135189561724572</v>
      </c>
      <c r="W49" s="119">
        <f ca="1">(Dashboard!$C$7*'Equity and Bond Returns'!AI49)+(Dashboard!$C$8*'Equity and Bond Returns'!EG49)</f>
        <v>0.16514692364123845</v>
      </c>
      <c r="X49" s="119">
        <f ca="1">(Dashboard!$C$7*'Equity and Bond Returns'!AJ49)+(Dashboard!$C$8*'Equity and Bond Returns'!EH49)</f>
        <v>0.31036748136028364</v>
      </c>
      <c r="Y49" s="119">
        <f ca="1">(Dashboard!$C$7*'Equity and Bond Returns'!AK49)+(Dashboard!$C$8*'Equity and Bond Returns'!EI49)</f>
        <v>0.22792889850584075</v>
      </c>
      <c r="Z49" s="119">
        <f ca="1">(Dashboard!$C$7*'Equity and Bond Returns'!AL49)+(Dashboard!$C$8*'Equity and Bond Returns'!EJ49)</f>
        <v>0.11326632807337655</v>
      </c>
      <c r="AA49" s="119">
        <f ca="1">(Dashboard!$C$7*'Equity and Bond Returns'!AM49)+(Dashboard!$C$8*'Equity and Bond Returns'!EK49)</f>
        <v>-0.10546936440235861</v>
      </c>
      <c r="AB49" s="119">
        <f ca="1">(Dashboard!$C$7*'Equity and Bond Returns'!AN49)+(Dashboard!$C$8*'Equity and Bond Returns'!EL49)</f>
        <v>-6.3106284589362655E-2</v>
      </c>
      <c r="AC49" s="119">
        <f ca="1">(Dashboard!$C$7*'Equity and Bond Returns'!AO49)+(Dashboard!$C$8*'Equity and Bond Returns'!EM49)</f>
        <v>-9.9809926075166991E-2</v>
      </c>
      <c r="AD49" s="119">
        <f ca="1">(Dashboard!$C$7*'Equity and Bond Returns'!AP49)+(Dashboard!$C$8*'Equity and Bond Returns'!EN49)</f>
        <v>8.9276388586792627E-2</v>
      </c>
      <c r="AE49" s="119">
        <f ca="1">(Dashboard!$C$7*'Equity and Bond Returns'!AQ49)+(Dashboard!$C$8*'Equity and Bond Returns'!EO49)</f>
        <v>0.29995137014204026</v>
      </c>
      <c r="AF49" s="119">
        <f ca="1">(Dashboard!$C$7*'Equity and Bond Returns'!AR49)+(Dashboard!$C$8*'Equity and Bond Returns'!EP49)</f>
        <v>0.17045715999429162</v>
      </c>
      <c r="AG49" s="119">
        <f ca="1">(Dashboard!$C$7*'Equity and Bond Returns'!AS49)+(Dashboard!$C$8*'Equity and Bond Returns'!EQ49)</f>
        <v>-0.11968523082794336</v>
      </c>
      <c r="AH49" s="119">
        <f ca="1">(Dashboard!$C$7*'Equity and Bond Returns'!AT49)+(Dashboard!$C$8*'Equity and Bond Returns'!ER49)</f>
        <v>7.9581578378368392E-2</v>
      </c>
      <c r="AI49" s="119">
        <f ca="1">(Dashboard!$C$7*'Equity and Bond Returns'!AU49)+(Dashboard!$C$8*'Equity and Bond Returns'!ES49)</f>
        <v>0.22141182273251628</v>
      </c>
      <c r="AJ49" s="119">
        <f ca="1">(Dashboard!$C$7*'Equity and Bond Returns'!AV49)+(Dashboard!$C$8*'Equity and Bond Returns'!ET49)</f>
        <v>0.13659151446176687</v>
      </c>
      <c r="AK49" s="119">
        <f ca="1">(Dashboard!$C$7*'Equity and Bond Returns'!AW49)+(Dashboard!$C$8*'Equity and Bond Returns'!EU49)</f>
        <v>0.1443460019350466</v>
      </c>
      <c r="AL49" s="119">
        <f ca="1">(Dashboard!$C$7*'Equity and Bond Returns'!AX49)+(Dashboard!$C$8*'Equity and Bond Returns'!EV49)</f>
        <v>-0.16086264914691401</v>
      </c>
      <c r="AM49" s="119">
        <f ca="1">(Dashboard!$C$7*'Equity and Bond Returns'!AY49)+(Dashboard!$C$8*'Equity and Bond Returns'!EW49)</f>
        <v>0.10953415857937901</v>
      </c>
      <c r="AN49" s="119">
        <f ca="1">(Dashboard!$C$7*'Equity and Bond Returns'!AZ49)+(Dashboard!$C$8*'Equity and Bond Returns'!EX49)</f>
        <v>-7.0502143789652666E-2</v>
      </c>
      <c r="AO49" s="119">
        <f ca="1">(Dashboard!$C$7*'Equity and Bond Returns'!BA49)+(Dashboard!$C$8*'Equity and Bond Returns'!EY49)</f>
        <v>0.27846737226007984</v>
      </c>
      <c r="AP49" s="119">
        <f ca="1">(Dashboard!$C$7*'Equity and Bond Returns'!BB49)+(Dashboard!$C$8*'Equity and Bond Returns'!EZ49)</f>
        <v>0.11114429748502899</v>
      </c>
      <c r="AQ49" s="119">
        <f ca="1">(Dashboard!$C$7*'Equity and Bond Returns'!BC49)+(Dashboard!$C$8*'Equity and Bond Returns'!FA49)</f>
        <v>0.10687611477685581</v>
      </c>
      <c r="AR49" s="119">
        <f ca="1">(Dashboard!$C$7*'Equity and Bond Returns'!BD49)+(Dashboard!$C$8*'Equity and Bond Returns'!FB49)</f>
        <v>-0.19098909037433878</v>
      </c>
      <c r="AS49" s="119">
        <f ca="1">(Dashboard!$C$7*'Equity and Bond Returns'!BE49)+(Dashboard!$C$8*'Equity and Bond Returns'!FC49)</f>
        <v>-6.1819369103172483E-2</v>
      </c>
      <c r="AT49" s="119">
        <f ca="1">(Dashboard!$C$7*'Equity and Bond Returns'!BF49)+(Dashboard!$C$8*'Equity and Bond Returns'!FD49)</f>
        <v>3.2755374772005422E-2</v>
      </c>
      <c r="AU49" s="119">
        <f ca="1">(Dashboard!$C$7*'Equity and Bond Returns'!BG49)+(Dashboard!$C$8*'Equity and Bond Returns'!FE49)</f>
        <v>0.28382869399173521</v>
      </c>
      <c r="AV49" s="119">
        <f ca="1">(Dashboard!$C$7*'Equity and Bond Returns'!BH49)+(Dashboard!$C$8*'Equity and Bond Returns'!FF49)</f>
        <v>8.7921526483750539E-2</v>
      </c>
      <c r="AW49" s="119">
        <f ca="1">(Dashboard!$C$7*'Equity and Bond Returns'!BI49)+(Dashboard!$C$8*'Equity and Bond Returns'!FG49)</f>
        <v>0.29972077897404892</v>
      </c>
      <c r="AX49" s="119">
        <f ca="1">(Dashboard!$C$7*'Equity and Bond Returns'!BJ49)+(Dashboard!$C$8*'Equity and Bond Returns'!FH49)</f>
        <v>0.20760564039980214</v>
      </c>
      <c r="AY49" s="119">
        <f ca="1">(Dashboard!$C$7*'Equity and Bond Returns'!BK49)+(Dashboard!$C$8*'Equity and Bond Returns'!FI49)</f>
        <v>0.20902122008522372</v>
      </c>
      <c r="AZ49" s="119">
        <f ca="1">(Dashboard!$C$7*'Equity and Bond Returns'!BL49)+(Dashboard!$C$8*'Equity and Bond Returns'!FJ49)</f>
        <v>5.548560706358649E-2</v>
      </c>
      <c r="BA49" s="119">
        <f ca="1">(Dashboard!$C$7*'Equity and Bond Returns'!BM49)+(Dashboard!$C$8*'Equity and Bond Returns'!FK49)</f>
        <v>0.23116116054791019</v>
      </c>
      <c r="BB49" s="119">
        <f ca="1">(Dashboard!$C$7*'Equity and Bond Returns'!BN49)+(Dashboard!$C$8*'Equity and Bond Returns'!FL49)</f>
        <v>-8.7256544796877278E-2</v>
      </c>
      <c r="BC49" s="119">
        <f ca="1">(Dashboard!$C$7*'Equity and Bond Returns'!BO49)+(Dashboard!$C$8*'Equity and Bond Returns'!FM49)</f>
        <v>-0.18542299045393923</v>
      </c>
      <c r="BD49" s="119">
        <f ca="1">(Dashboard!$C$7*'Equity and Bond Returns'!BP49)+(Dashboard!$C$8*'Equity and Bond Returns'!FN49)</f>
        <v>0.25700002664353988</v>
      </c>
      <c r="BE49" s="119">
        <f ca="1">(Dashboard!$C$7*'Equity and Bond Returns'!BQ49)+(Dashboard!$C$8*'Equity and Bond Returns'!FO49)</f>
        <v>-0.12110993310580292</v>
      </c>
      <c r="BF49" s="119">
        <f ca="1">(Dashboard!$C$7*'Equity and Bond Returns'!BR49)+(Dashboard!$C$8*'Equity and Bond Returns'!FP49)</f>
        <v>2.2394498346844587E-2</v>
      </c>
      <c r="BG49" s="119">
        <f ca="1">(Dashboard!$C$7*'Equity and Bond Returns'!BS49)+(Dashboard!$C$8*'Equity and Bond Returns'!FQ49)</f>
        <v>0.22063916914470294</v>
      </c>
      <c r="BH49" s="119">
        <f ca="1">(Dashboard!$C$7*'Equity and Bond Returns'!BT49)+(Dashboard!$C$8*'Equity and Bond Returns'!FR49)</f>
        <v>-9.4559876166985246E-2</v>
      </c>
      <c r="BI49" s="119">
        <f ca="1">(Dashboard!$C$7*'Equity and Bond Returns'!BU49)+(Dashboard!$C$8*'Equity and Bond Returns'!FS49)</f>
        <v>6.2350360070672725E-2</v>
      </c>
      <c r="BJ49" s="119">
        <f ca="1">(Dashboard!$C$7*'Equity and Bond Returns'!BV49)+(Dashboard!$C$8*'Equity and Bond Returns'!FT49)</f>
        <v>0.20196516223404501</v>
      </c>
      <c r="BK49" s="119">
        <f ca="1">(Dashboard!$C$7*'Equity and Bond Returns'!BW49)+(Dashboard!$C$8*'Equity and Bond Returns'!FU49)</f>
        <v>9.3634625852181783E-2</v>
      </c>
      <c r="BL49" s="119">
        <f ca="1">(Dashboard!$C$7*'Equity and Bond Returns'!BX49)+(Dashboard!$C$8*'Equity and Bond Returns'!FV49)</f>
        <v>7.9968052496700442E-2</v>
      </c>
      <c r="BM49" s="119">
        <f ca="1">(Dashboard!$C$7*'Equity and Bond Returns'!BY49)+(Dashboard!$C$8*'Equity and Bond Returns'!FW49)</f>
        <v>0.14458554942315896</v>
      </c>
      <c r="BN49" s="119">
        <f ca="1">(Dashboard!$C$7*'Equity and Bond Returns'!BZ49)+(Dashboard!$C$8*'Equity and Bond Returns'!FX49)</f>
        <v>-0.16517861456419378</v>
      </c>
      <c r="BO49" s="119">
        <f ca="1">(Dashboard!$C$7*'Equity and Bond Returns'!CA49)+(Dashboard!$C$8*'Equity and Bond Returns'!FY49)</f>
        <v>0.11552694724960449</v>
      </c>
      <c r="BP49" s="119">
        <f ca="1">(Dashboard!$C$7*'Equity and Bond Returns'!CB49)+(Dashboard!$C$8*'Equity and Bond Returns'!FZ49)</f>
        <v>0.28809675892151804</v>
      </c>
      <c r="BQ49" s="119">
        <f ca="1">(Dashboard!$C$7*'Equity and Bond Returns'!CC49)+(Dashboard!$C$8*'Equity and Bond Returns'!GA49)</f>
        <v>0.29926006934482968</v>
      </c>
      <c r="BR49" s="119">
        <f ca="1">(Dashboard!$C$7*'Equity and Bond Returns'!CD49)+(Dashboard!$C$8*'Equity and Bond Returns'!GB49)</f>
        <v>0.10056574372847962</v>
      </c>
      <c r="BS49" s="119">
        <f ca="1">(Dashboard!$C$7*'Equity and Bond Returns'!CE49)+(Dashboard!$C$8*'Equity and Bond Returns'!GC49)</f>
        <v>0.11934259029680527</v>
      </c>
      <c r="BT49" s="119">
        <f ca="1">(Dashboard!$C$7*'Equity and Bond Returns'!CF49)+(Dashboard!$C$8*'Equity and Bond Returns'!GD49)</f>
        <v>0.26052452076739202</v>
      </c>
      <c r="BU49" s="119">
        <f ca="1">(Dashboard!$C$7*'Equity and Bond Returns'!CG49)+(Dashboard!$C$8*'Equity and Bond Returns'!GE49)</f>
        <v>0.22406516664763346</v>
      </c>
      <c r="BV49" s="119">
        <f ca="1">(Dashboard!$C$7*'Equity and Bond Returns'!CH49)+(Dashboard!$C$8*'Equity and Bond Returns'!GF49)</f>
        <v>0.37474244611893753</v>
      </c>
      <c r="BW49" s="119">
        <f ca="1">(Dashboard!$C$7*'Equity and Bond Returns'!CI49)+(Dashboard!$C$8*'Equity and Bond Returns'!GG49)</f>
        <v>1.9818985413714491E-2</v>
      </c>
      <c r="BX49" s="119">
        <f ca="1">(Dashboard!$C$7*'Equity and Bond Returns'!CJ49)+(Dashboard!$C$8*'Equity and Bond Returns'!GH49)</f>
        <v>0.339818276558284</v>
      </c>
      <c r="BY49" s="119">
        <f ca="1">(Dashboard!$C$7*'Equity and Bond Returns'!CK49)+(Dashboard!$C$8*'Equity and Bond Returns'!GI49)</f>
        <v>-0.12842181453367496</v>
      </c>
      <c r="BZ49" s="119">
        <f ca="1">(Dashboard!$C$7*'Equity and Bond Returns'!CL49)+(Dashboard!$C$8*'Equity and Bond Returns'!GJ49)</f>
        <v>4.324069806542321E-2</v>
      </c>
      <c r="CA49" s="119">
        <f ca="1">(Dashboard!$C$7*'Equity and Bond Returns'!CM49)+(Dashboard!$C$8*'Equity and Bond Returns'!GK49)</f>
        <v>0.33836039274086921</v>
      </c>
      <c r="CB49" s="119">
        <f ca="1">(Dashboard!$C$7*'Equity and Bond Returns'!CN49)+(Dashboard!$C$8*'Equity and Bond Returns'!GL49)</f>
        <v>-0.1908526230932556</v>
      </c>
      <c r="CC49" s="119">
        <f ca="1">(Dashboard!$C$7*'Equity and Bond Returns'!CO49)+(Dashboard!$C$8*'Equity and Bond Returns'!GM49)</f>
        <v>-3.6240043595755264E-2</v>
      </c>
      <c r="CD49" s="119">
        <f ca="1">(Dashboard!$C$7*'Equity and Bond Returns'!CP49)+(Dashboard!$C$8*'Equity and Bond Returns'!GN49)</f>
        <v>-4.680318646970065E-2</v>
      </c>
      <c r="CE49" s="119">
        <f ca="1">(Dashboard!$C$7*'Equity and Bond Returns'!CQ49)+(Dashboard!$C$8*'Equity and Bond Returns'!GO49)</f>
        <v>0.22079225416979018</v>
      </c>
      <c r="CF49" s="119">
        <f ca="1">(Dashboard!$C$7*'Equity and Bond Returns'!CR49)+(Dashboard!$C$8*'Equity and Bond Returns'!GP49)</f>
        <v>0.35046035862820485</v>
      </c>
      <c r="CG49" s="119">
        <f ca="1">(Dashboard!$C$7*'Equity and Bond Returns'!CS49)+(Dashboard!$C$8*'Equity and Bond Returns'!GQ49)</f>
        <v>7.6636329899435751E-2</v>
      </c>
      <c r="CH49" s="119">
        <f ca="1">(Dashboard!$C$7*'Equity and Bond Returns'!CT49)+(Dashboard!$C$8*'Equity and Bond Returns'!GR49)</f>
        <v>9.5929947337285965E-2</v>
      </c>
      <c r="CI49" s="119">
        <f ca="1">(Dashboard!$C$7*'Equity and Bond Returns'!CU49)+(Dashboard!$C$8*'Equity and Bond Returns'!GS49)</f>
        <v>0.15620761286793322</v>
      </c>
      <c r="CJ49" s="119">
        <f ca="1">(Dashboard!$C$7*'Equity and Bond Returns'!CV49)+(Dashboard!$C$8*'Equity and Bond Returns'!GT49)</f>
        <v>2.998799500988962E-3</v>
      </c>
      <c r="CK49" s="119">
        <f ca="1">(Dashboard!$C$7*'Equity and Bond Returns'!CW49)+(Dashboard!$C$8*'Equity and Bond Returns'!GU49)</f>
        <v>6.842446984317635E-2</v>
      </c>
      <c r="CL49" s="119">
        <f ca="1">(Dashboard!$C$7*'Equity and Bond Returns'!CX49)+(Dashboard!$C$8*'Equity and Bond Returns'!GV49)</f>
        <v>0.43084122627114235</v>
      </c>
      <c r="CM49" s="119">
        <f ca="1">(Dashboard!$C$7*'Equity and Bond Returns'!CY49)+(Dashboard!$C$8*'Equity and Bond Returns'!GW49)</f>
        <v>8.1778267739436861E-3</v>
      </c>
      <c r="CN49" s="119">
        <f ca="1">(Dashboard!$C$7*'Equity and Bond Returns'!CZ49)+(Dashboard!$C$8*'Equity and Bond Returns'!GX49)</f>
        <v>4.2863162195452595E-2</v>
      </c>
      <c r="CO49" s="119">
        <f ca="1">(Dashboard!$C$7*'Equity and Bond Returns'!DA49)+(Dashboard!$C$8*'Equity and Bond Returns'!GY49)</f>
        <v>0.2097951868685316</v>
      </c>
      <c r="CP49" s="119">
        <f ca="1">(Dashboard!$C$7*'Equity and Bond Returns'!DB49)+(Dashboard!$C$8*'Equity and Bond Returns'!GZ49)</f>
        <v>2.196623303033772E-2</v>
      </c>
      <c r="CQ49" s="119">
        <f ca="1">(Dashboard!$C$7*'Equity and Bond Returns'!DC49)+(Dashboard!$C$8*'Equity and Bond Returns'!HA49)</f>
        <v>0.34222680105282832</v>
      </c>
      <c r="CR49" s="119">
        <f ca="1">(Dashboard!$C$7*'Equity and Bond Returns'!DD49)+(Dashboard!$C$8*'Equity and Bond Returns'!HB49)</f>
        <v>-4.2563037994375233E-2</v>
      </c>
      <c r="CS49" s="119">
        <f ca="1">(Dashboard!$C$7*'Equity and Bond Returns'!DE49)+(Dashboard!$C$8*'Equity and Bond Returns'!HC49)</f>
        <v>0.23081630629176994</v>
      </c>
      <c r="CT49" s="119">
        <f ca="1">(Dashboard!$C$7*'Equity and Bond Returns'!DF49)+(Dashboard!$C$8*'Equity and Bond Returns'!HD49)</f>
        <v>0.17549479986212471</v>
      </c>
      <c r="CU49" s="119">
        <f ca="1">(Dashboard!$C$7*'Equity and Bond Returns'!DG49)+(Dashboard!$C$8*'Equity and Bond Returns'!HE49)</f>
        <v>0.32499690082802218</v>
      </c>
      <c r="CV49" s="119">
        <f ca="1">(Dashboard!$C$7*'Equity and Bond Returns'!DH49)+(Dashboard!$C$8*'Equity and Bond Returns'!HF49)</f>
        <v>-9.1379802671996316E-2</v>
      </c>
      <c r="CW49" s="119">
        <f ca="1">(Dashboard!$C$7*'Equity and Bond Returns'!DI49)+(Dashboard!$C$8*'Equity and Bond Returns'!HG49)</f>
        <v>-1.2111403841743563E-2</v>
      </c>
      <c r="CY49" s="147">
        <f t="shared" si="5"/>
        <v>98</v>
      </c>
      <c r="CZ49" s="147">
        <v>48</v>
      </c>
      <c r="DA49" s="126">
        <f ca="1">MAX(DA48*(1+B49)-(Dashboard!$C$11)/(1-Dashboard!$C$17)*((1+Dashboard!$C$12)^$CZ49),0)</f>
        <v>25268166.583113875</v>
      </c>
      <c r="DB49" s="126">
        <f ca="1">MAX(DB48*(1+C49)-(Dashboard!$C$11)/(1-Dashboard!$C$17)*((1+Dashboard!$C$12)^$CZ49),0)</f>
        <v>0</v>
      </c>
      <c r="DC49" s="126">
        <f ca="1">MAX(DC48*(1+D49)-(Dashboard!$C$11)/(1-Dashboard!$C$17)*((1+Dashboard!$C$12)^$CZ49),0)</f>
        <v>11040329.604021711</v>
      </c>
      <c r="DD49" s="126">
        <f ca="1">MAX(DD48*(1+E49)-(Dashboard!$C$11)/(1-Dashboard!$C$17)*((1+Dashboard!$C$12)^$CZ49),0)</f>
        <v>0</v>
      </c>
      <c r="DE49" s="126">
        <f ca="1">MAX(DE48*(1+F49)-(Dashboard!$C$11)/(1-Dashboard!$C$17)*((1+Dashboard!$C$12)^$CZ49),0)</f>
        <v>11902745.00245806</v>
      </c>
      <c r="DF49" s="126">
        <f ca="1">MAX(DF48*(1+G49)-(Dashboard!$C$11)/(1-Dashboard!$C$17)*((1+Dashboard!$C$12)^$CZ49),0)</f>
        <v>16126777.383959735</v>
      </c>
      <c r="DG49" s="126">
        <f ca="1">MAX(DG48*(1+H49)-(Dashboard!$C$11)/(1-Dashboard!$C$17)*((1+Dashboard!$C$12)^$CZ49),0)</f>
        <v>0</v>
      </c>
      <c r="DH49" s="126">
        <f ca="1">MAX(DH48*(1+I49)-(Dashboard!$C$11)/(1-Dashboard!$C$17)*((1+Dashboard!$C$12)^$CZ49),0)</f>
        <v>47828744.656648085</v>
      </c>
      <c r="DI49" s="126">
        <f ca="1">MAX(DI48*(1+J49)-(Dashboard!$C$11)/(1-Dashboard!$C$17)*((1+Dashboard!$C$12)^$CZ49),0)</f>
        <v>9046442.3912086654</v>
      </c>
      <c r="DJ49" s="126">
        <f ca="1">MAX(DJ48*(1+K49)-(Dashboard!$C$11)/(1-Dashboard!$C$17)*((1+Dashboard!$C$12)^$CZ49),0)</f>
        <v>11235316.785777505</v>
      </c>
      <c r="DK49" s="126">
        <f ca="1">MAX(DK48*(1+L49)-(Dashboard!$C$11)/(1-Dashboard!$C$17)*((1+Dashboard!$C$12)^$CZ49),0)</f>
        <v>6892117.8527924074</v>
      </c>
      <c r="DL49" s="126">
        <f ca="1">MAX(DL48*(1+M49)-(Dashboard!$C$11)/(1-Dashboard!$C$17)*((1+Dashboard!$C$12)^$CZ49),0)</f>
        <v>1223764.6879650608</v>
      </c>
      <c r="DM49" s="126">
        <f ca="1">MAX(DM48*(1+N49)-(Dashboard!$C$11)/(1-Dashboard!$C$17)*((1+Dashboard!$C$12)^$CZ49),0)</f>
        <v>27036036.214965075</v>
      </c>
      <c r="DN49" s="126">
        <f ca="1">MAX(DN48*(1+O49)-(Dashboard!$C$11)/(1-Dashboard!$C$17)*((1+Dashboard!$C$12)^$CZ49),0)</f>
        <v>166078514.7156623</v>
      </c>
      <c r="DO49" s="126">
        <f ca="1">MAX(DO48*(1+P49)-(Dashboard!$C$11)/(1-Dashboard!$C$17)*((1+Dashboard!$C$12)^$CZ49),0)</f>
        <v>4798884.6403463492</v>
      </c>
      <c r="DP49" s="126">
        <f ca="1">MAX(DP48*(1+Q49)-(Dashboard!$C$11)/(1-Dashboard!$C$17)*((1+Dashboard!$C$12)^$CZ49),0)</f>
        <v>614518.39233697939</v>
      </c>
      <c r="DQ49" s="126">
        <f ca="1">MAX(DQ48*(1+R49)-(Dashboard!$C$11)/(1-Dashboard!$C$17)*((1+Dashboard!$C$12)^$CZ49),0)</f>
        <v>7282594.5902212327</v>
      </c>
      <c r="DR49" s="126">
        <f ca="1">MAX(DR48*(1+S49)-(Dashboard!$C$11)/(1-Dashboard!$C$17)*((1+Dashboard!$C$12)^$CZ49),0)</f>
        <v>15115757.114774477</v>
      </c>
      <c r="DS49" s="126">
        <f ca="1">MAX(DS48*(1+T49)-(Dashboard!$C$11)/(1-Dashboard!$C$17)*((1+Dashboard!$C$12)^$CZ49),0)</f>
        <v>0</v>
      </c>
      <c r="DT49" s="126">
        <f ca="1">MAX(DT48*(1+U49)-(Dashboard!$C$11)/(1-Dashboard!$C$17)*((1+Dashboard!$C$12)^$CZ49),0)</f>
        <v>447276.05885151989</v>
      </c>
      <c r="DU49" s="126">
        <f ca="1">MAX(DU48*(1+V49)-(Dashboard!$C$11)/(1-Dashboard!$C$17)*((1+Dashboard!$C$12)^$CZ49),0)</f>
        <v>5876789.1972280564</v>
      </c>
      <c r="DV49" s="126">
        <f ca="1">MAX(DV48*(1+W49)-(Dashboard!$C$11)/(1-Dashboard!$C$17)*((1+Dashboard!$C$12)^$CZ49),0)</f>
        <v>80246624.971311793</v>
      </c>
      <c r="DW49" s="126">
        <f ca="1">MAX(DW48*(1+X49)-(Dashboard!$C$11)/(1-Dashboard!$C$17)*((1+Dashboard!$C$12)^$CZ49),0)</f>
        <v>7044731.6827208614</v>
      </c>
      <c r="DX49" s="126">
        <f ca="1">MAX(DX48*(1+Y49)-(Dashboard!$C$11)/(1-Dashboard!$C$17)*((1+Dashboard!$C$12)^$CZ49),0)</f>
        <v>3001101.2053196132</v>
      </c>
      <c r="DY49" s="126">
        <f ca="1">MAX(DY48*(1+Z49)-(Dashboard!$C$11)/(1-Dashboard!$C$17)*((1+Dashboard!$C$12)^$CZ49),0)</f>
        <v>26112972.23789335</v>
      </c>
      <c r="DZ49" s="126">
        <f ca="1">MAX(DZ48*(1+AA49)-(Dashboard!$C$11)/(1-Dashboard!$C$17)*((1+Dashboard!$C$12)^$CZ49),0)</f>
        <v>7036949.2365289349</v>
      </c>
      <c r="EA49" s="126">
        <f ca="1">MAX(EA48*(1+AB49)-(Dashboard!$C$11)/(1-Dashboard!$C$17)*((1+Dashboard!$C$12)^$CZ49),0)</f>
        <v>4130378.6067621694</v>
      </c>
      <c r="EB49" s="126">
        <f ca="1">MAX(EB48*(1+AC49)-(Dashboard!$C$11)/(1-Dashboard!$C$17)*((1+Dashboard!$C$12)^$CZ49),0)</f>
        <v>9800216.4400819298</v>
      </c>
      <c r="EC49" s="126">
        <f ca="1">MAX(EC48*(1+AD49)-(Dashboard!$C$11)/(1-Dashboard!$C$17)*((1+Dashboard!$C$12)^$CZ49),0)</f>
        <v>15685741.461434264</v>
      </c>
      <c r="ED49" s="126">
        <f ca="1">MAX(ED48*(1+AE49)-(Dashboard!$C$11)/(1-Dashboard!$C$17)*((1+Dashboard!$C$12)^$CZ49),0)</f>
        <v>8328441.2228797358</v>
      </c>
      <c r="EE49" s="126">
        <f ca="1">MAX(EE48*(1+AF49)-(Dashboard!$C$11)/(1-Dashboard!$C$17)*((1+Dashboard!$C$12)^$CZ49),0)</f>
        <v>26594805.539278034</v>
      </c>
      <c r="EF49" s="126">
        <f ca="1">MAX(EF48*(1+AG49)-(Dashboard!$C$11)/(1-Dashboard!$C$17)*((1+Dashboard!$C$12)^$CZ49),0)</f>
        <v>0</v>
      </c>
      <c r="EG49" s="126">
        <f ca="1">MAX(EG48*(1+AH49)-(Dashboard!$C$11)/(1-Dashboard!$C$17)*((1+Dashboard!$C$12)^$CZ49),0)</f>
        <v>23868826.887205232</v>
      </c>
      <c r="EH49" s="126">
        <f ca="1">MAX(EH48*(1+AI49)-(Dashboard!$C$11)/(1-Dashboard!$C$17)*((1+Dashboard!$C$12)^$CZ49),0)</f>
        <v>22848203.33005337</v>
      </c>
      <c r="EI49" s="126">
        <f ca="1">MAX(EI48*(1+AJ49)-(Dashboard!$C$11)/(1-Dashboard!$C$17)*((1+Dashboard!$C$12)^$CZ49),0)</f>
        <v>0</v>
      </c>
      <c r="EJ49" s="126">
        <f ca="1">MAX(EJ48*(1+AK49)-(Dashboard!$C$11)/(1-Dashboard!$C$17)*((1+Dashboard!$C$12)^$CZ49),0)</f>
        <v>21414179.359311536</v>
      </c>
      <c r="EK49" s="126">
        <f ca="1">MAX(EK48*(1+AL49)-(Dashboard!$C$11)/(1-Dashboard!$C$17)*((1+Dashboard!$C$12)^$CZ49),0)</f>
        <v>3206009.2301035109</v>
      </c>
      <c r="EL49" s="126">
        <f ca="1">MAX(EL48*(1+AM49)-(Dashboard!$C$11)/(1-Dashboard!$C$17)*((1+Dashboard!$C$12)^$CZ49),0)</f>
        <v>4677300.5857160455</v>
      </c>
      <c r="EM49" s="126">
        <f ca="1">MAX(EM48*(1+AN49)-(Dashboard!$C$11)/(1-Dashboard!$C$17)*((1+Dashboard!$C$12)^$CZ49),0)</f>
        <v>46083917.773316607</v>
      </c>
      <c r="EN49" s="126">
        <f ca="1">MAX(EN48*(1+AO49)-(Dashboard!$C$11)/(1-Dashboard!$C$17)*((1+Dashboard!$C$12)^$CZ49),0)</f>
        <v>3691811.441993122</v>
      </c>
      <c r="EO49" s="126">
        <f ca="1">MAX(EO48*(1+AP49)-(Dashboard!$C$11)/(1-Dashboard!$C$17)*((1+Dashboard!$C$12)^$CZ49),0)</f>
        <v>0</v>
      </c>
      <c r="EP49" s="126">
        <f ca="1">MAX(EP48*(1+AQ49)-(Dashboard!$C$11)/(1-Dashboard!$C$17)*((1+Dashboard!$C$12)^$CZ49),0)</f>
        <v>4908699.9386596838</v>
      </c>
      <c r="EQ49" s="126">
        <f ca="1">MAX(EQ48*(1+AR49)-(Dashboard!$C$11)/(1-Dashboard!$C$17)*((1+Dashboard!$C$12)^$CZ49),0)</f>
        <v>5477081.8004402649</v>
      </c>
      <c r="ER49" s="126">
        <f ca="1">MAX(ER48*(1+AS49)-(Dashboard!$C$11)/(1-Dashboard!$C$17)*((1+Dashboard!$C$12)^$CZ49),0)</f>
        <v>0</v>
      </c>
      <c r="ES49" s="126">
        <f ca="1">MAX(ES48*(1+AT49)-(Dashboard!$C$11)/(1-Dashboard!$C$17)*((1+Dashboard!$C$12)^$CZ49),0)</f>
        <v>55225851.702511519</v>
      </c>
      <c r="ET49" s="126">
        <f ca="1">MAX(ET48*(1+AU49)-(Dashboard!$C$11)/(1-Dashboard!$C$17)*((1+Dashboard!$C$12)^$CZ49),0)</f>
        <v>12576382.463744976</v>
      </c>
      <c r="EU49" s="126">
        <f ca="1">MAX(EU48*(1+AV49)-(Dashboard!$C$11)/(1-Dashboard!$C$17)*((1+Dashboard!$C$12)^$CZ49),0)</f>
        <v>7296035.3475526199</v>
      </c>
      <c r="EV49" s="126">
        <f ca="1">MAX(EV48*(1+AW49)-(Dashboard!$C$11)/(1-Dashboard!$C$17)*((1+Dashboard!$C$12)^$CZ49),0)</f>
        <v>61069883.554999389</v>
      </c>
      <c r="EW49" s="126">
        <f ca="1">MAX(EW48*(1+AX49)-(Dashboard!$C$11)/(1-Dashboard!$C$17)*((1+Dashboard!$C$12)^$CZ49),0)</f>
        <v>2258246.6225631367</v>
      </c>
      <c r="EX49" s="126">
        <f ca="1">MAX(EX48*(1+AY49)-(Dashboard!$C$11)/(1-Dashboard!$C$17)*((1+Dashboard!$C$12)^$CZ49),0)</f>
        <v>5325061.0312828086</v>
      </c>
      <c r="EY49" s="126">
        <f ca="1">MAX(EY48*(1+AZ49)-(Dashboard!$C$11)/(1-Dashboard!$C$17)*((1+Dashboard!$C$12)^$CZ49),0)</f>
        <v>16262652.206561612</v>
      </c>
      <c r="EZ49" s="126">
        <f ca="1">MAX(EZ48*(1+BA49)-(Dashboard!$C$11)/(1-Dashboard!$C$17)*((1+Dashboard!$C$12)^$CZ49),0)</f>
        <v>4164289.9015299208</v>
      </c>
      <c r="FA49" s="126">
        <f ca="1">MAX(FA48*(1+BB49)-(Dashboard!$C$11)/(1-Dashboard!$C$17)*((1+Dashboard!$C$12)^$CZ49),0)</f>
        <v>35761865.572171748</v>
      </c>
      <c r="FB49" s="126">
        <f ca="1">MAX(FB48*(1+BC49)-(Dashboard!$C$11)/(1-Dashboard!$C$17)*((1+Dashboard!$C$12)^$CZ49),0)</f>
        <v>672697.47083045053</v>
      </c>
      <c r="FC49" s="126">
        <f ca="1">MAX(FC48*(1+BD49)-(Dashboard!$C$11)/(1-Dashboard!$C$17)*((1+Dashboard!$C$12)^$CZ49),0)</f>
        <v>12142399.732285215</v>
      </c>
      <c r="FD49" s="126">
        <f ca="1">MAX(FD48*(1+BE49)-(Dashboard!$C$11)/(1-Dashboard!$C$17)*((1+Dashboard!$C$12)^$CZ49),0)</f>
        <v>44141774.019057795</v>
      </c>
      <c r="FE49" s="126">
        <f ca="1">MAX(FE48*(1+BF49)-(Dashboard!$C$11)/(1-Dashboard!$C$17)*((1+Dashboard!$C$12)^$CZ49),0)</f>
        <v>27552954.404425669</v>
      </c>
      <c r="FF49" s="126">
        <f ca="1">MAX(FF48*(1+BG49)-(Dashboard!$C$11)/(1-Dashboard!$C$17)*((1+Dashboard!$C$12)^$CZ49),0)</f>
        <v>2316581.1138152182</v>
      </c>
      <c r="FG49" s="126">
        <f ca="1">MAX(FG48*(1+BH49)-(Dashboard!$C$11)/(1-Dashboard!$C$17)*((1+Dashboard!$C$12)^$CZ49),0)</f>
        <v>1550930.2966898489</v>
      </c>
      <c r="FH49" s="126">
        <f ca="1">MAX(FH48*(1+BI49)-(Dashboard!$C$11)/(1-Dashboard!$C$17)*((1+Dashboard!$C$12)^$CZ49),0)</f>
        <v>5014926.0913609741</v>
      </c>
      <c r="FI49" s="126">
        <f ca="1">MAX(FI48*(1+BJ49)-(Dashboard!$C$11)/(1-Dashboard!$C$17)*((1+Dashboard!$C$12)^$CZ49),0)</f>
        <v>23689886.974099785</v>
      </c>
      <c r="FJ49" s="126">
        <f ca="1">MAX(FJ48*(1+BK49)-(Dashboard!$C$11)/(1-Dashboard!$C$17)*((1+Dashboard!$C$12)^$CZ49),0)</f>
        <v>4139031.4236789527</v>
      </c>
      <c r="FK49" s="126">
        <f ca="1">MAX(FK48*(1+BL49)-(Dashboard!$C$11)/(1-Dashboard!$C$17)*((1+Dashboard!$C$12)^$CZ49),0)</f>
        <v>5936959.3395304745</v>
      </c>
      <c r="FL49" s="126">
        <f ca="1">MAX(FL48*(1+BM49)-(Dashboard!$C$11)/(1-Dashboard!$C$17)*((1+Dashboard!$C$12)^$CZ49),0)</f>
        <v>1280658.9260729612</v>
      </c>
      <c r="FM49" s="126">
        <f ca="1">MAX(FM48*(1+BN49)-(Dashboard!$C$11)/(1-Dashboard!$C$17)*((1+Dashboard!$C$12)^$CZ49),0)</f>
        <v>5849265.6489358954</v>
      </c>
      <c r="FN49" s="126">
        <f ca="1">MAX(FN48*(1+BO49)-(Dashboard!$C$11)/(1-Dashboard!$C$17)*((1+Dashboard!$C$12)^$CZ49),0)</f>
        <v>0</v>
      </c>
      <c r="FO49" s="126">
        <f ca="1">MAX(FO48*(1+BP49)-(Dashboard!$C$11)/(1-Dashboard!$C$17)*((1+Dashboard!$C$12)^$CZ49),0)</f>
        <v>9713187.4623410217</v>
      </c>
      <c r="FP49" s="126">
        <f ca="1">MAX(FP48*(1+BQ49)-(Dashboard!$C$11)/(1-Dashboard!$C$17)*((1+Dashboard!$C$12)^$CZ49),0)</f>
        <v>3733598.5865098373</v>
      </c>
      <c r="FQ49" s="126">
        <f ca="1">MAX(FQ48*(1+BR49)-(Dashboard!$C$11)/(1-Dashboard!$C$17)*((1+Dashboard!$C$12)^$CZ49),0)</f>
        <v>1288968.7008704874</v>
      </c>
      <c r="FR49" s="126">
        <f ca="1">MAX(FR48*(1+BS49)-(Dashboard!$C$11)/(1-Dashboard!$C$17)*((1+Dashboard!$C$12)^$CZ49),0)</f>
        <v>32089187.972301319</v>
      </c>
      <c r="FS49" s="126">
        <f ca="1">MAX(FS48*(1+BT49)-(Dashboard!$C$11)/(1-Dashboard!$C$17)*((1+Dashboard!$C$12)^$CZ49),0)</f>
        <v>21184537.243113544</v>
      </c>
      <c r="FT49" s="126">
        <f ca="1">MAX(FT48*(1+BU49)-(Dashboard!$C$11)/(1-Dashboard!$C$17)*((1+Dashboard!$C$12)^$CZ49),0)</f>
        <v>0</v>
      </c>
      <c r="FU49" s="126">
        <f ca="1">MAX(FU48*(1+BV49)-(Dashboard!$C$11)/(1-Dashboard!$C$17)*((1+Dashboard!$C$12)^$CZ49),0)</f>
        <v>1774266.4490511783</v>
      </c>
      <c r="FV49" s="126">
        <f ca="1">MAX(FV48*(1+BW49)-(Dashboard!$C$11)/(1-Dashboard!$C$17)*((1+Dashboard!$C$12)^$CZ49),0)</f>
        <v>8249141.1657191105</v>
      </c>
      <c r="FW49" s="126">
        <f ca="1">MAX(FW48*(1+BX49)-(Dashboard!$C$11)/(1-Dashboard!$C$17)*((1+Dashboard!$C$12)^$CZ49),0)</f>
        <v>3937757.5765358694</v>
      </c>
      <c r="FX49" s="126">
        <f ca="1">MAX(FX48*(1+BY49)-(Dashboard!$C$11)/(1-Dashboard!$C$17)*((1+Dashboard!$C$12)^$CZ49),0)</f>
        <v>0</v>
      </c>
      <c r="FY49" s="126">
        <f ca="1">MAX(FY48*(1+BZ49)-(Dashboard!$C$11)/(1-Dashboard!$C$17)*((1+Dashboard!$C$12)^$CZ49),0)</f>
        <v>0</v>
      </c>
      <c r="FZ49" s="126">
        <f ca="1">MAX(FZ48*(1+CA49)-(Dashboard!$C$11)/(1-Dashboard!$C$17)*((1+Dashboard!$C$12)^$CZ49),0)</f>
        <v>78360034.201005727</v>
      </c>
      <c r="GA49" s="126">
        <f ca="1">MAX(GA48*(1+CB49)-(Dashboard!$C$11)/(1-Dashboard!$C$17)*((1+Dashboard!$C$12)^$CZ49),0)</f>
        <v>33825713.336918265</v>
      </c>
      <c r="GB49" s="126">
        <f ca="1">MAX(GB48*(1+CC49)-(Dashboard!$C$11)/(1-Dashboard!$C$17)*((1+Dashboard!$C$12)^$CZ49),0)</f>
        <v>4646101.7013875647</v>
      </c>
      <c r="GC49" s="126">
        <f ca="1">MAX(GC48*(1+CD49)-(Dashboard!$C$11)/(1-Dashboard!$C$17)*((1+Dashboard!$C$12)^$CZ49),0)</f>
        <v>8975914.0757363793</v>
      </c>
      <c r="GD49" s="126">
        <f ca="1">MAX(GD48*(1+CE49)-(Dashboard!$C$11)/(1-Dashboard!$C$17)*((1+Dashboard!$C$12)^$CZ49),0)</f>
        <v>97790776.22808741</v>
      </c>
      <c r="GE49" s="126">
        <f ca="1">MAX(GE48*(1+CF49)-(Dashboard!$C$11)/(1-Dashboard!$C$17)*((1+Dashboard!$C$12)^$CZ49),0)</f>
        <v>7051341.7857992249</v>
      </c>
      <c r="GF49" s="126">
        <f ca="1">MAX(GF48*(1+CG49)-(Dashboard!$C$11)/(1-Dashboard!$C$17)*((1+Dashboard!$C$12)^$CZ49),0)</f>
        <v>6078035.3575690864</v>
      </c>
      <c r="GG49" s="126">
        <f ca="1">MAX(GG48*(1+CH49)-(Dashboard!$C$11)/(1-Dashboard!$C$17)*((1+Dashboard!$C$12)^$CZ49),0)</f>
        <v>0</v>
      </c>
      <c r="GH49" s="126">
        <f ca="1">MAX(GH48*(1+CI49)-(Dashboard!$C$11)/(1-Dashboard!$C$17)*((1+Dashboard!$C$12)^$CZ49),0)</f>
        <v>1317999.4105493207</v>
      </c>
      <c r="GI49" s="126">
        <f ca="1">MAX(GI48*(1+CJ49)-(Dashboard!$C$11)/(1-Dashboard!$C$17)*((1+Dashboard!$C$12)^$CZ49),0)</f>
        <v>28666189.470780671</v>
      </c>
      <c r="GJ49" s="126">
        <f ca="1">MAX(GJ48*(1+CK49)-(Dashboard!$C$11)/(1-Dashboard!$C$17)*((1+Dashboard!$C$12)^$CZ49),0)</f>
        <v>30942977.725897033</v>
      </c>
      <c r="GK49" s="126">
        <f ca="1">MAX(GK48*(1+CL49)-(Dashboard!$C$11)/(1-Dashboard!$C$17)*((1+Dashboard!$C$12)^$CZ49),0)</f>
        <v>12294248.939451328</v>
      </c>
      <c r="GL49" s="126">
        <f ca="1">MAX(GL48*(1+CM49)-(Dashboard!$C$11)/(1-Dashboard!$C$17)*((1+Dashboard!$C$12)^$CZ49),0)</f>
        <v>9492408.108979689</v>
      </c>
      <c r="GM49" s="126">
        <f ca="1">MAX(GM48*(1+CN49)-(Dashboard!$C$11)/(1-Dashboard!$C$17)*((1+Dashboard!$C$12)^$CZ49),0)</f>
        <v>0</v>
      </c>
      <c r="GN49" s="126">
        <f ca="1">MAX(GN48*(1+CO49)-(Dashboard!$C$11)/(1-Dashboard!$C$17)*((1+Dashboard!$C$12)^$CZ49),0)</f>
        <v>0</v>
      </c>
      <c r="GO49" s="126">
        <f ca="1">MAX(GO48*(1+CP49)-(Dashboard!$C$11)/(1-Dashboard!$C$17)*((1+Dashboard!$C$12)^$CZ49),0)</f>
        <v>3544793.6565054851</v>
      </c>
      <c r="GP49" s="126">
        <f ca="1">MAX(GP48*(1+CQ49)-(Dashboard!$C$11)/(1-Dashboard!$C$17)*((1+Dashboard!$C$12)^$CZ49),0)</f>
        <v>27125274.977658954</v>
      </c>
      <c r="GQ49" s="126">
        <f ca="1">MAX(GQ48*(1+CR49)-(Dashboard!$C$11)/(1-Dashboard!$C$17)*((1+Dashboard!$C$12)^$CZ49),0)</f>
        <v>0</v>
      </c>
      <c r="GR49" s="126">
        <f ca="1">MAX(GR48*(1+CS49)-(Dashboard!$C$11)/(1-Dashboard!$C$17)*((1+Dashboard!$C$12)^$CZ49),0)</f>
        <v>973323.85564398917</v>
      </c>
      <c r="GS49" s="126">
        <f ca="1">MAX(GS48*(1+CT49)-(Dashboard!$C$11)/(1-Dashboard!$C$17)*((1+Dashboard!$C$12)^$CZ49),0)</f>
        <v>22538548.947205462</v>
      </c>
      <c r="GT49" s="126">
        <f ca="1">MAX(GT48*(1+CU49)-(Dashboard!$C$11)/(1-Dashboard!$C$17)*((1+Dashboard!$C$12)^$CZ49),0)</f>
        <v>160935949.84104231</v>
      </c>
      <c r="GU49" s="126">
        <f ca="1">MAX(GU48*(1+CV49)-(Dashboard!$C$11)/(1-Dashboard!$C$17)*((1+Dashboard!$C$12)^$CZ49),0)</f>
        <v>3873006.7794176014</v>
      </c>
      <c r="GV49" s="126">
        <f ca="1">MAX(GV48*(1+CW49)-(Dashboard!$C$11)/(1-Dashboard!$C$17)*((1+Dashboard!$C$12)^$CZ49),0)</f>
        <v>0</v>
      </c>
      <c r="GW49" s="115">
        <f t="shared" si="4"/>
        <v>98</v>
      </c>
      <c r="GX49" s="130">
        <f t="shared" ca="1" si="2"/>
        <v>83</v>
      </c>
      <c r="HC49" s="130">
        <f t="shared" si="7"/>
        <v>98</v>
      </c>
      <c r="HD49" s="137">
        <f t="shared" ca="1" si="8"/>
        <v>1296226.3782901957</v>
      </c>
      <c r="HE49" s="137">
        <f t="shared" ca="1" si="8"/>
        <v>6007497.3485497804</v>
      </c>
      <c r="HF49" s="137">
        <f t="shared" ca="1" si="8"/>
        <v>21356768.830262039</v>
      </c>
    </row>
    <row r="50" spans="1:214" ht="16">
      <c r="A50" s="145">
        <f t="shared" si="3"/>
        <v>99</v>
      </c>
      <c r="B50" s="119">
        <f ca="1">(Dashboard!$C$7*'Equity and Bond Returns'!N50)+(Dashboard!$C$8*'Equity and Bond Returns'!DL50)</f>
        <v>2.1054527087018653E-2</v>
      </c>
      <c r="C50" s="119">
        <f ca="1">(Dashboard!$C$7*'Equity and Bond Returns'!O50)+(Dashboard!$C$8*'Equity and Bond Returns'!DM50)</f>
        <v>0.18319158559309001</v>
      </c>
      <c r="D50" s="119">
        <f ca="1">(Dashboard!$C$7*'Equity and Bond Returns'!P50)+(Dashboard!$C$8*'Equity and Bond Returns'!DN50)</f>
        <v>0.25442635727367241</v>
      </c>
      <c r="E50" s="119">
        <f ca="1">(Dashboard!$C$7*'Equity and Bond Returns'!Q50)+(Dashboard!$C$8*'Equity and Bond Returns'!DO50)</f>
        <v>0.10852262419119187</v>
      </c>
      <c r="F50" s="119">
        <f ca="1">(Dashboard!$C$7*'Equity and Bond Returns'!R50)+(Dashboard!$C$8*'Equity and Bond Returns'!DP50)</f>
        <v>0.14704061696805421</v>
      </c>
      <c r="G50" s="119">
        <f ca="1">(Dashboard!$C$7*'Equity and Bond Returns'!S50)+(Dashboard!$C$8*'Equity and Bond Returns'!DQ50)</f>
        <v>0.34502111255730028</v>
      </c>
      <c r="H50" s="119">
        <f ca="1">(Dashboard!$C$7*'Equity and Bond Returns'!T50)+(Dashboard!$C$8*'Equity and Bond Returns'!DR50)</f>
        <v>-9.5974519744100248E-2</v>
      </c>
      <c r="I50" s="119">
        <f ca="1">(Dashboard!$C$7*'Equity and Bond Returns'!U50)+(Dashboard!$C$8*'Equity and Bond Returns'!DS50)</f>
        <v>1.9821485309891633E-2</v>
      </c>
      <c r="J50" s="119">
        <f ca="1">(Dashboard!$C$7*'Equity and Bond Returns'!V50)+(Dashboard!$C$8*'Equity and Bond Returns'!DT50)</f>
        <v>1.983356377829542E-2</v>
      </c>
      <c r="K50" s="119">
        <f ca="1">(Dashboard!$C$7*'Equity and Bond Returns'!W50)+(Dashboard!$C$8*'Equity and Bond Returns'!DU50)</f>
        <v>9.7829749900645496E-2</v>
      </c>
      <c r="L50" s="119">
        <f ca="1">(Dashboard!$C$7*'Equity and Bond Returns'!X50)+(Dashboard!$C$8*'Equity and Bond Returns'!DV50)</f>
        <v>0.14689013150992156</v>
      </c>
      <c r="M50" s="119">
        <f ca="1">(Dashboard!$C$7*'Equity and Bond Returns'!Y50)+(Dashboard!$C$8*'Equity and Bond Returns'!DW50)</f>
        <v>-1.0403516136810564E-2</v>
      </c>
      <c r="N50" s="119">
        <f ca="1">(Dashboard!$C$7*'Equity and Bond Returns'!Z50)+(Dashboard!$C$8*'Equity and Bond Returns'!DX50)</f>
        <v>0.35900314011021817</v>
      </c>
      <c r="O50" s="119">
        <f ca="1">(Dashboard!$C$7*'Equity and Bond Returns'!AA50)+(Dashboard!$C$8*'Equity and Bond Returns'!DY50)</f>
        <v>8.5077352037278217E-2</v>
      </c>
      <c r="P50" s="119">
        <f ca="1">(Dashboard!$C$7*'Equity and Bond Returns'!AB50)+(Dashboard!$C$8*'Equity and Bond Returns'!DZ50)</f>
        <v>-9.7366368974095632E-3</v>
      </c>
      <c r="Q50" s="119">
        <f ca="1">(Dashboard!$C$7*'Equity and Bond Returns'!AC50)+(Dashboard!$C$8*'Equity and Bond Returns'!EA50)</f>
        <v>7.6765740752669454E-2</v>
      </c>
      <c r="R50" s="119">
        <f ca="1">(Dashboard!$C$7*'Equity and Bond Returns'!AD50)+(Dashboard!$C$8*'Equity and Bond Returns'!EB50)</f>
        <v>-9.7041538038541542E-2</v>
      </c>
      <c r="S50" s="119">
        <f ca="1">(Dashboard!$C$7*'Equity and Bond Returns'!AE50)+(Dashboard!$C$8*'Equity and Bond Returns'!EC50)</f>
        <v>0.11888984646793888</v>
      </c>
      <c r="T50" s="119">
        <f ca="1">(Dashboard!$C$7*'Equity and Bond Returns'!AF50)+(Dashboard!$C$8*'Equity and Bond Returns'!ED50)</f>
        <v>-0.33770417331097918</v>
      </c>
      <c r="U50" s="119">
        <f ca="1">(Dashboard!$C$7*'Equity and Bond Returns'!AG50)+(Dashboard!$C$8*'Equity and Bond Returns'!EE50)</f>
        <v>2.8123367459740103E-2</v>
      </c>
      <c r="V50" s="119">
        <f ca="1">(Dashboard!$C$7*'Equity and Bond Returns'!AH50)+(Dashboard!$C$8*'Equity and Bond Returns'!EF50)</f>
        <v>-4.1910962191473326E-2</v>
      </c>
      <c r="W50" s="119">
        <f ca="1">(Dashboard!$C$7*'Equity and Bond Returns'!AI50)+(Dashboard!$C$8*'Equity and Bond Returns'!EG50)</f>
        <v>-1.4802933605172387E-2</v>
      </c>
      <c r="X50" s="119">
        <f ca="1">(Dashboard!$C$7*'Equity and Bond Returns'!AJ50)+(Dashboard!$C$8*'Equity and Bond Returns'!EH50)</f>
        <v>0.28589936228380114</v>
      </c>
      <c r="Y50" s="119">
        <f ca="1">(Dashboard!$C$7*'Equity and Bond Returns'!AK50)+(Dashboard!$C$8*'Equity and Bond Returns'!EI50)</f>
        <v>0.12988301320891993</v>
      </c>
      <c r="Z50" s="119">
        <f ca="1">(Dashboard!$C$7*'Equity and Bond Returns'!AL50)+(Dashboard!$C$8*'Equity and Bond Returns'!EJ50)</f>
        <v>-0.20543749061666858</v>
      </c>
      <c r="AA50" s="119">
        <f ca="1">(Dashboard!$C$7*'Equity and Bond Returns'!AM50)+(Dashboard!$C$8*'Equity and Bond Returns'!EK50)</f>
        <v>0.16207849455535983</v>
      </c>
      <c r="AB50" s="119">
        <f ca="1">(Dashboard!$C$7*'Equity and Bond Returns'!AN50)+(Dashboard!$C$8*'Equity and Bond Returns'!EL50)</f>
        <v>0.1217276733481491</v>
      </c>
      <c r="AC50" s="119">
        <f ca="1">(Dashboard!$C$7*'Equity and Bond Returns'!AO50)+(Dashboard!$C$8*'Equity and Bond Returns'!EM50)</f>
        <v>0.1229694354514094</v>
      </c>
      <c r="AD50" s="119">
        <f ca="1">(Dashboard!$C$7*'Equity and Bond Returns'!AP50)+(Dashboard!$C$8*'Equity and Bond Returns'!EN50)</f>
        <v>5.7580068823224036E-2</v>
      </c>
      <c r="AE50" s="119">
        <f ca="1">(Dashboard!$C$7*'Equity and Bond Returns'!AQ50)+(Dashboard!$C$8*'Equity and Bond Returns'!EO50)</f>
        <v>0.3036641070639125</v>
      </c>
      <c r="AF50" s="119">
        <f ca="1">(Dashboard!$C$7*'Equity and Bond Returns'!AR50)+(Dashboard!$C$8*'Equity and Bond Returns'!EP50)</f>
        <v>7.8030455184707206E-2</v>
      </c>
      <c r="AG50" s="119">
        <f ca="1">(Dashboard!$C$7*'Equity and Bond Returns'!AS50)+(Dashboard!$C$8*'Equity and Bond Returns'!EQ50)</f>
        <v>0.2021284415884767</v>
      </c>
      <c r="AH50" s="119">
        <f ca="1">(Dashboard!$C$7*'Equity and Bond Returns'!AT50)+(Dashboard!$C$8*'Equity and Bond Returns'!ER50)</f>
        <v>0.19643596161850804</v>
      </c>
      <c r="AI50" s="119">
        <f ca="1">(Dashboard!$C$7*'Equity and Bond Returns'!AU50)+(Dashboard!$C$8*'Equity and Bond Returns'!ES50)</f>
        <v>0.16432936376024898</v>
      </c>
      <c r="AJ50" s="119">
        <f ca="1">(Dashboard!$C$7*'Equity and Bond Returns'!AV50)+(Dashboard!$C$8*'Equity and Bond Returns'!ET50)</f>
        <v>9.3830286309102187E-2</v>
      </c>
      <c r="AK50" s="119">
        <f ca="1">(Dashboard!$C$7*'Equity and Bond Returns'!AW50)+(Dashboard!$C$8*'Equity and Bond Returns'!EU50)</f>
        <v>0.21315280694956595</v>
      </c>
      <c r="AL50" s="119">
        <f ca="1">(Dashboard!$C$7*'Equity and Bond Returns'!AX50)+(Dashboard!$C$8*'Equity and Bond Returns'!EV50)</f>
        <v>9.6097010513007369E-2</v>
      </c>
      <c r="AM50" s="119">
        <f ca="1">(Dashboard!$C$7*'Equity and Bond Returns'!AY50)+(Dashboard!$C$8*'Equity and Bond Returns'!EW50)</f>
        <v>-7.1600198933262055E-2</v>
      </c>
      <c r="AN50" s="119">
        <f ca="1">(Dashboard!$C$7*'Equity and Bond Returns'!AZ50)+(Dashboard!$C$8*'Equity and Bond Returns'!EX50)</f>
        <v>4.3403394738273961E-2</v>
      </c>
      <c r="AO50" s="119">
        <f ca="1">(Dashboard!$C$7*'Equity and Bond Returns'!BA50)+(Dashboard!$C$8*'Equity and Bond Returns'!EY50)</f>
        <v>-0.24367696192427377</v>
      </c>
      <c r="AP50" s="119">
        <f ca="1">(Dashboard!$C$7*'Equity and Bond Returns'!BB50)+(Dashboard!$C$8*'Equity and Bond Returns'!EZ50)</f>
        <v>1.5025339006790976E-2</v>
      </c>
      <c r="AQ50" s="119">
        <f ca="1">(Dashboard!$C$7*'Equity and Bond Returns'!BC50)+(Dashboard!$C$8*'Equity and Bond Returns'!FA50)</f>
        <v>-0.14453010845320072</v>
      </c>
      <c r="AR50" s="119">
        <f ca="1">(Dashboard!$C$7*'Equity and Bond Returns'!BD50)+(Dashboard!$C$8*'Equity and Bond Returns'!FB50)</f>
        <v>8.8219178435652218E-2</v>
      </c>
      <c r="AS50" s="119">
        <f ca="1">(Dashboard!$C$7*'Equity and Bond Returns'!BE50)+(Dashboard!$C$8*'Equity and Bond Returns'!FC50)</f>
        <v>0.10225940515165459</v>
      </c>
      <c r="AT50" s="119">
        <f ca="1">(Dashboard!$C$7*'Equity and Bond Returns'!BF50)+(Dashboard!$C$8*'Equity and Bond Returns'!FD50)</f>
        <v>4.7979868059092365E-2</v>
      </c>
      <c r="AU50" s="119">
        <f ca="1">(Dashboard!$C$7*'Equity and Bond Returns'!BG50)+(Dashboard!$C$8*'Equity and Bond Returns'!FE50)</f>
        <v>-4.5889088591103619E-2</v>
      </c>
      <c r="AV50" s="119">
        <f ca="1">(Dashboard!$C$7*'Equity and Bond Returns'!BH50)+(Dashboard!$C$8*'Equity and Bond Returns'!FF50)</f>
        <v>-9.7989238606470588E-2</v>
      </c>
      <c r="AW50" s="119">
        <f ca="1">(Dashboard!$C$7*'Equity and Bond Returns'!BI50)+(Dashboard!$C$8*'Equity and Bond Returns'!FG50)</f>
        <v>0.11757807837276961</v>
      </c>
      <c r="AX50" s="119">
        <f ca="1">(Dashboard!$C$7*'Equity and Bond Returns'!BJ50)+(Dashboard!$C$8*'Equity and Bond Returns'!FH50)</f>
        <v>-0.10201574562368459</v>
      </c>
      <c r="AY50" s="119">
        <f ca="1">(Dashboard!$C$7*'Equity and Bond Returns'!BK50)+(Dashboard!$C$8*'Equity and Bond Returns'!FI50)</f>
        <v>0.12176482697953996</v>
      </c>
      <c r="AZ50" s="119">
        <f ca="1">(Dashboard!$C$7*'Equity and Bond Returns'!BL50)+(Dashboard!$C$8*'Equity and Bond Returns'!FJ50)</f>
        <v>0.17017302730605113</v>
      </c>
      <c r="BA50" s="119">
        <f ca="1">(Dashboard!$C$7*'Equity and Bond Returns'!BM50)+(Dashboard!$C$8*'Equity and Bond Returns'!FK50)</f>
        <v>0.19754337688183876</v>
      </c>
      <c r="BB50" s="119">
        <f ca="1">(Dashboard!$C$7*'Equity and Bond Returns'!BN50)+(Dashboard!$C$8*'Equity and Bond Returns'!FL50)</f>
        <v>0.1867894671133134</v>
      </c>
      <c r="BC50" s="119">
        <f ca="1">(Dashboard!$C$7*'Equity and Bond Returns'!BO50)+(Dashboard!$C$8*'Equity and Bond Returns'!FM50)</f>
        <v>-9.6450245968940626E-2</v>
      </c>
      <c r="BD50" s="119">
        <f ca="1">(Dashboard!$C$7*'Equity and Bond Returns'!BP50)+(Dashboard!$C$8*'Equity and Bond Returns'!FN50)</f>
        <v>0.35703634604953216</v>
      </c>
      <c r="BE50" s="119">
        <f ca="1">(Dashboard!$C$7*'Equity and Bond Returns'!BQ50)+(Dashboard!$C$8*'Equity and Bond Returns'!FO50)</f>
        <v>0.31216390096787228</v>
      </c>
      <c r="BF50" s="119">
        <f ca="1">(Dashboard!$C$7*'Equity and Bond Returns'!BR50)+(Dashboard!$C$8*'Equity and Bond Returns'!FP50)</f>
        <v>0.38814708037413059</v>
      </c>
      <c r="BG50" s="119">
        <f ca="1">(Dashboard!$C$7*'Equity and Bond Returns'!BS50)+(Dashboard!$C$8*'Equity and Bond Returns'!FQ50)</f>
        <v>0.21689258289009394</v>
      </c>
      <c r="BH50" s="119">
        <f ca="1">(Dashboard!$C$7*'Equity and Bond Returns'!BT50)+(Dashboard!$C$8*'Equity and Bond Returns'!FR50)</f>
        <v>0.23666976750429927</v>
      </c>
      <c r="BI50" s="119">
        <f ca="1">(Dashboard!$C$7*'Equity and Bond Returns'!BU50)+(Dashboard!$C$8*'Equity and Bond Returns'!FS50)</f>
        <v>3.0034929340047097E-2</v>
      </c>
      <c r="BJ50" s="119">
        <f ca="1">(Dashboard!$C$7*'Equity and Bond Returns'!BV50)+(Dashboard!$C$8*'Equity and Bond Returns'!FT50)</f>
        <v>-1.1544352123556666E-2</v>
      </c>
      <c r="BK50" s="119">
        <f ca="1">(Dashboard!$C$7*'Equity and Bond Returns'!BW50)+(Dashboard!$C$8*'Equity and Bond Returns'!FU50)</f>
        <v>7.7738421019887566E-2</v>
      </c>
      <c r="BL50" s="119">
        <f ca="1">(Dashboard!$C$7*'Equity and Bond Returns'!BX50)+(Dashboard!$C$8*'Equity and Bond Returns'!FV50)</f>
        <v>7.0264222505129315E-2</v>
      </c>
      <c r="BM50" s="119">
        <f ca="1">(Dashboard!$C$7*'Equity and Bond Returns'!BY50)+(Dashboard!$C$8*'Equity and Bond Returns'!FW50)</f>
        <v>0.22600042946873206</v>
      </c>
      <c r="BN50" s="119">
        <f ca="1">(Dashboard!$C$7*'Equity and Bond Returns'!BZ50)+(Dashboard!$C$8*'Equity and Bond Returns'!FX50)</f>
        <v>0.11149016247077694</v>
      </c>
      <c r="BO50" s="119">
        <f ca="1">(Dashboard!$C$7*'Equity and Bond Returns'!CA50)+(Dashboard!$C$8*'Equity and Bond Returns'!FY50)</f>
        <v>0.12294069420631591</v>
      </c>
      <c r="BP50" s="119">
        <f ca="1">(Dashboard!$C$7*'Equity and Bond Returns'!CB50)+(Dashboard!$C$8*'Equity and Bond Returns'!FZ50)</f>
        <v>0.13297636051734818</v>
      </c>
      <c r="BQ50" s="119">
        <f ca="1">(Dashboard!$C$7*'Equity and Bond Returns'!CC50)+(Dashboard!$C$8*'Equity and Bond Returns'!GA50)</f>
        <v>2.4436712449440182E-2</v>
      </c>
      <c r="BR50" s="119">
        <f ca="1">(Dashboard!$C$7*'Equity and Bond Returns'!CD50)+(Dashboard!$C$8*'Equity and Bond Returns'!GB50)</f>
        <v>-8.0352069100526308E-2</v>
      </c>
      <c r="BS50" s="119">
        <f ca="1">(Dashboard!$C$7*'Equity and Bond Returns'!CE50)+(Dashboard!$C$8*'Equity and Bond Returns'!GC50)</f>
        <v>4.3072554624149384E-2</v>
      </c>
      <c r="BT50" s="119">
        <f ca="1">(Dashboard!$C$7*'Equity and Bond Returns'!CF50)+(Dashboard!$C$8*'Equity and Bond Returns'!GD50)</f>
        <v>0.30041655805702494</v>
      </c>
      <c r="BU50" s="119">
        <f ca="1">(Dashboard!$C$7*'Equity and Bond Returns'!CG50)+(Dashboard!$C$8*'Equity and Bond Returns'!GE50)</f>
        <v>0.15903852373999364</v>
      </c>
      <c r="BV50" s="119">
        <f ca="1">(Dashboard!$C$7*'Equity and Bond Returns'!CH50)+(Dashboard!$C$8*'Equity and Bond Returns'!GF50)</f>
        <v>1.3725468876037277E-2</v>
      </c>
      <c r="BW50" s="119">
        <f ca="1">(Dashboard!$C$7*'Equity and Bond Returns'!CI50)+(Dashboard!$C$8*'Equity and Bond Returns'!GG50)</f>
        <v>0.13063103194612213</v>
      </c>
      <c r="BX50" s="119">
        <f ca="1">(Dashboard!$C$7*'Equity and Bond Returns'!CJ50)+(Dashboard!$C$8*'Equity and Bond Returns'!GH50)</f>
        <v>0.16368972223836117</v>
      </c>
      <c r="BY50" s="119">
        <f ca="1">(Dashboard!$C$7*'Equity and Bond Returns'!CK50)+(Dashboard!$C$8*'Equity and Bond Returns'!GI50)</f>
        <v>7.5435396827454211E-3</v>
      </c>
      <c r="BZ50" s="119">
        <f ca="1">(Dashboard!$C$7*'Equity and Bond Returns'!CL50)+(Dashboard!$C$8*'Equity and Bond Returns'!GJ50)</f>
        <v>3.2328070104189734E-2</v>
      </c>
      <c r="CA50" s="119">
        <f ca="1">(Dashboard!$C$7*'Equity and Bond Returns'!CM50)+(Dashboard!$C$8*'Equity and Bond Returns'!GK50)</f>
        <v>5.6312706375218818E-2</v>
      </c>
      <c r="CB50" s="119">
        <f ca="1">(Dashboard!$C$7*'Equity and Bond Returns'!CN50)+(Dashboard!$C$8*'Equity and Bond Returns'!GL50)</f>
        <v>0.22969438034995854</v>
      </c>
      <c r="CC50" s="119">
        <f ca="1">(Dashboard!$C$7*'Equity and Bond Returns'!CO50)+(Dashboard!$C$8*'Equity and Bond Returns'!GM50)</f>
        <v>0.10967493123654241</v>
      </c>
      <c r="CD50" s="119">
        <f ca="1">(Dashboard!$C$7*'Equity and Bond Returns'!CP50)+(Dashboard!$C$8*'Equity and Bond Returns'!GN50)</f>
        <v>6.0424743454989098E-2</v>
      </c>
      <c r="CE50" s="119">
        <f ca="1">(Dashboard!$C$7*'Equity and Bond Returns'!CQ50)+(Dashboard!$C$8*'Equity and Bond Returns'!GO50)</f>
        <v>-4.0949905170557396E-2</v>
      </c>
      <c r="CF50" s="119">
        <f ca="1">(Dashboard!$C$7*'Equity and Bond Returns'!CR50)+(Dashboard!$C$8*'Equity and Bond Returns'!GP50)</f>
        <v>0.1081933268651854</v>
      </c>
      <c r="CG50" s="119">
        <f ca="1">(Dashboard!$C$7*'Equity and Bond Returns'!CS50)+(Dashboard!$C$8*'Equity and Bond Returns'!GQ50)</f>
        <v>5.5661525786177786E-2</v>
      </c>
      <c r="CH50" s="119">
        <f ca="1">(Dashboard!$C$7*'Equity and Bond Returns'!CT50)+(Dashboard!$C$8*'Equity and Bond Returns'!GR50)</f>
        <v>-0.21022813901872256</v>
      </c>
      <c r="CI50" s="119">
        <f ca="1">(Dashboard!$C$7*'Equity and Bond Returns'!CU50)+(Dashboard!$C$8*'Equity and Bond Returns'!GS50)</f>
        <v>0.19924701728640229</v>
      </c>
      <c r="CJ50" s="119">
        <f ca="1">(Dashboard!$C$7*'Equity and Bond Returns'!CV50)+(Dashboard!$C$8*'Equity and Bond Returns'!GT50)</f>
        <v>5.1269572480327492E-2</v>
      </c>
      <c r="CK50" s="119">
        <f ca="1">(Dashboard!$C$7*'Equity and Bond Returns'!CW50)+(Dashboard!$C$8*'Equity and Bond Returns'!GU50)</f>
        <v>0.16301283448664894</v>
      </c>
      <c r="CL50" s="119">
        <f ca="1">(Dashboard!$C$7*'Equity and Bond Returns'!CX50)+(Dashboard!$C$8*'Equity and Bond Returns'!GV50)</f>
        <v>-0.11844067154935725</v>
      </c>
      <c r="CM50" s="119">
        <f ca="1">(Dashboard!$C$7*'Equity and Bond Returns'!CY50)+(Dashboard!$C$8*'Equity and Bond Returns'!GW50)</f>
        <v>0.10550622697590209</v>
      </c>
      <c r="CN50" s="119">
        <f ca="1">(Dashboard!$C$7*'Equity and Bond Returns'!CZ50)+(Dashboard!$C$8*'Equity and Bond Returns'!GX50)</f>
        <v>6.5505538415288403E-2</v>
      </c>
      <c r="CO50" s="119">
        <f ca="1">(Dashboard!$C$7*'Equity and Bond Returns'!DA50)+(Dashboard!$C$8*'Equity and Bond Returns'!GY50)</f>
        <v>0.12576734098418049</v>
      </c>
      <c r="CP50" s="119">
        <f ca="1">(Dashboard!$C$7*'Equity and Bond Returns'!DB50)+(Dashboard!$C$8*'Equity and Bond Returns'!GZ50)</f>
        <v>5.2299297818333611E-2</v>
      </c>
      <c r="CQ50" s="119">
        <f ca="1">(Dashboard!$C$7*'Equity and Bond Returns'!DC50)+(Dashboard!$C$8*'Equity and Bond Returns'!HA50)</f>
        <v>0.19309810026417937</v>
      </c>
      <c r="CR50" s="119">
        <f ca="1">(Dashboard!$C$7*'Equity and Bond Returns'!DD50)+(Dashboard!$C$8*'Equity and Bond Returns'!HB50)</f>
        <v>5.51817677286962E-2</v>
      </c>
      <c r="CS50" s="119">
        <f ca="1">(Dashboard!$C$7*'Equity and Bond Returns'!DE50)+(Dashboard!$C$8*'Equity and Bond Returns'!HC50)</f>
        <v>0.17529123092408058</v>
      </c>
      <c r="CT50" s="119">
        <f ca="1">(Dashboard!$C$7*'Equity and Bond Returns'!DF50)+(Dashboard!$C$8*'Equity and Bond Returns'!HD50)</f>
        <v>1.8140798109476965E-2</v>
      </c>
      <c r="CU50" s="119">
        <f ca="1">(Dashboard!$C$7*'Equity and Bond Returns'!DG50)+(Dashboard!$C$8*'Equity and Bond Returns'!HE50)</f>
        <v>0.27719910450540741</v>
      </c>
      <c r="CV50" s="119">
        <f ca="1">(Dashboard!$C$7*'Equity and Bond Returns'!DH50)+(Dashboard!$C$8*'Equity and Bond Returns'!HF50)</f>
        <v>0.15163348540477153</v>
      </c>
      <c r="CW50" s="119">
        <f ca="1">(Dashboard!$C$7*'Equity and Bond Returns'!DI50)+(Dashboard!$C$8*'Equity and Bond Returns'!HG50)</f>
        <v>-1.810880835017243E-2</v>
      </c>
      <c r="CY50" s="147">
        <f t="shared" si="5"/>
        <v>99</v>
      </c>
      <c r="CZ50" s="147">
        <v>49</v>
      </c>
      <c r="DA50" s="126">
        <f ca="1">MAX(DA49*(1+B50)-(Dashboard!$C$11)/(1-Dashboard!$C$17)*((1+Dashboard!$C$12)^$CZ50),0)</f>
        <v>25712391.355017312</v>
      </c>
      <c r="DB50" s="126">
        <f ca="1">MAX(DB49*(1+C50)-(Dashboard!$C$11)/(1-Dashboard!$C$17)*((1+Dashboard!$C$12)^$CZ50),0)</f>
        <v>0</v>
      </c>
      <c r="DC50" s="126">
        <f ca="1">MAX(DC49*(1+D50)-(Dashboard!$C$11)/(1-Dashboard!$C$17)*((1+Dashboard!$C$12)^$CZ50),0)</f>
        <v>13761495.92241361</v>
      </c>
      <c r="DD50" s="126">
        <f ca="1">MAX(DD49*(1+E50)-(Dashboard!$C$11)/(1-Dashboard!$C$17)*((1+Dashboard!$C$12)^$CZ50),0)</f>
        <v>0</v>
      </c>
      <c r="DE50" s="126">
        <f ca="1">MAX(DE49*(1+F50)-(Dashboard!$C$11)/(1-Dashboard!$C$17)*((1+Dashboard!$C$12)^$CZ50),0)</f>
        <v>13565147.445372885</v>
      </c>
      <c r="DF50" s="126">
        <f ca="1">MAX(DF49*(1+G50)-(Dashboard!$C$11)/(1-Dashboard!$C$17)*((1+Dashboard!$C$12)^$CZ50),0)</f>
        <v>21603071.5330774</v>
      </c>
      <c r="DG50" s="126">
        <f ca="1">MAX(DG49*(1+H50)-(Dashboard!$C$11)/(1-Dashboard!$C$17)*((1+Dashboard!$C$12)^$CZ50),0)</f>
        <v>0</v>
      </c>
      <c r="DH50" s="126">
        <f ca="1">MAX(DH49*(1+I50)-(Dashboard!$C$11)/(1-Dashboard!$C$17)*((1+Dashboard!$C$12)^$CZ50),0)</f>
        <v>48688996.890390359</v>
      </c>
      <c r="DI50" s="126">
        <f ca="1">MAX(DI49*(1+J50)-(Dashboard!$C$11)/(1-Dashboard!$C$17)*((1+Dashboard!$C$12)^$CZ50),0)</f>
        <v>9138081.0574813448</v>
      </c>
      <c r="DJ50" s="126">
        <f ca="1">MAX(DJ49*(1+K50)-(Dashboard!$C$11)/(1-Dashboard!$C$17)*((1+Dashboard!$C$12)^$CZ50),0)</f>
        <v>12246680.491124611</v>
      </c>
      <c r="DK50" s="126">
        <f ca="1">MAX(DK49*(1+L50)-(Dashboard!$C$11)/(1-Dashboard!$C$17)*((1+Dashboard!$C$12)^$CZ50),0)</f>
        <v>7816717.4247109294</v>
      </c>
      <c r="DL50" s="126">
        <f ca="1">MAX(DL49*(1+M50)-(Dashboard!$C$11)/(1-Dashboard!$C$17)*((1+Dashboard!$C$12)^$CZ50),0)</f>
        <v>1123248.7064261246</v>
      </c>
      <c r="DM50" s="126">
        <f ca="1">MAX(DM49*(1+N50)-(Dashboard!$C$11)/(1-Dashboard!$C$17)*((1+Dashboard!$C$12)^$CZ50),0)</f>
        <v>36654273.586411081</v>
      </c>
      <c r="DN50" s="126">
        <f ca="1">MAX(DN49*(1+O50)-(Dashboard!$C$11)/(1-Dashboard!$C$17)*((1+Dashboard!$C$12)^$CZ50),0)</f>
        <v>180120250.45209497</v>
      </c>
      <c r="DO50" s="126">
        <f ca="1">MAX(DO49*(1+P50)-(Dashboard!$C$11)/(1-Dashboard!$C$17)*((1+Dashboard!$C$12)^$CZ50),0)</f>
        <v>4664375.1172307078</v>
      </c>
      <c r="DP50" s="126">
        <f ca="1">MAX(DP49*(1+Q50)-(Dashboard!$C$11)/(1-Dashboard!$C$17)*((1+Dashboard!$C$12)^$CZ50),0)</f>
        <v>573907.82607083453</v>
      </c>
      <c r="DQ50" s="126">
        <f ca="1">MAX(DQ49*(1+R50)-(Dashboard!$C$11)/(1-Dashboard!$C$17)*((1+Dashboard!$C$12)^$CZ50),0)</f>
        <v>6488095.884414969</v>
      </c>
      <c r="DR50" s="126">
        <f ca="1">MAX(DR49*(1+S50)-(Dashboard!$C$11)/(1-Dashboard!$C$17)*((1+Dashboard!$C$12)^$CZ50),0)</f>
        <v>16825082.631536637</v>
      </c>
      <c r="DS50" s="126">
        <f ca="1">MAX(DS49*(1+T50)-(Dashboard!$C$11)/(1-Dashboard!$C$17)*((1+Dashboard!$C$12)^$CZ50),0)</f>
        <v>0</v>
      </c>
      <c r="DT50" s="126">
        <f ca="1">MAX(DT49*(1+U50)-(Dashboard!$C$11)/(1-Dashboard!$C$17)*((1+Dashboard!$C$12)^$CZ50),0)</f>
        <v>372070.44195051282</v>
      </c>
      <c r="DU50" s="126">
        <f ca="1">MAX(DU49*(1+V50)-(Dashboard!$C$11)/(1-Dashboard!$C$17)*((1+Dashboard!$C$12)^$CZ50),0)</f>
        <v>5542702.7815157399</v>
      </c>
      <c r="DV50" s="126">
        <f ca="1">MAX(DV49*(1+W50)-(Dashboard!$C$11)/(1-Dashboard!$C$17)*((1+Dashboard!$C$12)^$CZ50),0)</f>
        <v>78970954.983962268</v>
      </c>
      <c r="DW50" s="126">
        <f ca="1">MAX(DW49*(1+X50)-(Dashboard!$C$11)/(1-Dashboard!$C$17)*((1+Dashboard!$C$12)^$CZ50),0)</f>
        <v>8971031.452411212</v>
      </c>
      <c r="DX50" s="126">
        <f ca="1">MAX(DX49*(1+Y50)-(Dashboard!$C$11)/(1-Dashboard!$C$17)*((1+Dashboard!$C$12)^$CZ50),0)</f>
        <v>3303108.7469514133</v>
      </c>
      <c r="DY50" s="126">
        <f ca="1">MAX(DY49*(1+Z50)-(Dashboard!$C$11)/(1-Dashboard!$C$17)*((1+Dashboard!$C$12)^$CZ50),0)</f>
        <v>20660604.222937774</v>
      </c>
      <c r="DZ50" s="126">
        <f ca="1">MAX(DZ49*(1+AA50)-(Dashboard!$C$11)/(1-Dashboard!$C$17)*((1+Dashboard!$C$12)^$CZ50),0)</f>
        <v>8089702.8491880009</v>
      </c>
      <c r="EA50" s="126">
        <f ca="1">MAX(EA49*(1+AB50)-(Dashboard!$C$11)/(1-Dashboard!$C$17)*((1+Dashboard!$C$12)^$CZ50),0)</f>
        <v>4545375.4587502647</v>
      </c>
      <c r="EB50" s="126">
        <f ca="1">MAX(EB49*(1+AC50)-(Dashboard!$C$11)/(1-Dashboard!$C$17)*((1+Dashboard!$C$12)^$CZ50),0)</f>
        <v>10917558.997160394</v>
      </c>
      <c r="EC50" s="126">
        <f ca="1">MAX(EC49*(1+AD50)-(Dashboard!$C$11)/(1-Dashboard!$C$17)*((1+Dashboard!$C$12)^$CZ50),0)</f>
        <v>16501143.008466914</v>
      </c>
      <c r="ED50" s="126">
        <f ca="1">MAX(ED49*(1+AE50)-(Dashboard!$C$11)/(1-Dashboard!$C$17)*((1+Dashboard!$C$12)^$CZ50),0)</f>
        <v>10769705.364199759</v>
      </c>
      <c r="EE50" s="126">
        <f ca="1">MAX(EE49*(1+AF50)-(Dashboard!$C$11)/(1-Dashboard!$C$17)*((1+Dashboard!$C$12)^$CZ50),0)</f>
        <v>28582225.795196641</v>
      </c>
      <c r="EF50" s="126">
        <f ca="1">MAX(EF49*(1+AG50)-(Dashboard!$C$11)/(1-Dashboard!$C$17)*((1+Dashboard!$C$12)^$CZ50),0)</f>
        <v>0</v>
      </c>
      <c r="EG50" s="126">
        <f ca="1">MAX(EG49*(1+AH50)-(Dashboard!$C$11)/(1-Dashboard!$C$17)*((1+Dashboard!$C$12)^$CZ50),0)</f>
        <v>28469738.323639058</v>
      </c>
      <c r="EH50" s="126">
        <f ca="1">MAX(EH49*(1+AI50)-(Dashboard!$C$11)/(1-Dashboard!$C$17)*((1+Dashboard!$C$12)^$CZ50),0)</f>
        <v>26515049.520485807</v>
      </c>
      <c r="EI50" s="126">
        <f ca="1">MAX(EI49*(1+AJ50)-(Dashboard!$C$11)/(1-Dashboard!$C$17)*((1+Dashboard!$C$12)^$CZ50),0)</f>
        <v>0</v>
      </c>
      <c r="EJ50" s="126">
        <f ca="1">MAX(EJ49*(1+AK50)-(Dashboard!$C$11)/(1-Dashboard!$C$17)*((1+Dashboard!$C$12)^$CZ50),0)</f>
        <v>25890887.27241021</v>
      </c>
      <c r="EK50" s="126">
        <f ca="1">MAX(EK49*(1+AL50)-(Dashboard!$C$11)/(1-Dashboard!$C$17)*((1+Dashboard!$C$12)^$CZ50),0)</f>
        <v>3426312.6069335346</v>
      </c>
      <c r="EL50" s="126">
        <f ca="1">MAX(EL49*(1+AM50)-(Dashboard!$C$11)/(1-Dashboard!$C$17)*((1+Dashboard!$C$12)^$CZ50),0)</f>
        <v>4254620.4074480804</v>
      </c>
      <c r="EM50" s="126">
        <f ca="1">MAX(EM49*(1+AN50)-(Dashboard!$C$11)/(1-Dashboard!$C$17)*((1+Dashboard!$C$12)^$CZ50),0)</f>
        <v>47996331.721657991</v>
      </c>
      <c r="EN50" s="126">
        <f ca="1">MAX(EN49*(1+AO50)-(Dashboard!$C$11)/(1-Dashboard!$C$17)*((1+Dashboard!$C$12)^$CZ50),0)</f>
        <v>2704417.5199509333</v>
      </c>
      <c r="EO50" s="126">
        <f ca="1">MAX(EO49*(1+AP50)-(Dashboard!$C$11)/(1-Dashboard!$C$17)*((1+Dashboard!$C$12)^$CZ50),0)</f>
        <v>0</v>
      </c>
      <c r="EP50" s="126">
        <f ca="1">MAX(EP49*(1+AQ50)-(Dashboard!$C$11)/(1-Dashboard!$C$17)*((1+Dashboard!$C$12)^$CZ50),0)</f>
        <v>4111460.4783009472</v>
      </c>
      <c r="EQ50" s="126">
        <f ca="1">MAX(EQ49*(1+AR50)-(Dashboard!$C$11)/(1-Dashboard!$C$17)*((1+Dashboard!$C$12)^$CZ50),0)</f>
        <v>5872480.9312399356</v>
      </c>
      <c r="ER50" s="126">
        <f ca="1">MAX(ER49*(1+AS50)-(Dashboard!$C$11)/(1-Dashboard!$C$17)*((1+Dashboard!$C$12)^$CZ50),0)</f>
        <v>0</v>
      </c>
      <c r="ES50" s="126">
        <f ca="1">MAX(ES49*(1+AT50)-(Dashboard!$C$11)/(1-Dashboard!$C$17)*((1+Dashboard!$C$12)^$CZ50),0)</f>
        <v>57787796.254788987</v>
      </c>
      <c r="ET50" s="126">
        <f ca="1">MAX(ET49*(1+AU50)-(Dashboard!$C$11)/(1-Dashboard!$C$17)*((1+Dashboard!$C$12)^$CZ50),0)</f>
        <v>11911479.208850548</v>
      </c>
      <c r="EU50" s="126">
        <f ca="1">MAX(EU49*(1+AV50)-(Dashboard!$C$11)/(1-Dashboard!$C$17)*((1+Dashboard!$C$12)^$CZ50),0)</f>
        <v>6493317.8731400101</v>
      </c>
      <c r="EV50" s="126">
        <f ca="1">MAX(EV49*(1+AW50)-(Dashboard!$C$11)/(1-Dashboard!$C$17)*((1+Dashboard!$C$12)^$CZ50),0)</f>
        <v>68162578.583984986</v>
      </c>
      <c r="EW50" s="126">
        <f ca="1">MAX(EW49*(1+AX50)-(Dashboard!$C$11)/(1-Dashboard!$C$17)*((1+Dashboard!$C$12)^$CZ50),0)</f>
        <v>1940085.3837001582</v>
      </c>
      <c r="EX50" s="126">
        <f ca="1">MAX(EX49*(1+AY50)-(Dashboard!$C$11)/(1-Dashboard!$C$17)*((1+Dashboard!$C$12)^$CZ50),0)</f>
        <v>5885681.6405524174</v>
      </c>
      <c r="EY50" s="126">
        <f ca="1">MAX(EY49*(1+AZ50)-(Dashboard!$C$11)/(1-Dashboard!$C$17)*((1+Dashboard!$C$12)^$CZ50),0)</f>
        <v>18942332.4387176</v>
      </c>
      <c r="EZ50" s="126">
        <f ca="1">MAX(EZ49*(1+BA50)-(Dashboard!$C$11)/(1-Dashboard!$C$17)*((1+Dashboard!$C$12)^$CZ50),0)</f>
        <v>4899133.2651330475</v>
      </c>
      <c r="FA50" s="126">
        <f ca="1">MAX(FA49*(1+BB50)-(Dashboard!$C$11)/(1-Dashboard!$C$17)*((1+Dashboard!$C$12)^$CZ50),0)</f>
        <v>42354020.859515622</v>
      </c>
      <c r="FB50" s="126">
        <f ca="1">MAX(FB49*(1+BC50)-(Dashboard!$C$11)/(1-Dashboard!$C$17)*((1+Dashboard!$C$12)^$CZ50),0)</f>
        <v>520031.1084461367</v>
      </c>
      <c r="FC50" s="126">
        <f ca="1">MAX(FC49*(1+BD50)-(Dashboard!$C$11)/(1-Dashboard!$C$17)*((1+Dashboard!$C$12)^$CZ50),0)</f>
        <v>16389893.239113111</v>
      </c>
      <c r="FD50" s="126">
        <f ca="1">MAX(FD49*(1+BE50)-(Dashboard!$C$11)/(1-Dashboard!$C$17)*((1+Dashboard!$C$12)^$CZ50),0)</f>
        <v>57833457.866629116</v>
      </c>
      <c r="FE50" s="126">
        <f ca="1">MAX(FE49*(1+BF50)-(Dashboard!$C$11)/(1-Dashboard!$C$17)*((1+Dashboard!$C$12)^$CZ50),0)</f>
        <v>38159768.686324999</v>
      </c>
      <c r="FF50" s="126">
        <f ca="1">MAX(FF49*(1+BG50)-(Dashboard!$C$11)/(1-Dashboard!$C$17)*((1+Dashboard!$C$12)^$CZ50),0)</f>
        <v>2731245.8492049794</v>
      </c>
      <c r="FG50" s="126">
        <f ca="1">MAX(FG49*(1+BH50)-(Dashboard!$C$11)/(1-Dashboard!$C$17)*((1+Dashboard!$C$12)^$CZ50),0)</f>
        <v>1830204.0835627764</v>
      </c>
      <c r="FH50" s="126">
        <f ca="1">MAX(FH49*(1+BI50)-(Dashboard!$C$11)/(1-Dashboard!$C$17)*((1+Dashboard!$C$12)^$CZ50),0)</f>
        <v>5077764.5163005264</v>
      </c>
      <c r="FI50" s="126">
        <f ca="1">MAX(FI49*(1+BJ50)-(Dashboard!$C$11)/(1-Dashboard!$C$17)*((1+Dashboard!$C$12)^$CZ50),0)</f>
        <v>23328618.051243484</v>
      </c>
      <c r="FJ50" s="126">
        <f ca="1">MAX(FJ49*(1+BK50)-(Dashboard!$C$11)/(1-Dashboard!$C$17)*((1+Dashboard!$C$12)^$CZ50),0)</f>
        <v>4373008.665247418</v>
      </c>
      <c r="FK50" s="126">
        <f ca="1">MAX(FK49*(1+BL50)-(Dashboard!$C$11)/(1-Dashboard!$C$17)*((1+Dashboard!$C$12)^$CZ50),0)</f>
        <v>6266330.6457071165</v>
      </c>
      <c r="FL50" s="126">
        <f ca="1">MAX(FL49*(1+BM50)-(Dashboard!$C$11)/(1-Dashboard!$C$17)*((1+Dashboard!$C$12)^$CZ50),0)</f>
        <v>1482303.867508383</v>
      </c>
      <c r="FM50" s="126">
        <f ca="1">MAX(FM49*(1+BN50)-(Dashboard!$C$11)/(1-Dashboard!$C$17)*((1+Dashboard!$C$12)^$CZ50),0)</f>
        <v>6413616.7006104598</v>
      </c>
      <c r="FN50" s="126">
        <f ca="1">MAX(FN49*(1+BO50)-(Dashboard!$C$11)/(1-Dashboard!$C$17)*((1+Dashboard!$C$12)^$CZ50),0)</f>
        <v>0</v>
      </c>
      <c r="FO50" s="126">
        <f ca="1">MAX(FO49*(1+BP50)-(Dashboard!$C$11)/(1-Dashboard!$C$17)*((1+Dashboard!$C$12)^$CZ50),0)</f>
        <v>10917027.254245836</v>
      </c>
      <c r="FP50" s="126">
        <f ca="1">MAX(FP49*(1+BQ50)-(Dashboard!$C$11)/(1-Dashboard!$C$17)*((1+Dashboard!$C$12)^$CZ50),0)</f>
        <v>3737050.9357099822</v>
      </c>
      <c r="FQ50" s="126">
        <f ca="1">MAX(FQ49*(1+BR50)-(Dashboard!$C$11)/(1-Dashboard!$C$17)*((1+Dashboard!$C$12)^$CZ50),0)</f>
        <v>1097612.8728896936</v>
      </c>
      <c r="FR50" s="126">
        <f ca="1">MAX(FR49*(1+BS50)-(Dashboard!$C$11)/(1-Dashboard!$C$17)*((1+Dashboard!$C$12)^$CZ50),0)</f>
        <v>33383566.748222828</v>
      </c>
      <c r="FS50" s="126">
        <f ca="1">MAX(FS49*(1+BT50)-(Dashboard!$C$11)/(1-Dashboard!$C$17)*((1+Dashboard!$C$12)^$CZ50),0)</f>
        <v>27460938.479860533</v>
      </c>
      <c r="FT50" s="126">
        <f ca="1">MAX(FT49*(1+BU50)-(Dashboard!$C$11)/(1-Dashboard!$C$17)*((1+Dashboard!$C$12)^$CZ50),0)</f>
        <v>0</v>
      </c>
      <c r="FU50" s="126">
        <f ca="1">MAX(FU49*(1+BV50)-(Dashboard!$C$11)/(1-Dashboard!$C$17)*((1+Dashboard!$C$12)^$CZ50),0)</f>
        <v>1710834.5621153947</v>
      </c>
      <c r="FV50" s="126">
        <f ca="1">MAX(FV49*(1+BW50)-(Dashboard!$C$11)/(1-Dashboard!$C$17)*((1+Dashboard!$C$12)^$CZ50),0)</f>
        <v>9238950.4630062021</v>
      </c>
      <c r="FW50" s="126">
        <f ca="1">MAX(FW49*(1+BX50)-(Dashboard!$C$11)/(1-Dashboard!$C$17)*((1+Dashboard!$C$12)^$CZ50),0)</f>
        <v>4494543.4946209947</v>
      </c>
      <c r="FX50" s="126">
        <f ca="1">MAX(FX49*(1+BY50)-(Dashboard!$C$11)/(1-Dashboard!$C$17)*((1+Dashboard!$C$12)^$CZ50),0)</f>
        <v>0</v>
      </c>
      <c r="FY50" s="126">
        <f ca="1">MAX(FY49*(1+BZ50)-(Dashboard!$C$11)/(1-Dashboard!$C$17)*((1+Dashboard!$C$12)^$CZ50),0)</f>
        <v>0</v>
      </c>
      <c r="FZ50" s="126">
        <f ca="1">MAX(FZ49*(1+CA50)-(Dashboard!$C$11)/(1-Dashboard!$C$17)*((1+Dashboard!$C$12)^$CZ50),0)</f>
        <v>82684915.272659048</v>
      </c>
      <c r="GA50" s="126">
        <f ca="1">MAX(GA49*(1+CB50)-(Dashboard!$C$11)/(1-Dashboard!$C$17)*((1+Dashboard!$C$12)^$CZ50),0)</f>
        <v>41507505.075876996</v>
      </c>
      <c r="GB50" s="126">
        <f ca="1">MAX(GB49*(1+CC50)-(Dashboard!$C$11)/(1-Dashboard!$C$17)*((1+Dashboard!$C$12)^$CZ50),0)</f>
        <v>5067878.0601451956</v>
      </c>
      <c r="GC50" s="126">
        <f ca="1">MAX(GC49*(1+CD50)-(Dashboard!$C$11)/(1-Dashboard!$C$17)*((1+Dashboard!$C$12)^$CZ50),0)</f>
        <v>9430496.8551767431</v>
      </c>
      <c r="GD50" s="126">
        <f ca="1">MAX(GD49*(1+CE50)-(Dashboard!$C$11)/(1-Dashboard!$C$17)*((1+Dashboard!$C$12)^$CZ50),0)</f>
        <v>93698468.689132005</v>
      </c>
      <c r="GE50" s="126">
        <f ca="1">MAX(GE49*(1+CF50)-(Dashboard!$C$11)/(1-Dashboard!$C$17)*((1+Dashboard!$C$12)^$CZ50),0)</f>
        <v>7726465.3866083072</v>
      </c>
      <c r="GF50" s="126">
        <f ca="1">MAX(GF49*(1+CG50)-(Dashboard!$C$11)/(1-Dashboard!$C$17)*((1+Dashboard!$C$12)^$CZ50),0)</f>
        <v>6328563.553493686</v>
      </c>
      <c r="GG50" s="126">
        <f ca="1">MAX(GG49*(1+CH50)-(Dashboard!$C$11)/(1-Dashboard!$C$17)*((1+Dashboard!$C$12)^$CZ50),0)</f>
        <v>0</v>
      </c>
      <c r="GH50" s="126">
        <f ca="1">MAX(GH49*(1+CI50)-(Dashboard!$C$11)/(1-Dashboard!$C$17)*((1+Dashboard!$C$12)^$CZ50),0)</f>
        <v>1492822.3360264765</v>
      </c>
      <c r="GI50" s="126">
        <f ca="1">MAX(GI49*(1+CJ50)-(Dashboard!$C$11)/(1-Dashboard!$C$17)*((1+Dashboard!$C$12)^$CZ50),0)</f>
        <v>30048108.223727629</v>
      </c>
      <c r="GJ50" s="126">
        <f ca="1">MAX(GJ49*(1+CK50)-(Dashboard!$C$11)/(1-Dashboard!$C$17)*((1+Dashboard!$C$12)^$CZ50),0)</f>
        <v>35899295.706592716</v>
      </c>
      <c r="GK50" s="126">
        <f ca="1">MAX(GK49*(1+CL50)-(Dashboard!$C$11)/(1-Dashboard!$C$17)*((1+Dashboard!$C$12)^$CZ50),0)</f>
        <v>10750325.313007707</v>
      </c>
      <c r="GL50" s="126">
        <f ca="1">MAX(GL49*(1+CM50)-(Dashboard!$C$11)/(1-Dashboard!$C$17)*((1+Dashboard!$C$12)^$CZ50),0)</f>
        <v>10406131.747613562</v>
      </c>
      <c r="GM50" s="126">
        <f ca="1">MAX(GM49*(1+CN50)-(Dashboard!$C$11)/(1-Dashboard!$C$17)*((1+Dashboard!$C$12)^$CZ50),0)</f>
        <v>0</v>
      </c>
      <c r="GN50" s="126">
        <f ca="1">MAX(GN49*(1+CO50)-(Dashboard!$C$11)/(1-Dashboard!$C$17)*((1+Dashboard!$C$12)^$CZ50),0)</f>
        <v>0</v>
      </c>
      <c r="GO50" s="126">
        <f ca="1">MAX(GO49*(1+CP50)-(Dashboard!$C$11)/(1-Dashboard!$C$17)*((1+Dashboard!$C$12)^$CZ50),0)</f>
        <v>3642399.3497915729</v>
      </c>
      <c r="GP50" s="126">
        <f ca="1">MAX(GP49*(1+CQ50)-(Dashboard!$C$11)/(1-Dashboard!$C$17)*((1+Dashboard!$C$12)^$CZ50),0)</f>
        <v>32275329.519128345</v>
      </c>
      <c r="GQ50" s="126">
        <f ca="1">MAX(GQ49*(1+CR50)-(Dashboard!$C$11)/(1-Dashboard!$C$17)*((1+Dashboard!$C$12)^$CZ50),0)</f>
        <v>0</v>
      </c>
      <c r="GR50" s="126">
        <f ca="1">MAX(GR49*(1+CS50)-(Dashboard!$C$11)/(1-Dashboard!$C$17)*((1+Dashboard!$C$12)^$CZ50),0)</f>
        <v>1056154.4665275635</v>
      </c>
      <c r="GS50" s="126">
        <f ca="1">MAX(GS49*(1+CT50)-(Dashboard!$C$11)/(1-Dashboard!$C$17)*((1+Dashboard!$C$12)^$CZ50),0)</f>
        <v>22859631.687477246</v>
      </c>
      <c r="GT50" s="126">
        <f ca="1">MAX(GT49*(1+CU50)-(Dashboard!$C$11)/(1-Dashboard!$C$17)*((1+Dashboard!$C$12)^$CZ50),0)</f>
        <v>205459466.49384636</v>
      </c>
      <c r="GU50" s="126">
        <f ca="1">MAX(GU49*(1+CV50)-(Dashboard!$C$11)/(1-Dashboard!$C$17)*((1+Dashboard!$C$12)^$CZ50),0)</f>
        <v>4372499.7705169693</v>
      </c>
      <c r="GV50" s="126">
        <f ca="1">MAX(GV49*(1+CW50)-(Dashboard!$C$11)/(1-Dashboard!$C$17)*((1+Dashboard!$C$12)^$CZ50),0)</f>
        <v>0</v>
      </c>
      <c r="GW50" s="115">
        <f t="shared" si="4"/>
        <v>99</v>
      </c>
      <c r="GX50" s="130">
        <f t="shared" ca="1" si="2"/>
        <v>83</v>
      </c>
      <c r="HC50" s="130">
        <f t="shared" si="7"/>
        <v>99</v>
      </c>
      <c r="HD50" s="137">
        <f t="shared" ca="1" si="8"/>
        <v>1484933.4846379063</v>
      </c>
      <c r="HE50" s="137">
        <f t="shared" ca="1" si="8"/>
        <v>6371090.1270520724</v>
      </c>
      <c r="HF50" s="137">
        <f t="shared" ca="1" si="8"/>
        <v>22545491.648877285</v>
      </c>
    </row>
    <row r="51" spans="1:214" ht="17" thickBot="1">
      <c r="A51" s="146">
        <f t="shared" si="3"/>
        <v>100</v>
      </c>
      <c r="B51" s="120">
        <f ca="1">(Dashboard!$C$7*'Equity and Bond Returns'!N51)+(Dashboard!$C$8*'Equity and Bond Returns'!DL51)</f>
        <v>-0.11168998094606461</v>
      </c>
      <c r="C51" s="120">
        <f ca="1">(Dashboard!$C$7*'Equity and Bond Returns'!O51)+(Dashboard!$C$8*'Equity and Bond Returns'!DM51)</f>
        <v>3.7989804073818183E-2</v>
      </c>
      <c r="D51" s="120">
        <f ca="1">(Dashboard!$C$7*'Equity and Bond Returns'!P51)+(Dashboard!$C$8*'Equity and Bond Returns'!DN51)</f>
        <v>2.0101737543326212E-4</v>
      </c>
      <c r="E51" s="120">
        <f ca="1">(Dashboard!$C$7*'Equity and Bond Returns'!Q51)+(Dashboard!$C$8*'Equity and Bond Returns'!DO51)</f>
        <v>0.11235357748151736</v>
      </c>
      <c r="F51" s="120">
        <f ca="1">(Dashboard!$C$7*'Equity and Bond Returns'!R51)+(Dashboard!$C$8*'Equity and Bond Returns'!DP51)</f>
        <v>0.16851716596753397</v>
      </c>
      <c r="G51" s="120">
        <f ca="1">(Dashboard!$C$7*'Equity and Bond Returns'!S51)+(Dashboard!$C$8*'Equity and Bond Returns'!DQ51)</f>
        <v>0.32934049064354382</v>
      </c>
      <c r="H51" s="120">
        <f ca="1">(Dashboard!$C$7*'Equity and Bond Returns'!T51)+(Dashboard!$C$8*'Equity and Bond Returns'!DR51)</f>
        <v>0.10646045062581258</v>
      </c>
      <c r="I51" s="120">
        <f ca="1">(Dashboard!$C$7*'Equity and Bond Returns'!U51)+(Dashboard!$C$8*'Equity and Bond Returns'!DS51)</f>
        <v>0.31033247908793177</v>
      </c>
      <c r="J51" s="120">
        <f ca="1">(Dashboard!$C$7*'Equity and Bond Returns'!V51)+(Dashboard!$C$8*'Equity and Bond Returns'!DT51)</f>
        <v>0.31115513296262426</v>
      </c>
      <c r="K51" s="120">
        <f ca="1">(Dashboard!$C$7*'Equity and Bond Returns'!W51)+(Dashboard!$C$8*'Equity and Bond Returns'!DU51)</f>
        <v>-4.4082703874625401E-4</v>
      </c>
      <c r="L51" s="120">
        <f ca="1">(Dashboard!$C$7*'Equity and Bond Returns'!X51)+(Dashboard!$C$8*'Equity and Bond Returns'!DV51)</f>
        <v>8.5805954726063338E-2</v>
      </c>
      <c r="M51" s="120">
        <f ca="1">(Dashboard!$C$7*'Equity and Bond Returns'!Y51)+(Dashboard!$C$8*'Equity and Bond Returns'!DW51)</f>
        <v>8.6999941874497666E-2</v>
      </c>
      <c r="N51" s="120">
        <f ca="1">(Dashboard!$C$7*'Equity and Bond Returns'!Z51)+(Dashboard!$C$8*'Equity and Bond Returns'!DX51)</f>
        <v>5.9760944912684043E-2</v>
      </c>
      <c r="O51" s="120">
        <f ca="1">(Dashboard!$C$7*'Equity and Bond Returns'!AA51)+(Dashboard!$C$8*'Equity and Bond Returns'!DY51)</f>
        <v>-3.3911880838496902E-2</v>
      </c>
      <c r="P51" s="120">
        <f ca="1">(Dashboard!$C$7*'Equity and Bond Returns'!AB51)+(Dashboard!$C$8*'Equity and Bond Returns'!DZ51)</f>
        <v>0.10055721928871726</v>
      </c>
      <c r="Q51" s="120">
        <f ca="1">(Dashboard!$C$7*'Equity and Bond Returns'!AC51)+(Dashboard!$C$8*'Equity and Bond Returns'!EA51)</f>
        <v>0.11566137251831685</v>
      </c>
      <c r="R51" s="120">
        <f ca="1">(Dashboard!$C$7*'Equity and Bond Returns'!AD51)+(Dashboard!$C$8*'Equity and Bond Returns'!EB51)</f>
        <v>0.10672452074182903</v>
      </c>
      <c r="S51" s="120">
        <f ca="1">(Dashboard!$C$7*'Equity and Bond Returns'!AE51)+(Dashboard!$C$8*'Equity and Bond Returns'!EC51)</f>
        <v>7.5975735263344502E-2</v>
      </c>
      <c r="T51" s="120">
        <f ca="1">(Dashboard!$C$7*'Equity and Bond Returns'!AF51)+(Dashboard!$C$8*'Equity and Bond Returns'!ED51)</f>
        <v>0.16542318684289328</v>
      </c>
      <c r="U51" s="120">
        <f ca="1">(Dashboard!$C$7*'Equity and Bond Returns'!AG51)+(Dashboard!$C$8*'Equity and Bond Returns'!EE51)</f>
        <v>-4.8805209342754424E-2</v>
      </c>
      <c r="V51" s="120">
        <f ca="1">(Dashboard!$C$7*'Equity and Bond Returns'!AH51)+(Dashboard!$C$8*'Equity and Bond Returns'!EF51)</f>
        <v>6.5191270525288392E-2</v>
      </c>
      <c r="W51" s="120">
        <f ca="1">(Dashboard!$C$7*'Equity and Bond Returns'!AI51)+(Dashboard!$C$8*'Equity and Bond Returns'!EG51)</f>
        <v>-1.5038415584094411E-2</v>
      </c>
      <c r="X51" s="120">
        <f ca="1">(Dashboard!$C$7*'Equity and Bond Returns'!AJ51)+(Dashboard!$C$8*'Equity and Bond Returns'!EH51)</f>
        <v>0.15593825561268346</v>
      </c>
      <c r="Y51" s="120">
        <f ca="1">(Dashboard!$C$7*'Equity and Bond Returns'!AK51)+(Dashboard!$C$8*'Equity and Bond Returns'!EI51)</f>
        <v>0.22962089272493474</v>
      </c>
      <c r="Z51" s="120">
        <f ca="1">(Dashboard!$C$7*'Equity and Bond Returns'!AL51)+(Dashboard!$C$8*'Equity and Bond Returns'!EJ51)</f>
        <v>4.2240515350681601E-2</v>
      </c>
      <c r="AA51" s="120">
        <f ca="1">(Dashboard!$C$7*'Equity and Bond Returns'!AM51)+(Dashboard!$C$8*'Equity and Bond Returns'!EK51)</f>
        <v>3.4878660224008914E-2</v>
      </c>
      <c r="AB51" s="120">
        <f ca="1">(Dashboard!$C$7*'Equity and Bond Returns'!AN51)+(Dashboard!$C$8*'Equity and Bond Returns'!EL51)</f>
        <v>-6.8160234515358714E-2</v>
      </c>
      <c r="AC51" s="120">
        <f ca="1">(Dashboard!$C$7*'Equity and Bond Returns'!AO51)+(Dashboard!$C$8*'Equity and Bond Returns'!EM51)</f>
        <v>0.10244605424787892</v>
      </c>
      <c r="AD51" s="120">
        <f ca="1">(Dashboard!$C$7*'Equity and Bond Returns'!AP51)+(Dashboard!$C$8*'Equity and Bond Returns'!EN51)</f>
        <v>1.6787826559791167E-2</v>
      </c>
      <c r="AE51" s="120">
        <f ca="1">(Dashboard!$C$7*'Equity and Bond Returns'!AQ51)+(Dashboard!$C$8*'Equity and Bond Returns'!EO51)</f>
        <v>0.2155855649176171</v>
      </c>
      <c r="AF51" s="120">
        <f ca="1">(Dashboard!$C$7*'Equity and Bond Returns'!AR51)+(Dashboard!$C$8*'Equity and Bond Returns'!EP51)</f>
        <v>0.17290336653923505</v>
      </c>
      <c r="AG51" s="120">
        <f ca="1">(Dashboard!$C$7*'Equity and Bond Returns'!AS51)+(Dashboard!$C$8*'Equity and Bond Returns'!EQ51)</f>
        <v>6.1211812464144116E-2</v>
      </c>
      <c r="AH51" s="120">
        <f ca="1">(Dashboard!$C$7*'Equity and Bond Returns'!AT51)+(Dashboard!$C$8*'Equity and Bond Returns'!ER51)</f>
        <v>-2.1170825752755036E-2</v>
      </c>
      <c r="AI51" s="120">
        <f ca="1">(Dashboard!$C$7*'Equity and Bond Returns'!AU51)+(Dashboard!$C$8*'Equity and Bond Returns'!ES51)</f>
        <v>3.2858752798809468E-2</v>
      </c>
      <c r="AJ51" s="120">
        <f ca="1">(Dashboard!$C$7*'Equity and Bond Returns'!AV51)+(Dashboard!$C$8*'Equity and Bond Returns'!ET51)</f>
        <v>0.11238167832761237</v>
      </c>
      <c r="AK51" s="120">
        <f ca="1">(Dashboard!$C$7*'Equity and Bond Returns'!AW51)+(Dashboard!$C$8*'Equity and Bond Returns'!EU51)</f>
        <v>0.24596189324132581</v>
      </c>
      <c r="AL51" s="120">
        <f ca="1">(Dashboard!$C$7*'Equity and Bond Returns'!AX51)+(Dashboard!$C$8*'Equity and Bond Returns'!EV51)</f>
        <v>0.16341425679623872</v>
      </c>
      <c r="AM51" s="120">
        <f ca="1">(Dashboard!$C$7*'Equity and Bond Returns'!AY51)+(Dashboard!$C$8*'Equity and Bond Returns'!EW51)</f>
        <v>0.14921081313019094</v>
      </c>
      <c r="AN51" s="120">
        <f ca="1">(Dashboard!$C$7*'Equity and Bond Returns'!AZ51)+(Dashboard!$C$8*'Equity and Bond Returns'!EX51)</f>
        <v>0.12402041217287435</v>
      </c>
      <c r="AO51" s="120">
        <f ca="1">(Dashboard!$C$7*'Equity and Bond Returns'!BA51)+(Dashboard!$C$8*'Equity and Bond Returns'!EY51)</f>
        <v>1.3124074259682147E-2</v>
      </c>
      <c r="AP51" s="120">
        <f ca="1">(Dashboard!$C$7*'Equity and Bond Returns'!BB51)+(Dashboard!$C$8*'Equity and Bond Returns'!EZ51)</f>
        <v>7.0937508546411676E-2</v>
      </c>
      <c r="AQ51" s="120">
        <f ca="1">(Dashboard!$C$7*'Equity and Bond Returns'!BC51)+(Dashboard!$C$8*'Equity and Bond Returns'!FA51)</f>
        <v>-8.8151348588073622E-2</v>
      </c>
      <c r="AR51" s="120">
        <f ca="1">(Dashboard!$C$7*'Equity and Bond Returns'!BD51)+(Dashboard!$C$8*'Equity and Bond Returns'!FB51)</f>
        <v>0.12059281379539688</v>
      </c>
      <c r="AS51" s="120">
        <f ca="1">(Dashboard!$C$7*'Equity and Bond Returns'!BE51)+(Dashboard!$C$8*'Equity and Bond Returns'!FC51)</f>
        <v>0.20948144465566385</v>
      </c>
      <c r="AT51" s="120">
        <f ca="1">(Dashboard!$C$7*'Equity and Bond Returns'!BF51)+(Dashboard!$C$8*'Equity and Bond Returns'!FD51)</f>
        <v>5.2673341573998285E-2</v>
      </c>
      <c r="AU51" s="120">
        <f ca="1">(Dashboard!$C$7*'Equity and Bond Returns'!BG51)+(Dashboard!$C$8*'Equity and Bond Returns'!FE51)</f>
        <v>8.0990163939412926E-2</v>
      </c>
      <c r="AV51" s="120">
        <f ca="1">(Dashboard!$C$7*'Equity and Bond Returns'!BH51)+(Dashboard!$C$8*'Equity and Bond Returns'!FF51)</f>
        <v>0.25237414590032148</v>
      </c>
      <c r="AW51" s="120">
        <f ca="1">(Dashboard!$C$7*'Equity and Bond Returns'!BI51)+(Dashboard!$C$8*'Equity and Bond Returns'!FG51)</f>
        <v>4.3062191977401125E-2</v>
      </c>
      <c r="AX51" s="120">
        <f ca="1">(Dashboard!$C$7*'Equity and Bond Returns'!BJ51)+(Dashboard!$C$8*'Equity and Bond Returns'!FH51)</f>
        <v>5.3058198084948965E-2</v>
      </c>
      <c r="AY51" s="120">
        <f ca="1">(Dashboard!$C$7*'Equity and Bond Returns'!BK51)+(Dashboard!$C$8*'Equity and Bond Returns'!FI51)</f>
        <v>-8.0505006975054E-2</v>
      </c>
      <c r="AZ51" s="120">
        <f ca="1">(Dashboard!$C$7*'Equity and Bond Returns'!BL51)+(Dashboard!$C$8*'Equity and Bond Returns'!FJ51)</f>
        <v>6.6703798481627247E-2</v>
      </c>
      <c r="BA51" s="120">
        <f ca="1">(Dashboard!$C$7*'Equity and Bond Returns'!BM51)+(Dashboard!$C$8*'Equity and Bond Returns'!FK51)</f>
        <v>0.14601155473091559</v>
      </c>
      <c r="BB51" s="120">
        <f ca="1">(Dashboard!$C$7*'Equity and Bond Returns'!BN51)+(Dashboard!$C$8*'Equity and Bond Returns'!FL51)</f>
        <v>0.10431606175214325</v>
      </c>
      <c r="BC51" s="120">
        <f ca="1">(Dashboard!$C$7*'Equity and Bond Returns'!BO51)+(Dashboard!$C$8*'Equity and Bond Returns'!FM51)</f>
        <v>5.9956662686218791E-2</v>
      </c>
      <c r="BD51" s="120">
        <f ca="1">(Dashboard!$C$7*'Equity and Bond Returns'!BP51)+(Dashboard!$C$8*'Equity and Bond Returns'!FN51)</f>
        <v>9.2459559605372166E-2</v>
      </c>
      <c r="BE51" s="120">
        <f ca="1">(Dashboard!$C$7*'Equity and Bond Returns'!BQ51)+(Dashboard!$C$8*'Equity and Bond Returns'!FO51)</f>
        <v>-4.6152086451519076E-3</v>
      </c>
      <c r="BF51" s="120">
        <f ca="1">(Dashboard!$C$7*'Equity and Bond Returns'!BR51)+(Dashboard!$C$8*'Equity and Bond Returns'!FP51)</f>
        <v>0.32620656294379069</v>
      </c>
      <c r="BG51" s="120">
        <f ca="1">(Dashboard!$C$7*'Equity and Bond Returns'!BS51)+(Dashboard!$C$8*'Equity and Bond Returns'!FQ51)</f>
        <v>-2.3695709427000236E-2</v>
      </c>
      <c r="BH51" s="120">
        <f ca="1">(Dashboard!$C$7*'Equity and Bond Returns'!BT51)+(Dashboard!$C$8*'Equity and Bond Returns'!FR51)</f>
        <v>4.8468974253367068E-2</v>
      </c>
      <c r="BI51" s="120">
        <f ca="1">(Dashboard!$C$7*'Equity and Bond Returns'!BU51)+(Dashboard!$C$8*'Equity and Bond Returns'!FS51)</f>
        <v>0.19676410459117782</v>
      </c>
      <c r="BJ51" s="120">
        <f ca="1">(Dashboard!$C$7*'Equity and Bond Returns'!BV51)+(Dashboard!$C$8*'Equity and Bond Returns'!FT51)</f>
        <v>1.8885544993875014E-2</v>
      </c>
      <c r="BK51" s="120">
        <f ca="1">(Dashboard!$C$7*'Equity and Bond Returns'!BW51)+(Dashboard!$C$8*'Equity and Bond Returns'!FU51)</f>
        <v>2.9768591058270226E-2</v>
      </c>
      <c r="BL51" s="120">
        <f ca="1">(Dashboard!$C$7*'Equity and Bond Returns'!BX51)+(Dashboard!$C$8*'Equity and Bond Returns'!FV51)</f>
        <v>0.10460444551960546</v>
      </c>
      <c r="BM51" s="120">
        <f ca="1">(Dashboard!$C$7*'Equity and Bond Returns'!BY51)+(Dashboard!$C$8*'Equity and Bond Returns'!FW51)</f>
        <v>3.8916721066194048E-3</v>
      </c>
      <c r="BN51" s="120">
        <f ca="1">(Dashboard!$C$7*'Equity and Bond Returns'!BZ51)+(Dashboard!$C$8*'Equity and Bond Returns'!FX51)</f>
        <v>-4.0969335015091493E-2</v>
      </c>
      <c r="BO51" s="120">
        <f ca="1">(Dashboard!$C$7*'Equity and Bond Returns'!CA51)+(Dashboard!$C$8*'Equity and Bond Returns'!FY51)</f>
        <v>0.37881851418640877</v>
      </c>
      <c r="BP51" s="120">
        <f ca="1">(Dashboard!$C$7*'Equity and Bond Returns'!CB51)+(Dashboard!$C$8*'Equity and Bond Returns'!FZ51)</f>
        <v>0.1125574537513884</v>
      </c>
      <c r="BQ51" s="120">
        <f ca="1">(Dashboard!$C$7*'Equity and Bond Returns'!CC51)+(Dashboard!$C$8*'Equity and Bond Returns'!GA51)</f>
        <v>0.16930130962576201</v>
      </c>
      <c r="BR51" s="120">
        <f ca="1">(Dashboard!$C$7*'Equity and Bond Returns'!CD51)+(Dashboard!$C$8*'Equity and Bond Returns'!GB51)</f>
        <v>0.32535497230376742</v>
      </c>
      <c r="BS51" s="120">
        <f ca="1">(Dashboard!$C$7*'Equity and Bond Returns'!CE51)+(Dashboard!$C$8*'Equity and Bond Returns'!GC51)</f>
        <v>-0.15814922935218137</v>
      </c>
      <c r="BT51" s="120">
        <f ca="1">(Dashboard!$C$7*'Equity and Bond Returns'!CF51)+(Dashboard!$C$8*'Equity and Bond Returns'!GD51)</f>
        <v>0.19283776734246116</v>
      </c>
      <c r="BU51" s="120">
        <f ca="1">(Dashboard!$C$7*'Equity and Bond Returns'!CG51)+(Dashboard!$C$8*'Equity and Bond Returns'!GE51)</f>
        <v>0.20161392093886493</v>
      </c>
      <c r="BV51" s="120">
        <f ca="1">(Dashboard!$C$7*'Equity and Bond Returns'!CH51)+(Dashboard!$C$8*'Equity and Bond Returns'!GF51)</f>
        <v>-2.8387503466639964E-2</v>
      </c>
      <c r="BW51" s="120">
        <f ca="1">(Dashboard!$C$7*'Equity and Bond Returns'!CI51)+(Dashboard!$C$8*'Equity and Bond Returns'!GG51)</f>
        <v>6.720549787250571E-2</v>
      </c>
      <c r="BX51" s="120">
        <f ca="1">(Dashboard!$C$7*'Equity and Bond Returns'!CJ51)+(Dashboard!$C$8*'Equity and Bond Returns'!GH51)</f>
        <v>0.12237020393550806</v>
      </c>
      <c r="BY51" s="120">
        <f ca="1">(Dashboard!$C$7*'Equity and Bond Returns'!CK51)+(Dashboard!$C$8*'Equity and Bond Returns'!GI51)</f>
        <v>0.36042382779417176</v>
      </c>
      <c r="BZ51" s="120">
        <f ca="1">(Dashboard!$C$7*'Equity and Bond Returns'!CL51)+(Dashboard!$C$8*'Equity and Bond Returns'!GJ51)</f>
        <v>5.7290744450432141E-2</v>
      </c>
      <c r="CA51" s="120">
        <f ca="1">(Dashboard!$C$7*'Equity and Bond Returns'!CM51)+(Dashboard!$C$8*'Equity and Bond Returns'!GK51)</f>
        <v>6.4646611648925198E-2</v>
      </c>
      <c r="CB51" s="120">
        <f ca="1">(Dashboard!$C$7*'Equity and Bond Returns'!CN51)+(Dashboard!$C$8*'Equity and Bond Returns'!GL51)</f>
        <v>-2.5637658043601866E-2</v>
      </c>
      <c r="CC51" s="120">
        <f ca="1">(Dashboard!$C$7*'Equity and Bond Returns'!CO51)+(Dashboard!$C$8*'Equity and Bond Returns'!GM51)</f>
        <v>7.4628527874806894E-2</v>
      </c>
      <c r="CD51" s="120">
        <f ca="1">(Dashboard!$C$7*'Equity and Bond Returns'!CP51)+(Dashboard!$C$8*'Equity and Bond Returns'!GN51)</f>
        <v>0.3619773460867039</v>
      </c>
      <c r="CE51" s="120">
        <f ca="1">(Dashboard!$C$7*'Equity and Bond Returns'!CQ51)+(Dashboard!$C$8*'Equity and Bond Returns'!GO51)</f>
        <v>-0.11437915052707914</v>
      </c>
      <c r="CF51" s="120">
        <f ca="1">(Dashboard!$C$7*'Equity and Bond Returns'!CR51)+(Dashboard!$C$8*'Equity and Bond Returns'!GP51)</f>
        <v>3.1603006555578086E-2</v>
      </c>
      <c r="CG51" s="120">
        <f ca="1">(Dashboard!$C$7*'Equity and Bond Returns'!CS51)+(Dashboard!$C$8*'Equity and Bond Returns'!GQ51)</f>
        <v>0.13334578319630039</v>
      </c>
      <c r="CH51" s="120">
        <f ca="1">(Dashboard!$C$7*'Equity and Bond Returns'!CT51)+(Dashboard!$C$8*'Equity and Bond Returns'!GR51)</f>
        <v>0.13871511336769329</v>
      </c>
      <c r="CI51" s="120">
        <f ca="1">(Dashboard!$C$7*'Equity and Bond Returns'!CU51)+(Dashboard!$C$8*'Equity and Bond Returns'!GS51)</f>
        <v>-4.7635307652657173E-2</v>
      </c>
      <c r="CJ51" s="120">
        <f ca="1">(Dashboard!$C$7*'Equity and Bond Returns'!CV51)+(Dashboard!$C$8*'Equity and Bond Returns'!GT51)</f>
        <v>0.16156311188309752</v>
      </c>
      <c r="CK51" s="120">
        <f ca="1">(Dashboard!$C$7*'Equity and Bond Returns'!CW51)+(Dashboard!$C$8*'Equity and Bond Returns'!GU51)</f>
        <v>5.7783109494204309E-2</v>
      </c>
      <c r="CL51" s="120">
        <f ca="1">(Dashboard!$C$7*'Equity and Bond Returns'!CX51)+(Dashboard!$C$8*'Equity and Bond Returns'!GV51)</f>
        <v>0.13348542379801856</v>
      </c>
      <c r="CM51" s="120">
        <f ca="1">(Dashboard!$C$7*'Equity and Bond Returns'!CY51)+(Dashboard!$C$8*'Equity and Bond Returns'!GW51)</f>
        <v>0.17621713263706962</v>
      </c>
      <c r="CN51" s="120">
        <f ca="1">(Dashboard!$C$7*'Equity and Bond Returns'!CZ51)+(Dashboard!$C$8*'Equity and Bond Returns'!GX51)</f>
        <v>8.7249803530184938E-2</v>
      </c>
      <c r="CO51" s="120">
        <f ca="1">(Dashboard!$C$7*'Equity and Bond Returns'!DA51)+(Dashboard!$C$8*'Equity and Bond Returns'!GY51)</f>
        <v>0.13069250646976333</v>
      </c>
      <c r="CP51" s="120">
        <f ca="1">(Dashboard!$C$7*'Equity and Bond Returns'!DB51)+(Dashboard!$C$8*'Equity and Bond Returns'!GZ51)</f>
        <v>0.10882584074708457</v>
      </c>
      <c r="CQ51" s="120">
        <f ca="1">(Dashboard!$C$7*'Equity and Bond Returns'!DC51)+(Dashboard!$C$8*'Equity and Bond Returns'!HA51)</f>
        <v>-8.7198945670180564E-2</v>
      </c>
      <c r="CR51" s="120">
        <f ca="1">(Dashboard!$C$7*'Equity and Bond Returns'!DD51)+(Dashboard!$C$8*'Equity and Bond Returns'!HB51)</f>
        <v>0.13617854535215723</v>
      </c>
      <c r="CS51" s="120">
        <f ca="1">(Dashboard!$C$7*'Equity and Bond Returns'!DE51)+(Dashboard!$C$8*'Equity and Bond Returns'!HC51)</f>
        <v>0.15939151104534935</v>
      </c>
      <c r="CT51" s="120">
        <f ca="1">(Dashboard!$C$7*'Equity and Bond Returns'!DF51)+(Dashboard!$C$8*'Equity and Bond Returns'!HD51)</f>
        <v>0.1367314291517423</v>
      </c>
      <c r="CU51" s="120">
        <f ca="1">(Dashboard!$C$7*'Equity and Bond Returns'!DG51)+(Dashboard!$C$8*'Equity and Bond Returns'!HE51)</f>
        <v>-0.34406309536193175</v>
      </c>
      <c r="CV51" s="120">
        <f ca="1">(Dashboard!$C$7*'Equity and Bond Returns'!DH51)+(Dashboard!$C$8*'Equity and Bond Returns'!HF51)</f>
        <v>8.0531933954867629E-2</v>
      </c>
      <c r="CW51" s="120">
        <f ca="1">(Dashboard!$C$7*'Equity and Bond Returns'!DI51)+(Dashboard!$C$8*'Equity and Bond Returns'!HG51)</f>
        <v>9.663967727608358E-2</v>
      </c>
      <c r="CY51" s="149">
        <f t="shared" si="5"/>
        <v>100</v>
      </c>
      <c r="CZ51" s="149">
        <v>50</v>
      </c>
      <c r="DA51" s="127">
        <f ca="1">MAX(DA50*(1+B51)-(Dashboard!$C$11)/(1-Dashboard!$C$17)*((1+Dashboard!$C$12)^$CZ51),0)</f>
        <v>22750156.792861838</v>
      </c>
      <c r="DB51" s="127">
        <f ca="1">MAX(DB50*(1+C51)-(Dashboard!$C$11)/(1-Dashboard!$C$17)*((1+Dashboard!$C$12)^$CZ51),0)</f>
        <v>0</v>
      </c>
      <c r="DC51" s="127">
        <f ca="1">MAX(DC50*(1+D51)-(Dashboard!$C$11)/(1-Dashboard!$C$17)*((1+Dashboard!$C$12)^$CZ51),0)</f>
        <v>13673844.160570135</v>
      </c>
      <c r="DD51" s="127">
        <f ca="1">MAX(DD50*(1+E51)-(Dashboard!$C$11)/(1-Dashboard!$C$17)*((1+Dashboard!$C$12)^$CZ51),0)</f>
        <v>0</v>
      </c>
      <c r="DE51" s="127">
        <f ca="1">MAX(DE50*(1+F51)-(Dashboard!$C$11)/(1-Dashboard!$C$17)*((1+Dashboard!$C$12)^$CZ51),0)</f>
        <v>15760689.587163024</v>
      </c>
      <c r="DF51" s="127">
        <f ca="1">MAX(DF50*(1+G51)-(Dashboard!$C$11)/(1-Dashboard!$C$17)*((1+Dashboard!$C$12)^$CZ51),0)</f>
        <v>28627419.649552852</v>
      </c>
      <c r="DG51" s="127">
        <f ca="1">MAX(DG50*(1+H51)-(Dashboard!$C$11)/(1-Dashboard!$C$17)*((1+Dashboard!$C$12)^$CZ51),0)</f>
        <v>0</v>
      </c>
      <c r="DH51" s="127">
        <f ca="1">MAX(DH50*(1+I51)-(Dashboard!$C$11)/(1-Dashboard!$C$17)*((1+Dashboard!$C$12)^$CZ51),0)</f>
        <v>63708355.938053966</v>
      </c>
      <c r="DI51" s="127">
        <f ca="1">MAX(DI50*(1+J51)-(Dashboard!$C$11)/(1-Dashboard!$C$17)*((1+Dashboard!$C$12)^$CZ51),0)</f>
        <v>11891023.822309358</v>
      </c>
      <c r="DJ51" s="127">
        <f ca="1">MAX(DJ50*(1+K51)-(Dashboard!$C$11)/(1-Dashboard!$C$17)*((1+Dashboard!$C$12)^$CZ51),0)</f>
        <v>12150863.761593403</v>
      </c>
      <c r="DK51" s="127">
        <f ca="1">MAX(DK50*(1+L51)-(Dashboard!$C$11)/(1-Dashboard!$C$17)*((1+Dashboard!$C$12)^$CZ51),0)</f>
        <v>8397020.2645262722</v>
      </c>
      <c r="DL51" s="127">
        <f ca="1">MAX(DL50*(1+M51)-(Dashboard!$C$11)/(1-Dashboard!$C$17)*((1+Dashboard!$C$12)^$CZ51),0)</f>
        <v>1130553.2169599682</v>
      </c>
      <c r="DM51" s="127">
        <f ca="1">MAX(DM50*(1+N51)-(Dashboard!$C$11)/(1-Dashboard!$C$17)*((1+Dashboard!$C$12)^$CZ51),0)</f>
        <v>38754349.549387209</v>
      </c>
      <c r="DN51" s="127">
        <f ca="1">MAX(DN50*(1+O51)-(Dashboard!$C$11)/(1-Dashboard!$C$17)*((1+Dashboard!$C$12)^$CZ51),0)</f>
        <v>173921615.92052749</v>
      </c>
      <c r="DO51" s="127">
        <f ca="1">MAX(DO50*(1+P51)-(Dashboard!$C$11)/(1-Dashboard!$C$17)*((1+Dashboard!$C$12)^$CZ51),0)</f>
        <v>5042993.6471030787</v>
      </c>
      <c r="DP51" s="127">
        <f ca="1">MAX(DP50*(1+Q51)-(Dashboard!$C$11)/(1-Dashboard!$C$17)*((1+Dashboard!$C$12)^$CZ51),0)</f>
        <v>549868.73129735701</v>
      </c>
      <c r="DQ51" s="127">
        <f ca="1">MAX(DQ50*(1+R51)-(Dashboard!$C$11)/(1-Dashboard!$C$17)*((1+Dashboard!$C$12)^$CZ51),0)</f>
        <v>7090116.7465703571</v>
      </c>
      <c r="DR51" s="127">
        <f ca="1">MAX(DR50*(1+S51)-(Dashboard!$C$11)/(1-Dashboard!$C$17)*((1+Dashboard!$C$12)^$CZ51),0)</f>
        <v>18012962.593698326</v>
      </c>
      <c r="DS51" s="127">
        <f ca="1">MAX(DS50*(1+T51)-(Dashboard!$C$11)/(1-Dashboard!$C$17)*((1+Dashboard!$C$12)^$CZ51),0)</f>
        <v>0</v>
      </c>
      <c r="DT51" s="127">
        <f ca="1">MAX(DT50*(1+U51)-(Dashboard!$C$11)/(1-Dashboard!$C$17)*((1+Dashboard!$C$12)^$CZ51),0)</f>
        <v>263493.40450503322</v>
      </c>
      <c r="DU51" s="127">
        <f ca="1">MAX(DU50*(1+V51)-(Dashboard!$C$11)/(1-Dashboard!$C$17)*((1+Dashboard!$C$12)^$CZ51),0)</f>
        <v>5813620.5563509678</v>
      </c>
      <c r="DV51" s="127">
        <f ca="1">MAX(DV50*(1+W51)-(Dashboard!$C$11)/(1-Dashboard!$C$17)*((1+Dashboard!$C$12)^$CZ51),0)</f>
        <v>77692938.882204801</v>
      </c>
      <c r="DW51" s="127">
        <f ca="1">MAX(DW50*(1+X51)-(Dashboard!$C$11)/(1-Dashboard!$C$17)*((1+Dashboard!$C$12)^$CZ51),0)</f>
        <v>10279540.386510901</v>
      </c>
      <c r="DX51" s="127">
        <f ca="1">MAX(DX50*(1+Y51)-(Dashboard!$C$11)/(1-Dashboard!$C$17)*((1+Dashboard!$C$12)^$CZ51),0)</f>
        <v>3971153.4645581041</v>
      </c>
      <c r="DY51" s="127">
        <f ca="1">MAX(DY50*(1+Z51)-(Dashboard!$C$11)/(1-Dashboard!$C$17)*((1+Dashboard!$C$12)^$CZ51),0)</f>
        <v>21442900.731135298</v>
      </c>
      <c r="DZ51" s="127">
        <f ca="1">MAX(DZ50*(1+AA51)-(Dashboard!$C$11)/(1-Dashboard!$C$17)*((1+Dashboard!$C$12)^$CZ51),0)</f>
        <v>8281442.7845421936</v>
      </c>
      <c r="EA51" s="127">
        <f ca="1">MAX(EA50*(1+AB51)-(Dashboard!$C$11)/(1-Dashboard!$C$17)*((1+Dashboard!$C$12)^$CZ51),0)</f>
        <v>4145143.5398856564</v>
      </c>
      <c r="EB51" s="127">
        <f ca="1">MAX(EB50*(1+AC51)-(Dashboard!$C$11)/(1-Dashboard!$C$17)*((1+Dashboard!$C$12)^$CZ51),0)</f>
        <v>11945601.776802072</v>
      </c>
      <c r="EC51" s="127">
        <f ca="1">MAX(EC50*(1+AD51)-(Dashboard!$C$11)/(1-Dashboard!$C$17)*((1+Dashboard!$C$12)^$CZ51),0)</f>
        <v>16687743.273695536</v>
      </c>
      <c r="ED51" s="127">
        <f ca="1">MAX(ED50*(1+AE51)-(Dashboard!$C$11)/(1-Dashboard!$C$17)*((1+Dashboard!$C$12)^$CZ51),0)</f>
        <v>13001080.317501223</v>
      </c>
      <c r="EE51" s="127">
        <f ca="1">MAX(EE50*(1+AF51)-(Dashboard!$C$11)/(1-Dashboard!$C$17)*((1+Dashboard!$C$12)^$CZ51),0)</f>
        <v>33433770.796734869</v>
      </c>
      <c r="EF51" s="127">
        <f ca="1">MAX(EF50*(1+AG51)-(Dashboard!$C$11)/(1-Dashboard!$C$17)*((1+Dashboard!$C$12)^$CZ51),0)</f>
        <v>0</v>
      </c>
      <c r="EG51" s="127">
        <f ca="1">MAX(EG50*(1+AH51)-(Dashboard!$C$11)/(1-Dashboard!$C$17)*((1+Dashboard!$C$12)^$CZ51),0)</f>
        <v>27776592.392726928</v>
      </c>
      <c r="EH51" s="127">
        <f ca="1">MAX(EH50*(1+AI51)-(Dashboard!$C$11)/(1-Dashboard!$C$17)*((1+Dashboard!$C$12)^$CZ51),0)</f>
        <v>27295882.91649181</v>
      </c>
      <c r="EI51" s="127">
        <f ca="1">MAX(EI50*(1+AJ51)-(Dashboard!$C$11)/(1-Dashboard!$C$17)*((1+Dashboard!$C$12)^$CZ51),0)</f>
        <v>0</v>
      </c>
      <c r="EJ51" s="127">
        <f ca="1">MAX(EJ50*(1+AK51)-(Dashboard!$C$11)/(1-Dashboard!$C$17)*((1+Dashboard!$C$12)^$CZ51),0)</f>
        <v>32168640.86199414</v>
      </c>
      <c r="EK51" s="127">
        <f ca="1">MAX(EK50*(1+AL51)-(Dashboard!$C$11)/(1-Dashboard!$C$17)*((1+Dashboard!$C$12)^$CZ51),0)</f>
        <v>3895802.8735113274</v>
      </c>
      <c r="EL51" s="127">
        <f ca="1">MAX(EL50*(1+AM51)-(Dashboard!$C$11)/(1-Dashboard!$C$17)*((1+Dashboard!$C$12)^$CZ51),0)</f>
        <v>4799037.7163678799</v>
      </c>
      <c r="EM51" s="127">
        <f ca="1">MAX(EM50*(1+AN51)-(Dashboard!$C$11)/(1-Dashboard!$C$17)*((1+Dashboard!$C$12)^$CZ51),0)</f>
        <v>53858438.502928182</v>
      </c>
      <c r="EN51" s="127">
        <f ca="1">MAX(EN50*(1+AO51)-(Dashboard!$C$11)/(1-Dashboard!$C$17)*((1+Dashboard!$C$12)^$CZ51),0)</f>
        <v>2649492.434676121</v>
      </c>
      <c r="EO51" s="127">
        <f ca="1">MAX(EO50*(1+AP51)-(Dashboard!$C$11)/(1-Dashboard!$C$17)*((1+Dashboard!$C$12)^$CZ51),0)</f>
        <v>0</v>
      </c>
      <c r="EP51" s="127">
        <f ca="1">MAX(EP50*(1+AQ51)-(Dashboard!$C$11)/(1-Dashboard!$C$17)*((1+Dashboard!$C$12)^$CZ51),0)</f>
        <v>3658611.6308363187</v>
      </c>
      <c r="EQ51" s="127">
        <f ca="1">MAX(EQ50*(1+AR51)-(Dashboard!$C$11)/(1-Dashboard!$C$17)*((1+Dashboard!$C$12)^$CZ51),0)</f>
        <v>6490241.8690621387</v>
      </c>
      <c r="ER51" s="127">
        <f ca="1">MAX(ER50*(1+AS51)-(Dashboard!$C$11)/(1-Dashboard!$C$17)*((1+Dashboard!$C$12)^$CZ51),0)</f>
        <v>0</v>
      </c>
      <c r="ES51" s="127">
        <f ca="1">MAX(ES50*(1+AT51)-(Dashboard!$C$11)/(1-Dashboard!$C$17)*((1+Dashboard!$C$12)^$CZ51),0)</f>
        <v>60741254.524090275</v>
      </c>
      <c r="ET51" s="127">
        <f ca="1">MAX(ET50*(1+AU51)-(Dashboard!$C$11)/(1-Dashboard!$C$17)*((1+Dashboard!$C$12)^$CZ51),0)</f>
        <v>12785773.801100427</v>
      </c>
      <c r="EU51" s="127">
        <f ca="1">MAX(EU50*(1+AV51)-(Dashboard!$C$11)/(1-Dashboard!$C$17)*((1+Dashboard!$C$12)^$CZ51),0)</f>
        <v>8041645.3637971785</v>
      </c>
      <c r="EV51" s="127">
        <f ca="1">MAX(EV50*(1+AW51)-(Dashboard!$C$11)/(1-Dashboard!$C$17)*((1+Dashboard!$C$12)^$CZ51),0)</f>
        <v>71007390.567007393</v>
      </c>
      <c r="EW51" s="127">
        <f ca="1">MAX(EW50*(1+AX51)-(Dashboard!$C$11)/(1-Dashboard!$C$17)*((1+Dashboard!$C$12)^$CZ51),0)</f>
        <v>1952604.7566544018</v>
      </c>
      <c r="EX51" s="127">
        <f ca="1">MAX(EX50*(1+AY51)-(Dashboard!$C$11)/(1-Dashboard!$C$17)*((1+Dashboard!$C$12)^$CZ51),0)</f>
        <v>5321436.7373909643</v>
      </c>
      <c r="EY51" s="127">
        <f ca="1">MAX(EY50*(1+AZ51)-(Dashboard!$C$11)/(1-Dashboard!$C$17)*((1+Dashboard!$C$12)^$CZ51),0)</f>
        <v>20115439.902845975</v>
      </c>
      <c r="EZ51" s="127">
        <f ca="1">MAX(EZ50*(1+BA51)-(Dashboard!$C$11)/(1-Dashboard!$C$17)*((1+Dashboard!$C$12)^$CZ51),0)</f>
        <v>5524045.268373237</v>
      </c>
      <c r="FA51" s="127">
        <f ca="1">MAX(FA50*(1+BB51)-(Dashboard!$C$11)/(1-Dashboard!$C$17)*((1+Dashboard!$C$12)^$CZ51),0)</f>
        <v>46681807.453312583</v>
      </c>
      <c r="FB51" s="127">
        <f ca="1">MAX(FB50*(1+BC51)-(Dashboard!$C$11)/(1-Dashboard!$C$17)*((1+Dashboard!$C$12)^$CZ51),0)</f>
        <v>460792.37656574853</v>
      </c>
      <c r="FC51" s="127">
        <f ca="1">MAX(FC50*(1+BD51)-(Dashboard!$C$11)/(1-Dashboard!$C$17)*((1+Dashboard!$C$12)^$CZ51),0)</f>
        <v>17814877.48834474</v>
      </c>
      <c r="FD51" s="127">
        <f ca="1">MAX(FD50*(1+BE51)-(Dashboard!$C$11)/(1-Dashboard!$C$17)*((1+Dashboard!$C$12)^$CZ51),0)</f>
        <v>57476126.330268189</v>
      </c>
      <c r="FE51" s="127">
        <f ca="1">MAX(FE50*(1+BF51)-(Dashboard!$C$11)/(1-Dashboard!$C$17)*((1+Dashboard!$C$12)^$CZ51),0)</f>
        <v>50517317.610585332</v>
      </c>
      <c r="FF51" s="127">
        <f ca="1">MAX(FF50*(1+BG51)-(Dashboard!$C$11)/(1-Dashboard!$C$17)*((1+Dashboard!$C$12)^$CZ51),0)</f>
        <v>2576108.9795526839</v>
      </c>
      <c r="FG51" s="127">
        <f ca="1">MAX(FG50*(1+BH51)-(Dashboard!$C$11)/(1-Dashboard!$C$17)*((1+Dashboard!$C$12)^$CZ51),0)</f>
        <v>1828494.1365315542</v>
      </c>
      <c r="FH51" s="127">
        <f ca="1">MAX(FH50*(1+BI51)-(Dashboard!$C$11)/(1-Dashboard!$C$17)*((1+Dashboard!$C$12)^$CZ51),0)</f>
        <v>5986468.2430394217</v>
      </c>
      <c r="FI51" s="127">
        <f ca="1">MAX(FI50*(1+BJ51)-(Dashboard!$C$11)/(1-Dashboard!$C$17)*((1+Dashboard!$C$12)^$CZ51),0)</f>
        <v>23678773.655459333</v>
      </c>
      <c r="FJ51" s="127">
        <f ca="1">MAX(FJ50*(1+BK51)-(Dashboard!$C$11)/(1-Dashboard!$C$17)*((1+Dashboard!$C$12)^$CZ51),0)</f>
        <v>4412768.9102616068</v>
      </c>
      <c r="FK51" s="127">
        <f ca="1">MAX(FK50*(1+BL51)-(Dashboard!$C$11)/(1-Dashboard!$C$17)*((1+Dashboard!$C$12)^$CZ51),0)</f>
        <v>6831398.6267079869</v>
      </c>
      <c r="FL51" s="127">
        <f ca="1">MAX(FL50*(1+BM51)-(Dashboard!$C$11)/(1-Dashboard!$C$17)*((1+Dashboard!$C$12)^$CZ51),0)</f>
        <v>1397654.4464872656</v>
      </c>
      <c r="FM51" s="127">
        <f ca="1">MAX(FM50*(1+BN51)-(Dashboard!$C$11)/(1-Dashboard!$C$17)*((1+Dashboard!$C$12)^$CZ51),0)</f>
        <v>6060437.0277089309</v>
      </c>
      <c r="FN51" s="127">
        <f ca="1">MAX(FN50*(1+BO51)-(Dashboard!$C$11)/(1-Dashboard!$C$17)*((1+Dashboard!$C$12)^$CZ51),0)</f>
        <v>0</v>
      </c>
      <c r="FO51" s="127">
        <f ca="1">MAX(FO50*(1+BP51)-(Dashboard!$C$11)/(1-Dashboard!$C$17)*((1+Dashboard!$C$12)^$CZ51),0)</f>
        <v>12055401.982882427</v>
      </c>
      <c r="FP51" s="127">
        <f ca="1">MAX(FP50*(1+BQ51)-(Dashboard!$C$11)/(1-Dashboard!$C$17)*((1+Dashboard!$C$12)^$CZ51),0)</f>
        <v>4279320.4916280285</v>
      </c>
      <c r="FQ51" s="127">
        <f ca="1">MAX(FQ50*(1+BR51)-(Dashboard!$C$11)/(1-Dashboard!$C$17)*((1+Dashboard!$C$12)^$CZ51),0)</f>
        <v>1364308.6171131448</v>
      </c>
      <c r="FR51" s="127">
        <f ca="1">MAX(FR50*(1+BS51)-(Dashboard!$C$11)/(1-Dashboard!$C$17)*((1+Dashboard!$C$12)^$CZ51),0)</f>
        <v>28013563.332328446</v>
      </c>
      <c r="FS51" s="127">
        <f ca="1">MAX(FS50*(1+BT51)-(Dashboard!$C$11)/(1-Dashboard!$C$17)*((1+Dashboard!$C$12)^$CZ51),0)</f>
        <v>32666026.48380968</v>
      </c>
      <c r="FT51" s="127">
        <f ca="1">MAX(FT50*(1+BU51)-(Dashboard!$C$11)/(1-Dashboard!$C$17)*((1+Dashboard!$C$12)^$CZ51),0)</f>
        <v>0</v>
      </c>
      <c r="FU51" s="127">
        <f ca="1">MAX(FU50*(1+BV51)-(Dashboard!$C$11)/(1-Dashboard!$C$17)*((1+Dashboard!$C$12)^$CZ51),0)</f>
        <v>1571850.1784166628</v>
      </c>
      <c r="FV51" s="127">
        <f ca="1">MAX(FV50*(1+BW51)-(Dashboard!$C$11)/(1-Dashboard!$C$17)*((1+Dashboard!$C$12)^$CZ51),0)</f>
        <v>9769440.6670561172</v>
      </c>
      <c r="FW51" s="127">
        <f ca="1">MAX(FW50*(1+BX51)-(Dashboard!$C$11)/(1-Dashboard!$C$17)*((1+Dashboard!$C$12)^$CZ51),0)</f>
        <v>4954123.6370189441</v>
      </c>
      <c r="FX51" s="127">
        <f ca="1">MAX(FX50*(1+BY51)-(Dashboard!$C$11)/(1-Dashboard!$C$17)*((1+Dashboard!$C$12)^$CZ51),0)</f>
        <v>0</v>
      </c>
      <c r="FY51" s="127">
        <f ca="1">MAX(FY50*(1+BZ51)-(Dashboard!$C$11)/(1-Dashboard!$C$17)*((1+Dashboard!$C$12)^$CZ51),0)</f>
        <v>0</v>
      </c>
      <c r="FZ51" s="127">
        <f ca="1">MAX(FZ50*(1+CA51)-(Dashboard!$C$11)/(1-Dashboard!$C$17)*((1+Dashboard!$C$12)^$CZ51),0)</f>
        <v>87939796.817879096</v>
      </c>
      <c r="GA51" s="127">
        <f ca="1">MAX(GA50*(1+CB51)-(Dashboard!$C$11)/(1-Dashboard!$C$17)*((1+Dashboard!$C$12)^$CZ51),0)</f>
        <v>40352931.792862758</v>
      </c>
      <c r="GB51" s="127">
        <f ca="1">MAX(GB50*(1+CC51)-(Dashboard!$C$11)/(1-Dashboard!$C$17)*((1+Dashboard!$C$12)^$CZ51),0)</f>
        <v>5355668.2775870301</v>
      </c>
      <c r="GC51" s="127">
        <f ca="1">MAX(GC50*(1+CD51)-(Dashboard!$C$11)/(1-Dashboard!$C$17)*((1+Dashboard!$C$12)^$CZ51),0)</f>
        <v>12753705.017456796</v>
      </c>
      <c r="GD51" s="127">
        <f ca="1">MAX(GD50*(1+CE51)-(Dashboard!$C$11)/(1-Dashboard!$C$17)*((1+Dashboard!$C$12)^$CZ51),0)</f>
        <v>82890899.373145133</v>
      </c>
      <c r="GE51" s="127">
        <f ca="1">MAX(GE50*(1+CF51)-(Dashboard!$C$11)/(1-Dashboard!$C$17)*((1+Dashboard!$C$12)^$CZ51),0)</f>
        <v>7880226.8612369038</v>
      </c>
      <c r="GF51" s="127">
        <f ca="1">MAX(GF50*(1+CG51)-(Dashboard!$C$11)/(1-Dashboard!$C$17)*((1+Dashboard!$C$12)^$CZ51),0)</f>
        <v>7082032.7554060295</v>
      </c>
      <c r="GG51" s="127">
        <f ca="1">MAX(GG50*(1+CH51)-(Dashboard!$C$11)/(1-Dashboard!$C$17)*((1+Dashboard!$C$12)^$CZ51),0)</f>
        <v>0</v>
      </c>
      <c r="GH51" s="127">
        <f ca="1">MAX(GH50*(1+CI51)-(Dashboard!$C$11)/(1-Dashboard!$C$17)*((1+Dashboard!$C$12)^$CZ51),0)</f>
        <v>1331293.223143263</v>
      </c>
      <c r="GI51" s="127">
        <f ca="1">MAX(GI50*(1+CJ51)-(Dashboard!$C$11)/(1-Dashboard!$C$17)*((1+Dashboard!$C$12)^$CZ51),0)</f>
        <v>34812356.032917321</v>
      </c>
      <c r="GJ51" s="127">
        <f ca="1">MAX(GJ50*(1+CK51)-(Dashboard!$C$11)/(1-Dashboard!$C$17)*((1+Dashboard!$C$12)^$CZ51),0)</f>
        <v>37883250.579535745</v>
      </c>
      <c r="GK51" s="127">
        <f ca="1">MAX(GK50*(1+CL51)-(Dashboard!$C$11)/(1-Dashboard!$C$17)*((1+Dashboard!$C$12)^$CZ51),0)</f>
        <v>12094918.981745273</v>
      </c>
      <c r="GL51" s="127">
        <f ca="1">MAX(GL50*(1+CM51)-(Dashboard!$C$11)/(1-Dashboard!$C$17)*((1+Dashboard!$C$12)^$CZ51),0)</f>
        <v>12149452.384385768</v>
      </c>
      <c r="GM51" s="127">
        <f ca="1">MAX(GM50*(1+CN51)-(Dashboard!$C$11)/(1-Dashboard!$C$17)*((1+Dashboard!$C$12)^$CZ51),0)</f>
        <v>0</v>
      </c>
      <c r="GN51" s="127">
        <f ca="1">MAX(GN50*(1+CO51)-(Dashboard!$C$11)/(1-Dashboard!$C$17)*((1+Dashboard!$C$12)^$CZ51),0)</f>
        <v>0</v>
      </c>
      <c r="GO51" s="127">
        <f ca="1">MAX(GO50*(1+CP51)-(Dashboard!$C$11)/(1-Dashboard!$C$17)*((1+Dashboard!$C$12)^$CZ51),0)</f>
        <v>3948368.4597334415</v>
      </c>
      <c r="GP51" s="127">
        <f ca="1">MAX(GP50*(1+CQ51)-(Dashboard!$C$11)/(1-Dashboard!$C$17)*((1+Dashboard!$C$12)^$CZ51),0)</f>
        <v>29370536.752266861</v>
      </c>
      <c r="GQ51" s="127">
        <f ca="1">MAX(GQ50*(1+CR51)-(Dashboard!$C$11)/(1-Dashboard!$C$17)*((1+Dashboard!$C$12)^$CZ51),0)</f>
        <v>0</v>
      </c>
      <c r="GR51" s="127">
        <f ca="1">MAX(GR50*(1+CS51)-(Dashboard!$C$11)/(1-Dashboard!$C$17)*((1+Dashboard!$C$12)^$CZ51),0)</f>
        <v>1134078.4612088532</v>
      </c>
      <c r="GS51" s="127">
        <f ca="1">MAX(GS50*(1+CT51)-(Dashboard!$C$11)/(1-Dashboard!$C$17)*((1+Dashboard!$C$12)^$CZ51),0)</f>
        <v>25894843.73635263</v>
      </c>
      <c r="GT51" s="127">
        <f ca="1">MAX(GT50*(1+CU51)-(Dashboard!$C$11)/(1-Dashboard!$C$17)*((1+Dashboard!$C$12)^$CZ51),0)</f>
        <v>134678028.41892666</v>
      </c>
      <c r="GU51" s="127">
        <f ca="1">MAX(GU50*(1+CV51)-(Dashboard!$C$11)/(1-Dashboard!$C$17)*((1+Dashboard!$C$12)^$CZ51),0)</f>
        <v>4634207.571618082</v>
      </c>
      <c r="GV51" s="127">
        <f ca="1">MAX(GV50*(1+CW51)-(Dashboard!$C$11)/(1-Dashboard!$C$17)*((1+Dashboard!$C$12)^$CZ51),0)</f>
        <v>0</v>
      </c>
      <c r="GW51" s="117">
        <f t="shared" si="4"/>
        <v>100</v>
      </c>
      <c r="GX51" s="131">
        <f t="shared" ca="1" si="2"/>
        <v>83</v>
      </c>
      <c r="HC51" s="131">
        <f t="shared" si="7"/>
        <v>100</v>
      </c>
      <c r="HD51" s="138">
        <f t="shared" ca="1" si="8"/>
        <v>1372645.074456675</v>
      </c>
      <c r="HE51" s="138">
        <f t="shared" ca="1" si="8"/>
        <v>6956715.6910570078</v>
      </c>
      <c r="HF51" s="138">
        <f t="shared" ca="1" si="8"/>
        <v>23446619.439809959</v>
      </c>
    </row>
    <row r="53" spans="1:214" ht="15" thickBot="1">
      <c r="A53" s="139" t="s">
        <v>435</v>
      </c>
      <c r="B53" s="141">
        <f ca="1">AVERAGE(B2:B51)</f>
        <v>8.9183927225621656E-2</v>
      </c>
      <c r="C53" s="141">
        <f t="shared" ref="C53:BN53" ca="1" si="9">AVERAGE(C2:C51)</f>
        <v>4.6980182840248144E-2</v>
      </c>
      <c r="D53" s="141">
        <f t="shared" ca="1" si="9"/>
        <v>8.8311457032801521E-2</v>
      </c>
      <c r="E53" s="141">
        <f t="shared" ca="1" si="9"/>
        <v>5.6370323306667018E-2</v>
      </c>
      <c r="F53" s="141">
        <f t="shared" ca="1" si="9"/>
        <v>8.8185123571189336E-2</v>
      </c>
      <c r="G53" s="141">
        <f t="shared" ca="1" si="9"/>
        <v>9.8317036330409835E-2</v>
      </c>
      <c r="H53" s="141">
        <f t="shared" ca="1" si="9"/>
        <v>7.5394406789183646E-2</v>
      </c>
      <c r="I53" s="141">
        <f t="shared" ca="1" si="9"/>
        <v>0.11177617674566628</v>
      </c>
      <c r="J53" s="141">
        <f t="shared" ca="1" si="9"/>
        <v>8.5293355928432998E-2</v>
      </c>
      <c r="K53" s="141">
        <f t="shared" ca="1" si="9"/>
        <v>7.4892898658428325E-2</v>
      </c>
      <c r="L53" s="141">
        <f t="shared" ca="1" si="9"/>
        <v>7.3280153738018508E-2</v>
      </c>
      <c r="M53" s="141">
        <f t="shared" ca="1" si="9"/>
        <v>7.1629649990605782E-2</v>
      </c>
      <c r="N53" s="141">
        <f t="shared" ca="1" si="9"/>
        <v>0.10427301248087191</v>
      </c>
      <c r="O53" s="141">
        <f t="shared" ca="1" si="9"/>
        <v>0.12656386926119845</v>
      </c>
      <c r="P53" s="141">
        <f t="shared" ca="1" si="9"/>
        <v>6.5901721187108658E-2</v>
      </c>
      <c r="Q53" s="141">
        <f t="shared" ca="1" si="9"/>
        <v>5.6849127475485019E-2</v>
      </c>
      <c r="R53" s="141">
        <f t="shared" ca="1" si="9"/>
        <v>7.1289479178242701E-2</v>
      </c>
      <c r="S53" s="141">
        <f t="shared" ca="1" si="9"/>
        <v>8.9025147432272092E-2</v>
      </c>
      <c r="T53" s="141">
        <f t="shared" ca="1" si="9"/>
        <v>3.9781261118731516E-2</v>
      </c>
      <c r="U53" s="141">
        <f t="shared" ca="1" si="9"/>
        <v>4.9141800236890715E-2</v>
      </c>
      <c r="V53" s="141">
        <f t="shared" ca="1" si="9"/>
        <v>6.7122321096019844E-2</v>
      </c>
      <c r="W53" s="141">
        <f t="shared" ca="1" si="9"/>
        <v>0.114965935567533</v>
      </c>
      <c r="X53" s="141">
        <f t="shared" ca="1" si="9"/>
        <v>7.8602900772525686E-2</v>
      </c>
      <c r="Y53" s="141">
        <f t="shared" ca="1" si="9"/>
        <v>7.4717670845898934E-2</v>
      </c>
      <c r="Z53" s="141">
        <f t="shared" ca="1" si="9"/>
        <v>8.6358556927270874E-2</v>
      </c>
      <c r="AA53" s="141">
        <f t="shared" ca="1" si="9"/>
        <v>8.5689505387486375E-2</v>
      </c>
      <c r="AB53" s="141">
        <f t="shared" ca="1" si="9"/>
        <v>7.1969691852339382E-2</v>
      </c>
      <c r="AC53" s="141">
        <f t="shared" ca="1" si="9"/>
        <v>8.218834403281372E-2</v>
      </c>
      <c r="AD53" s="141">
        <f t="shared" ca="1" si="9"/>
        <v>8.6682756819616374E-2</v>
      </c>
      <c r="AE53" s="141">
        <f t="shared" ca="1" si="9"/>
        <v>8.6848320191663914E-2</v>
      </c>
      <c r="AF53" s="141">
        <f t="shared" ca="1" si="9"/>
        <v>9.4350372762085313E-2</v>
      </c>
      <c r="AG53" s="141">
        <f t="shared" ca="1" si="9"/>
        <v>6.4262638733991462E-2</v>
      </c>
      <c r="AH53" s="141">
        <f t="shared" ca="1" si="9"/>
        <v>9.6963700924645957E-2</v>
      </c>
      <c r="AI53" s="141">
        <f t="shared" ca="1" si="9"/>
        <v>9.8282289832322872E-2</v>
      </c>
      <c r="AJ53" s="141">
        <f t="shared" ca="1" si="9"/>
        <v>5.5570151592010814E-2</v>
      </c>
      <c r="AK53" s="141">
        <f t="shared" ca="1" si="9"/>
        <v>0.10594973277541619</v>
      </c>
      <c r="AL53" s="141">
        <f t="shared" ca="1" si="9"/>
        <v>5.8643315448109516E-2</v>
      </c>
      <c r="AM53" s="141">
        <f t="shared" ca="1" si="9"/>
        <v>7.890302243353485E-2</v>
      </c>
      <c r="AN53" s="141">
        <f t="shared" ca="1" si="9"/>
        <v>0.11118244462219082</v>
      </c>
      <c r="AO53" s="141">
        <f t="shared" ca="1" si="9"/>
        <v>6.0133639251395567E-2</v>
      </c>
      <c r="AP53" s="141">
        <f t="shared" ca="1" si="9"/>
        <v>2.4850925694398972E-2</v>
      </c>
      <c r="AQ53" s="141">
        <f t="shared" ca="1" si="9"/>
        <v>6.5461411404157066E-2</v>
      </c>
      <c r="AR53" s="141">
        <f t="shared" ca="1" si="9"/>
        <v>7.8722038823991466E-2</v>
      </c>
      <c r="AS53" s="141">
        <f t="shared" ca="1" si="9"/>
        <v>7.5226914653566887E-2</v>
      </c>
      <c r="AT53" s="141">
        <f t="shared" ca="1" si="9"/>
        <v>0.11057977379083878</v>
      </c>
      <c r="AU53" s="141">
        <f t="shared" ca="1" si="9"/>
        <v>8.5108655298084479E-2</v>
      </c>
      <c r="AV53" s="141">
        <f t="shared" ca="1" si="9"/>
        <v>7.7578532009613482E-2</v>
      </c>
      <c r="AW53" s="141">
        <f t="shared" ca="1" si="9"/>
        <v>0.10873888692688227</v>
      </c>
      <c r="AX53" s="141">
        <f t="shared" ca="1" si="9"/>
        <v>5.8973858407172591E-2</v>
      </c>
      <c r="AY53" s="141">
        <f t="shared" ca="1" si="9"/>
        <v>6.7443177977618993E-2</v>
      </c>
      <c r="AZ53" s="141">
        <f t="shared" ca="1" si="9"/>
        <v>8.7939304176103572E-2</v>
      </c>
      <c r="BA53" s="141">
        <f t="shared" ca="1" si="9"/>
        <v>8.1446630310519602E-2</v>
      </c>
      <c r="BB53" s="141">
        <f t="shared" ca="1" si="9"/>
        <v>0.10220196344650351</v>
      </c>
      <c r="BC53" s="141">
        <f t="shared" ca="1" si="9"/>
        <v>5.795805659826074E-2</v>
      </c>
      <c r="BD53" s="141">
        <f t="shared" ca="1" si="9"/>
        <v>8.9954222446574014E-2</v>
      </c>
      <c r="BE53" s="141">
        <f t="shared" ca="1" si="9"/>
        <v>0.10911971643218391</v>
      </c>
      <c r="BF53" s="141">
        <f t="shared" ca="1" si="9"/>
        <v>0.10730157506395255</v>
      </c>
      <c r="BG53" s="141">
        <f t="shared" ca="1" si="9"/>
        <v>6.504180298407837E-2</v>
      </c>
      <c r="BH53" s="141">
        <f t="shared" ca="1" si="9"/>
        <v>6.1315715810337033E-2</v>
      </c>
      <c r="BI53" s="141">
        <f t="shared" ca="1" si="9"/>
        <v>6.8181335104306962E-2</v>
      </c>
      <c r="BJ53" s="141">
        <f t="shared" ca="1" si="9"/>
        <v>9.0572159386247741E-2</v>
      </c>
      <c r="BK53" s="141">
        <f t="shared" ca="1" si="9"/>
        <v>7.6796291123045993E-2</v>
      </c>
      <c r="BL53" s="141">
        <f t="shared" ca="1" si="9"/>
        <v>7.5376836240131834E-2</v>
      </c>
      <c r="BM53" s="141">
        <f t="shared" ca="1" si="9"/>
        <v>5.2369771274547727E-2</v>
      </c>
      <c r="BN53" s="141">
        <f t="shared" ca="1" si="9"/>
        <v>6.995205561484924E-2</v>
      </c>
      <c r="BO53" s="141">
        <f t="shared" ref="BO53:CW53" ca="1" si="10">AVERAGE(BO2:BO51)</f>
        <v>6.7268595709161633E-2</v>
      </c>
      <c r="BP53" s="141">
        <f t="shared" ca="1" si="10"/>
        <v>8.3842872733998527E-2</v>
      </c>
      <c r="BQ53" s="141">
        <f t="shared" ca="1" si="10"/>
        <v>7.1722167398810877E-2</v>
      </c>
      <c r="BR53" s="141">
        <f t="shared" ca="1" si="10"/>
        <v>5.5710372558342589E-2</v>
      </c>
      <c r="BS53" s="141">
        <f t="shared" ca="1" si="10"/>
        <v>9.3726400810341878E-2</v>
      </c>
      <c r="BT53" s="141">
        <f t="shared" ca="1" si="10"/>
        <v>0.10078380537787028</v>
      </c>
      <c r="BU53" s="141">
        <f t="shared" ca="1" si="10"/>
        <v>5.3407637562498236E-2</v>
      </c>
      <c r="BV53" s="141">
        <f t="shared" ca="1" si="10"/>
        <v>5.1200389257668455E-2</v>
      </c>
      <c r="BW53" s="141">
        <f t="shared" ca="1" si="10"/>
        <v>8.924927036107555E-2</v>
      </c>
      <c r="BX53" s="141">
        <f t="shared" ca="1" si="10"/>
        <v>7.3555119667921776E-2</v>
      </c>
      <c r="BY53" s="141">
        <f t="shared" ca="1" si="10"/>
        <v>4.9077379363301678E-2</v>
      </c>
      <c r="BZ53" s="141">
        <f t="shared" ca="1" si="10"/>
        <v>6.3191380936760716E-2</v>
      </c>
      <c r="CA53" s="141">
        <f t="shared" ca="1" si="10"/>
        <v>0.11934723644647489</v>
      </c>
      <c r="CB53" s="141">
        <f t="shared" ca="1" si="10"/>
        <v>0.10145559923978886</v>
      </c>
      <c r="CC53" s="141">
        <f t="shared" ca="1" si="10"/>
        <v>7.4300262024504099E-2</v>
      </c>
      <c r="CD53" s="141">
        <f t="shared" ca="1" si="10"/>
        <v>7.9151460209605937E-2</v>
      </c>
      <c r="CE53" s="141">
        <f t="shared" ca="1" si="10"/>
        <v>0.11553368895104782</v>
      </c>
      <c r="CF53" s="141">
        <f t="shared" ca="1" si="10"/>
        <v>7.7734178627680034E-2</v>
      </c>
      <c r="CG53" s="141">
        <f t="shared" ca="1" si="10"/>
        <v>6.8494467970971806E-2</v>
      </c>
      <c r="CH53" s="141">
        <f t="shared" ca="1" si="10"/>
        <v>5.6127305050806708E-2</v>
      </c>
      <c r="CI53" s="141">
        <f t="shared" ca="1" si="10"/>
        <v>6.1979447833917033E-2</v>
      </c>
      <c r="CJ53" s="141">
        <f t="shared" ca="1" si="10"/>
        <v>0.11588628553696095</v>
      </c>
      <c r="CK53" s="141">
        <f t="shared" ca="1" si="10"/>
        <v>0.10234845321799878</v>
      </c>
      <c r="CL53" s="141">
        <f t="shared" ca="1" si="10"/>
        <v>7.8913015364086722E-2</v>
      </c>
      <c r="CM53" s="141">
        <f t="shared" ca="1" si="10"/>
        <v>7.6711078515126582E-2</v>
      </c>
      <c r="CN53" s="141">
        <f t="shared" ca="1" si="10"/>
        <v>7.5055492462119566E-2</v>
      </c>
      <c r="CO53" s="141">
        <f t="shared" ca="1" si="10"/>
        <v>1.8270033600626023E-2</v>
      </c>
      <c r="CP53" s="141">
        <f t="shared" ca="1" si="10"/>
        <v>8.1080662949344864E-2</v>
      </c>
      <c r="CQ53" s="141">
        <f t="shared" ca="1" si="10"/>
        <v>0.10901619780674547</v>
      </c>
      <c r="CR53" s="141">
        <f t="shared" ca="1" si="10"/>
        <v>5.4102590391995262E-2</v>
      </c>
      <c r="CS53" s="141">
        <f t="shared" ca="1" si="10"/>
        <v>6.47231101890125E-2</v>
      </c>
      <c r="CT53" s="141">
        <f t="shared" ca="1" si="10"/>
        <v>9.1222657808659305E-2</v>
      </c>
      <c r="CU53" s="141">
        <f t="shared" ca="1" si="10"/>
        <v>0.13127897834763591</v>
      </c>
      <c r="CV53" s="141">
        <f t="shared" ca="1" si="10"/>
        <v>8.2738650160658095E-2</v>
      </c>
      <c r="CW53" s="141">
        <f t="shared" ca="1" si="10"/>
        <v>7.4251949225680694E-2</v>
      </c>
      <c r="GX53" s="112">
        <f ca="1">INDEX(GX2:GX51,MATCH(100,CY2:CY51))/100</f>
        <v>0.83</v>
      </c>
    </row>
    <row r="54" spans="1:214" ht="15" thickTop="1"/>
  </sheetData>
  <phoneticPr fontId="37" type="noConversion"/>
  <pageMargins left="0.7" right="0.7" top="0.75" bottom="0.75" header="0.3" footer="0.3"/>
</worksheet>
</file>

<file path=docMetadata/LabelInfo.xml><?xml version="1.0" encoding="utf-8"?>
<clbl:labelList xmlns:clbl="http://schemas.microsoft.com/office/2020/mipLabelMetadata">
  <clbl:label id="{a8eec281-aaa3-4dae-ac9b-9a398b9215e7}" enabled="0" method="" siteId="{a8eec281-aaa3-4dae-ac9b-9a398b9215e7}"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Explanations and FAQ</vt:lpstr>
      <vt:lpstr>Returns by year</vt:lpstr>
      <vt:lpstr>Dashboard</vt:lpstr>
      <vt:lpstr>Equity and Bond Returns</vt:lpstr>
      <vt:lpstr>Portfolio Returns and Values</vt:lpstr>
      <vt:lpstr>Portfolio Returns Stress 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Historical Returns</dc:title>
  <dc:creator>Aswath Damodaran</dc:creator>
  <cp:keywords/>
  <cp:lastModifiedBy>Niramay Prashant Lakhani</cp:lastModifiedBy>
  <dcterms:created xsi:type="dcterms:W3CDTF">1999-02-15T16:07:18Z</dcterms:created>
  <dcterms:modified xsi:type="dcterms:W3CDTF">2025-06-03T15:23:41Z</dcterms:modified>
</cp:coreProperties>
</file>